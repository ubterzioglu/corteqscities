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Özet" sheetId="1" state="visible" r:id="rId1"/>
    <sheet name="Teslimat" sheetId="2" state="visible" r:id="rId2"/>
    <sheet name="Şehir" sheetId="3" state="visible" r:id="rId3"/>
    <sheet name="Konular" sheetId="4" state="visible" r:id="rId4"/>
    <sheet name="Yanıtlar" sheetId="5" state="visible" r:id="rId5"/>
    <sheet name="Mekânlar" sheetId="6" state="visible" r:id="rId6"/>
    <sheet name="Mahalleler" sheetId="7" state="visible" r:id="rId7"/>
    <sheet name="Bağlantılar" sheetId="8" state="visible" r:id="rId8"/>
    <sheet name="Rotalar" sheetId="9" state="visible" r:id="rId9"/>
    <sheet name="Sözlük" sheetId="10" state="visible" r:id="rId10"/>
    <sheet name="Adımlar" sheetId="11" state="visible" r:id="rId11"/>
    <sheet name="Kaynaklar" sheetId="12" state="visible" r:id="rId12"/>
    <sheet name="Fotoğraflar" sheetId="13" state="visible" r:id="rId13"/>
    <sheet name="Kanıtlar" sheetId="14" state="visible" r:id="rId14"/>
    <sheet name="SayfaAlanları" sheetId="15" state="visible" r:id="rId15"/>
    <sheet name="EkDetaylar" sheetId="16" state="visible" r:id="rId16"/>
    <sheet name="FotoğrafKaynakları" sheetId="17" state="visible" r:id="rId17"/>
  </sheets>
  <definedNames/>
</workbook>
</file>

<file path=xl/styles.xml><?xml version="1.0" encoding="utf-8"?>
<styleSheet xmlns="http://schemas.openxmlformats.org/spreadsheetml/2006/main">
  <numFmts count="2">
    <numFmt numFmtId="164" formatCode="yyyy-mm-dd"/>
    <numFmt numFmtId="165" formatCode="0.000000"/>
  </numFmts>
  <fonts count="8">
    <font>
      <name val="Carlito"/>
      <sz val="11"/>
    </font>
    <font>
      <name val="Arial"/>
      <color rgb="FF17382F"/>
      <sz val="11"/>
    </font>
    <font>
      <name val="Arial"/>
      <b val="1"/>
      <color rgb="FF173B31"/>
      <sz val="16"/>
    </font>
    <font>
      <name val="Arial"/>
      <b val="1"/>
      <color rgb="FFFFFFFF"/>
      <sz val="11"/>
    </font>
    <font>
      <name val="Arial"/>
      <b val="1"/>
      <color rgb="FF17382F"/>
      <sz val="11"/>
    </font>
    <font>
      <name val="Arial"/>
      <color rgb="FF6B7B73"/>
      <sz val="10"/>
    </font>
    <font>
      <name val="Arial"/>
      <color rgb="FFFFFFFF"/>
      <sz val="10"/>
    </font>
    <font>
      <name val="Arial"/>
      <b val="1"/>
      <color rgb="FF173B31"/>
      <sz val="17"/>
    </font>
  </fonts>
  <fills count="10">
    <fill>
      <patternFill/>
    </fill>
    <fill>
      <patternFill patternType="gray125"/>
    </fill>
    <fill>
      <patternFill patternType="solid">
        <fgColor rgb="FFFFFFFF"/>
      </patternFill>
    </fill>
    <fill>
      <patternFill patternType="solid">
        <fgColor rgb="FF173B31"/>
      </patternFill>
    </fill>
    <fill>
      <patternFill patternType="solid">
        <fgColor rgb="FFF5F6F2"/>
      </patternFill>
    </fill>
    <fill>
      <patternFill patternType="solid">
        <fgColor rgb="FFFFF4D7"/>
      </patternFill>
    </fill>
    <fill>
      <patternFill patternType="solid">
        <fgColor rgb="FFE7EDDF"/>
      </patternFill>
    </fill>
    <fill>
      <patternFill patternType="solid">
        <fgColor rgb="FFE7EDDF"/>
      </patternFill>
    </fill>
    <fill>
      <patternFill patternType="solid">
        <fgColor rgb="FF173B31"/>
      </patternFill>
    </fill>
    <fill>
      <patternFill patternType="solid">
        <fgColor rgb="FFFFF4D7"/>
      </patternFill>
    </fill>
  </fills>
  <borders count="2">
    <border>
      <left/>
      <right/>
      <top/>
      <bottom/>
      <diagonal/>
    </border>
    <border>
      <left/>
      <right/>
      <top/>
      <bottom style="thin">
        <color rgb="FFF66C4E"/>
      </bottom>
      <diagonal/>
    </border>
  </borders>
  <cellStyleXfs count="1">
    <xf numFmtId="0" fontId="0" fillId="0" borderId="0"/>
  </cellStyleXfs>
  <cellXfs count="54">
    <xf numFmtId="0" fontId="0" fillId="0" borderId="0" pivotButton="0" quotePrefix="0" xfId="0"/>
    <xf numFmtId="0" fontId="1" fillId="0" borderId="0" pivotButton="0" quotePrefix="0" xfId="0"/>
    <xf numFmtId="0" fontId="1" fillId="0" borderId="0" applyAlignment="1" pivotButton="0" quotePrefix="0" xfId="0">
      <alignment vertical="center"/>
    </xf>
    <xf numFmtId="0" fontId="1" fillId="2" borderId="0" applyAlignment="1" pivotButton="0" quotePrefix="0" xfId="0">
      <alignment vertical="center"/>
    </xf>
    <xf numFmtId="0" fontId="2" fillId="2" borderId="0" applyAlignment="1" pivotButton="0" quotePrefix="0" xfId="0">
      <alignment vertical="center"/>
    </xf>
    <xf numFmtId="0" fontId="1" fillId="2" borderId="1" applyAlignment="1" pivotButton="0" quotePrefix="0" xfId="0">
      <alignment vertical="center"/>
    </xf>
    <xf numFmtId="0" fontId="1" fillId="3" borderId="0" applyAlignment="1" pivotButton="0" quotePrefix="0" xfId="0">
      <alignment vertical="center"/>
    </xf>
    <xf numFmtId="0" fontId="3" fillId="3" borderId="0" applyAlignment="1" pivotButton="0" quotePrefix="0" xfId="0">
      <alignment vertical="center"/>
    </xf>
    <xf numFmtId="0" fontId="3" fillId="3" borderId="0" applyAlignment="1" pivotButton="0" quotePrefix="0" xfId="0">
      <alignment vertical="center" wrapText="1"/>
    </xf>
    <xf numFmtId="0" fontId="3" fillId="3" borderId="0" applyAlignment="1" pivotButton="0" quotePrefix="0" xfId="0">
      <alignment horizontal="center" vertical="center" wrapText="1"/>
    </xf>
    <xf numFmtId="0" fontId="1" fillId="4" borderId="0" applyAlignment="1" pivotButton="0" quotePrefix="0" xfId="0">
      <alignment vertical="center"/>
    </xf>
    <xf numFmtId="3" fontId="1" fillId="4" borderId="0" applyAlignment="1" pivotButton="0" quotePrefix="0" xfId="0">
      <alignment vertical="center"/>
    </xf>
    <xf numFmtId="3" fontId="1" fillId="2" borderId="0" applyAlignment="1" pivotButton="0" quotePrefix="0" xfId="0">
      <alignment vertical="center"/>
    </xf>
    <xf numFmtId="0" fontId="4" fillId="2" borderId="0" applyAlignment="1" pivotButton="0" quotePrefix="0" xfId="0">
      <alignment vertical="center"/>
    </xf>
    <xf numFmtId="0" fontId="1" fillId="2" borderId="0" applyAlignment="1" pivotButton="0" quotePrefix="0" xfId="0">
      <alignment vertical="center" wrapText="1"/>
    </xf>
    <xf numFmtId="0" fontId="1" fillId="5" borderId="0" applyAlignment="1" pivotButton="0" quotePrefix="0" xfId="0">
      <alignment vertical="center"/>
    </xf>
    <xf numFmtId="0" fontId="1" fillId="5" borderId="0" applyAlignment="1" pivotButton="0" quotePrefix="0" xfId="0">
      <alignment vertical="center" wrapText="1"/>
    </xf>
    <xf numFmtId="0" fontId="1" fillId="6" borderId="0" applyAlignment="1" pivotButton="0" quotePrefix="0" xfId="0">
      <alignment vertical="center"/>
    </xf>
    <xf numFmtId="0" fontId="1" fillId="6" borderId="0" applyAlignment="1" pivotButton="0" quotePrefix="0" xfId="0">
      <alignment vertical="center" wrapText="1"/>
    </xf>
    <xf numFmtId="0" fontId="2" fillId="0" borderId="0" applyAlignment="1" pivotButton="0" quotePrefix="0" xfId="0">
      <alignment vertical="center"/>
    </xf>
    <xf numFmtId="0" fontId="1" fillId="0" borderId="0" applyAlignment="1" pivotButton="0" quotePrefix="0" xfId="0">
      <alignment vertical="center" wrapText="1"/>
    </xf>
    <xf numFmtId="0" fontId="1" fillId="0" borderId="1" applyAlignment="1" pivotButton="0" quotePrefix="0" xfId="0">
      <alignment vertical="center"/>
    </xf>
    <xf numFmtId="0" fontId="5" fillId="0" borderId="0" applyAlignment="1" pivotButton="0" quotePrefix="0" xfId="0">
      <alignment vertical="center"/>
    </xf>
    <xf numFmtId="0" fontId="4" fillId="6" borderId="0" applyAlignment="1" pivotButton="0" quotePrefix="0" xfId="0">
      <alignment vertical="center"/>
    </xf>
    <xf numFmtId="0" fontId="4" fillId="6" borderId="0" applyAlignment="1" pivotButton="0" quotePrefix="0" xfId="0">
      <alignment vertical="center" wrapText="1"/>
    </xf>
    <xf numFmtId="0" fontId="4" fillId="6" borderId="0" applyAlignment="1" pivotButton="0" quotePrefix="0" xfId="0">
      <alignment horizontal="center" vertical="center" wrapText="1"/>
    </xf>
    <xf numFmtId="0" fontId="6" fillId="3" borderId="0" applyAlignment="1" pivotButton="0" quotePrefix="0" xfId="0">
      <alignment vertical="center"/>
    </xf>
    <xf numFmtId="0" fontId="6" fillId="3" borderId="0" applyAlignment="1" pivotButton="0" quotePrefix="0" xfId="0">
      <alignment vertical="center" wrapText="1"/>
    </xf>
    <xf numFmtId="0" fontId="6" fillId="3" borderId="0" applyAlignment="1" pivotButton="0" quotePrefix="0" xfId="0">
      <alignment horizontal="center" vertical="center" wrapText="1"/>
    </xf>
    <xf numFmtId="0" fontId="1" fillId="5" borderId="0" applyAlignment="1" pivotButton="0" quotePrefix="0" xfId="0">
      <alignment vertical="top" wrapText="1"/>
    </xf>
    <xf numFmtId="164" fontId="1" fillId="5" borderId="0" applyAlignment="1" pivotButton="0" quotePrefix="0" xfId="0">
      <alignment vertical="top" wrapText="1"/>
    </xf>
    <xf numFmtId="164" fontId="1" fillId="5" borderId="0" applyAlignment="1" pivotButton="0" quotePrefix="0" xfId="0">
      <alignment horizontal="right" vertical="top" wrapText="1"/>
    </xf>
    <xf numFmtId="165" fontId="1" fillId="5" borderId="0" applyAlignment="1" pivotButton="0" quotePrefix="0" xfId="0">
      <alignment vertical="top" wrapText="1"/>
    </xf>
    <xf numFmtId="165" fontId="1" fillId="5" borderId="0" applyAlignment="1" pivotButton="0" quotePrefix="0" xfId="0">
      <alignment horizontal="right" vertical="top" wrapText="1"/>
    </xf>
    <xf numFmtId="1" fontId="1" fillId="5" borderId="0" applyAlignment="1" pivotButton="0" quotePrefix="0" xfId="0">
      <alignment vertical="top" wrapText="1"/>
    </xf>
    <xf numFmtId="1" fontId="1" fillId="5" borderId="0" applyAlignment="1" pivotButton="0" quotePrefix="0" xfId="0">
      <alignment horizontal="right" vertical="top" wrapText="1"/>
    </xf>
    <xf numFmtId="1" fontId="1" fillId="4" borderId="0" applyAlignment="1" pivotButton="0" quotePrefix="0" xfId="0">
      <alignment horizontal="right" vertical="top" wrapText="1"/>
    </xf>
    <xf numFmtId="0" fontId="1" fillId="0" borderId="0" applyAlignment="1" pivotButton="0" quotePrefix="0" xfId="0">
      <alignment wrapText="1"/>
    </xf>
    <xf numFmtId="0" fontId="1" fillId="0" borderId="0" applyAlignment="1" pivotButton="0" quotePrefix="0" xfId="0">
      <alignment vertical="top" wrapText="1"/>
    </xf>
    <xf numFmtId="0" fontId="7" fillId="0" borderId="0" applyAlignment="1" pivotButton="0" quotePrefix="0" xfId="0">
      <alignment vertical="top" wrapText="1"/>
    </xf>
    <xf numFmtId="0" fontId="1" fillId="7" borderId="0" applyAlignment="1" pivotButton="0" quotePrefix="0" xfId="0">
      <alignment vertical="top" wrapText="1"/>
    </xf>
    <xf numFmtId="0" fontId="4" fillId="7" borderId="0" applyAlignment="1" pivotButton="0" quotePrefix="0" xfId="0">
      <alignment vertical="top" wrapText="1"/>
    </xf>
    <xf numFmtId="0" fontId="1" fillId="8" borderId="0" applyAlignment="1" pivotButton="0" quotePrefix="0" xfId="0">
      <alignment vertical="top" wrapText="1"/>
    </xf>
    <xf numFmtId="0" fontId="6" fillId="8" borderId="0" applyAlignment="1" pivotButton="0" quotePrefix="0" xfId="0">
      <alignment vertical="top" wrapText="1"/>
    </xf>
    <xf numFmtId="0" fontId="1" fillId="9" borderId="0" applyAlignment="1" pivotButton="0" quotePrefix="0" xfId="0">
      <alignment vertical="top" wrapText="1"/>
    </xf>
    <xf numFmtId="0" fontId="1" fillId="7" borderId="0" applyAlignment="1" pivotButton="0" quotePrefix="0" xfId="0">
      <alignment vertical="center"/>
    </xf>
    <xf numFmtId="0" fontId="1" fillId="7" borderId="0" applyAlignment="1" pivotButton="0" quotePrefix="0" xfId="0">
      <alignment vertical="center" wrapText="1"/>
    </xf>
    <xf numFmtId="3" fontId="1" fillId="4" borderId="0" applyAlignment="1" pivotButton="0" quotePrefix="0" xfId="0">
      <alignment vertical="center"/>
    </xf>
    <xf numFmtId="3" fontId="1" fillId="2" borderId="0" applyAlignment="1" pivotButton="0" quotePrefix="0" xfId="0">
      <alignment vertical="center"/>
    </xf>
    <xf numFmtId="164" fontId="1" fillId="5" borderId="0" applyAlignment="1" pivotButton="0" quotePrefix="0" xfId="0">
      <alignment horizontal="right" vertical="top" wrapText="1"/>
    </xf>
    <xf numFmtId="165" fontId="1" fillId="5" borderId="0" applyAlignment="1" pivotButton="0" quotePrefix="0" xfId="0">
      <alignment horizontal="right" vertical="top" wrapText="1"/>
    </xf>
    <xf numFmtId="1" fontId="1" fillId="5" borderId="0" applyAlignment="1" pivotButton="0" quotePrefix="0" xfId="0">
      <alignment horizontal="right" vertical="top" wrapText="1"/>
    </xf>
    <xf numFmtId="1" fontId="1" fillId="4" borderId="0" applyAlignment="1" pivotButton="0" quotePrefix="0" xfId="0">
      <alignment horizontal="right" vertical="top" wrapText="1"/>
    </xf>
    <xf numFmtId="164" fontId="1" fillId="9" borderId="0" applyAlignment="1" pivotButton="0" quotePrefix="0" xfId="0">
      <alignment vertical="top" wrapText="1"/>
    </xf>
  </cellXfs>
  <cellStyles count="1">
    <cellStyle name="Normal" xfId="0"/>
  </cellStyles>
  <dxfs count="157">
    <dxf>
      <font>
        <color rgb="FFA3412D"/>
      </font>
      <fill>
        <patternFill>
          <bgColor rgb="FFFFF0E9"/>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tables/table1.xml><?xml version="1.0" encoding="utf-8"?>
<table xmlns="http://schemas.openxmlformats.org/spreadsheetml/2006/main" id="1" name="CT_metadata" displayName="CT_metadata" ref="A7:I8" headerRowCount="1" totalsRowCount="0" totalsRowShown="0">
  <autoFilter ref="A7:I8"/>
  <tableColumns count="9">
    <tableColumn id="1" name="schema_version"/>
    <tableColumn id="2" name="delivery_id"/>
    <tableColumn id="3" name="city_id"/>
    <tableColumn id="4" name="editor"/>
    <tableColumn id="5" name="reviewer"/>
    <tableColumn id="6" name="scope"/>
    <tableColumn id="7" name="updated_on"/>
    <tableColumn id="8" name="editorial_status"/>
    <tableColumn id="9" name="notes"/>
  </tableColumns>
  <tableStyleInfo name="TableStyleMedium2" showFirstColumn="0" showLastColumn="0" showRowStripes="1" showColumnStripes="0"/>
</table>
</file>

<file path=xl/tables/table2.xml><?xml version="1.0" encoding="utf-8"?>
<table xmlns="http://schemas.openxmlformats.org/spreadsheetml/2006/main" id="2" name="CT_city" displayName="CT_city" ref="A7:AG8" headerRowCount="1" totalsRowCount="0" totalsRowShown="0">
  <autoFilter ref="A7:AG8"/>
  <tableColumns count="33">
    <tableColumn id="1" name="city_id"/>
    <tableColumn id="2" name="name"/>
    <tableColumn id="3" name="country"/>
    <tableColumn id="4" name="country_code"/>
    <tableColumn id="5" name="region"/>
    <tableColumn id="6" name="kind"/>
    <tableColumn id="7" name="title"/>
    <tableColumn id="8" name="intro"/>
    <tableColumn id="9" name="currency"/>
    <tableColumn id="10" name="currency_symbol"/>
    <tableColumn id="11" name="currency_label"/>
    <tableColumn id="12" name="language"/>
    <tableColumn id="13" name="timezone"/>
    <tableColumn id="14" name="latitude"/>
    <tableColumn id="15" name="longitude"/>
    <tableColumn id="16" name="coordinate_source_url"/>
    <tableColumn id="17" name="coordinate_checked_on"/>
    <tableColumn id="18" name="coordinate_note"/>
    <tableColumn id="19" name="source_url"/>
    <tableColumn id="20" name="source_checked_on"/>
    <tableColumn id="21" name="source_position"/>
    <tableColumn id="22" name="reviewed_on"/>
    <tableColumn id="23" name="priority"/>
    <tableColumn id="24" name="aliases"/>
    <tableColumn id="25" name="locality"/>
    <tableColumn id="26" name="tagline"/>
    <tableColumn id="27" name="directory_order"/>
    <tableColumn id="28" name="forecast_url"/>
    <tableColumn id="29" name="provider_url"/>
    <tableColumn id="30" name="forecast_label"/>
    <tableColumn id="31" name="hero_photo_id"/>
    <tableColumn id="32" name="editorial_notes"/>
    <tableColumn id="33" name="editorial_status"/>
  </tableColumns>
  <tableStyleInfo name="TableStyleMedium2" showFirstColumn="0" showLastColumn="0" showRowStripes="1" showColumnStripes="0"/>
</table>
</file>

<file path=xl/tables/table3.xml><?xml version="1.0" encoding="utf-8"?>
<table xmlns="http://schemas.openxmlformats.org/spreadsheetml/2006/main" id="3" name="CT_topics" displayName="CT_topics" ref="A7:H37" headerRowCount="1" totalsRowCount="0" totalsRowShown="0">
  <autoFilter ref="A7:H37"/>
  <tableColumns count="8">
    <tableColumn id="1" name="topic_id"/>
    <tableColumn id="2" name="city_id"/>
    <tableColumn id="3" name="slug"/>
    <tableColumn id="4" name="title"/>
    <tableColumn id="5" name="description"/>
    <tableColumn id="6" name="icon"/>
    <tableColumn id="7" name="order"/>
    <tableColumn id="8" name="used_count"/>
  </tableColumns>
  <tableStyleInfo name="TableStyleMedium2" showFirstColumn="0" showLastColumn="0" showRowStripes="1" showColumnStripes="0"/>
</table>
</file>

<file path=xl/tables/table4.xml><?xml version="1.0" encoding="utf-8"?>
<table xmlns="http://schemas.openxmlformats.org/spreadsheetml/2006/main" id="4" name="CT_answers" displayName="CT_answers" ref="A7:T307" headerRowCount="1" totalsRowCount="0" totalsRowShown="0">
  <autoFilter ref="A7:T307"/>
  <tableColumns count="20">
    <tableColumn id="1" name="entry_id"/>
    <tableColumn id="2" name="city_id"/>
    <tableColumn id="3" name="slug"/>
    <tableColumn id="4" name="title"/>
    <tableColumn id="5" name="subtitle"/>
    <tableColumn id="6" name="summary"/>
    <tableColumn id="7" name="keywords"/>
    <tableColumn id="8" name="stages"/>
    <tableColumn id="9" name="source_ids"/>
    <tableColumn id="10" name="reviewed_on"/>
    <tableColumn id="11" name="order"/>
    <tableColumn id="12" name="featured"/>
    <tableColumn id="13" name="editorial_status"/>
    <tableColumn id="14" name="topic_id"/>
    <tableColumn id="15" name="steps"/>
    <tableColumn id="16" name="documents"/>
    <tableColumn id="17" name="timing"/>
    <tableColumn id="18" name="cost"/>
    <tableColumn id="19" name="note"/>
    <tableColumn id="20" name="visual_json"/>
  </tableColumns>
  <tableStyleInfo name="TableStyleMedium2" showFirstColumn="0" showLastColumn="0" showRowStripes="1" showColumnStripes="0"/>
</table>
</file>

<file path=xl/tables/table5.xml><?xml version="1.0" encoding="utf-8"?>
<table xmlns="http://schemas.openxmlformats.org/spreadsheetml/2006/main" id="5" name="CT_places" displayName="CT_places" ref="A7:W187" headerRowCount="1" totalsRowCount="0" totalsRowShown="0">
  <autoFilter ref="A7:W187"/>
  <tableColumns count="23">
    <tableColumn id="1" name="entry_id"/>
    <tableColumn id="2" name="city_id"/>
    <tableColumn id="3" name="slug"/>
    <tableColumn id="4" name="title"/>
    <tableColumn id="5" name="subtitle"/>
    <tableColumn id="6" name="summary"/>
    <tableColumn id="7" name="keywords"/>
    <tableColumn id="8" name="stages"/>
    <tableColumn id="9" name="source_ids"/>
    <tableColumn id="10" name="reviewed_on"/>
    <tableColumn id="11" name="order"/>
    <tableColumn id="12" name="featured"/>
    <tableColumn id="13" name="editorial_status"/>
    <tableColumn id="14" name="group"/>
    <tableColumn id="15" name="district"/>
    <tableColumn id="16" name="setting"/>
    <tableColumn id="17" name="location"/>
    <tableColumn id="18" name="latitude"/>
    <tableColumn id="19" name="longitude"/>
    <tableColumn id="20" name="visit_status"/>
    <tableColumn id="21" name="note"/>
    <tableColumn id="22" name="collection"/>
    <tableColumn id="23" name="media_key"/>
  </tableColumns>
  <tableStyleInfo name="TableStyleMedium2" showFirstColumn="0" showLastColumn="0" showRowStripes="1" showColumnStripes="0"/>
</table>
</file>

<file path=xl/tables/table6.xml><?xml version="1.0" encoding="utf-8"?>
<table xmlns="http://schemas.openxmlformats.org/spreadsheetml/2006/main" id="6" name="CT_neighborhoods" displayName="CT_neighborhoods" ref="A7:R47" headerRowCount="1" totalsRowCount="0" totalsRowShown="0">
  <autoFilter ref="A7:R47"/>
  <tableColumns count="18">
    <tableColumn id="1" name="entry_id"/>
    <tableColumn id="2" name="city_id"/>
    <tableColumn id="3" name="slug"/>
    <tableColumn id="4" name="title"/>
    <tableColumn id="5" name="subtitle"/>
    <tableColumn id="6" name="summary"/>
    <tableColumn id="7" name="keywords"/>
    <tableColumn id="8" name="stages"/>
    <tableColumn id="9" name="source_ids"/>
    <tableColumn id="10" name="reviewed_on"/>
    <tableColumn id="11" name="order"/>
    <tableColumn id="12" name="featured"/>
    <tableColumn id="13" name="editorial_status"/>
    <tableColumn id="14" name="location"/>
    <tableColumn id="15" name="tags"/>
    <tableColumn id="16" name="compare_json"/>
    <tableColumn id="17" name="note"/>
    <tableColumn id="18" name="media_key"/>
  </tableColumns>
  <tableStyleInfo name="TableStyleMedium2" showFirstColumn="0" showLastColumn="0" showRowStripes="1" showColumnStripes="0"/>
</table>
</file>

<file path=xl/tables/table7.xml><?xml version="1.0" encoding="utf-8"?>
<table xmlns="http://schemas.openxmlformats.org/spreadsheetml/2006/main" id="7" name="CT_actions" displayName="CT_actions" ref="A7:G807" headerRowCount="1" totalsRowCount="0" totalsRowShown="0">
  <autoFilter ref="A7:G807"/>
  <tableColumns count="7">
    <tableColumn id="1" name="action_id"/>
    <tableColumn id="2" name="city_id"/>
    <tableColumn id="3" name="entry_id"/>
    <tableColumn id="4" name="label"/>
    <tableColumn id="5" name="url"/>
    <tableColumn id="6" name="checked_on"/>
    <tableColumn id="7" name="order"/>
  </tableColumns>
  <tableStyleInfo name="TableStyleMedium2" showFirstColumn="0" showLastColumn="0" showRowStripes="1" showColumnStripes="0"/>
</table>
</file>

<file path=xl/tables/table8.xml><?xml version="1.0" encoding="utf-8"?>
<table xmlns="http://schemas.openxmlformats.org/spreadsheetml/2006/main" id="8" name="CT_routes" displayName="CT_routes" ref="A7:L37" headerRowCount="1" totalsRowCount="0" totalsRowShown="0">
  <autoFilter ref="A7:L37"/>
  <tableColumns count="12">
    <tableColumn id="1" name="route_id"/>
    <tableColumn id="2" name="city_id"/>
    <tableColumn id="3" name="title"/>
    <tableColumn id="4" name="tag"/>
    <tableColumn id="5" name="stops"/>
    <tableColumn id="6" name="stop_entry_ids"/>
    <tableColumn id="7" name="entry_id"/>
    <tableColumn id="8" name="note"/>
    <tableColumn id="9" name="reviewed_on"/>
    <tableColumn id="10" name="source_ids"/>
    <tableColumn id="11" name="order"/>
    <tableColumn id="12" name="editorial_status"/>
  </tableColumns>
  <tableStyleInfo name="TableStyleMedium2" showFirstColumn="0" showLastColumn="0" showRowStripes="1" showColumnStripes="0"/>
</table>
</file>

<file path=xl/tables/table9.xml><?xml version="1.0" encoding="utf-8"?>
<table xmlns="http://schemas.openxmlformats.org/spreadsheetml/2006/main" id="9" name="CT_glossary" displayName="CT_glossary" ref="A7:H107" headerRowCount="1" totalsRowCount="0" totalsRowShown="0">
  <autoFilter ref="A7:H107"/>
  <tableColumns count="8">
    <tableColumn id="1" name="term_id"/>
    <tableColumn id="2" name="city_id"/>
    <tableColumn id="3" name="term"/>
    <tableColumn id="4" name="definition"/>
    <tableColumn id="5" name="source_ids"/>
    <tableColumn id="6" name="reviewed_on"/>
    <tableColumn id="7" name="order"/>
    <tableColumn id="8" name="editorial_status"/>
  </tableColumns>
  <tableStyleInfo name="TableStyleMedium2" showFirstColumn="0" showLastColumn="0" showRowStripes="1" showColumnStripes="0"/>
</table>
</file>

<file path=xl/tables/table10.xml><?xml version="1.0" encoding="utf-8"?>
<table xmlns="http://schemas.openxmlformats.org/spreadsheetml/2006/main" id="10" name="CT_journey_steps" displayName="CT_journey_steps" ref="A7:G47" headerRowCount="1" totalsRowCount="0" totalsRowShown="0">
  <autoFilter ref="A7:G47"/>
  <tableColumns count="7">
    <tableColumn id="1" name="step_id"/>
    <tableColumn id="2" name="city_id"/>
    <tableColumn id="3" name="entry_id"/>
    <tableColumn id="4" name="title"/>
    <tableColumn id="5" name="when"/>
    <tableColumn id="6" name="description"/>
    <tableColumn id="7" name="order"/>
  </tableColumns>
  <tableStyleInfo name="TableStyleMedium2" showFirstColumn="0" showLastColumn="0" showRowStripes="1" showColumnStripes="0"/>
</table>
</file>

<file path=xl/tables/table11.xml><?xml version="1.0" encoding="utf-8"?>
<table xmlns="http://schemas.openxmlformats.org/spreadsheetml/2006/main" id="11" name="CT_sources" displayName="CT_sources" ref="A7:K507" headerRowCount="1" totalsRowCount="0" totalsRowShown="0">
  <autoFilter ref="A7:K507"/>
  <tableColumns count="11">
    <tableColumn id="1" name="source_id"/>
    <tableColumn id="2" name="city_id"/>
    <tableColumn id="3" name="title"/>
    <tableColumn id="4" name="publisher"/>
    <tableColumn id="5" name="url"/>
    <tableColumn id="6" name="checked_on"/>
    <tableColumn id="7" name="topic"/>
    <tableColumn id="8" name="summary"/>
    <tableColumn id="9" name="verified"/>
    <tableColumn id="10" name="snapshot_file"/>
    <tableColumn id="11" name="snapshot_sha256"/>
  </tableColumns>
  <tableStyleInfo name="TableStyleMedium2" showFirstColumn="0" showLastColumn="0" showRowStripes="1" showColumnStripes="0"/>
</table>
</file>

<file path=xl/tables/table12.xml><?xml version="1.0" encoding="utf-8"?>
<table xmlns="http://schemas.openxmlformats.org/spreadsheetml/2006/main" id="12" name="CT_photos" displayName="CT_photos" ref="A7:T357" headerRowCount="1" totalsRowCount="0" totalsRowShown="0">
  <autoFilter ref="A7:T357"/>
  <tableColumns count="20">
    <tableColumn id="1" name="photo_id"/>
    <tableColumn id="2" name="city_id"/>
    <tableColumn id="3" name="role"/>
    <tableColumn id="4" name="entry_id"/>
    <tableColumn id="5" name="file"/>
    <tableColumn id="6" name="sha256"/>
    <tableColumn id="7" name="caption"/>
    <tableColumn id="8" name="author"/>
    <tableColumn id="9" name="license"/>
    <tableColumn id="10" name="license_url"/>
    <tableColumn id="11" name="source_url"/>
    <tableColumn id="12" name="capture_date"/>
    <tableColumn id="13" name="source_checked_on"/>
    <tableColumn id="14" name="modifications"/>
    <tableColumn id="15" name="evidence_id"/>
    <tableColumn id="16" name="completion_credit"/>
    <tableColumn id="17" name="order"/>
    <tableColumn id="18" name="editorial_status"/>
    <tableColumn id="19" name="unique_venue_count"/>
    <tableColumn id="20" name="unique_hero_count"/>
  </tableColumns>
  <tableStyleInfo name="TableStyleMedium2" showFirstColumn="0" showLastColumn="0" showRowStripes="1" showColumnStripes="0"/>
</table>
</file>

<file path=xl/tables/table13.xml><?xml version="1.0" encoding="utf-8"?>
<table xmlns="http://schemas.openxmlformats.org/spreadsheetml/2006/main" id="13" name="CT_evidence" displayName="CT_evidence" ref="A7:W357" headerRowCount="1" totalsRowCount="0" totalsRowShown="0">
  <autoFilter ref="A7:W357"/>
  <tableColumns count="23">
    <tableColumn id="1" name="evidence_id"/>
    <tableColumn id="2" name="city_id"/>
    <tableColumn id="3" name="photo_id"/>
    <tableColumn id="4" name="source_url"/>
    <tableColumn id="5" name="source_title"/>
    <tableColumn id="6" name="author"/>
    <tableColumn id="7" name="license"/>
    <tableColumn id="8" name="license_url"/>
    <tableColumn id="9" name="usage_terms"/>
    <tableColumn id="10" name="attribution"/>
    <tableColumn id="11" name="restrictions"/>
    <tableColumn id="12" name="checked_on"/>
    <tableColumn id="13" name="metadata_review_status"/>
    <tableColumn id="14" name="pixel_review_status"/>
    <tableColumn id="15" name="pixel_review_file"/>
    <tableColumn id="16" name="pixel_review_note"/>
    <tableColumn id="17" name="rights_status"/>
    <tableColumn id="18" name="rights_basis"/>
    <tableColumn id="19" name="source_snapshot_file"/>
    <tableColumn id="20" name="source_snapshot_sha256"/>
    <tableColumn id="21" name="license_snapshot_file"/>
    <tableColumn id="22" name="license_snapshot_sha256"/>
    <tableColumn id="23" name="source_evidence_json"/>
  </tableColumns>
  <tableStyleInfo name="TableStyleMedium2" showFirstColumn="0" showLastColumn="0" showRowStripes="1" showColumnStripes="0"/>
</table>
</file>

<file path=xl/tables/table14.xml><?xml version="1.0" encoding="utf-8"?>
<table xmlns="http://schemas.openxmlformats.org/spreadsheetml/2006/main" id="14" name="CT_page_fields" displayName="CT_page_fields" ref="A7:G127" headerRowCount="1" totalsRowCount="0" totalsRowShown="0">
  <autoFilter ref="A7:G127"/>
  <tableColumns count="7">
    <tableColumn id="1" name="field_id"/>
    <tableColumn id="2" name="city_id"/>
    <tableColumn id="3" name="key"/>
    <tableColumn id="4" name="label"/>
    <tableColumn id="5" name="value_type"/>
    <tableColumn id="6" name="value"/>
    <tableColumn id="7" name="reviewed_on"/>
  </tableColumns>
  <tableStyleInfo name="TableStyleMedium2" showFirstColumn="0" showLastColumn="0" showRowStripes="1" showColumnStripes="0"/>
</table>
</file>

<file path=xl/tables/table15.xml><?xml version="1.0" encoding="utf-8"?>
<table xmlns="http://schemas.openxmlformats.org/spreadsheetml/2006/main" id="15" name="CT_entry_details" displayName="CT_entry_details" ref="A7:G207" headerRowCount="1" totalsRowCount="0" totalsRowShown="0">
  <autoFilter ref="A7:G207"/>
  <tableColumns count="7">
    <tableColumn id="1" name="detail_id"/>
    <tableColumn id="2" name="city_id"/>
    <tableColumn id="3" name="entry_id"/>
    <tableColumn id="4" name="key"/>
    <tableColumn id="5" name="label"/>
    <tableColumn id="6" name="value_type"/>
    <tableColumn id="7" name="value"/>
  </tableColumns>
  <tableStyleInfo name="TableStyleMedium2" showFirstColumn="0" showLastColumn="0" showRowStripes="1" showColumnStripes="0"/>
</table>
</file>

<file path=xl/tables/table16.xml><?xml version="1.0" encoding="utf-8"?>
<table xmlns="http://schemas.openxmlformats.org/spreadsheetml/2006/main" id="16" name="CT_photo_provenance" displayName="CT_photo_provenance" ref="A7:O607" headerRowCount="1" totalsRowCount="0" totalsRowShown="0">
  <autoFilter ref="A7:O607"/>
  <tableColumns count="15">
    <tableColumn id="1" name="photo_id"/>
    <tableColumn id="2" name="author_url"/>
    <tableColumn id="3" name="attribution_url"/>
    <tableColumn id="4" name="original_file_url"/>
    <tableColumn id="5" name="downloaded_file_url"/>
    <tableColumn id="6" name="downloaded_on"/>
    <tableColumn id="7" name="original_file"/>
    <tableColumn id="8" name="original_sha256"/>
    <tableColumn id="9" name="web_file"/>
    <tableColumn id="10" name="web_sha256"/>
    <tableColumn id="11" name="web_width"/>
    <tableColumn id="12" name="web_height"/>
    <tableColumn id="13" name="derivation"/>
    <tableColumn id="14" name="provenance_status"/>
    <tableColumn id="15" name="provenance_not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1.xml.rels><Relationships xmlns="http://schemas.openxmlformats.org/package/2006/relationships"><Relationship Type="http://schemas.openxmlformats.org/officeDocument/2006/relationships/table" Target="/xl/tables/table10.xml" Id="rId1" /></Relationships>
</file>

<file path=xl/worksheets/_rels/sheet12.xml.rels><Relationships xmlns="http://schemas.openxmlformats.org/package/2006/relationships"><Relationship Type="http://schemas.openxmlformats.org/officeDocument/2006/relationships/table" Target="/xl/tables/table11.xml" Id="rId1" /></Relationships>
</file>

<file path=xl/worksheets/_rels/sheet13.xml.rels><Relationships xmlns="http://schemas.openxmlformats.org/package/2006/relationships"><Relationship Type="http://schemas.openxmlformats.org/officeDocument/2006/relationships/table" Target="/xl/tables/table12.xml" Id="rId1" /></Relationships>
</file>

<file path=xl/worksheets/_rels/sheet14.xml.rels><Relationships xmlns="http://schemas.openxmlformats.org/package/2006/relationships"><Relationship Type="http://schemas.openxmlformats.org/officeDocument/2006/relationships/table" Target="/xl/tables/table13.xml" Id="rId1" /></Relationships>
</file>

<file path=xl/worksheets/_rels/sheet15.xml.rels><Relationships xmlns="http://schemas.openxmlformats.org/package/2006/relationships"><Relationship Type="http://schemas.openxmlformats.org/officeDocument/2006/relationships/table" Target="/xl/tables/table14.xml" Id="rId1" /></Relationships>
</file>

<file path=xl/worksheets/_rels/sheet16.xml.rels><Relationships xmlns="http://schemas.openxmlformats.org/package/2006/relationships"><Relationship Type="http://schemas.openxmlformats.org/officeDocument/2006/relationships/table" Target="/xl/tables/table15.xml" Id="rId1" /></Relationships>
</file>

<file path=xl/worksheets/_rels/sheet17.xml.rels><Relationships xmlns="http://schemas.openxmlformats.org/package/2006/relationships"><Relationship Type="http://schemas.openxmlformats.org/officeDocument/2006/relationships/table" Target="/xl/tables/table16.xml" Id="rId1" /></Relationships>
</file>

<file path=xl/worksheets/sheet1.xml><?xml version="1.0" encoding="utf-8"?>
<worksheet xmlns="http://schemas.openxmlformats.org/spreadsheetml/2006/main">
  <sheetPr>
    <tabColor rgb="FF173B31"/>
    <outlinePr summaryBelow="1" summaryRight="1"/>
    <pageSetUpPr/>
  </sheetPr>
  <dimension ref="A1:I39"/>
  <sheetViews>
    <sheetView showGridLines="0" workbookViewId="0">
      <selection activeCell="A1" sqref="A1"/>
    </sheetView>
  </sheetViews>
  <sheetFormatPr baseColWidth="8" defaultRowHeight="15"/>
  <cols>
    <col width="31"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ht="30" customHeight="1">
      <c r="A1" s="3" t="n"/>
      <c r="B1" s="3" t="n"/>
      <c r="C1" s="3" t="n"/>
      <c r="D1" s="3" t="n"/>
      <c r="E1" s="3" t="n"/>
      <c r="F1" s="3" t="n"/>
      <c r="G1" s="3" t="n"/>
      <c r="H1" s="3" t="n"/>
      <c r="I1" s="3" t="n"/>
    </row>
    <row r="2" ht="30" customHeight="1">
      <c r="A2" s="4" t="inlineStr">
        <is>
          <t>Corteqs · Şehir içerik teslimi</t>
        </is>
      </c>
      <c r="B2" s="3" t="n"/>
      <c r="C2" s="3" t="n"/>
      <c r="D2" s="3" t="n"/>
      <c r="E2" s="3" t="n"/>
      <c r="F2" s="3" t="n"/>
      <c r="G2" s="3" t="n"/>
      <c r="H2" s="3" t="n"/>
      <c r="I2" s="3" t="n"/>
    </row>
    <row r="3" ht="30" customHeight="1">
      <c r="A3" s="5" t="inlineStr">
        <is>
          <t>Sevilla · İspanya · CITY-107</t>
        </is>
      </c>
      <c r="B3" s="5" t="n"/>
      <c r="C3" s="5" t="n"/>
      <c r="D3" s="5" t="n"/>
      <c r="E3" s="5" t="n"/>
      <c r="F3" s="5" t="n"/>
      <c r="G3" s="5" t="n"/>
      <c r="H3" s="5" t="n"/>
      <c r="I3" s="5" t="n"/>
    </row>
    <row r="4" ht="30" customHeight="1">
      <c r="A4" s="3" t="n"/>
      <c r="B4" s="3" t="n"/>
      <c r="C4" s="3" t="n"/>
      <c r="D4" s="3" t="n"/>
      <c r="E4" s="3" t="n"/>
      <c r="F4" s="3" t="n"/>
      <c r="G4" s="3" t="n"/>
      <c r="H4" s="3" t="n"/>
      <c r="I4" s="3" t="n"/>
    </row>
    <row r="5" ht="34" customHeight="1">
      <c r="A5" s="9" t="inlineStr">
        <is>
          <t>İçerik türü</t>
        </is>
      </c>
      <c r="B5" s="9" t="inlineStr">
        <is>
          <t>Dosyada</t>
        </is>
      </c>
      <c r="C5" s="9" t="inlineStr">
        <is>
          <t>Asgari</t>
        </is>
      </c>
      <c r="D5" s="9" t="inlineStr">
        <is>
          <t>Hedef</t>
        </is>
      </c>
      <c r="E5" s="9" t="inlineStr">
        <is>
          <t>Asgariye kalan</t>
        </is>
      </c>
      <c r="F5" s="9" t="inlineStr">
        <is>
          <t>Hedefe kalan</t>
        </is>
      </c>
      <c r="G5" s="3" t="n"/>
      <c r="H5" s="3" t="n"/>
      <c r="I5" s="3" t="n"/>
    </row>
    <row r="6" ht="30" customHeight="1">
      <c r="A6" s="10" t="inlineStr">
        <is>
          <t>Pratik yaşam yanıtı</t>
        </is>
      </c>
      <c r="B6" s="47">
        <f>COUNTA('Yanıtlar'!$A$8:$A$307)</f>
        <v/>
      </c>
      <c r="C6" s="47" t="n">
        <v>212</v>
      </c>
      <c r="D6" s="47" t="n">
        <v>240</v>
      </c>
      <c r="E6" s="47">
        <f>MAX(C6-B6,0)</f>
        <v/>
      </c>
      <c r="F6" s="47">
        <f>MAX(D6-B6,0)</f>
        <v/>
      </c>
      <c r="G6" s="3" t="n"/>
      <c r="H6" s="3" t="n"/>
      <c r="I6" s="3" t="n"/>
    </row>
    <row r="7" ht="30" customHeight="1">
      <c r="A7" s="3" t="inlineStr">
        <is>
          <t>Keşif noktası</t>
        </is>
      </c>
      <c r="B7" s="48">
        <f>COUNTA('Mekânlar'!$A$8:$A$187)</f>
        <v/>
      </c>
      <c r="C7" s="48" t="n">
        <v>92</v>
      </c>
      <c r="D7" s="48" t="n">
        <v>120</v>
      </c>
      <c r="E7" s="48">
        <f>MAX(C7-B7,0)</f>
        <v/>
      </c>
      <c r="F7" s="48">
        <f>MAX(D7-B7,0)</f>
        <v/>
      </c>
      <c r="G7" s="3" t="n"/>
      <c r="H7" s="3" t="n"/>
      <c r="I7" s="3" t="n"/>
    </row>
    <row r="8" ht="30" customHeight="1">
      <c r="A8" s="10" t="inlineStr">
        <is>
          <t>Mahalle / yerel bölge</t>
        </is>
      </c>
      <c r="B8" s="47">
        <f>COUNTA('Mahalleler'!$A$8:$A$47)</f>
        <v/>
      </c>
      <c r="C8" s="47" t="n">
        <v>12</v>
      </c>
      <c r="D8" s="47" t="n">
        <v>16</v>
      </c>
      <c r="E8" s="47">
        <f>MAX(C8-B8,0)</f>
        <v/>
      </c>
      <c r="F8" s="47">
        <f>MAX(D8-B8,0)</f>
        <v/>
      </c>
      <c r="G8" s="3" t="n"/>
      <c r="H8" s="3" t="n"/>
      <c r="I8" s="3" t="n"/>
    </row>
    <row r="9" ht="30" customHeight="1">
      <c r="A9" s="3" t="inlineStr">
        <is>
          <t>Yanıt içeren konu</t>
        </is>
      </c>
      <c r="B9" s="48">
        <f>SUM('Konular'!$H$8:$H$37)</f>
        <v/>
      </c>
      <c r="C9" s="48" t="n">
        <v>12</v>
      </c>
      <c r="D9" s="48" t="n">
        <v>12</v>
      </c>
      <c r="E9" s="48">
        <f>MAX(C9-B9,0)</f>
        <v/>
      </c>
      <c r="F9" s="48">
        <f>MAX(D9-B9,0)</f>
        <v/>
      </c>
      <c r="G9" s="3" t="n"/>
      <c r="H9" s="3" t="n"/>
      <c r="I9" s="3" t="n"/>
    </row>
    <row r="10" ht="30" customHeight="1">
      <c r="A10" s="10" t="inlineStr">
        <is>
          <t>Farklı mekân fotoğrafı</t>
        </is>
      </c>
      <c r="B10" s="47">
        <f>SUM('Fotoğraflar'!$S$8:$S$607)</f>
        <v/>
      </c>
      <c r="C10" s="47" t="n">
        <v>187</v>
      </c>
      <c r="D10" s="47" t="n">
        <v>250</v>
      </c>
      <c r="E10" s="47">
        <f>MAX(C10-B10,0)</f>
        <v/>
      </c>
      <c r="F10" s="47">
        <f>MAX(D10-B10,0)</f>
        <v/>
      </c>
      <c r="G10" s="3" t="n"/>
      <c r="H10" s="3" t="n"/>
      <c r="I10" s="3" t="n"/>
    </row>
    <row r="11" ht="30" customHeight="1">
      <c r="A11" s="3" t="inlineStr">
        <is>
          <t>Farklı kapak fotoğrafı</t>
        </is>
      </c>
      <c r="B11" s="48">
        <f>SUM('Fotoğraflar'!$T$8:$T$607)</f>
        <v/>
      </c>
      <c r="C11" s="48" t="n">
        <v>6</v>
      </c>
      <c r="D11" s="48" t="n">
        <v>8</v>
      </c>
      <c r="E11" s="48">
        <f>MAX(C11-B11,0)</f>
        <v/>
      </c>
      <c r="F11" s="48">
        <f>MAX(D11-B11,0)</f>
        <v/>
      </c>
      <c r="G11" s="3" t="n"/>
      <c r="H11" s="3" t="n"/>
      <c r="I11" s="3" t="n"/>
    </row>
    <row r="12" ht="30" customHeight="1">
      <c r="A12" s="10" t="inlineStr">
        <is>
          <t>Rota</t>
        </is>
      </c>
      <c r="B12" s="47">
        <f>COUNTA('Rotalar'!$A$8:$A$37)</f>
        <v/>
      </c>
      <c r="C12" s="47" t="n">
        <v>9</v>
      </c>
      <c r="D12" s="47" t="n">
        <v>12</v>
      </c>
      <c r="E12" s="47">
        <f>MAX(C12-B12,0)</f>
        <v/>
      </c>
      <c r="F12" s="47">
        <f>MAX(D12-B12,0)</f>
        <v/>
      </c>
      <c r="G12" s="3" t="n"/>
      <c r="H12" s="3" t="n"/>
      <c r="I12" s="3" t="n"/>
    </row>
    <row r="13" ht="30" customHeight="1">
      <c r="A13" s="3" t="inlineStr">
        <is>
          <t>Sözlük terimi</t>
        </is>
      </c>
      <c r="B13" s="48">
        <f>COUNTA('Sözlük'!$A$8:$A$107)</f>
        <v/>
      </c>
      <c r="C13" s="48" t="n">
        <v>48</v>
      </c>
      <c r="D13" s="48" t="n">
        <v>60</v>
      </c>
      <c r="E13" s="48">
        <f>MAX(C13-B13,0)</f>
        <v/>
      </c>
      <c r="F13" s="48">
        <f>MAX(D13-B13,0)</f>
        <v/>
      </c>
      <c r="G13" s="3" t="n"/>
      <c r="H13" s="3" t="n"/>
      <c r="I13" s="3" t="n"/>
    </row>
    <row r="14" ht="68" customHeight="1">
      <c r="A14" s="46" t="inlineStr">
        <is>
          <t>v7 · Kaynak zinciri: FotoğrafKaynakları. Miktar, onay değildir.</t>
        </is>
      </c>
      <c r="B14" s="46" t="n"/>
      <c r="C14" s="46" t="n"/>
      <c r="D14" s="46" t="n"/>
      <c r="E14" s="46" t="n"/>
      <c r="F14" s="46" t="n"/>
      <c r="G14" s="3" t="n"/>
      <c r="H14" s="3" t="n"/>
      <c r="I14" s="3" t="n"/>
    </row>
    <row r="15" ht="30" customHeight="1">
      <c r="A15" s="3" t="n"/>
      <c r="B15" s="3" t="n"/>
      <c r="C15" s="3" t="n"/>
      <c r="D15" s="3" t="n"/>
      <c r="E15" s="3" t="n"/>
      <c r="F15" s="3" t="n"/>
      <c r="G15" s="3" t="n"/>
      <c r="H15" s="3" t="n"/>
      <c r="I15" s="3" t="n"/>
    </row>
    <row r="16" ht="30" customHeight="1">
      <c r="A16" s="13" t="inlineStr">
        <is>
          <t>Dosyayı doldurma sırası</t>
        </is>
      </c>
      <c r="B16" s="3" t="n"/>
      <c r="C16" s="3" t="n"/>
      <c r="D16" s="3" t="n"/>
      <c r="E16" s="3" t="n"/>
      <c r="F16" s="3" t="n"/>
      <c r="G16" s="3" t="n"/>
      <c r="H16" s="3" t="n"/>
      <c r="I16" s="3" t="n"/>
    </row>
    <row r="17" ht="30" customHeight="1">
      <c r="A17" s="3" t="n"/>
      <c r="B17" s="3" t="n"/>
      <c r="C17" s="3" t="n"/>
      <c r="D17" s="3" t="n"/>
      <c r="E17" s="3" t="n"/>
      <c r="F17" s="3" t="n"/>
      <c r="G17" s="3" t="n"/>
      <c r="H17" s="3" t="n"/>
      <c r="I17" s="3" t="n"/>
    </row>
    <row r="18" ht="32" customHeight="1">
      <c r="A18" s="14" t="inlineStr">
        <is>
          <t>1. Teslimat ve Şehir alanlarını doldurun; şehir kimliğini tüm sayfalarda aynı kullanın.</t>
        </is>
      </c>
    </row>
    <row r="19" ht="32" customHeight="1">
      <c r="A19" s="14" t="inlineStr">
        <is>
          <t>2. Kaynaklar ve Konular kaydını açın. Yanıt, mekân ve mahalle satırlarını bu kimliklere bağlayın.</t>
        </is>
      </c>
    </row>
    <row r="20" ht="32" customHeight="1">
      <c r="A20" s="14" t="inlineStr">
        <is>
          <t>3. Bağlantılar, Fotoğraflar ve Kanıtlar satırlarını tamamlayın; rota ve sözlük kaynaklarını ekleyin.</t>
        </is>
      </c>
    </row>
    <row r="21" ht="32" customHeight="1">
      <c r="A21" s="14" t="inlineStr">
        <is>
          <t>4. Kaynak kontrol tarihini yazın. Çekim tarihi bilinmiyorsa boş bırakın; tarih uydurmayın.</t>
        </is>
      </c>
    </row>
    <row r="22" ht="54" customHeight="1">
      <c r="A22" s="14" t="inlineStr">
        <is>
          <t>5. Paketin tamamı insan editör tarafından incelenir; tek paket kararı yönetim ekranında verilir. Excel’de satır satır onay işaretlemek gerekmez.</t>
        </is>
      </c>
    </row>
    <row r="23" ht="30" customHeight="1">
      <c r="A23" s="3" t="n"/>
      <c r="B23" s="3" t="n"/>
      <c r="C23" s="3" t="n"/>
      <c r="D23" s="3" t="n"/>
      <c r="E23" s="3" t="n"/>
      <c r="F23" s="3" t="n"/>
      <c r="G23" s="3" t="n"/>
      <c r="H23" s="3" t="n"/>
      <c r="I23" s="3" t="n"/>
    </row>
    <row r="24" ht="30" customHeight="1">
      <c r="A24" s="3" t="n"/>
      <c r="B24" s="3" t="n"/>
      <c r="C24" s="3" t="n"/>
      <c r="D24" s="3" t="n"/>
      <c r="E24" s="3" t="n"/>
      <c r="F24" s="3" t="n"/>
      <c r="G24" s="3" t="n"/>
      <c r="H24" s="3" t="n"/>
      <c r="I24" s="3" t="n"/>
    </row>
    <row r="25" ht="29" customHeight="1">
      <c r="A25" s="16" t="inlineStr">
        <is>
          <t>Sarı alanlar düzenlenebilir. Koyu satırdaki makine sütun adları (7. satır) ve sayfa adları değişmez. Veri 8. satırdan başlar. Kimlik listelerinde ; kullanın; işlem, belge ve durakları hücre içinde ayrı satırlara yazın.</t>
        </is>
      </c>
    </row>
    <row r="26" ht="29" customHeight="1"/>
    <row r="27" ht="30" customHeight="1">
      <c r="A27" s="3" t="n"/>
      <c r="B27" s="3" t="n"/>
      <c r="C27" s="3" t="n"/>
      <c r="D27" s="3" t="n"/>
      <c r="E27" s="3" t="n"/>
      <c r="F27" s="3" t="n"/>
      <c r="G27" s="3" t="n"/>
      <c r="H27" s="3" t="n"/>
      <c r="I27" s="3" t="n"/>
    </row>
    <row r="28" ht="29" customHeight="1">
      <c r="A28" s="18" t="inlineStr">
        <is>
          <t>Fotoğraf miktarı dosya SHA-256 özeti ve rolüyle ölçülür; aynı kareye ait türevler ayrıca ayıklanır. Sayımda kullanılabilir eski alanı korunur, insan onayı yerine geçmez. Paket kararı yönetim ekranındadır.</t>
        </is>
      </c>
    </row>
    <row r="29" ht="29" customHeight="1"/>
    <row r="30" ht="30" customHeight="1">
      <c r="A30" s="3" t="n"/>
      <c r="B30" s="3" t="n"/>
      <c r="C30" s="3" t="n"/>
      <c r="D30" s="3" t="n"/>
      <c r="E30" s="3" t="n"/>
      <c r="F30" s="3" t="n"/>
      <c r="G30" s="3" t="n"/>
      <c r="H30" s="3" t="n"/>
      <c r="I30" s="3" t="n"/>
    </row>
    <row r="31" ht="29" customHeight="1">
      <c r="A31" s="14" t="inlineStr">
        <is>
          <t>Asgari eşikler: 212 yanıt, 92 mekân, 12 mahalle, 12 konu, 187 farklı mekân fotoğrafı, 6 kapak, 9 rota, 48 terim. Hedefler: 240 / 120 / 16 / 12 / 250 / 8 / 12 / 60. Bu dosya uygulamaya veya veritabanına içerik yayımlamaz.</t>
        </is>
      </c>
    </row>
    <row r="32" ht="29" customHeight="1"/>
    <row r="33" ht="30" customHeight="1">
      <c r="A33" s="3" t="n"/>
      <c r="B33" s="3" t="n"/>
      <c r="C33" s="3" t="n"/>
      <c r="D33" s="3" t="n"/>
      <c r="E33" s="3" t="n"/>
      <c r="F33" s="3" t="n"/>
      <c r="G33" s="3" t="n"/>
      <c r="H33" s="3" t="n"/>
      <c r="I33" s="3" t="n"/>
    </row>
    <row r="34" ht="30" customHeight="1">
      <c r="A34" s="3" t="n"/>
      <c r="B34" s="3" t="n"/>
      <c r="C34" s="3" t="n"/>
      <c r="D34" s="3" t="n"/>
      <c r="E34" s="3" t="n"/>
      <c r="F34" s="3" t="n"/>
      <c r="G34" s="3" t="n"/>
      <c r="H34" s="3" t="n"/>
      <c r="I34" s="3" t="n"/>
    </row>
    <row r="35" ht="30" customHeight="1">
      <c r="A35" s="3" t="n"/>
      <c r="B35" s="3" t="n"/>
      <c r="C35" s="3" t="n"/>
      <c r="D35" s="3" t="n"/>
      <c r="E35" s="3" t="n"/>
      <c r="F35" s="3" t="n"/>
      <c r="G35" s="3" t="n"/>
      <c r="H35" s="3" t="n"/>
      <c r="I35" s="3" t="n"/>
    </row>
    <row r="36" ht="30" customHeight="1">
      <c r="A36" s="3" t="n"/>
      <c r="B36" s="3" t="n"/>
      <c r="C36" s="3" t="n"/>
      <c r="D36" s="3" t="n"/>
      <c r="E36" s="3" t="n"/>
      <c r="F36" s="3" t="n"/>
      <c r="G36" s="3" t="n"/>
      <c r="H36" s="3" t="n"/>
      <c r="I36" s="3" t="n"/>
    </row>
    <row r="37" ht="30" customHeight="1">
      <c r="A37" s="3" t="n"/>
      <c r="B37" s="3" t="n"/>
      <c r="C37" s="3" t="n"/>
      <c r="D37" s="3" t="n"/>
      <c r="E37" s="3" t="n"/>
      <c r="F37" s="3" t="n"/>
      <c r="G37" s="3" t="n"/>
      <c r="H37" s="3" t="n"/>
      <c r="I37" s="3" t="n"/>
    </row>
    <row r="38" ht="30" customHeight="1">
      <c r="A38" s="3" t="n"/>
      <c r="B38" s="3" t="n"/>
      <c r="C38" s="3" t="n"/>
      <c r="D38" s="3" t="n"/>
      <c r="E38" s="3" t="n"/>
      <c r="F38" s="3" t="n"/>
      <c r="G38" s="3" t="n"/>
      <c r="H38" s="3" t="n"/>
      <c r="I38" s="3" t="n"/>
    </row>
    <row r="39" ht="30" customHeight="1">
      <c r="A39" s="3" t="n"/>
      <c r="B39" s="3" t="n"/>
      <c r="C39" s="3" t="n"/>
      <c r="D39" s="3" t="n"/>
      <c r="E39" s="3" t="n"/>
      <c r="F39" s="3" t="n"/>
      <c r="G39" s="3" t="n"/>
      <c r="H39" s="3" t="n"/>
      <c r="I39" s="3" t="n"/>
    </row>
  </sheetData>
  <mergeCells count="8">
    <mergeCell ref="A19:I19"/>
    <mergeCell ref="A31:I32"/>
    <mergeCell ref="A21:I21"/>
    <mergeCell ref="A18:I18"/>
    <mergeCell ref="A25:I26"/>
    <mergeCell ref="A22:I22"/>
    <mergeCell ref="A20:I20"/>
    <mergeCell ref="A28:I29"/>
  </mergeCells>
  <conditionalFormatting sqref="E6:F13">
    <cfRule type="cellIs" priority="1" operator="greaterThan" dxfId="0">
      <formula>0</formula>
    </cfRule>
  </conditionalFormatting>
  <pageMargins left="0.7" right="0.7" top="0.75" bottom="0.75" header="0.3" footer="0.3"/>
</worksheet>
</file>

<file path=xl/worksheets/sheet2.xml><?xml version="1.0" encoding="utf-8"?>
<worksheet xmlns="http://schemas.openxmlformats.org/spreadsheetml/2006/main">
  <sheetPr>
    <tabColor rgb="FFF66C4E"/>
    <outlinePr summaryBelow="1" summaryRight="1"/>
    <pageSetUpPr/>
  </sheetPr>
  <dimension ref="A1:I8"/>
  <sheetViews>
    <sheetView showGridLines="0" workbookViewId="0">
      <pane xSplit="2" ySplit="7" topLeftCell="C8" activePane="bottomRight" state="frozen"/>
      <selection activeCell="A1" sqref="A1"/>
    </sheetView>
  </sheetViews>
  <sheetFormatPr baseColWidth="8" defaultRowHeight="15"/>
  <cols>
    <col width="28" customWidth="1" min="1" max="1"/>
    <col width="32" customWidth="1" min="2" max="2"/>
    <col width="32" customWidth="1" min="3" max="3"/>
    <col width="28" customWidth="1" min="4" max="4"/>
    <col width="28" customWidth="1" min="5" max="5"/>
    <col width="28" customWidth="1" min="6" max="6"/>
    <col width="20" customWidth="1" min="7" max="7"/>
    <col width="28" customWidth="1" min="8" max="8"/>
    <col width="58" customWidth="1" min="9" max="9"/>
  </cols>
  <sheetData>
    <row r="1" ht="30" customHeight="1">
      <c r="A1" s="2" t="n"/>
      <c r="B1" s="2" t="n"/>
      <c r="C1" s="2" t="n"/>
      <c r="D1" s="2" t="n"/>
      <c r="E1" s="2" t="n"/>
      <c r="F1" s="2" t="n"/>
      <c r="G1" s="2" t="n"/>
      <c r="H1" s="2" t="n"/>
      <c r="I1" s="2" t="n"/>
    </row>
    <row r="2" ht="30" customHeight="1">
      <c r="A2" s="19" t="inlineStr">
        <is>
          <t>Corteqs · Teslimat bilgileri</t>
        </is>
      </c>
      <c r="B2" s="2" t="n"/>
      <c r="C2" s="2" t="n"/>
      <c r="D2" s="2" t="n"/>
      <c r="E2" s="2" t="n"/>
      <c r="F2" s="2" t="n"/>
      <c r="G2" s="2" t="n"/>
      <c r="H2" s="2" t="n"/>
      <c r="I2" s="2" t="n"/>
    </row>
    <row r="3" ht="36" customHeight="1">
      <c r="A3" s="20" t="inlineStr">
        <is>
          <t>Türkçe başlığı okuyun; veriyi 8. satırdan yazın. 7. satırdaki alan adını ve sayfa adını değiştirmeyin.</t>
        </is>
      </c>
      <c r="I3" s="2" t="n"/>
    </row>
    <row r="4" ht="30" customHeight="1">
      <c r="A4" s="21" t="n"/>
      <c r="B4" s="21" t="n"/>
      <c r="C4" s="21" t="n"/>
      <c r="D4" s="21" t="n"/>
      <c r="E4" s="21" t="n"/>
      <c r="F4" s="21" t="n"/>
      <c r="G4" s="21" t="n"/>
      <c r="H4" s="21" t="n"/>
      <c r="I4" s="21" t="n"/>
    </row>
    <row r="5" ht="26" customHeight="1">
      <c r="A5" s="22" t="inlineStr">
        <is>
          <t>Zorunlu</t>
        </is>
      </c>
      <c r="B5" s="22" t="inlineStr">
        <is>
          <t>Zorunlu</t>
        </is>
      </c>
      <c r="C5" s="22" t="inlineStr">
        <is>
          <t>Zorunlu</t>
        </is>
      </c>
      <c r="D5" s="22" t="inlineStr">
        <is>
          <t>Zorunlu</t>
        </is>
      </c>
      <c r="E5" s="22" t="inlineStr">
        <is>
          <t>İsteğe bağlı</t>
        </is>
      </c>
      <c r="F5" s="22" t="inlineStr">
        <is>
          <t>Zorunlu</t>
        </is>
      </c>
      <c r="G5" s="22" t="inlineStr">
        <is>
          <t>Zorunlu · tarih</t>
        </is>
      </c>
      <c r="H5" s="22" t="inlineStr">
        <is>
          <t>Zorunlu</t>
        </is>
      </c>
      <c r="I5" s="22" t="inlineStr">
        <is>
          <t>İsteğe bağlı</t>
        </is>
      </c>
    </row>
    <row r="6" ht="44" customHeight="1">
      <c r="A6" s="25" t="inlineStr">
        <is>
          <t>Şema sürümü</t>
        </is>
      </c>
      <c r="B6" s="25" t="inlineStr">
        <is>
          <t>Teslimat kimliği</t>
        </is>
      </c>
      <c r="C6" s="25" t="inlineStr">
        <is>
          <t>Şehir kimliği</t>
        </is>
      </c>
      <c r="D6" s="25" t="inlineStr">
        <is>
          <t>Hazırlayan</t>
        </is>
      </c>
      <c r="E6" s="25" t="inlineStr">
        <is>
          <t>İnceleyen</t>
        </is>
      </c>
      <c r="F6" s="25" t="inlineStr">
        <is>
          <t>Dosya kapsamı</t>
        </is>
      </c>
      <c r="G6" s="25" t="inlineStr">
        <is>
          <t>Dosya güncelleme tarihi</t>
        </is>
      </c>
      <c r="H6" s="25" t="inlineStr">
        <is>
          <t>Editör durumu</t>
        </is>
      </c>
      <c r="I6" s="25" t="inlineStr">
        <is>
          <t>Teslim notu</t>
        </is>
      </c>
    </row>
    <row r="7" ht="32" customHeight="1">
      <c r="A7" s="28" t="inlineStr">
        <is>
          <t>schema_version</t>
        </is>
      </c>
      <c r="B7" s="28" t="inlineStr">
        <is>
          <t>delivery_id</t>
        </is>
      </c>
      <c r="C7" s="28" t="inlineStr">
        <is>
          <t>city_id</t>
        </is>
      </c>
      <c r="D7" s="28" t="inlineStr">
        <is>
          <t>editor</t>
        </is>
      </c>
      <c r="E7" s="28" t="inlineStr">
        <is>
          <t>reviewer</t>
        </is>
      </c>
      <c r="F7" s="28" t="inlineStr">
        <is>
          <t>scope</t>
        </is>
      </c>
      <c r="G7" s="28" t="inlineStr">
        <is>
          <t>updated_on</t>
        </is>
      </c>
      <c r="H7" s="28" t="inlineStr">
        <is>
          <t>editorial_status</t>
        </is>
      </c>
      <c r="I7" s="28" t="inlineStr">
        <is>
          <t>notes</t>
        </is>
      </c>
    </row>
    <row r="8" ht="54" customHeight="1">
      <c r="A8" s="29" t="inlineStr">
        <is>
          <t>1.0</t>
        </is>
      </c>
      <c r="B8" s="29" t="inlineStr">
        <is>
          <t>city-107-v001</t>
        </is>
      </c>
      <c r="C8" s="29" t="inlineStr">
        <is>
          <t>sevilla</t>
        </is>
      </c>
      <c r="D8" s="29" t="inlineStr">
        <is>
          <t>Atınç</t>
        </is>
      </c>
      <c r="E8" s="29" t="n"/>
      <c r="F8" s="29" t="inlineStr">
        <is>
          <t>Tam teslim</t>
        </is>
      </c>
      <c r="G8" s="49" t="n">
        <v>46320</v>
      </c>
      <c r="H8" s="29" t="inlineStr">
        <is>
          <t>Taslak</t>
        </is>
      </c>
      <c r="I8" s="29" t="inlineStr">
        <is>
          <t>Claude üretimi (city-pack, ülke paketi ES v9 + Endülüs v2); insan onayı yok; açık konular Teslimler\ACIK_KONULAR.txt.</t>
        </is>
      </c>
    </row>
  </sheetData>
  <mergeCells count="1">
    <mergeCell ref="A3:H3"/>
  </mergeCells>
  <conditionalFormatting sqref="A8">
    <cfRule type="expression" priority="1" dxfId="1">
      <formula>AND($A8&lt;&gt;"",ISBLANK(A8))</formula>
    </cfRule>
  </conditionalFormatting>
  <conditionalFormatting sqref="B8">
    <cfRule type="expression" priority="2" dxfId="1">
      <formula>AND($A8&lt;&gt;"",ISBLANK(B8))</formula>
    </cfRule>
  </conditionalFormatting>
  <conditionalFormatting sqref="C8">
    <cfRule type="expression" priority="3" dxfId="1">
      <formula>AND($A8&lt;&gt;"",ISBLANK(C8))</formula>
    </cfRule>
  </conditionalFormatting>
  <conditionalFormatting sqref="D8">
    <cfRule type="expression" priority="4" dxfId="1">
      <formula>AND($A8&lt;&gt;"",ISBLANK(D8))</formula>
    </cfRule>
  </conditionalFormatting>
  <conditionalFormatting sqref="F8">
    <cfRule type="expression" priority="5" dxfId="1">
      <formula>AND($A8&lt;&gt;"",ISBLANK(F8))</formula>
    </cfRule>
  </conditionalFormatting>
  <conditionalFormatting sqref="G8">
    <cfRule type="expression" priority="6" dxfId="1">
      <formula>AND($A8&lt;&gt;"",ISBLANK(G8))</formula>
    </cfRule>
  </conditionalFormatting>
  <conditionalFormatting sqref="H8">
    <cfRule type="expression" priority="7" dxfId="1">
      <formula>AND($A8&lt;&gt;"",ISBLANK(H8))</formula>
    </cfRule>
  </conditionalFormatting>
  <dataValidations count="2">
    <dataValidation sqref="F8" showDropDown="0" showInputMessage="0" showErrorMessage="0" allowBlank="0" type="list">
      <formula1>"Tam teslim,Kısmi örnek"</formula1>
    </dataValidation>
    <dataValidation sqref="H8"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AG8"/>
  <sheetViews>
    <sheetView showGridLines="0" workbookViewId="0">
      <pane xSplit="2" ySplit="7" topLeftCell="C8" activePane="bottomRight" state="frozen"/>
      <selection activeCell="A1" sqref="A1"/>
    </sheetView>
  </sheetViews>
  <sheetFormatPr baseColWidth="8" defaultRowHeight="15"/>
  <cols>
    <col width="32"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48" customWidth="1" min="16" max="16"/>
    <col width="20" customWidth="1" min="17" max="17"/>
    <col width="28" customWidth="1" min="18" max="18"/>
    <col width="48" customWidth="1" min="19" max="19"/>
    <col width="20" customWidth="1" min="20" max="20"/>
    <col width="28" customWidth="1" min="21" max="21"/>
    <col width="20" customWidth="1" min="22" max="22"/>
    <col width="28" customWidth="1" min="23" max="23"/>
    <col width="28" customWidth="1" min="24" max="24"/>
    <col width="28" customWidth="1" min="25" max="25"/>
    <col width="28" customWidth="1" min="26" max="26"/>
    <col width="28" customWidth="1" min="27" max="27"/>
    <col width="48" customWidth="1" min="28" max="28"/>
    <col width="48" customWidth="1" min="29" max="29"/>
    <col width="28" customWidth="1" min="30" max="30"/>
    <col width="32" customWidth="1" min="31" max="31"/>
    <col width="28" customWidth="1" min="32" max="32"/>
    <col width="28" customWidth="1" min="33" max="33"/>
  </cols>
  <sheetData>
    <row r="1" ht="30" customHeight="1">
      <c r="A1" s="2" t="n"/>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row>
    <row r="2" ht="30" customHeight="1">
      <c r="A2" s="19" t="inlineStr">
        <is>
          <t>Corteqs · Şehir profili</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row>
    <row r="3" ht="36" customHeight="1">
      <c r="A3" s="20" t="inlineStr">
        <is>
          <t>Türkçe başlığı okuyun; veriyi 8. satırdan yazın. 7. satırdaki alan adını ve sayfa adını değiştirmeyin.</t>
        </is>
      </c>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row>
    <row r="4" ht="30" customHeight="1">
      <c r="A4" s="21" t="n"/>
      <c r="B4" s="21" t="n"/>
      <c r="C4" s="21" t="n"/>
      <c r="D4" s="21" t="n"/>
      <c r="E4" s="21" t="n"/>
      <c r="F4" s="21" t="n"/>
      <c r="G4" s="21" t="n"/>
      <c r="H4" s="21" t="n"/>
      <c r="I4" s="21" t="n"/>
      <c r="J4" s="21" t="n"/>
      <c r="K4" s="21" t="n"/>
      <c r="L4" s="21" t="n"/>
      <c r="M4" s="21" t="n"/>
      <c r="N4" s="21" t="n"/>
      <c r="O4" s="21" t="n"/>
      <c r="P4" s="21" t="n"/>
      <c r="Q4" s="21" t="n"/>
      <c r="R4" s="21" t="n"/>
      <c r="S4" s="21" t="n"/>
      <c r="T4" s="21" t="n"/>
      <c r="U4" s="21" t="n"/>
      <c r="V4" s="21" t="n"/>
      <c r="W4" s="21" t="n"/>
      <c r="X4" s="21" t="n"/>
      <c r="Y4" s="21" t="n"/>
      <c r="Z4" s="21" t="n"/>
      <c r="AA4" s="21" t="n"/>
      <c r="AB4" s="21" t="n"/>
      <c r="AC4" s="21" t="n"/>
      <c r="AD4" s="21" t="n"/>
      <c r="AE4" s="21" t="n"/>
      <c r="AF4" s="21" t="n"/>
      <c r="AG4" s="21" t="n"/>
    </row>
    <row r="5" ht="26" customHeight="1">
      <c r="A5" s="22" t="inlineStr">
        <is>
          <t>Zorunlu</t>
        </is>
      </c>
      <c r="B5" s="22" t="inlineStr">
        <is>
          <t>Zorunlu</t>
        </is>
      </c>
      <c r="C5" s="22" t="inlineStr">
        <is>
          <t>Zorunlu</t>
        </is>
      </c>
      <c r="D5" s="22" t="inlineStr">
        <is>
          <t>Zorunlu</t>
        </is>
      </c>
      <c r="E5" s="22" t="inlineStr">
        <is>
          <t>Zorunlu</t>
        </is>
      </c>
      <c r="F5" s="22" t="inlineStr">
        <is>
          <t>Zorunlu</t>
        </is>
      </c>
      <c r="G5" s="22" t="inlineStr">
        <is>
          <t>Zorunlu</t>
        </is>
      </c>
      <c r="H5" s="22" t="inlineStr">
        <is>
          <t>Zorunlu</t>
        </is>
      </c>
      <c r="I5" s="22" t="inlineStr">
        <is>
          <t>Zorunlu</t>
        </is>
      </c>
      <c r="J5" s="22" t="inlineStr">
        <is>
          <t>İsteğe bağlı</t>
        </is>
      </c>
      <c r="K5" s="22" t="inlineStr">
        <is>
          <t>İsteğe bağlı</t>
        </is>
      </c>
      <c r="L5" s="22" t="inlineStr">
        <is>
          <t>Zorunlu</t>
        </is>
      </c>
      <c r="M5" s="22" t="inlineStr">
        <is>
          <t>Zorunlu</t>
        </is>
      </c>
      <c r="N5" s="22" t="inlineStr">
        <is>
          <t>Zorunlu</t>
        </is>
      </c>
      <c r="O5" s="22" t="inlineStr">
        <is>
          <t>Zorunlu</t>
        </is>
      </c>
      <c r="P5" s="22" t="inlineStr">
        <is>
          <t>Zorunlu</t>
        </is>
      </c>
      <c r="Q5" s="22" t="inlineStr">
        <is>
          <t>Zorunlu · tarih</t>
        </is>
      </c>
      <c r="R5" s="22" t="inlineStr">
        <is>
          <t>İsteğe bağlı</t>
        </is>
      </c>
      <c r="S5" s="22" t="inlineStr">
        <is>
          <t>Zorunlu</t>
        </is>
      </c>
      <c r="T5" s="22" t="inlineStr">
        <is>
          <t>Zorunlu · tarih</t>
        </is>
      </c>
      <c r="U5" s="22" t="inlineStr">
        <is>
          <t>Zorunlu</t>
        </is>
      </c>
      <c r="V5" s="22" t="inlineStr">
        <is>
          <t>Zorunlu · tarih</t>
        </is>
      </c>
      <c r="W5" s="22" t="inlineStr">
        <is>
          <t>Zorunlu</t>
        </is>
      </c>
      <c r="X5" s="22" t="inlineStr">
        <is>
          <t>İsteğe bağlı</t>
        </is>
      </c>
      <c r="Y5" s="22" t="inlineStr">
        <is>
          <t>İsteğe bağlı</t>
        </is>
      </c>
      <c r="Z5" s="22" t="inlineStr">
        <is>
          <t>İsteğe bağlı</t>
        </is>
      </c>
      <c r="AA5" s="22" t="inlineStr">
        <is>
          <t>İsteğe bağlı</t>
        </is>
      </c>
      <c r="AB5" s="22" t="inlineStr">
        <is>
          <t>İsteğe bağlı</t>
        </is>
      </c>
      <c r="AC5" s="22" t="inlineStr">
        <is>
          <t>İsteğe bağlı</t>
        </is>
      </c>
      <c r="AD5" s="22" t="inlineStr">
        <is>
          <t>İsteğe bağlı</t>
        </is>
      </c>
      <c r="AE5" s="22" t="inlineStr">
        <is>
          <t>İsteğe bağlı</t>
        </is>
      </c>
      <c r="AF5" s="22" t="inlineStr">
        <is>
          <t>İsteğe bağlı</t>
        </is>
      </c>
      <c r="AG5" s="22" t="inlineStr">
        <is>
          <t>Zorunlu</t>
        </is>
      </c>
    </row>
    <row r="6" ht="44" customHeight="1">
      <c r="A6" s="25" t="inlineStr">
        <is>
          <t>Şehir kimliği</t>
        </is>
      </c>
      <c r="B6" s="25" t="inlineStr">
        <is>
          <t>Şehir adı</t>
        </is>
      </c>
      <c r="C6" s="25" t="inlineStr">
        <is>
          <t>Ülke</t>
        </is>
      </c>
      <c r="D6" s="25" t="inlineStr">
        <is>
          <t>Ülke kodu</t>
        </is>
      </c>
      <c r="E6" s="25" t="inlineStr">
        <is>
          <t>Dünya bölgesi</t>
        </is>
      </c>
      <c r="F6" s="25" t="inlineStr">
        <is>
          <t>Coğrafi kapsam</t>
        </is>
      </c>
      <c r="G6" s="25" t="inlineStr">
        <is>
          <t>Rehber başlığı</t>
        </is>
      </c>
      <c r="H6" s="25" t="inlineStr">
        <is>
          <t>Rehber giriş metni</t>
        </is>
      </c>
      <c r="I6" s="25" t="inlineStr">
        <is>
          <t>Para birimi kodu</t>
        </is>
      </c>
      <c r="J6" s="25" t="inlineStr">
        <is>
          <t>Para simgesi</t>
        </is>
      </c>
      <c r="K6" s="25" t="inlineStr">
        <is>
          <t>Para birimi adı</t>
        </is>
      </c>
      <c r="L6" s="25" t="inlineStr">
        <is>
          <t>Yerel dil</t>
        </is>
      </c>
      <c r="M6" s="25" t="inlineStr">
        <is>
          <t>Saat dilimi</t>
        </is>
      </c>
      <c r="N6" s="25" t="inlineStr">
        <is>
          <t>Enlem</t>
        </is>
      </c>
      <c r="O6" s="25" t="inlineStr">
        <is>
          <t>Boylam</t>
        </is>
      </c>
      <c r="P6" s="25" t="inlineStr">
        <is>
          <t>Konum kaynağı</t>
        </is>
      </c>
      <c r="Q6" s="25" t="inlineStr">
        <is>
          <t>Konum kontrol tarihi</t>
        </is>
      </c>
      <c r="R6" s="25" t="inlineStr">
        <is>
          <t>Konum açıklaması</t>
        </is>
      </c>
      <c r="S6" s="25" t="inlineStr">
        <is>
          <t>Kapsam kaynağı</t>
        </is>
      </c>
      <c r="T6" s="25" t="inlineStr">
        <is>
          <t>Kapsam kontrol tarihi</t>
        </is>
      </c>
      <c r="U6" s="25" t="inlineStr">
        <is>
          <t>Katalog sıra numarası</t>
        </is>
      </c>
      <c r="V6" s="25" t="inlineStr">
        <is>
          <t>Rehber kontrol tarihi</t>
        </is>
      </c>
      <c r="W6" s="25" t="inlineStr">
        <is>
          <t>Öncelik</t>
        </is>
      </c>
      <c r="X6" s="25" t="inlineStr">
        <is>
          <t>Diğer adlar</t>
        </is>
      </c>
      <c r="Y6" s="25" t="inlineStr">
        <is>
          <t>Yerel ad</t>
        </is>
      </c>
      <c r="Z6" s="25" t="inlineStr">
        <is>
          <t>Şehir cümlesi</t>
        </is>
      </c>
      <c r="AA6" s="25" t="inlineStr">
        <is>
          <t>Şehir dizini sırası</t>
        </is>
      </c>
      <c r="AB6" s="25" t="inlineStr">
        <is>
          <t>Hava tahmini bağlantısı</t>
        </is>
      </c>
      <c r="AC6" s="25" t="inlineStr">
        <is>
          <t>Hava veri sağlayıcısı</t>
        </is>
      </c>
      <c r="AD6" s="25" t="inlineStr">
        <is>
          <t>Tahmin bağlantı metni</t>
        </is>
      </c>
      <c r="AE6" s="25" t="inlineStr">
        <is>
          <t>Ana kapak kimliği</t>
        </is>
      </c>
      <c r="AF6" s="25" t="inlineStr">
        <is>
          <t>Editoryal şehir notları</t>
        </is>
      </c>
      <c r="AG6" s="25" t="inlineStr">
        <is>
          <t>Editör durumu</t>
        </is>
      </c>
    </row>
    <row r="7" ht="32" customHeight="1">
      <c r="A7" s="28" t="inlineStr">
        <is>
          <t>city_id</t>
        </is>
      </c>
      <c r="B7" s="28" t="inlineStr">
        <is>
          <t>name</t>
        </is>
      </c>
      <c r="C7" s="28" t="inlineStr">
        <is>
          <t>country</t>
        </is>
      </c>
      <c r="D7" s="28" t="inlineStr">
        <is>
          <t>country_code</t>
        </is>
      </c>
      <c r="E7" s="28" t="inlineStr">
        <is>
          <t>region</t>
        </is>
      </c>
      <c r="F7" s="28" t="inlineStr">
        <is>
          <t>kind</t>
        </is>
      </c>
      <c r="G7" s="28" t="inlineStr">
        <is>
          <t>title</t>
        </is>
      </c>
      <c r="H7" s="28" t="inlineStr">
        <is>
          <t>intro</t>
        </is>
      </c>
      <c r="I7" s="28" t="inlineStr">
        <is>
          <t>currency</t>
        </is>
      </c>
      <c r="J7" s="28" t="inlineStr">
        <is>
          <t>currency_symbol</t>
        </is>
      </c>
      <c r="K7" s="28" t="inlineStr">
        <is>
          <t>currency_label</t>
        </is>
      </c>
      <c r="L7" s="28" t="inlineStr">
        <is>
          <t>language</t>
        </is>
      </c>
      <c r="M7" s="28" t="inlineStr">
        <is>
          <t>timezone</t>
        </is>
      </c>
      <c r="N7" s="28" t="inlineStr">
        <is>
          <t>latitude</t>
        </is>
      </c>
      <c r="O7" s="28" t="inlineStr">
        <is>
          <t>longitude</t>
        </is>
      </c>
      <c r="P7" s="28" t="inlineStr">
        <is>
          <t>coordinate_source_url</t>
        </is>
      </c>
      <c r="Q7" s="28" t="inlineStr">
        <is>
          <t>coordinate_checked_on</t>
        </is>
      </c>
      <c r="R7" s="28" t="inlineStr">
        <is>
          <t>coordinate_note</t>
        </is>
      </c>
      <c r="S7" s="28" t="inlineStr">
        <is>
          <t>source_url</t>
        </is>
      </c>
      <c r="T7" s="28" t="inlineStr">
        <is>
          <t>source_checked_on</t>
        </is>
      </c>
      <c r="U7" s="28" t="inlineStr">
        <is>
          <t>source_position</t>
        </is>
      </c>
      <c r="V7" s="28" t="inlineStr">
        <is>
          <t>reviewed_on</t>
        </is>
      </c>
      <c r="W7" s="28" t="inlineStr">
        <is>
          <t>priority</t>
        </is>
      </c>
      <c r="X7" s="28" t="inlineStr">
        <is>
          <t>aliases</t>
        </is>
      </c>
      <c r="Y7" s="28" t="inlineStr">
        <is>
          <t>locality</t>
        </is>
      </c>
      <c r="Z7" s="28" t="inlineStr">
        <is>
          <t>tagline</t>
        </is>
      </c>
      <c r="AA7" s="28" t="inlineStr">
        <is>
          <t>directory_order</t>
        </is>
      </c>
      <c r="AB7" s="28" t="inlineStr">
        <is>
          <t>forecast_url</t>
        </is>
      </c>
      <c r="AC7" s="28" t="inlineStr">
        <is>
          <t>provider_url</t>
        </is>
      </c>
      <c r="AD7" s="28" t="inlineStr">
        <is>
          <t>forecast_label</t>
        </is>
      </c>
      <c r="AE7" s="28" t="inlineStr">
        <is>
          <t>hero_photo_id</t>
        </is>
      </c>
      <c r="AF7" s="28" t="inlineStr">
        <is>
          <t>editorial_notes</t>
        </is>
      </c>
      <c r="AG7" s="28" t="inlineStr">
        <is>
          <t>editorial_status</t>
        </is>
      </c>
    </row>
    <row r="8" ht="54" customHeight="1">
      <c r="A8" s="29" t="inlineStr">
        <is>
          <t>sevilla</t>
        </is>
      </c>
      <c r="B8" s="29" t="inlineStr">
        <is>
          <t>Sevilla</t>
        </is>
      </c>
      <c r="C8" s="29" t="inlineStr">
        <is>
          <t>İspanya</t>
        </is>
      </c>
      <c r="D8" s="29" t="inlineStr">
        <is>
          <t>ES</t>
        </is>
      </c>
      <c r="E8" s="29" t="inlineStr">
        <is>
          <t>EU</t>
        </is>
      </c>
      <c r="F8" s="29" t="inlineStr">
        <is>
          <t>city</t>
        </is>
      </c>
      <c r="G8" s="29" t="inlineStr">
        <is>
          <t>Sevilla'ya taşınma rehberi: oturum, konut, sağlık ve günlük yaşam</t>
        </is>
      </c>
      <c r="H8" s="29" t="inlineStr">
        <is>
          <t>Sevilla'da oturum izni ve adres kaydından sağlığa, kiradan ulaşıma kadar ilk adımları resmî kaynaklara dayanarak sade Türkçeyle öğren; flamenko, Semana Santa ve Feria de Abril ile şehrin kendine özgü yaşamını keşfet.</t>
        </is>
      </c>
      <c r="I8" s="29" t="inlineStr">
        <is>
          <t>EUR</t>
        </is>
      </c>
      <c r="J8" s="29" t="inlineStr">
        <is>
          <t>€</t>
        </is>
      </c>
      <c r="K8" s="29" t="inlineStr">
        <is>
          <t>Euro</t>
        </is>
      </c>
      <c r="L8" s="29" t="inlineStr">
        <is>
          <t>İspanyolca</t>
        </is>
      </c>
      <c r="M8" s="29" t="inlineStr">
        <is>
          <t>Europe/Madrid</t>
        </is>
      </c>
      <c r="N8" s="50" t="n">
        <v>37.405015</v>
      </c>
      <c r="O8" s="50" t="n">
        <v>-5.980007</v>
      </c>
      <c r="P8" s="29" t="inlineStr">
        <is>
          <t>https://www.naturalearthdata.com/downloads/10m-cultural-vectors/10m-populated-places/</t>
        </is>
      </c>
      <c r="Q8" s="49" t="n">
        <v>46305</v>
      </c>
      <c r="R8" s="29" t="n"/>
      <c r="S8" s="29" t="inlineStr">
        <is>
          <t>https://www.internations.org/all-internations-cities/</t>
        </is>
      </c>
      <c r="T8" s="49" t="n">
        <v>46305</v>
      </c>
      <c r="U8" s="51" t="n">
        <v>107</v>
      </c>
      <c r="V8" s="49" t="n">
        <v>46320</v>
      </c>
      <c r="W8" s="51" t="n">
        <v>3</v>
      </c>
      <c r="X8" s="29" t="inlineStr">
        <is>
          <t>Seville</t>
        </is>
      </c>
      <c r="Y8" s="29" t="inlineStr">
        <is>
          <t>Endülüs</t>
        </is>
      </c>
      <c r="Z8" s="29" t="inlineStr">
        <is>
          <t>Yeni hayatın için sade adımlar</t>
        </is>
      </c>
      <c r="AA8" s="51" t="n"/>
      <c r="AB8" s="29" t="inlineStr">
        <is>
          <t>https://www.aemet.es/es/eltiempo/prediccion/municipios/sevilla-id41091</t>
        </is>
      </c>
      <c r="AC8" s="29" t="inlineStr">
        <is>
          <t>https://www.aemet.es</t>
        </is>
      </c>
      <c r="AD8" s="29" t="inlineStr">
        <is>
          <t>AEMET Sevilla hava tahmini</t>
        </is>
      </c>
      <c r="AE8" s="29" t="inlineStr">
        <is>
          <t>sevilla:photo:kapak-01</t>
        </is>
      </c>
      <c r="AF8" s="29" t="n"/>
      <c r="AG8" s="29" t="inlineStr">
        <is>
          <t>Taslak</t>
        </is>
      </c>
    </row>
  </sheetData>
  <mergeCells count="1">
    <mergeCell ref="A3:H3"/>
  </mergeCells>
  <conditionalFormatting sqref="A8">
    <cfRule type="expression" priority="1" dxfId="1">
      <formula>AND($A8&lt;&gt;"",ISBLANK(A8))</formula>
    </cfRule>
  </conditionalFormatting>
  <conditionalFormatting sqref="B8">
    <cfRule type="expression" priority="2" dxfId="1">
      <formula>AND($A8&lt;&gt;"",ISBLANK(B8))</formula>
    </cfRule>
  </conditionalFormatting>
  <conditionalFormatting sqref="C8">
    <cfRule type="expression" priority="3" dxfId="1">
      <formula>AND($A8&lt;&gt;"",ISBLANK(C8))</formula>
    </cfRule>
  </conditionalFormatting>
  <conditionalFormatting sqref="D8">
    <cfRule type="expression" priority="4" dxfId="1">
      <formula>AND($A8&lt;&gt;"",ISBLANK(D8))</formula>
    </cfRule>
  </conditionalFormatting>
  <conditionalFormatting sqref="E8">
    <cfRule type="expression" priority="5" dxfId="1">
      <formula>AND($A8&lt;&gt;"",ISBLANK(E8))</formula>
    </cfRule>
  </conditionalFormatting>
  <conditionalFormatting sqref="F8">
    <cfRule type="expression" priority="6" dxfId="1">
      <formula>AND($A8&lt;&gt;"",ISBLANK(F8))</formula>
    </cfRule>
  </conditionalFormatting>
  <conditionalFormatting sqref="G8">
    <cfRule type="expression" priority="7" dxfId="1">
      <formula>AND($A8&lt;&gt;"",ISBLANK(G8))</formula>
    </cfRule>
  </conditionalFormatting>
  <conditionalFormatting sqref="H8">
    <cfRule type="expression" priority="8" dxfId="1">
      <formula>AND($A8&lt;&gt;"",ISBLANK(H8))</formula>
    </cfRule>
  </conditionalFormatting>
  <conditionalFormatting sqref="I8">
    <cfRule type="expression" priority="9" dxfId="1">
      <formula>AND($A8&lt;&gt;"",ISBLANK(I8))</formula>
    </cfRule>
  </conditionalFormatting>
  <conditionalFormatting sqref="L8">
    <cfRule type="expression" priority="10" dxfId="1">
      <formula>AND($A8&lt;&gt;"",ISBLANK(L8))</formula>
    </cfRule>
  </conditionalFormatting>
  <conditionalFormatting sqref="M8">
    <cfRule type="expression" priority="11" dxfId="1">
      <formula>AND($A8&lt;&gt;"",ISBLANK(M8))</formula>
    </cfRule>
  </conditionalFormatting>
  <conditionalFormatting sqref="N8">
    <cfRule type="expression" priority="12" dxfId="1">
      <formula>AND($A8&lt;&gt;"",ISBLANK(N8))</formula>
    </cfRule>
  </conditionalFormatting>
  <conditionalFormatting sqref="O8">
    <cfRule type="expression" priority="13" dxfId="1">
      <formula>AND($A8&lt;&gt;"",ISBLANK(O8))</formula>
    </cfRule>
  </conditionalFormatting>
  <conditionalFormatting sqref="P8">
    <cfRule type="expression" priority="14" dxfId="1">
      <formula>AND($A8&lt;&gt;"",ISBLANK(P8))</formula>
    </cfRule>
  </conditionalFormatting>
  <conditionalFormatting sqref="Q8">
    <cfRule type="expression" priority="15" dxfId="1">
      <formula>AND($A8&lt;&gt;"",ISBLANK(Q8))</formula>
    </cfRule>
  </conditionalFormatting>
  <conditionalFormatting sqref="S8">
    <cfRule type="expression" priority="16" dxfId="1">
      <formula>AND($A8&lt;&gt;"",ISBLANK(S8))</formula>
    </cfRule>
  </conditionalFormatting>
  <conditionalFormatting sqref="T8">
    <cfRule type="expression" priority="17" dxfId="1">
      <formula>AND($A8&lt;&gt;"",ISBLANK(T8))</formula>
    </cfRule>
  </conditionalFormatting>
  <conditionalFormatting sqref="U8">
    <cfRule type="expression" priority="18" dxfId="1">
      <formula>AND($A8&lt;&gt;"",ISBLANK(U8))</formula>
    </cfRule>
  </conditionalFormatting>
  <conditionalFormatting sqref="V8">
    <cfRule type="expression" priority="19" dxfId="1">
      <formula>AND($A8&lt;&gt;"",ISBLANK(V8))</formula>
    </cfRule>
  </conditionalFormatting>
  <conditionalFormatting sqref="W8">
    <cfRule type="expression" priority="20" dxfId="1">
      <formula>AND($A8&lt;&gt;"",ISBLANK(W8))</formula>
    </cfRule>
  </conditionalFormatting>
  <conditionalFormatting sqref="AG8">
    <cfRule type="expression" priority="21" dxfId="1">
      <formula>AND($A8&lt;&gt;"",ISBLANK(AG8))</formula>
    </cfRule>
  </conditionalFormatting>
  <dataValidations count="3">
    <dataValidation sqref="E8" showDropDown="0" showInputMessage="0" showErrorMessage="0" allowBlank="0" type="list">
      <formula1>"EU,AS,AF,NA,SA,OC"</formula1>
    </dataValidation>
    <dataValidation sqref="F8" showDropDown="0" showInputMessage="0" showErrorMessage="0" allowBlank="0" type="list">
      <formula1>"city,region,island,country"</formula1>
    </dataValidation>
    <dataValidation sqref="AG8"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3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58" customWidth="1" min="5" max="5"/>
    <col width="28" customWidth="1" min="6" max="6"/>
    <col width="28" customWidth="1" min="7" max="7"/>
    <col width="26" customWidth="1" min="8" max="8"/>
  </cols>
  <sheetData>
    <row r="1" ht="30" customHeight="1">
      <c r="A1" s="2" t="n"/>
      <c r="B1" s="2" t="n"/>
      <c r="C1" s="2" t="n"/>
      <c r="D1" s="2" t="n"/>
      <c r="E1" s="2" t="n"/>
      <c r="F1" s="2" t="n"/>
      <c r="G1" s="2" t="n"/>
      <c r="H1" s="2" t="n"/>
    </row>
    <row r="2" ht="30" customHeight="1">
      <c r="A2" s="19" t="inlineStr">
        <is>
          <t>Corteqs · Pratik yaşam konuları</t>
        </is>
      </c>
      <c r="B2" s="2" t="n"/>
      <c r="C2" s="2" t="n"/>
      <c r="D2" s="2" t="n"/>
      <c r="E2" s="2" t="n"/>
      <c r="F2" s="2" t="n"/>
      <c r="G2" s="2" t="n"/>
      <c r="H2" s="2" t="n"/>
    </row>
    <row r="3" ht="36" customHeight="1">
      <c r="A3" s="20" t="inlineStr">
        <is>
          <t>Türkçe başlığı okuyun; veriyi 8. satırdan yazın. 7. satırdaki alan adını ve sayfa adını değiştirmeyin.</t>
        </is>
      </c>
    </row>
    <row r="4" ht="30" customHeight="1">
      <c r="A4" s="21" t="n"/>
      <c r="B4" s="21" t="n"/>
      <c r="C4" s="21" t="n"/>
      <c r="D4" s="21" t="n"/>
      <c r="E4" s="21" t="n"/>
      <c r="F4" s="21" t="n"/>
      <c r="G4" s="21" t="n"/>
      <c r="H4" s="21" t="n"/>
    </row>
    <row r="5" ht="26" customHeight="1">
      <c r="A5" s="22" t="inlineStr">
        <is>
          <t>Zorunlu</t>
        </is>
      </c>
      <c r="B5" s="22" t="inlineStr">
        <is>
          <t>Zorunlu</t>
        </is>
      </c>
      <c r="C5" s="22" t="inlineStr">
        <is>
          <t>Zorunlu</t>
        </is>
      </c>
      <c r="D5" s="22" t="inlineStr">
        <is>
          <t>Zorunlu</t>
        </is>
      </c>
      <c r="E5" s="22" t="inlineStr">
        <is>
          <t>Zorunlu</t>
        </is>
      </c>
      <c r="F5" s="22" t="inlineStr">
        <is>
          <t>Zorunlu</t>
        </is>
      </c>
      <c r="G5" s="22" t="inlineStr">
        <is>
          <t>Zorunlu</t>
        </is>
      </c>
      <c r="H5" s="22" t="inlineStr">
        <is>
          <t>Hesap · değiştirmeyin</t>
        </is>
      </c>
    </row>
    <row r="6" ht="44" customHeight="1">
      <c r="A6" s="25" t="inlineStr">
        <is>
          <t>Konu kimliği</t>
        </is>
      </c>
      <c r="B6" s="25" t="inlineStr">
        <is>
          <t>Şehir kimliği</t>
        </is>
      </c>
      <c r="C6" s="25" t="inlineStr">
        <is>
          <t>Konu adres adı</t>
        </is>
      </c>
      <c r="D6" s="25" t="inlineStr">
        <is>
          <t>Konu başlığı</t>
        </is>
      </c>
      <c r="E6" s="25" t="inlineStr">
        <is>
          <t>Açıklama</t>
        </is>
      </c>
      <c r="F6" s="25" t="inlineStr">
        <is>
          <t>Simge anahtarı</t>
        </is>
      </c>
      <c r="G6" s="25" t="inlineStr">
        <is>
          <t>Sıra</t>
        </is>
      </c>
      <c r="H6" s="25" t="inlineStr">
        <is>
          <t>Yanıt içeren konu (hesap)</t>
        </is>
      </c>
    </row>
    <row r="7" ht="32" customHeight="1">
      <c r="A7" s="28" t="inlineStr">
        <is>
          <t>topic_id</t>
        </is>
      </c>
      <c r="B7" s="28" t="inlineStr">
        <is>
          <t>city_id</t>
        </is>
      </c>
      <c r="C7" s="28" t="inlineStr">
        <is>
          <t>slug</t>
        </is>
      </c>
      <c r="D7" s="28" t="inlineStr">
        <is>
          <t>title</t>
        </is>
      </c>
      <c r="E7" s="28" t="inlineStr">
        <is>
          <t>description</t>
        </is>
      </c>
      <c r="F7" s="28" t="inlineStr">
        <is>
          <t>icon</t>
        </is>
      </c>
      <c r="G7" s="28" t="inlineStr">
        <is>
          <t>order</t>
        </is>
      </c>
      <c r="H7" s="28" t="inlineStr">
        <is>
          <t>used_count</t>
        </is>
      </c>
    </row>
    <row r="8" ht="54" customHeight="1">
      <c r="A8" s="29" t="inlineStr">
        <is>
          <t>sevilla:planlama</t>
        </is>
      </c>
      <c r="B8" s="29" t="inlineStr">
        <is>
          <t>sevilla</t>
        </is>
      </c>
      <c r="C8" s="29" t="inlineStr">
        <is>
          <t>planlama</t>
        </is>
      </c>
      <c r="D8" s="29" t="inlineStr">
        <is>
          <t>Taşınmadan önce plan</t>
        </is>
      </c>
      <c r="E8" s="29" t="inlineStr">
        <is>
          <t>Sevilla'ya gelmeden önce hazırlanacak belgeler, ilk haftanın sırası, yaz sıcağı ve yeni gelenlere resmî destek veren yerler.</t>
        </is>
      </c>
      <c r="F8" s="29" t="inlineStr">
        <is>
          <t>book</t>
        </is>
      </c>
      <c r="G8" s="51" t="n">
        <v>1</v>
      </c>
      <c r="H8" s="52">
        <f>IF(A8="",0,IF(COUNTIFS('Yanıtlar'!$N$8:$N$307,A8)&gt;0,1,0))</f>
        <v/>
      </c>
    </row>
    <row r="9" ht="54" customHeight="1">
      <c r="A9" s="29" t="inlineStr">
        <is>
          <t>sevilla:oturum</t>
        </is>
      </c>
      <c r="B9" s="29" t="inlineStr">
        <is>
          <t>sevilla</t>
        </is>
      </c>
      <c r="C9" s="29" t="inlineStr">
        <is>
          <t>oturum</t>
        </is>
      </c>
      <c r="D9" s="29" t="inlineStr">
        <is>
          <t>Vize, oturum ve çalışma izni</t>
        </is>
      </c>
      <c r="E9" s="29" t="inlineStr">
        <is>
          <t>Oturum vizeleri, TIE ve NIE, AB kayıt sertifikası, Sevilla'daki yabancılar ofisi ve polis randevusu, aile birleşimi.</t>
        </is>
      </c>
      <c r="F9" s="29" t="inlineStr">
        <is>
          <t>plane</t>
        </is>
      </c>
      <c r="G9" s="51" t="n">
        <v>2</v>
      </c>
      <c r="H9" s="52">
        <f>IF(A9="",0,IF(COUNTIFS('Yanıtlar'!$N$8:$N$307,A9)&gt;0,1,0))</f>
        <v/>
      </c>
    </row>
    <row r="10" ht="54" customHeight="1">
      <c r="A10" s="29" t="inlineStr">
        <is>
          <t>sevilla:resmi</t>
        </is>
      </c>
      <c r="B10" s="29" t="inlineStr">
        <is>
          <t>sevilla</t>
        </is>
      </c>
      <c r="C10" s="29" t="inlineStr">
        <is>
          <t>resmi</t>
        </is>
      </c>
      <c r="D10" s="29" t="inlineStr">
        <is>
          <t>Kimlik ve resmî işlemler</t>
        </is>
      </c>
      <c r="E10" s="29" t="inlineStr">
        <is>
          <t>Sevilla'da nüfus kaydı (empadronamiento), sosyal güvenlik numarası, Cl@ve ve dijital sertifika, belge tercümesi, ehliyet.</t>
        </is>
      </c>
      <c r="F10" s="29" t="inlineStr">
        <is>
          <t>shield</t>
        </is>
      </c>
      <c r="G10" s="51" t="n">
        <v>3</v>
      </c>
      <c r="H10" s="52">
        <f>IF(A10="",0,IF(COUNTIFS('Yanıtlar'!$N$8:$N$307,A10)&gt;0,1,0))</f>
        <v/>
      </c>
    </row>
    <row r="11" ht="54" customHeight="1">
      <c r="A11" s="29" t="inlineStr">
        <is>
          <t>sevilla:ev</t>
        </is>
      </c>
      <c r="B11" s="29" t="inlineStr">
        <is>
          <t>sevilla</t>
        </is>
      </c>
      <c r="C11" s="29" t="inlineStr">
        <is>
          <t>ev</t>
        </is>
      </c>
      <c r="D11" s="29" t="inlineStr">
        <is>
          <t>Ev ve kira</t>
        </is>
      </c>
      <c r="E11" s="29" t="inlineStr">
        <is>
          <t>Sevilla'da kiralık ev arama, kira sözleşmesi ve depozito, kiracı hakları, kira yardımları ve ev satın alma.</t>
        </is>
      </c>
      <c r="F11" s="29" t="inlineStr">
        <is>
          <t>home</t>
        </is>
      </c>
      <c r="G11" s="51" t="n">
        <v>4</v>
      </c>
      <c r="H11" s="52">
        <f>IF(A11="",0,IF(COUNTIFS('Yanıtlar'!$N$8:$N$307,A11)&gt;0,1,0))</f>
        <v/>
      </c>
    </row>
    <row r="12" ht="54" customHeight="1">
      <c r="A12" s="29" t="inlineStr">
        <is>
          <t>sevilla:fatura</t>
        </is>
      </c>
      <c r="B12" s="29" t="inlineStr">
        <is>
          <t>sevilla</t>
        </is>
      </c>
      <c r="C12" s="29" t="inlineStr">
        <is>
          <t>fatura</t>
        </is>
      </c>
      <c r="D12" s="29" t="inlineStr">
        <is>
          <t>Elektrik, gaz, su ve internet</t>
        </is>
      </c>
      <c r="E12" s="29" t="inlineStr">
        <is>
          <t>Elektrik ve doğalgaz aboneliği, Sevilla'da su (EMASESA) ve çöp, fatura indirimleri, internet ve mobil hat.</t>
        </is>
      </c>
      <c r="F12" s="29" t="inlineStr">
        <is>
          <t>bolt</t>
        </is>
      </c>
      <c r="G12" s="51" t="n">
        <v>5</v>
      </c>
      <c r="H12" s="52">
        <f>IF(A12="",0,IF(COUNTIFS('Yanıtlar'!$N$8:$N$307,A12)&gt;0,1,0))</f>
        <v/>
      </c>
    </row>
    <row r="13" ht="54" customHeight="1">
      <c r="A13" s="29" t="inlineStr">
        <is>
          <t>sevilla:para</t>
        </is>
      </c>
      <c r="B13" s="29" t="inlineStr">
        <is>
          <t>sevilla</t>
        </is>
      </c>
      <c r="C13" s="29" t="inlineStr">
        <is>
          <t>para</t>
        </is>
      </c>
      <c r="D13" s="29" t="inlineStr">
        <is>
          <t>Banka, vergi ve destekler</t>
        </is>
      </c>
      <c r="E13" s="29" t="inlineStr">
        <is>
          <t>Banka hesabı, gelir vergisi beyanı, Endülüs bölge vergileri, belediye vergileri ve sosyal yardımlar.</t>
        </is>
      </c>
      <c r="F13" s="29" t="inlineStr">
        <is>
          <t>transfer</t>
        </is>
      </c>
      <c r="G13" s="51" t="n">
        <v>6</v>
      </c>
      <c r="H13" s="52">
        <f>IF(A13="",0,IF(COUNTIFS('Yanıtlar'!$N$8:$N$307,A13)&gt;0,1,0))</f>
        <v/>
      </c>
    </row>
    <row r="14" ht="54" customHeight="1">
      <c r="A14" s="29" t="inlineStr">
        <is>
          <t>sevilla:saglik</t>
        </is>
      </c>
      <c r="B14" s="29" t="inlineStr">
        <is>
          <t>sevilla</t>
        </is>
      </c>
      <c r="C14" s="29" t="inlineStr">
        <is>
          <t>saglik</t>
        </is>
      </c>
      <c r="D14" s="29" t="inlineStr">
        <is>
          <t>Sağlık ve sigorta</t>
        </is>
      </c>
      <c r="E14" s="29" t="inlineStr">
        <is>
          <t>Endülüs sağlık kartı, aile hekimi ve sağlık merkezi, Sevilla'daki hastaneler, acil servis, eczane ve aşılar.</t>
        </is>
      </c>
      <c r="F14" s="29" t="inlineStr">
        <is>
          <t>heart</t>
        </is>
      </c>
      <c r="G14" s="51" t="n">
        <v>7</v>
      </c>
      <c r="H14" s="52">
        <f>IF(A14="",0,IF(COUNTIFS('Yanıtlar'!$N$8:$N$307,A14)&gt;0,1,0))</f>
        <v/>
      </c>
    </row>
    <row r="15" ht="54" customHeight="1">
      <c r="A15" s="29" t="inlineStr">
        <is>
          <t>sevilla:is</t>
        </is>
      </c>
      <c r="B15" s="29" t="inlineStr">
        <is>
          <t>sevilla</t>
        </is>
      </c>
      <c r="C15" s="29" t="inlineStr">
        <is>
          <t>is</t>
        </is>
      </c>
      <c r="D15" s="29" t="inlineStr">
        <is>
          <t>İş ve çalışma hakları</t>
        </is>
      </c>
      <c r="E15" s="29" t="inlineStr">
        <is>
          <t>İş arama ve SAE kaydı, asgari ücret ve sözleşmeler, işsizlik ödeneği, Sevilla'da iş kurma ve diploma denkliği.</t>
        </is>
      </c>
      <c r="F15" s="29" t="inlineStr">
        <is>
          <t>briefcase</t>
        </is>
      </c>
      <c r="G15" s="51" t="n">
        <v>8</v>
      </c>
      <c r="H15" s="52">
        <f>IF(A15="",0,IF(COUNTIFS('Yanıtlar'!$N$8:$N$307,A15)&gt;0,1,0))</f>
        <v/>
      </c>
    </row>
    <row r="16" ht="54" customHeight="1">
      <c r="A16" s="29" t="inlineStr">
        <is>
          <t>sevilla:aile</t>
        </is>
      </c>
      <c r="B16" s="29" t="inlineStr">
        <is>
          <t>sevilla</t>
        </is>
      </c>
      <c r="C16" s="29" t="inlineStr">
        <is>
          <t>aile</t>
        </is>
      </c>
      <c r="D16" s="29" t="inlineStr">
        <is>
          <t>Aile, okul ve çocuk</t>
        </is>
      </c>
      <c r="E16" s="29" t="inlineStr">
        <is>
          <t>Endülüs'te okul kaydı, okul öncesi eğitim, İspanyolca desteği, çocuk yardımları ve doğum kaydı.</t>
        </is>
      </c>
      <c r="F16" s="29" t="inlineStr">
        <is>
          <t>family</t>
        </is>
      </c>
      <c r="G16" s="51" t="n">
        <v>9</v>
      </c>
      <c r="H16" s="52">
        <f>IF(A16="",0,IF(COUNTIFS('Yanıtlar'!$N$8:$N$307,A16)&gt;0,1,0))</f>
        <v/>
      </c>
    </row>
    <row r="17" ht="54" customHeight="1">
      <c r="A17" s="29" t="inlineStr">
        <is>
          <t>sevilla:ulasim</t>
        </is>
      </c>
      <c r="B17" s="29" t="inlineStr">
        <is>
          <t>sevilla</t>
        </is>
      </c>
      <c r="C17" s="29" t="inlineStr">
        <is>
          <t>ulasim</t>
        </is>
      </c>
      <c r="D17" s="29" t="inlineStr">
        <is>
          <t>Ulaşım ve araç</t>
        </is>
      </c>
      <c r="E17" s="29" t="inlineStr">
        <is>
          <t>Sevilla metrosu, otobüs ve tramvay, Cercanías treni, bisiklet, ehliyet ve araç, havalimanı ve şehirlerarası yolculuk.</t>
        </is>
      </c>
      <c r="F17" s="29" t="inlineStr">
        <is>
          <t>train</t>
        </is>
      </c>
      <c r="G17" s="51" t="n">
        <v>10</v>
      </c>
      <c r="H17" s="52">
        <f>IF(A17="",0,IF(COUNTIFS('Yanıtlar'!$N$8:$N$307,A17)&gt;0,1,0))</f>
        <v/>
      </c>
    </row>
    <row r="18" ht="54" customHeight="1">
      <c r="A18" s="29" t="inlineStr">
        <is>
          <t>sevilla:gunluk</t>
        </is>
      </c>
      <c r="B18" s="29" t="inlineStr">
        <is>
          <t>sevilla</t>
        </is>
      </c>
      <c r="C18" s="29" t="inlineStr">
        <is>
          <t>gunluk</t>
        </is>
      </c>
      <c r="D18" s="29" t="inlineStr">
        <is>
          <t>Günlük yaşam ve güvenlik</t>
        </is>
      </c>
      <c r="E18" s="29" t="inlineStr">
        <is>
          <t>Acil numaralar, çöp ve geri dönüşüm, kütüphaneler, İspanyolca kursları, yaz sıcağı ve yerel bayramlar.</t>
        </is>
      </c>
      <c r="F18" s="29" t="inlineStr">
        <is>
          <t>bag</t>
        </is>
      </c>
      <c r="G18" s="51" t="n">
        <v>11</v>
      </c>
      <c r="H18" s="52">
        <f>IF(A18="",0,IF(COUNTIFS('Yanıtlar'!$N$8:$N$307,A18)&gt;0,1,0))</f>
        <v/>
      </c>
    </row>
    <row r="19" ht="54" customHeight="1">
      <c r="A19" s="29" t="inlineStr">
        <is>
          <t>sevilla:kesif</t>
        </is>
      </c>
      <c r="B19" s="29" t="inlineStr">
        <is>
          <t>sevilla</t>
        </is>
      </c>
      <c r="C19" s="29" t="inlineStr">
        <is>
          <t>kesif</t>
        </is>
      </c>
      <c r="D19" s="29" t="inlineStr">
        <is>
          <t>Keşif, kültür, doğa ve spor</t>
        </is>
      </c>
      <c r="E19" s="29" t="inlineStr">
        <is>
          <t>Sevilla'nın anıtları ve müzeleri, flamenko, parklar ve Guadalquivir kıyısı, çocuklarla gezilecek yerler ve spor.</t>
        </is>
      </c>
      <c r="F19" s="29" t="inlineStr">
        <is>
          <t>people</t>
        </is>
      </c>
      <c r="G19" s="51" t="n">
        <v>12</v>
      </c>
      <c r="H19" s="52">
        <f>IF(A19="",0,IF(COUNTIFS('Yanıtlar'!$N$8:$N$307,A19)&gt;0,1,0))</f>
        <v/>
      </c>
    </row>
    <row r="20" ht="54" customHeight="1">
      <c r="A20" s="29" t="n"/>
      <c r="B20" s="29" t="n"/>
      <c r="C20" s="29" t="n"/>
      <c r="D20" s="29" t="n"/>
      <c r="E20" s="29" t="n"/>
      <c r="F20" s="29" t="n"/>
      <c r="G20" s="51" t="n"/>
      <c r="H20" s="52">
        <f>IF(A20="",0,IF(COUNTIFS('Yanıtlar'!$N$8:$N$307,A20)&gt;0,1,0))</f>
        <v/>
      </c>
    </row>
    <row r="21" ht="54" customHeight="1">
      <c r="A21" s="29" t="n"/>
      <c r="B21" s="29" t="n"/>
      <c r="C21" s="29" t="n"/>
      <c r="D21" s="29" t="n"/>
      <c r="E21" s="29" t="n"/>
      <c r="F21" s="29" t="n"/>
      <c r="G21" s="51" t="n"/>
      <c r="H21" s="52">
        <f>IF(A21="",0,IF(COUNTIFS('Yanıtlar'!$N$8:$N$307,A21)&gt;0,1,0))</f>
        <v/>
      </c>
    </row>
    <row r="22" ht="54" customHeight="1">
      <c r="A22" s="29" t="n"/>
      <c r="B22" s="29" t="n"/>
      <c r="C22" s="29" t="n"/>
      <c r="D22" s="29" t="n"/>
      <c r="E22" s="29" t="n"/>
      <c r="F22" s="29" t="n"/>
      <c r="G22" s="51" t="n"/>
      <c r="H22" s="52">
        <f>IF(A22="",0,IF(COUNTIFS('Yanıtlar'!$N$8:$N$307,A22)&gt;0,1,0))</f>
        <v/>
      </c>
    </row>
    <row r="23" ht="54" customHeight="1">
      <c r="A23" s="29" t="n"/>
      <c r="B23" s="29" t="n"/>
      <c r="C23" s="29" t="n"/>
      <c r="D23" s="29" t="n"/>
      <c r="E23" s="29" t="n"/>
      <c r="F23" s="29" t="n"/>
      <c r="G23" s="51" t="n"/>
      <c r="H23" s="52">
        <f>IF(A23="",0,IF(COUNTIFS('Yanıtlar'!$N$8:$N$307,A23)&gt;0,1,0))</f>
        <v/>
      </c>
    </row>
    <row r="24" ht="54" customHeight="1">
      <c r="A24" s="29" t="n"/>
      <c r="B24" s="29" t="n"/>
      <c r="C24" s="29" t="n"/>
      <c r="D24" s="29" t="n"/>
      <c r="E24" s="29" t="n"/>
      <c r="F24" s="29" t="n"/>
      <c r="G24" s="51" t="n"/>
      <c r="H24" s="52">
        <f>IF(A24="",0,IF(COUNTIFS('Yanıtlar'!$N$8:$N$307,A24)&gt;0,1,0))</f>
        <v/>
      </c>
    </row>
    <row r="25" ht="54" customHeight="1">
      <c r="A25" s="29" t="n"/>
      <c r="B25" s="29" t="n"/>
      <c r="C25" s="29" t="n"/>
      <c r="D25" s="29" t="n"/>
      <c r="E25" s="29" t="n"/>
      <c r="F25" s="29" t="n"/>
      <c r="G25" s="51" t="n"/>
      <c r="H25" s="52">
        <f>IF(A25="",0,IF(COUNTIFS('Yanıtlar'!$N$8:$N$307,A25)&gt;0,1,0))</f>
        <v/>
      </c>
    </row>
    <row r="26" ht="54" customHeight="1">
      <c r="A26" s="29" t="n"/>
      <c r="B26" s="29" t="n"/>
      <c r="C26" s="29" t="n"/>
      <c r="D26" s="29" t="n"/>
      <c r="E26" s="29" t="n"/>
      <c r="F26" s="29" t="n"/>
      <c r="G26" s="51" t="n"/>
      <c r="H26" s="52">
        <f>IF(A26="",0,IF(COUNTIFS('Yanıtlar'!$N$8:$N$307,A26)&gt;0,1,0))</f>
        <v/>
      </c>
    </row>
    <row r="27" ht="54" customHeight="1">
      <c r="A27" s="29" t="n"/>
      <c r="B27" s="29" t="n"/>
      <c r="C27" s="29" t="n"/>
      <c r="D27" s="29" t="n"/>
      <c r="E27" s="29" t="n"/>
      <c r="F27" s="29" t="n"/>
      <c r="G27" s="51" t="n"/>
      <c r="H27" s="52">
        <f>IF(A27="",0,IF(COUNTIFS('Yanıtlar'!$N$8:$N$307,A27)&gt;0,1,0))</f>
        <v/>
      </c>
    </row>
    <row r="28" ht="54" customHeight="1">
      <c r="A28" s="29" t="n"/>
      <c r="B28" s="29" t="n"/>
      <c r="C28" s="29" t="n"/>
      <c r="D28" s="29" t="n"/>
      <c r="E28" s="29" t="n"/>
      <c r="F28" s="29" t="n"/>
      <c r="G28" s="51" t="n"/>
      <c r="H28" s="52">
        <f>IF(A28="",0,IF(COUNTIFS('Yanıtlar'!$N$8:$N$307,A28)&gt;0,1,0))</f>
        <v/>
      </c>
    </row>
    <row r="29" ht="54" customHeight="1">
      <c r="A29" s="29" t="n"/>
      <c r="B29" s="29" t="n"/>
      <c r="C29" s="29" t="n"/>
      <c r="D29" s="29" t="n"/>
      <c r="E29" s="29" t="n"/>
      <c r="F29" s="29" t="n"/>
      <c r="G29" s="51" t="n"/>
      <c r="H29" s="52">
        <f>IF(A29="",0,IF(COUNTIFS('Yanıtlar'!$N$8:$N$307,A29)&gt;0,1,0))</f>
        <v/>
      </c>
    </row>
    <row r="30" ht="54" customHeight="1">
      <c r="A30" s="29" t="n"/>
      <c r="B30" s="29" t="n"/>
      <c r="C30" s="29" t="n"/>
      <c r="D30" s="29" t="n"/>
      <c r="E30" s="29" t="n"/>
      <c r="F30" s="29" t="n"/>
      <c r="G30" s="51" t="n"/>
      <c r="H30" s="52">
        <f>IF(A30="",0,IF(COUNTIFS('Yanıtlar'!$N$8:$N$307,A30)&gt;0,1,0))</f>
        <v/>
      </c>
    </row>
    <row r="31" ht="54" customHeight="1">
      <c r="A31" s="29" t="n"/>
      <c r="B31" s="29" t="n"/>
      <c r="C31" s="29" t="n"/>
      <c r="D31" s="29" t="n"/>
      <c r="E31" s="29" t="n"/>
      <c r="F31" s="29" t="n"/>
      <c r="G31" s="51" t="n"/>
      <c r="H31" s="52">
        <f>IF(A31="",0,IF(COUNTIFS('Yanıtlar'!$N$8:$N$307,A31)&gt;0,1,0))</f>
        <v/>
      </c>
    </row>
    <row r="32" ht="54" customHeight="1">
      <c r="A32" s="29" t="n"/>
      <c r="B32" s="29" t="n"/>
      <c r="C32" s="29" t="n"/>
      <c r="D32" s="29" t="n"/>
      <c r="E32" s="29" t="n"/>
      <c r="F32" s="29" t="n"/>
      <c r="G32" s="51" t="n"/>
      <c r="H32" s="52">
        <f>IF(A32="",0,IF(COUNTIFS('Yanıtlar'!$N$8:$N$307,A32)&gt;0,1,0))</f>
        <v/>
      </c>
    </row>
    <row r="33" ht="54" customHeight="1">
      <c r="A33" s="29" t="n"/>
      <c r="B33" s="29" t="n"/>
      <c r="C33" s="29" t="n"/>
      <c r="D33" s="29" t="n"/>
      <c r="E33" s="29" t="n"/>
      <c r="F33" s="29" t="n"/>
      <c r="G33" s="51" t="n"/>
      <c r="H33" s="52">
        <f>IF(A33="",0,IF(COUNTIFS('Yanıtlar'!$N$8:$N$307,A33)&gt;0,1,0))</f>
        <v/>
      </c>
    </row>
    <row r="34" ht="54" customHeight="1">
      <c r="A34" s="29" t="n"/>
      <c r="B34" s="29" t="n"/>
      <c r="C34" s="29" t="n"/>
      <c r="D34" s="29" t="n"/>
      <c r="E34" s="29" t="n"/>
      <c r="F34" s="29" t="n"/>
      <c r="G34" s="51" t="n"/>
      <c r="H34" s="52">
        <f>IF(A34="",0,IF(COUNTIFS('Yanıtlar'!$N$8:$N$307,A34)&gt;0,1,0))</f>
        <v/>
      </c>
    </row>
    <row r="35" ht="54" customHeight="1">
      <c r="A35" s="29" t="n"/>
      <c r="B35" s="29" t="n"/>
      <c r="C35" s="29" t="n"/>
      <c r="D35" s="29" t="n"/>
      <c r="E35" s="29" t="n"/>
      <c r="F35" s="29" t="n"/>
      <c r="G35" s="51" t="n"/>
      <c r="H35" s="52">
        <f>IF(A35="",0,IF(COUNTIFS('Yanıtlar'!$N$8:$N$307,A35)&gt;0,1,0))</f>
        <v/>
      </c>
    </row>
    <row r="36" ht="54" customHeight="1">
      <c r="A36" s="29" t="n"/>
      <c r="B36" s="29" t="n"/>
      <c r="C36" s="29" t="n"/>
      <c r="D36" s="29" t="n"/>
      <c r="E36" s="29" t="n"/>
      <c r="F36" s="29" t="n"/>
      <c r="G36" s="51" t="n"/>
      <c r="H36" s="52">
        <f>IF(A36="",0,IF(COUNTIFS('Yanıtlar'!$N$8:$N$307,A36)&gt;0,1,0))</f>
        <v/>
      </c>
    </row>
    <row r="37" ht="54" customHeight="1">
      <c r="A37" s="29" t="n"/>
      <c r="B37" s="29" t="n"/>
      <c r="C37" s="29" t="n"/>
      <c r="D37" s="29" t="n"/>
      <c r="E37" s="29" t="n"/>
      <c r="F37" s="29" t="n"/>
      <c r="G37" s="51" t="n"/>
      <c r="H37" s="52">
        <f>IF(A37="",0,IF(COUNTIFS('Yanıtlar'!$N$8:$N$307,A37)&gt;0,1,0))</f>
        <v/>
      </c>
    </row>
  </sheetData>
  <mergeCells count="1">
    <mergeCell ref="A3:H3"/>
  </mergeCells>
  <conditionalFormatting sqref="A8:A37">
    <cfRule type="expression" priority="1" dxfId="1">
      <formula>AND($A8&lt;&gt;"",ISBLANK(A8))</formula>
    </cfRule>
  </conditionalFormatting>
  <conditionalFormatting sqref="B8:B37">
    <cfRule type="expression" priority="2" dxfId="1">
      <formula>AND($A8&lt;&gt;"",ISBLANK(B8))</formula>
    </cfRule>
  </conditionalFormatting>
  <conditionalFormatting sqref="C8:C37">
    <cfRule type="expression" priority="3" dxfId="1">
      <formula>AND($A8&lt;&gt;"",ISBLANK(C8))</formula>
    </cfRule>
  </conditionalFormatting>
  <conditionalFormatting sqref="D8:D37">
    <cfRule type="expression" priority="4" dxfId="1">
      <formula>AND($A8&lt;&gt;"",ISBLANK(D8))</formula>
    </cfRule>
  </conditionalFormatting>
  <conditionalFormatting sqref="E8:E37">
    <cfRule type="expression" priority="5" dxfId="1">
      <formula>AND($A8&lt;&gt;"",ISBLANK(E8))</formula>
    </cfRule>
  </conditionalFormatting>
  <conditionalFormatting sqref="F8:F37">
    <cfRule type="expression" priority="6" dxfId="1">
      <formula>AND($A8&lt;&gt;"",ISBLANK(F8))</formula>
    </cfRule>
  </conditionalFormatting>
  <conditionalFormatting sqref="G8:G37">
    <cfRule type="expression" priority="7" dxfId="1">
      <formula>AND($A8&lt;&gt;"",ISBLANK(G8))</formula>
    </cfRule>
  </conditionalFormatting>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T3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28" customWidth="1" min="5" max="5"/>
    <col width="58" customWidth="1" min="6" max="6"/>
    <col width="28" customWidth="1" min="7" max="7"/>
    <col width="28" customWidth="1" min="8" max="8"/>
    <col width="28" customWidth="1" min="9" max="9"/>
    <col width="20" customWidth="1" min="10" max="10"/>
    <col width="28" customWidth="1" min="11" max="11"/>
    <col width="28" customWidth="1" min="12" max="12"/>
    <col width="28" customWidth="1" min="13" max="13"/>
    <col width="32" customWidth="1" min="14" max="14"/>
    <col width="58" customWidth="1" min="15" max="15"/>
    <col width="58" customWidth="1" min="16" max="16"/>
    <col width="28" customWidth="1" min="17" max="17"/>
    <col width="28" customWidth="1" min="18" max="18"/>
    <col width="58" customWidth="1" min="19" max="19"/>
    <col width="48" customWidth="1" min="20" max="20"/>
  </cols>
  <sheetData>
    <row r="1" ht="30" customHeight="1">
      <c r="A1" s="2" t="n"/>
      <c r="B1" s="2" t="n"/>
      <c r="C1" s="2" t="n"/>
      <c r="D1" s="2" t="n"/>
      <c r="E1" s="2" t="n"/>
      <c r="F1" s="2" t="n"/>
      <c r="G1" s="2" t="n"/>
      <c r="H1" s="2" t="n"/>
      <c r="I1" s="2" t="n"/>
      <c r="J1" s="2" t="n"/>
      <c r="K1" s="2" t="n"/>
      <c r="L1" s="2" t="n"/>
      <c r="M1" s="2" t="n"/>
      <c r="N1" s="2" t="n"/>
      <c r="O1" s="2" t="n"/>
      <c r="P1" s="2" t="n"/>
      <c r="Q1" s="2" t="n"/>
      <c r="R1" s="2" t="n"/>
      <c r="S1" s="2" t="n"/>
      <c r="T1" s="2" t="n"/>
    </row>
    <row r="2" ht="30" customHeight="1">
      <c r="A2" s="19" t="inlineStr">
        <is>
          <t>Corteqs · Pratik yaşam yanıtları</t>
        </is>
      </c>
      <c r="B2" s="2" t="n"/>
      <c r="C2" s="2" t="n"/>
      <c r="D2" s="2" t="n"/>
      <c r="E2" s="2" t="n"/>
      <c r="F2" s="2" t="n"/>
      <c r="G2" s="2" t="n"/>
      <c r="H2" s="2" t="n"/>
      <c r="I2" s="2" t="n"/>
      <c r="J2" s="2" t="n"/>
      <c r="K2" s="2" t="n"/>
      <c r="L2" s="2" t="n"/>
      <c r="M2" s="2" t="n"/>
      <c r="N2" s="2" t="n"/>
      <c r="O2" s="2" t="n"/>
      <c r="P2" s="2" t="n"/>
      <c r="Q2" s="2" t="n"/>
      <c r="R2" s="2" t="n"/>
      <c r="S2" s="2" t="n"/>
      <c r="T2" s="2" t="n"/>
    </row>
    <row r="3" ht="36" customHeight="1">
      <c r="A3" s="20" t="inlineStr">
        <is>
          <t>Türkçe başlığı okuyun; veriyi 8. satırdan yazın. 7. satırdaki alan adını ve sayfa adını değiştirmeyin.</t>
        </is>
      </c>
      <c r="I3" s="2" t="n"/>
      <c r="J3" s="2" t="n"/>
      <c r="K3" s="2" t="n"/>
      <c r="L3" s="2" t="n"/>
      <c r="M3" s="2" t="n"/>
      <c r="N3" s="2" t="n"/>
      <c r="O3" s="2" t="n"/>
      <c r="P3" s="2" t="n"/>
      <c r="Q3" s="2" t="n"/>
      <c r="R3" s="2" t="n"/>
      <c r="S3" s="2" t="n"/>
      <c r="T3" s="2" t="n"/>
    </row>
    <row r="4" ht="30" customHeight="1">
      <c r="A4" s="21" t="n"/>
      <c r="B4" s="21" t="n"/>
      <c r="C4" s="21" t="n"/>
      <c r="D4" s="21" t="n"/>
      <c r="E4" s="21" t="n"/>
      <c r="F4" s="21" t="n"/>
      <c r="G4" s="21" t="n"/>
      <c r="H4" s="21" t="n"/>
      <c r="I4" s="21" t="n"/>
      <c r="J4" s="21" t="n"/>
      <c r="K4" s="21" t="n"/>
      <c r="L4" s="21" t="n"/>
      <c r="M4" s="21" t="n"/>
      <c r="N4" s="21" t="n"/>
      <c r="O4" s="21" t="n"/>
      <c r="P4" s="21" t="n"/>
      <c r="Q4" s="21" t="n"/>
      <c r="R4" s="21" t="n"/>
      <c r="S4" s="21" t="n"/>
      <c r="T4" s="21" t="n"/>
    </row>
    <row r="5" ht="26" customHeight="1">
      <c r="A5" s="22" t="inlineStr">
        <is>
          <t>Zorunlu</t>
        </is>
      </c>
      <c r="B5" s="22" t="inlineStr">
        <is>
          <t>Zorunlu</t>
        </is>
      </c>
      <c r="C5" s="22" t="inlineStr">
        <is>
          <t>Zorunlu</t>
        </is>
      </c>
      <c r="D5" s="22" t="inlineStr">
        <is>
          <t>Zorunlu</t>
        </is>
      </c>
      <c r="E5" s="22" t="inlineStr">
        <is>
          <t>İsteğe bağlı</t>
        </is>
      </c>
      <c r="F5" s="22" t="inlineStr">
        <is>
          <t>Zorunlu</t>
        </is>
      </c>
      <c r="G5" s="22" t="inlineStr">
        <is>
          <t>İsteğe bağlı</t>
        </is>
      </c>
      <c r="H5" s="22" t="inlineStr">
        <is>
          <t>İsteğe bağlı · ; ile</t>
        </is>
      </c>
      <c r="I5" s="22" t="inlineStr">
        <is>
          <t>Zorunlu · ; ile</t>
        </is>
      </c>
      <c r="J5" s="22" t="inlineStr">
        <is>
          <t>Zorunlu · tarih</t>
        </is>
      </c>
      <c r="K5" s="22" t="inlineStr">
        <is>
          <t>Zorunlu</t>
        </is>
      </c>
      <c r="L5" s="22" t="inlineStr">
        <is>
          <t>Zorunlu</t>
        </is>
      </c>
      <c r="M5" s="22" t="inlineStr">
        <is>
          <t>Zorunlu</t>
        </is>
      </c>
      <c r="N5" s="22" t="inlineStr">
        <is>
          <t>Zorunlu</t>
        </is>
      </c>
      <c r="O5" s="22" t="inlineStr">
        <is>
          <t>Zorunlu · alt satır</t>
        </is>
      </c>
      <c r="P5" s="22" t="inlineStr">
        <is>
          <t>İsteğe bağlı · alt satır</t>
        </is>
      </c>
      <c r="Q5" s="22" t="inlineStr">
        <is>
          <t>İsteğe bağlı</t>
        </is>
      </c>
      <c r="R5" s="22" t="inlineStr">
        <is>
          <t>İsteğe bağlı</t>
        </is>
      </c>
      <c r="S5" s="22" t="inlineStr">
        <is>
          <t>İsteğe bağlı</t>
        </is>
      </c>
      <c r="T5" s="22" t="inlineStr">
        <is>
          <t>İsteğe bağlı · JSON</t>
        </is>
      </c>
    </row>
    <row r="6" ht="44" customHeight="1">
      <c r="A6" s="25" t="inlineStr">
        <is>
          <t>İçerik kimliği</t>
        </is>
      </c>
      <c r="B6" s="25" t="inlineStr">
        <is>
          <t>Şehir kimliği</t>
        </is>
      </c>
      <c r="C6" s="25" t="inlineStr">
        <is>
          <t>Adres adı</t>
        </is>
      </c>
      <c r="D6" s="25" t="inlineStr">
        <is>
          <t>Başlık</t>
        </is>
      </c>
      <c r="E6" s="25" t="inlineStr">
        <is>
          <t>Alt başlık</t>
        </is>
      </c>
      <c r="F6" s="25" t="inlineStr">
        <is>
          <t>Türkçe kısa yanıt / özet</t>
        </is>
      </c>
      <c r="G6" s="25" t="inlineStr">
        <is>
          <t>Arama sözcükleri</t>
        </is>
      </c>
      <c r="H6" s="25" t="inlineStr">
        <is>
          <t>Yaşam aşamaları</t>
        </is>
      </c>
      <c r="I6" s="25" t="inlineStr">
        <is>
          <t>Kaynak kimlikleri</t>
        </is>
      </c>
      <c r="J6" s="25" t="inlineStr">
        <is>
          <t>İçerik kontrol tarihi</t>
        </is>
      </c>
      <c r="K6" s="25" t="inlineStr">
        <is>
          <t>Sıra</t>
        </is>
      </c>
      <c r="L6" s="25" t="inlineStr">
        <is>
          <t>Öne çıkar</t>
        </is>
      </c>
      <c r="M6" s="25" t="inlineStr">
        <is>
          <t>Editör durumu</t>
        </is>
      </c>
      <c r="N6" s="25" t="inlineStr">
        <is>
          <t>Konu kimliği</t>
        </is>
      </c>
      <c r="O6" s="25" t="inlineStr">
        <is>
          <t>İşlem adımları</t>
        </is>
      </c>
      <c r="P6" s="25" t="inlineStr">
        <is>
          <t>Gereken belgeler</t>
        </is>
      </c>
      <c r="Q6" s="25" t="inlineStr">
        <is>
          <t>Süre / son tarih</t>
        </is>
      </c>
      <c r="R6" s="25" t="inlineStr">
        <is>
          <t>Ücret / maliyet</t>
        </is>
      </c>
      <c r="S6" s="25" t="inlineStr">
        <is>
          <t>İstisna ve dikkat notu</t>
        </is>
      </c>
      <c r="T6" s="25" t="inlineStr">
        <is>
          <t>Görsel açıklama yapısı (JSON)</t>
        </is>
      </c>
    </row>
    <row r="7" ht="32" customHeight="1">
      <c r="A7" s="28" t="inlineStr">
        <is>
          <t>entry_id</t>
        </is>
      </c>
      <c r="B7" s="28" t="inlineStr">
        <is>
          <t>city_id</t>
        </is>
      </c>
      <c r="C7" s="28" t="inlineStr">
        <is>
          <t>slug</t>
        </is>
      </c>
      <c r="D7" s="28" t="inlineStr">
        <is>
          <t>title</t>
        </is>
      </c>
      <c r="E7" s="28" t="inlineStr">
        <is>
          <t>subtitle</t>
        </is>
      </c>
      <c r="F7" s="28" t="inlineStr">
        <is>
          <t>summary</t>
        </is>
      </c>
      <c r="G7" s="28" t="inlineStr">
        <is>
          <t>keywords</t>
        </is>
      </c>
      <c r="H7" s="28" t="inlineStr">
        <is>
          <t>stages</t>
        </is>
      </c>
      <c r="I7" s="28" t="inlineStr">
        <is>
          <t>source_ids</t>
        </is>
      </c>
      <c r="J7" s="28" t="inlineStr">
        <is>
          <t>reviewed_on</t>
        </is>
      </c>
      <c r="K7" s="28" t="inlineStr">
        <is>
          <t>order</t>
        </is>
      </c>
      <c r="L7" s="28" t="inlineStr">
        <is>
          <t>featured</t>
        </is>
      </c>
      <c r="M7" s="28" t="inlineStr">
        <is>
          <t>editorial_status</t>
        </is>
      </c>
      <c r="N7" s="28" t="inlineStr">
        <is>
          <t>topic_id</t>
        </is>
      </c>
      <c r="O7" s="28" t="inlineStr">
        <is>
          <t>steps</t>
        </is>
      </c>
      <c r="P7" s="28" t="inlineStr">
        <is>
          <t>documents</t>
        </is>
      </c>
      <c r="Q7" s="28" t="inlineStr">
        <is>
          <t>timing</t>
        </is>
      </c>
      <c r="R7" s="28" t="inlineStr">
        <is>
          <t>cost</t>
        </is>
      </c>
      <c r="S7" s="28" t="inlineStr">
        <is>
          <t>note</t>
        </is>
      </c>
      <c r="T7" s="28" t="inlineStr">
        <is>
          <t>visual_json</t>
        </is>
      </c>
    </row>
    <row r="8" ht="54" customHeight="1">
      <c r="A8" s="29" t="inlineStr">
        <is>
          <t>sevilla:egitim-sistemi-zorunlu-egitim-ve-okul-turleri</t>
        </is>
      </c>
      <c r="B8" s="29" t="inlineStr">
        <is>
          <t>sevilla</t>
        </is>
      </c>
      <c r="C8" s="29" t="inlineStr">
        <is>
          <t>egitim-sistemi-zorunlu-egitim-ve-okul-turleri</t>
        </is>
      </c>
      <c r="D8" s="29" t="inlineStr">
        <is>
          <t>İspanya'da zorunlu eğitim hangi yaşları kapsar, okul türleri nelerdir ve okula kayıt nasıl işler?</t>
        </is>
      </c>
      <c r="E8" s="29" t="inlineStr">
        <is>
          <t>Temel eğitim 6–16 yaş arasıdır, kanunda zorunlu ve ücretsizdir; okullar kamu ve özel (bir kısmı sözleşmeli, concertado); kayıt takvimi bölgene göre değişir</t>
        </is>
      </c>
      <c r="F8" s="29" t="inlineStr">
        <is>
          <t>Zorunlu temel eğitim (enseñanza básica) 6 ile 16 yaş arasında, toplam on yıllık okullaşmadır; LOE md. 4 onu herkes için zorunlu ve ücretsiz bir eğitim olarak tanımlar. Temel eğitimi ilkokul (educación primaria), zorunlu ortaöğretim (ESO) ve temel düzey meslek eğitimi döngüleri oluşturur; ESO dört sınıftır ve genellikle 12–16 yaşları arasında okunur. 0–6 yaş okul öncesi eğitim (educación infantil) isteğe bağlıdır. Okullar kamu okulları (sahibi bir kamu idaresi olanlar) ve özel okullar olarak ayrılır; devletle sözleşme rejimine alınan özel okullara centro concertado denir; kamu eğitim hizmeti kamu ve concertado okullar aracılığıyla verilir. Kamu ve concertado okullara kabulü eğitim idareleri düzenler; başvuru takvimi ve puanlama bölgene göre değişir.</t>
        </is>
      </c>
      <c r="G8" s="29" t="inlineStr">
        <is>
          <t>zorunlu eğitim, eğitim sistemi, okul türleri, escolarización, admisión, centro concertado, ESO, educación infantil</t>
        </is>
      </c>
      <c r="H8" s="29" t="inlineStr">
        <is>
          <t>planning;new</t>
        </is>
      </c>
      <c r="I8" s="29" t="inlineStr">
        <is>
          <t>sevilla:kaynak:103</t>
        </is>
      </c>
      <c r="J8" s="49" t="n">
        <v>46319</v>
      </c>
      <c r="K8" s="51" t="n">
        <v>9081</v>
      </c>
      <c r="L8" s="29" t="inlineStr">
        <is>
          <t>Hayır</t>
        </is>
      </c>
      <c r="M8" s="29" t="inlineStr">
        <is>
          <t>Taslak</t>
        </is>
      </c>
      <c r="N8" s="29" t="inlineStr">
        <is>
          <t>sevilla:aile</t>
        </is>
      </c>
      <c r="O8" s="29" t="inlineStr">
        <is>
          <t>Çocuğunun yaşına göre etabı belirle: 0–6 yaş okul öncesi eğitim isteğe bağlıdır, 6–16 yaş temel eğitim kanunda zorunlu ve ücretsiz olarak tanımlanır.
Okul türünü seç: kamu okulu, özel okul ya da concertado okul; ebeveyn olarak kamu okulunu da, kamu idarelerinin kurmadığı bir okulu da seçme hakkın var.
Kamu ya da concertado okul istiyorsan başvuruyu bölgenin eğitim idaresinin düzenlediği kabul (admisión) süreci üzerinden yap; takvim ve puanlama bölgene göre değişir.
Yer yetersizse sıralamayı öncelikli ölçütler belirler: okulda kayıtlı kardeşin, evinin ya da ebeveynlerinden birinin iş yerinin okula yakınlığı ve ailenin kişi başı geliri.
Kamu okullarında yer yetersizse, okulun kendisine bağlı (adscrito) okullardan gelen öğrenciler öncelik alır; concertado okullarda benzer bir usul uygulanır.</t>
        </is>
      </c>
      <c r="P8" s="29" t="n"/>
      <c r="Q8" s="29" t="n"/>
      <c r="R8" s="29" t="inlineStr">
        <is>
          <t>Kanun, temel eğitimi (6–16 yaş) herkes için zorunlu ve ücretsiz olarak tanımlar (LOE md. 4).</t>
        </is>
      </c>
      <c r="S8" s="29" t="inlineStr">
        <is>
          <t>Kabulde doğum, ırk veya etnik köken, cinsiyet, din, görüş, engellilik, yaş gibi nedenlerle ayrımcılık yapılamaz. Ebeveynlerinden birinin zorunlu görev değişikliği, ailede sonradan gelişen engellilik ya da toplumsal cinsiyete dayalı şiddet nedeniyle ikamet değişikliği yüzünden taşındıysan, oturduğun ya da çalıştığın bölgeye göre kabulde tercih hakkın vardır. Zorunlu eğitimden sonraki lise düzeyi (educación secundaria postobligatoria) bachillerato ve orta düzey meslek eğitimi (FP grado medio) gibi öğrenimleri kapsar.</t>
        </is>
      </c>
      <c r="T8" s="29" t="n"/>
    </row>
    <row r="9" ht="54" customHeight="1">
      <c r="A9" s="29" t="inlineStr">
        <is>
          <t>sevilla:yabanci-lise-diplomasi-ile-universiteye-giris</t>
        </is>
      </c>
      <c r="B9" s="29" t="inlineStr">
        <is>
          <t>sevilla</t>
        </is>
      </c>
      <c r="C9" s="29" t="inlineStr">
        <is>
          <t>yabanci-lise-diplomasi-ile-universiteye-giris</t>
        </is>
      </c>
      <c r="D9" s="29" t="inlineStr">
        <is>
          <t>İspanya'da yabancı lise diplomasıyla üniversiteye girmek için ne gerekir, hangi diplomalar giriş sınavından ve denklik (homologación) yaptırmaktan muaftır?</t>
        </is>
      </c>
      <c r="E9" s="29" t="inlineStr">
        <is>
          <t>Diplomanın eğitim sistemine bağlı: RD 534/2024 md. 6 kapsamındakilerde sınav ve homologación gerekmez; diğerleri için homologación, UNEDasiss ve PCE</t>
        </is>
      </c>
      <c r="F9" s="29" t="inlineStr">
        <is>
          <t>Yol diplomanın geldiği eğitim sistemine göre değişir. AB üye devletlerinin ve karşılıklılık esasıyla uluslararası anlaşma yapılmış devletlerin sistemlerinden gelenler (kendi sistemlerinde üniversiteye giriş şartlarını karşılamaları koşuluyla), Avrupa Okulları'nın Avrupa Bakalorya diploması sahipleri ve Uluslararası Bakalorya (IB) diploması sahipleri giriş sınavı (prueba de acceso) olmadan üniversiteye girebilir ve diplomalarının homologación (resmî denklik) işlemini yaptırmak zorunda değildir (RD 534/2024 md. 6); UNEDasiss bu gruptakiler için de, yabancı notları İspanyol ölçeğine çeviren Acreditación UNEDasiss ve Calificación de Acceso'yu şart koşar. UNEDasiss bu yolu 'AB, Avrupa Yükseköğretim Alanı, IB, Avrupa Okulları, Çin ve Kolombiya' başlığı altında verir; saydığı sistemlerin listesi nottadır. UNEDasiss'in 'AB dışı ülkeler' yolunda, yani diğer uluslararası eğitim sistemlerinden gelenler için UNEDasiss'in aradığı şart şudur: İspanyol bachillerato'suna homologación için gereken şartları karşılıyor olmak; devlet üniversitesi için ayrıca Calificación de Acceso ve PCE sınavları gerekir. Özel üniversitelerde kabul sistemi devlet üniversitelerinden farklıdır.</t>
        </is>
      </c>
      <c r="G9" s="29" t="inlineStr">
        <is>
          <t>yabancı diploma, üniversiteye giriş, UNEDasiss, PCE, homologación, prueba de acceso, RD 534/2024, Calificación de Acceso</t>
        </is>
      </c>
      <c r="H9" s="29" t="inlineStr">
        <is>
          <t>before;planning;new</t>
        </is>
      </c>
      <c r="I9" s="29" t="inlineStr">
        <is>
          <t>sevilla:kaynak:104;sevilla:kaynak:105</t>
        </is>
      </c>
      <c r="J9" s="49" t="n">
        <v>46319</v>
      </c>
      <c r="K9" s="51" t="n">
        <v>9082</v>
      </c>
      <c r="L9" s="29" t="inlineStr">
        <is>
          <t>Hayır</t>
        </is>
      </c>
      <c r="M9" s="29" t="inlineStr">
        <is>
          <t>Taslak</t>
        </is>
      </c>
      <c r="N9" s="29" t="inlineStr">
        <is>
          <t>sevilla:aile</t>
        </is>
      </c>
      <c r="O9" s="29" t="inlineStr">
        <is>
          <t>Diplomanın hangi eğitim sistemine ait olduğuna bak: AB üye devleti, karşılıklılık anlaşmalı devlet, Avrupa Okulları ya da Uluslararası Bakalorya (IB) ise RD 534/2024 md. 6'ya göre sınavsız giriş grubundasın ve homologación yaptırman gerekmez; genel lise diplomanda kendi sisteminde üniversiteye giriş şartlarını karşılamış olman gerekir, meslek diplomaları için ek koşul notta yazılıdır.
Bu gruptaysan UNEDasiss'ten Acreditación UNEDasiss'i ve notlarını İspanyol ölçeğine çeviren Calificación de Acceso'yu al.
Giriş notunu yükseltmek istersen PCE sınavlarına gir (en az 2 ders önerilir) ve/ya da derslerinin tanınmasını (Reconocimiento de asignaturas) iste.
UNEDasiss'in 'Otros países fuera de la UE' yolundaysan, yani diplomanın sistemi yukarıdaki 'AB, EHEA, IB, Avrupa Okulları, Çin ve Kolombiya' grubunda sayılmayan diğer uluslararası bir eğitim sistemindense: İspanyol bachillerato'suna homologación için gereken şartları karşılıyor olmalısın; meslek lisesi mezunuysan Técnico Superior unvanına homologación almış olmalısın.
Devlet üniversitesi için Calificación de Acceso'ya ek olarak PCE sınavlarına gir (en az 4 ders önerilir); hangi derslere gireceğini üniversitenin kabul kriterleri belirler: bachillerato modalitesi (4 PCE dersi), PCE'yi İspanyol öğrencilerin PAU'su gibi yapılandırmak (en az 4 zorunlu ders, 1 ya da 2 isteğe bağlı ders) ya da dil belgesi.</t>
        </is>
      </c>
      <c r="P9" s="29" t="inlineStr">
        <is>
          <t>Acreditación UNEDasiss (Calificación de Acceso ile)
PCE sınavları (ülke dışı diploma için devlet üniversitesinde)</t>
        </is>
      </c>
      <c r="Q9" s="29" t="n"/>
      <c r="R9" s="29" t="n"/>
      <c r="S9" s="29" t="inlineStr">
        <is>
          <t>UNEDasiss'in 'AB, Avrupa Yükseköğretim Alanı, IB, Avrupa Okulları, Çin ve Kolombiya' grubunda saydığı sistemler: Almanya, Andorra, Avusturya, Uluslararası Bakalorya, Belçika, Bulgaristan, Çekya, Çin, Kıbrıs, Kolombiya, Hırvatistan, Danimarka, Avrupa Okulları, Slovakya, Slovenya, Estonya, Finlandiya, Fransa, Yunanistan, Macaristan, İrlanda, İzlanda, İtalya, Letonya, Lihtenştayn, Litvanya, Lüksemburg, Malta, Norveç, Hollanda, Polonya, Portekiz, Birleşik Krallık, Romanya, İsveç ve İsviçre. Giriş sınavını geçmesi gereken yabancı sistem öğrencileri RD 534/2024'te ayrı bir grup olarak sayılır ve kabulleri LOE'nin ilgili ek maddesini geliştiren yönetmeliğe göre yapılır. UNEDasiss'in 'AB, Avrupa Yükseköğretim Alanı, IB, Avrupa Okulları, Çin ve Kolombiya' grubunda meslek diplomaları için diplomanın Orden EFD/550/2025'te yer alması ya da Eğitim, Meslek Eğitimi ve Spor Bakanlığı'nın olumlu raporunu alması gerekir.</t>
        </is>
      </c>
      <c r="T9" s="29" t="n"/>
    </row>
    <row r="10" ht="54" customHeight="1">
      <c r="A10" s="29" t="inlineStr">
        <is>
          <t>sevilla:ingreso-minimo-vital-ve-cocuk-destegi</t>
        </is>
      </c>
      <c r="B10" s="29" t="inlineStr">
        <is>
          <t>sevilla</t>
        </is>
      </c>
      <c r="C10" s="29" t="inlineStr">
        <is>
          <t>ingreso-minimo-vital-ve-cocuk-destegi</t>
        </is>
      </c>
      <c r="D10" s="29" t="inlineStr">
        <is>
          <t>İspanya'da Ingreso Mínimo Vital ve çocuk yardımı eki (complemento de ayuda para la infancia) kimlere verilir, yabancı için ikamet şartı nedir?</t>
        </is>
      </c>
      <c r="E10" s="29" t="inlineStr">
        <is>
          <t>Başvurudan önceki en az 1 yıl yasal ve fiilî ikamet aranır; AB dışı yabancıda oturum izniyle kanıtlanır; 2026 çocuk eki aylık 115, 80,50 ya da 57,50 €</t>
        </is>
      </c>
      <c r="F10" s="29" t="inlineStr">
        <is>
          <t>Ingreso Mínimo Vital (IMV, asgari yaşamsal gelir), ekonomik açıdan kırılgan durumdaki kişilere ve birlikte yaşayan birimlere (unidad de convivencia) verilir; yararlanıcılar (bireysel başvuranlar ve birim üyeleri) için başvurudan önceki en az bir yıl boyunca İspanya'da yasal ve fiilî, kesintisiz ikamet şarttır. Gelirin yanında varlık da aranır: oturduğun ev (vivienda habitual) hariç net varlığı bireysel yararlanıcıda 2026'da 26.409,60 € ve üzerinde olanlar ekonomik kırılgan sayılmaz (ayrıntı notta). AB, AEA ya da İsviçre vatandaşı olmayan yabancıda yasal ikamet, oturum izniyle (autorización de residencia, her türü) ya da AB vatandaşı aile üyesi kartıyla kanıtlanır; Türk vatandaşı bu ikinci gruba girer, yani oturum izninle ya da AB vatandaşının aile üyesiysen aile üyesi kartınla kanıtlarsın. Bir yıl şartı doğum, evlat edinme, çocukların aile birleşimi (reagrupación familiar), evlat edinme amaçlı koruma ya da kalıcı aile yanında bakımla birime katılan reşit olmayanlar için, ayrıca insan ticareti ve cinsel sömürü mağdurları ile toplumsal cinsiyete dayalı şiddet mağduru kadınlar için aranmaz. Reşit olmayan çocuğu olan birimler için çocuk eki (complemento de ayuda para la infancia) de vardır; 2026 için tutarı çocuğun 1 Ocak'ta tamamlanmış yaşına göre aylık 115 €, 80,50 € ya da 57,50 €'dur.</t>
        </is>
      </c>
      <c r="G10" s="29" t="inlineStr">
        <is>
          <t>ingreso mínimo vital, IMV, complemento de ayuda para la infancia, çocuk yardımı, Seguridad Social, ikamet şartı, aile yardımı</t>
        </is>
      </c>
      <c r="H10" s="29" t="inlineStr">
        <is>
          <t>new;settled</t>
        </is>
      </c>
      <c r="I10" s="29" t="inlineStr">
        <is>
          <t>sevilla:kaynak:106;sevilla:kaynak:107</t>
        </is>
      </c>
      <c r="J10" s="49" t="n">
        <v>46319</v>
      </c>
      <c r="K10" s="51" t="n">
        <v>9083</v>
      </c>
      <c r="L10" s="29" t="inlineStr">
        <is>
          <t>Hayır</t>
        </is>
      </c>
      <c r="M10" s="29" t="inlineStr">
        <is>
          <t>Taslak</t>
        </is>
      </c>
      <c r="N10" s="29" t="inlineStr">
        <is>
          <t>sevilla:aile</t>
        </is>
      </c>
      <c r="O10" s="29" t="inlineStr">
        <is>
          <t>Birimin (unidad de convivencia) başvurudan önceki en az altı ay kesintisiz oluşmuş olmalı; başvuru sahibi (titular) genel olarak en az 23 yaşında ve hukuki ehliyetli olmalı.
Yasal ve fiilî ikametini en az bir yıllık kesintisiz süre için oturum izninle (her türü) ya da AB vatandaşı aile üyesi kartınla, İspanya'daki adresini ise empadronamiento (belediye nüfus kaydı) belgesiyle kanıtla.
Kimlik olarak ülkenin kimlik belgesi, yabancı kimlik kartı (TIE) ya da pasaportunu ver; NIE belgelerde yoksa ayrıca ver.
Çocukların için libro de familia ya da Registro Civil'in verdiği doğum belgesini ekle.
Başvuruyu Seguridad Social'ın elektronik şubesindeki Servicio Ingreso Mínimo Vital üzerinden yap; IMV'yi ve çocuk ekini buradan talep edersin. Bilgi hattı 020'dir.
Aynı çocuk için, engeli olmayan ya da engel oranı %33'ün altında olan çocuk başına aile yardımı (asignación económica por hijo o menor a cargo) alıyorsan IMV ile birlikte alamazsın. IMV tutarı aile yardımından yüksekse IMV tanınır ve aile yardımı hakkı sona erer; IMV daha düşükse ve aile yardımını seçersen IMV başvurusu reddedilir.</t>
        </is>
      </c>
      <c r="P10" s="29" t="inlineStr">
        <is>
          <t>Kimlik belgesi: ülkenin kimlik belgesi, yabancı kimlik kartı (TIE) ya da pasaport (ve NIE)
Oturum izni (yasal ikamet için)
Empadronamiento belgesi (belediye nüfus kaydı)
Libro de familia ya da Registro Civil doğum belgesi (çocuklar için)</t>
        </is>
      </c>
      <c r="Q10" s="29" t="n"/>
      <c r="R10" s="29" t="inlineStr">
        <is>
          <t>2026 için çocuk eki, reşit olmayan her çocuk için aylık: 3 yaşından küçük 115 €; 3 yaşından büyük, 6 yaşından küçük 80,50 €; 6 yaşından büyük, 18 yaşından küçük 57,50 € (yaş, ilgili yılın 1 Ocak'ında tamamlanmış yaşa göre).</t>
        </is>
      </c>
      <c r="S10" s="29" t="inlineStr">
        <is>
          <t>2026'da bireysel yararlanıcı için aylık garantili gelir 733,6 €'dur; bir yetişkin ve bir çocuktan ya da iki yetişkinden oluşan birim için 953,68 €'dur. IMV tutarı, garantili gelirle kişinin ya da birimin gelirleri arasındaki farktır ve bu fark aylık 10 € ya da daha fazla olmalıdır. Çocuk eki, önceki yılın hesaba katılan geliri IMV'nin garantili tutarının %300'ünün altında ve net varlığı ilgili sınırların %150'sinin altında olan birimlere tanınır. Varlık sınırı: oturduğun ev (vivienda habitual) hariç net varlığı bireysel yararlanıcıda 2026'da 26.409,60 € ve üzerinde olanlar ekonomik kırılgan sayılmaz; birimlerde sınır, birimin büyüklüğüne ve yapısına göre yükselir (bir yetişkin ve bir çocuk için 36.973,44 €). Bunun yanında, oturduğun ev (vivienda habitual) hariç şirket dışı varlıkların değeri tek yetişkinli birimde 52.819,20 €'yu (bir yetişkin ve bir çocukta 73.946,88 €'yu) aşıyorsa net varlık değerlendirmesinden bağımsız olarak IMV'ye erişilemez. Birim üyelerinden biri faaliyeti sona ermemiş bir ticari şirketin yöneticisiyse (administrador de derecho) de ekonomik kırılgan sayılmazsın. Sayfa 2026 için geçerlidir.</t>
        </is>
      </c>
      <c r="T10" s="29" t="n"/>
    </row>
    <row r="11" ht="54" customHeight="1">
      <c r="A11" s="29" t="inlineStr">
        <is>
          <t>sevilla:mec-burslari-ab-disi-sart-ve-basvuru-donemi</t>
        </is>
      </c>
      <c r="B11" s="29" t="inlineStr">
        <is>
          <t>sevilla</t>
        </is>
      </c>
      <c r="C11" s="29" t="inlineStr">
        <is>
          <t>mec-burslari-ab-disi-sart-ve-basvuru-donemi</t>
        </is>
      </c>
      <c r="D11" s="29" t="inlineStr">
        <is>
          <t>İspanya'da Eğitim Bakanlığı (MEC) üniversite bursuna AB dışı vatandaş olarak başvurabilir miyim, hangi tutarlar verilir?</t>
        </is>
      </c>
      <c r="E11" s="29" t="inlineStr">
        <is>
          <t>AB dışı için üniversite bursu şartı: 18 yaşından küçük olmak ya da 31 Aralık 2025'te oturum izni almış olmak; tutarlar gelir eşiğine göre değişir (2026-2027)</t>
        </is>
      </c>
      <c r="F11" s="29" t="inlineStr">
        <is>
          <t>Koşullu evet: Bakanlığın üniversite (grado ve máster) bursunda genel şart İspanyol ya da AB üyesi devlet vatandaşı olmaktır; AB vatandaşı değilsen yabancıların hak ve özgürlüklerine ilişkin mevzuat uygulanır ve 18 yaşından küçüksen ya da 31 Aralık 2025 itibarıyla oturum izni (permiso de residencia) almışsan bursa hak kazanabilirsin; yalnız estancia izni (autorización de estancia) yetmez. 2026-2027 çağrısında üniversite bursunun tutarı aile gelirinin hangi eşikte olduğuna göre değişir; eşik değerleri aile biriminin üye sayısına göre belirlenir (örneğin 1 kişilik aile için yıllık 8.843 / 13.898 / 14.818 €, 4 kişilik aile için 22.107 / 38.242 / 40.773 €). Eşik 1'de ve altında: üniversiteye telafi edilen kayıt bursu, en az 1.700 € (gelire göre), öğrenim sırasında ikamet değiştirmen gerekiyorsa 2.700 €, 8 ve üzeri not için 50–125 € ve gelire ile nota göre hesaplanan değişken tutar. Eşik 2'de 1.700 € yoktur: kayıt bursu, değişken tutar, ikamet değişikliği için 2.700 € ve 8 ve üzeri not için 50–125 € verilir. Eşik 3'te kayıt bursu ve 8 ve üzeri not için en çok 125 € verilir; burs hakkı şu durumlarda yoktur: aile geliri eşik 3'ün üstündeyse; sermaye gelirleri ile değer artışı kazançları toplamı 2025'te 1.900 €'yu aşıyorsa; oturduğun ev dışındaki mülklerin katastro değeri çağrıdaki sınırları aşıyorsa; ticari faaliyet ve ortaklık gelirleri 2025'te 172.000 €'yu aşıyorsa. FP, bachillerato ve diğer üniversite dışı öğrenimlerin bursu için başvuru, Bakanlığın elektronik şubesi (sede electrónica) üzerinden yapılır ve süresi 19 Mayıs'ta sona ermiştir.</t>
        </is>
      </c>
      <c r="G11" s="29" t="inlineStr">
        <is>
          <t>MEC bursu, beca, becas y ayudas, AB dışı, oturum izni, sede electrónica, Ministerio de Educación, beca de matrícula</t>
        </is>
      </c>
      <c r="H11" s="29" t="inlineStr">
        <is>
          <t>planning;new;settled</t>
        </is>
      </c>
      <c r="I11" s="29" t="inlineStr">
        <is>
          <t>sevilla:kaynak:108;sevilla:kaynak:109</t>
        </is>
      </c>
      <c r="J11" s="49" t="n">
        <v>46319</v>
      </c>
      <c r="K11" s="51" t="n">
        <v>9084</v>
      </c>
      <c r="L11" s="29" t="inlineStr">
        <is>
          <t>Hayır</t>
        </is>
      </c>
      <c r="M11" s="29" t="inlineStr">
        <is>
          <t>Taslak</t>
        </is>
      </c>
      <c r="N11" s="29" t="inlineStr">
        <is>
          <t>sevilla:aile</t>
        </is>
      </c>
      <c r="O11" s="29" t="inlineStr">
        <is>
          <t>Önce uyruğuna bak: İspanyol ya da AB üyesi devlet vatandaşıysan genel şartı karşılarsın; AB vatandaşı değilsen 18 yaşından küçük olmalı ya da 31 Aralık 2025 itibarıyla oturum izni (permiso de residencia) almış olmalısın.
Üniversite bursunda diğer genel şartı da gör: aynı seviyede ya da daha yüksek bir diploman olmamalı.
Akademik şartları gör: ilk yıl grado için 60 kredi kaydı ve üniversiteye girişi sağlayan sınavda ya da öğrenimde en az 5 puan; sonraki yıllarda önceki yıl kredilerinin alana göre belirli yüzdesini başarmış olmak gerekir (ayrıntı notta).
FP, bachillerato ve diğer üniversite dışı bursların başvurusu Bakanlığın elektronik şubesinden (sede electrónica) yapılır: Cl@ve ya da elektronik sertifikanla ya da şubeye kayıtlı kullanıcı adı ve şifrenle giriş yap, çevrimiçi formu doldur.
FP, bachillerato ve diğer üniversite dışı öğrenimlerde başvuru süresi 19 Mayıs'ta sona erdi; form doldurulurken belge istenmez, gerekli verileri bursları yürüten birimler kendileri sorgular.</t>
        </is>
      </c>
      <c r="P11" s="29" t="n"/>
      <c r="Q11" s="29" t="n"/>
      <c r="R11" s="29" t="inlineStr">
        <is>
          <t>2026-2027 çağrısında üniversite bursu bileşenleri (kayıt bursu üniversiteye telafi edilir, hesabına yatmaz). Eşik 1'de ve altında: en az 1.700 €; öğrenim sırasında ikamet değiştirmen gerekiyorsa 2.700 €; 8 ve üzeri not için 50 € – 125 €; ayrıca gelire ve nota göre hesaplanan değişken tutar. Eşik 2: kayıt bursu, değişken tutar, ikamet değişikliği için 2.700 €, 8 ve üzeri not için 50 € – 125 €. Eşik 3: kayıt bursu ve 8 ve üzeri not için en çok 125 €.</t>
        </is>
      </c>
      <c r="S11" s="29" t="inlineStr">
        <is>
          <t>Ekonomik şart olarak 2025 yılı aile birimi geliri esas alınır. AB vatandaşıysan ve sen ya da ailen İspanya'da sürekli ikamet etmiyor veya çalıştığını göstermiyorsa yalnız kayıt bedelini alabilirsin. Alana göre sonraki yıl şartı: mühendislik, mimarlık ve fen bilimlerinde önceki yıl kredilerinin en az %65'ini, sağlık bilimlerinde en az %80'ini, sosyal ve hukuk bilimleri, sanat ve beşeri bilimlerde en az %90'ını başarmış olmak gerekir. Tutarlar Real Decreto 179/2026 ile belirlenen 2026-2027 dönemine aittir.</t>
        </is>
      </c>
      <c r="T11" s="29" t="n"/>
    </row>
    <row r="12" ht="54" customHeight="1">
      <c r="A12" s="29" t="inlineStr">
        <is>
          <t>sevilla:endulus-okul-kaydi-basvuru-donemi-ve-gec-gelen-ogrenci</t>
        </is>
      </c>
      <c r="B12" s="29" t="inlineStr">
        <is>
          <t>sevilla</t>
        </is>
      </c>
      <c r="C12" s="29" t="inlineStr">
        <is>
          <t>endulus-okul-kaydi-basvuru-donemi-ve-gec-gelen-ogrenci</t>
        </is>
      </c>
      <c r="D12" s="29" t="inlineStr">
        <is>
          <t>Endülüs'te okul kaydı ne zaman ve nasıl yapılır, eğitim yılı ortasında gelen çocuk nasıl kaydolur?</t>
        </is>
      </c>
      <c r="E12" s="29" t="inlineStr">
        <is>
          <t>Genel kural Mart ayı başvurusu ve Secretaría Virtual; yıl ortasında gelen öğrenci için olağanüstü usul (Decreto 21/2020 md. 51)</t>
        </is>
      </c>
      <c r="F12" s="29" t="inlineStr">
        <is>
          <t>Genel kural: Endülüs'te kamu ve devlet destekli özel (concertado) okullara başvuru Mart ayında yapılır; 2026/27 için dönem 1-31 Mart (ikisi dahil) olarak açıklanmıştır. Kesin tarihler yıldan yıla değişebilir, başvurmadan önce Junta'nın eğitim portalından güncel dönemi doğrula. Mart başvurusu 2. kademe Educación Infantil (3-5 yaş), Educación Primaria, ESO ve Bachillerato içindir. O yıl kamu ya da concertado bir okulda kayıtlı olup aynı okulda devam edecek öğrenci Mart'ta başvuru vermez. Bir etabın son sınıfında okuyup sonraki etabın ilk sınıfına bağlı (adscrito) olduğu okulda devam edecek öğrenci de Mart'ta başvuru vermez; çoklu bağlantı (adscripción múltiple) durumu bunun dışındadır. Başvuru okula kâğıtla (Anexo III) ya da elektronik olarak Secretaría Virtual üzerinden verilir; her öğrenci için tek başvuru yapılır ve süre dışı başvuru öncelik kaybettirir. Genel usul bittikten sonra gelen öğrenci (incorporación tardía) için olağanüstü usul vardır: başvuru, çocuğun kabul edilmek istendiği okula ya da eğitim idaresinin il organına yapılır; boş yer varsa okul müdürü kabul eder ve kaydı Séneca sistemiyle yapar, boş yer yoksa başvuru il organına gönderilir. İl organı yer gösterirse matrikül, bildirimden sonraki günden başlayarak iki iş günü içinde yapılmalıdır. Genelleştirilmesi zor (difícil generalización) özel kaynaklar gerektiren çocukta, okulda boş yer olsa bile başvuru yalnız okulun bu kaynakları varsa kabul edilir; yoksa başvuru il organına gönderilir ve il organı bu kaynaklara sahip bir okulda yer verir.</t>
        </is>
      </c>
      <c r="G12" s="29" t="inlineStr">
        <is>
          <t>okul kaydı, escolarización, admisión, Secretaría Virtual, incorporación tardía, procedimiento extraordinario, Decreto 21/2020, plaza escolar</t>
        </is>
      </c>
      <c r="H12" s="29" t="inlineStr">
        <is>
          <t>planning;new;settled</t>
        </is>
      </c>
      <c r="I12" s="29" t="inlineStr">
        <is>
          <t>sevilla:kaynak:136;sevilla:kaynak:137</t>
        </is>
      </c>
      <c r="J12" s="49" t="n">
        <v>46319</v>
      </c>
      <c r="K12" s="51" t="n">
        <v>9101</v>
      </c>
      <c r="L12" s="29" t="inlineStr">
        <is>
          <t>Hayır</t>
        </is>
      </c>
      <c r="M12" s="29" t="inlineStr">
        <is>
          <t>Taslak</t>
        </is>
      </c>
      <c r="N12" s="29" t="inlineStr">
        <is>
          <t>sevilla:aile</t>
        </is>
      </c>
      <c r="O12" s="29" t="inlineStr">
        <is>
          <t>Mart ayındaki genel başvuru döneminde tek bir başvuru formu doldur ve çocuğun öncelikle istediğin okulda (prioritario) başvurusunu ver; kâğıt için Anexo III'ü doldur, elektronik için Secretaría Virtual'ı kullan. Çocuk zaten kayıtlı olduğu okulda devam edecekse ya da bağlı (adscrito) okulda sonraki etabın ilk sınıfına geçecekse (çoklu bağlantı hariç) bu başvuru gerekmez.
Başvuruda en çok dört yedek (subsidiario) okul yazabilirsin; okulun kayıtlı başvuru kopyasını sakla.
Genel usul bittikten sonra geldiysen (taşınma, evlat edinme gibi acil okullaşma ihtiyacında) başvuruyu çocuğun gireceği okula ya da il eğitim organına ver.
Okulda boş yer varsa müdür başvuruyu kabul eder ve kaydı Séneca sisteminde yapar; yer yoksa başvuru il organına gider. Çocuk genelleştirilmesi zor özel kaynaklar gerektiriyorsa başvuru yalnız okulun bu kaynakları varsa kabul edilir; yoksa il organı bu kaynaklara sahip bir okulda yer verir.
İl organı sana yer gösterirse bildirimi izleyen günden başlayarak iki iş günü içinde atanan okulda matrikül yaptır.</t>
        </is>
      </c>
      <c r="P12" s="29" t="inlineStr">
        <is>
          <t>Başvuru formu: kâğıt için Anexo III, elektronik için Secretaría Virtual</t>
        </is>
      </c>
      <c r="Q12" s="29" t="inlineStr">
        <is>
          <t>Genel başvuru: Mart ayı (2026/27 için 1-31 Mart, ikisi dahil; kesin tarihler yıldan yıla değişebilir). Yıl ortası olağanüstü usul: genel usul bittikten sonra; il organı yer gösterirse matrikül için iki iş günü.</t>
        </is>
      </c>
      <c r="R12" s="29" t="n"/>
      <c r="S12" s="29" t="inlineStr">
        <is>
          <t>Mart başvurusu genel kuraldır; her yılın kesin tarihleri değişebileceğinden güncel dönemi başvurmadan önce Junta'nın eğitim portalından doğrula. Yıl ortasındaki başvuru için belirli bir tarih yoktur; usul genel usul bittikten sonra başlar. Genelleştirilmesi zor özel kaynaklar gerektiren çocuk için başvuru yalnız okulun bu kaynakları varsa kabul edilir; yoksa başvuru il organına gönderilir ve il organı bu kaynaklara sahip bir okulda yer verir.</t>
        </is>
      </c>
      <c r="T12" s="29" t="n"/>
    </row>
    <row r="13" ht="54" customHeight="1">
      <c r="A13" s="29" t="inlineStr">
        <is>
          <t>sevilla:sevilla-kres-escuela-infantil-0-3-yas-basvurusu</t>
        </is>
      </c>
      <c r="B13" s="29" t="inlineStr">
        <is>
          <t>sevilla</t>
        </is>
      </c>
      <c r="C13" s="29" t="inlineStr">
        <is>
          <t>sevilla-kres-escuela-infantil-0-3-yas-basvurusu</t>
        </is>
      </c>
      <c r="D13" s="29" t="inlineStr">
        <is>
          <t>Sevilla'da 0-3 yaş kreş (escuela infantil) başvurusu nasıl yapılır, ne zaman?</t>
        </is>
      </c>
      <c r="E13" s="29" t="inlineStr">
        <is>
          <t>16 haftalıktan 3 yaşa kadar; yeni başvuru her yıl Nisan'da, devam edenlerin yer ayırtma başvurusu Mart'ta başlar (2026/27'de 6 Nisan'a kadar sürdü)</t>
        </is>
      </c>
      <c r="F13" s="29" t="inlineStr">
        <is>
          <t>Junta de Andalucía'nın escuela infantil (0-3 yaş kreş) kayıtları 16 haftalıktan üç yaşına kadar olan çocuklar içindir; çocuğa bakan kişinin idari ikametinin (vecindad administrativa) Endülüs'te olması gerekir. Kreşe ilk kez girecekse yeni kabul (nueva admisión) başvurusu her yıl Nisan'da, eylülde başlayan eğitim yılı için yapılır; 2026/27 için dönem 1-30 Nisan 2026'ydı. Aynı kreşte devam edecek çocuklar için yer ayırtma (reserva de plaza) başvurusu Mart'ta başlar ve genel kurala göre bir ya da iki hafta açık kalır; 2026/27'de 16 Mart-6 Nisan 2026 arasındaydı, yani Nisan'ın başına kadar sürdü. Başvuru yılında üç yaşını dolduracak çocuk için kreş yeri istenemez. Bu süreç Junta'ya ait kreşler ile aile yardımı programına bağlı kreşler için işler.</t>
        </is>
      </c>
      <c r="G13" s="29" t="inlineStr">
        <is>
          <t>kreş, escuela infantil, 0-3 yaş, nueva admisión, reserva de plaza, Junta de Andalucía, Secretaría Virtual, Sevilla kreş başvurusu</t>
        </is>
      </c>
      <c r="H13" s="29" t="inlineStr">
        <is>
          <t>planning;new</t>
        </is>
      </c>
      <c r="I13" s="29" t="inlineStr">
        <is>
          <t>sevilla:kaynak:248;sevilla:kaynak:250</t>
        </is>
      </c>
      <c r="J13" s="49" t="n">
        <v>46319</v>
      </c>
      <c r="K13" s="51" t="n">
        <v>900</v>
      </c>
      <c r="L13" s="29" t="inlineStr">
        <is>
          <t>Evet</t>
        </is>
      </c>
      <c r="M13" s="29" t="inlineStr">
        <is>
          <t>Taslak</t>
        </is>
      </c>
      <c r="N13" s="29" t="inlineStr">
        <is>
          <t>sevilla:aile</t>
        </is>
      </c>
      <c r="O13" s="29" t="inlineStr">
        <is>
          <t>Çocuğun yaşını ve ikametini kontrol et: 16 haftalık ile üç yaş arasında olmalı ve çocuğa bakan kişinin idari ikameti Endülüs'te olmalı.
Çocuk kreşe ilk kez gidecekse Nisan'da yeni kabul başvurusu ver; form kreşlerde, Delegación Territorial'lerde ve Escolarización portalında bulunur.
Çocuk bu yıl Junta'ya ait ya da yardım programına bağlı bir kreşe kayıtlıysa ve orada devam edecekse Mart'taki yer ayırtma başvurusunu ver; yeni kabul başvurusu yapma.
İstersen başvuruyu Secretaría Virtual üzerinden elektronik ver; bunun için dijital sertifikan olmalı.
Sonucu Mayıs'ta kreşin ilan panosunda yayımlanan listelerden izle.</t>
        </is>
      </c>
      <c r="P13" s="29" t="inlineStr">
        <is>
          <t>Başvuru formu (kreşlerden, Delegación Territorial'den ya da Escolarización portalından); elektronik başvuruda dijital sertifika</t>
        </is>
      </c>
      <c r="Q13" s="29" t="inlineStr">
        <is>
          <t>Yeni kabul: her yıl Nisan (2026/27 için 1-30 Nisan 2026). Yer ayırtma: Mart (2026/27 için 16 Mart-6 Nisan 2026).</t>
        </is>
      </c>
      <c r="R13" s="29" t="n"/>
      <c r="S13" s="29" t="inlineStr">
        <is>
          <t>Yukarıdaki tarihler 2026/27 eğitim yılı takvimidir; sonraki yıllarda tarihler yeni takvimle yayımlanır, Nisan ayı yeni kabul için her yıl geçerli kuraldır.</t>
        </is>
      </c>
      <c r="T13" s="29" t="n"/>
    </row>
    <row r="14" ht="54" customHeight="1">
      <c r="A14" s="29" t="inlineStr">
        <is>
          <t>sevilla:sevilla-kres-sonuc-matrikul-bekleme-listesi-ve-olaganustu-basvuru</t>
        </is>
      </c>
      <c r="B14" s="29" t="inlineStr">
        <is>
          <t>sevilla</t>
        </is>
      </c>
      <c r="C14" s="29" t="inlineStr">
        <is>
          <t>sevilla-kres-sonuc-matrikul-bekleme-listesi-ve-olaganustu-basvuru</t>
        </is>
      </c>
      <c r="D14" s="29" t="inlineStr">
        <is>
          <t>Sevilla'da kreş başvurusundan sonra neler olur: sonuç, matrikül, bekleme listesi ve yeniden yerleştirme?</t>
        </is>
      </c>
      <c r="E14" s="29" t="inlineStr">
        <is>
          <t>Mayıs'ta puan listesi ve sonuç, Haziran'da matrikül; yer çıkmazsa yeniden yerleştirme ve Temmuz'da olağanüstü kabul</t>
        </is>
      </c>
      <c r="F14" s="29" t="inlineStr">
        <is>
          <t>Kreş başvurusunun ardından sırasıyla puan listesi, itiraz süresi, sonuç ve matrikül gelir. 2026/27 takviminde geçici puan listesi 7 Mayıs 2026'da yayımlandı, itiraz (alegaciones) süresi 8-21 Mayıs'tı, kabul sonucu 27 Mayıs'ta açıklandı. Kabul edilenlerin matrikülü 1-10 Haziran, bekleme listesindekilerin matrikülü 11-17 Haziran'dı. Kabul edilip matrikül yaptırmayanların başvurusu 18 Haziran'da vazgeçilmiş sayıldı. Yer bulamayanlar 19-25 Haziran'da yeniden yerleştirme (reubicación) isteyebildi; yer verilenler 26-30 Haziran'da matrikül yaptırdı. Olağanüstü kabul usulü (procedimiento extraordinario) 1 Temmuz'dan itibaren işler.</t>
        </is>
      </c>
      <c r="G14" s="29" t="inlineStr">
        <is>
          <t>kreş sonucu, matrikül, bekleme listesi, reubicación, renuncia, procedimiento extraordinario, Anexo, escuela infantil</t>
        </is>
      </c>
      <c r="H14" s="29" t="inlineStr">
        <is>
          <t>planning;new</t>
        </is>
      </c>
      <c r="I14" s="29" t="inlineStr">
        <is>
          <t>sevilla:kaynak:249;sevilla:kaynak:250</t>
        </is>
      </c>
      <c r="J14" s="49" t="n">
        <v>46319</v>
      </c>
      <c r="K14" s="51" t="n">
        <v>901</v>
      </c>
      <c r="L14" s="29" t="inlineStr">
        <is>
          <t>Hayır</t>
        </is>
      </c>
      <c r="M14" s="29" t="inlineStr">
        <is>
          <t>Taslak</t>
        </is>
      </c>
      <c r="N14" s="29" t="inlineStr">
        <is>
          <t>sevilla:aile</t>
        </is>
      </c>
      <c r="O14" s="29" t="inlineStr">
        <is>
          <t>Mayıs'ta geçici puan listesine bak; puana itirazın varsa itiraz süresi içinde başvur (2026/27'de 8-21 Mayıs).
Kabul edildiysen matrikülü Haziran başında yaptır (2026/27'de 1-10 Haziran); bekleme listesindeysen matrikül dönemini izle (2026/27'de 11-17 Haziran).
Yer istemiyorsan Anexo VII (renuncia) formunu, kreşi değiştirmek istiyorsan Anexo VIII (cambio de centro) formunu, kreşten ayrılırken Anexo VI (baja) formunu kullan.
Yer bulamadıysan Anexo IV formuyla yeniden yerleştirme iste (2026/27'de 19-25 Haziran); yer verilirse hemen sonra matrikül yaptır (26-30 Haziran).
Hâlâ yer yoksa Temmuz'dan itibaren işleyen olağanüstü kabul için Anexo V formunu doldur.</t>
        </is>
      </c>
      <c r="P14" s="29" t="inlineStr">
        <is>
          <t>Anexo IV (yeniden yerleştirme)
Anexo V (olağanüstü kabul)
Anexo VI (kreşten ayrılma)
Anexo VII (vazgeçme)
Anexo VIII (kreş değiştirme)</t>
        </is>
      </c>
      <c r="Q14" s="29" t="inlineStr">
        <is>
          <t>2026/27 takvimi: puan listesi 7 Mayıs, itiraz 8-21 Mayıs, sonuç 27 Mayıs, matrikül 1-10 Haziran, bekleme listesi matrikülü 11-17 Haziran, yeniden yerleştirme başvurusu 19-25 Haziran, olağanüstü kabul 1 Temmuz'dan itibaren.</t>
        </is>
      </c>
      <c r="R14" s="29" t="n"/>
      <c r="S14" s="29" t="inlineStr">
        <is>
          <t>Tarihler 2026/27 eğitim yılı takvimidir; her yıl yeni takvim yayımlanır ve sıra aynı kalır.</t>
        </is>
      </c>
      <c r="T14" s="29" t="n"/>
    </row>
    <row r="15" ht="54" customHeight="1">
      <c r="A15" s="29" t="inlineStr">
        <is>
          <t>sevilla:sevilla-kres-ucret-yardimi-programa-de-ayuda-a-las-familias</t>
        </is>
      </c>
      <c r="B15" s="29" t="inlineStr">
        <is>
          <t>sevilla</t>
        </is>
      </c>
      <c r="C15" s="29" t="inlineStr">
        <is>
          <t>sevilla-kres-ucret-yardimi-programa-de-ayuda-a-las-familias</t>
        </is>
      </c>
      <c r="D15" s="29" t="inlineStr">
        <is>
          <t>Sevilla'da 0-3 yaş kreş için aile yardımı programı (Programa de ayuda a las familias) nasıl istenir?</t>
        </is>
      </c>
      <c r="E15" s="29" t="inlineStr">
        <is>
          <t>Junta'nın yıllık programı: yardım her eğitim yılı için ayrıca istenir, 2026/27'de başvuru 7 Nisan-6 Mayıs'tı</t>
        </is>
      </c>
      <c r="F15" s="29" t="inlineStr">
        <is>
          <t>Junta de Andalucía, üç yaşından küçük çocukların birinci kademe Educación Infantil merkezlerinde okullaşmasını teşvik etmek için ailelere yönelik bir yardım programı yürütür. Program yıllıktır; yardım her eğitim yılı için ayrıca istenmelidir. 2026/27 için yardım başvuru dönemi 7 Nisan-6 Mayıs 2026'ydı ve kreşte yer ayırtma ya da normal kabul sürecine katılan çocukları kapsıyordu. Programa bağlı (adherido) kreşler, kabul sürecine Junta'ya ait kreşlerle aynı takvimde katılır.</t>
        </is>
      </c>
      <c r="G15" s="29" t="inlineStr">
        <is>
          <t>kreş yardımı, Programa de ayuda a las familias, escuela infantil, 0-3 yaş, aile yardımı, Junta de Andalucía</t>
        </is>
      </c>
      <c r="H15" s="29" t="inlineStr">
        <is>
          <t>planning;new</t>
        </is>
      </c>
      <c r="I15" s="29" t="inlineStr">
        <is>
          <t>sevilla:kaynak:248;sevilla:kaynak:250</t>
        </is>
      </c>
      <c r="J15" s="49" t="n">
        <v>46319</v>
      </c>
      <c r="K15" s="51" t="n">
        <v>902</v>
      </c>
      <c r="L15" s="29" t="inlineStr">
        <is>
          <t>Hayır</t>
        </is>
      </c>
      <c r="M15" s="29" t="inlineStr">
        <is>
          <t>Taslak</t>
        </is>
      </c>
      <c r="N15" s="29" t="inlineStr">
        <is>
          <t>sevilla:aile</t>
        </is>
      </c>
      <c r="O15" s="29" t="inlineStr">
        <is>
          <t>Çocuğun gideceği kreşin Junta'ya ait ya da yardım programına bağlı bir kreş olup olmadığını kreşin kendisinden öğren.
Kreş yeri için yer ayırtma ya da normal kabul başvurunu yap.
Yardım başvurusunu da aynı eğitim yılı için ayrıca yap; 2026/27'de dönem 7 Nisan-6 Mayıs 2026'ydı. Formu Escolarización portalının 0-3 yaş formlar sayfasından indir.
Eğitim yılı değiştiğinde yardım için yeniden başvur.</t>
        </is>
      </c>
      <c r="P15" s="29" t="inlineStr">
        <is>
          <t>Yardım başvuru formu (Escolarización portalının 0-3 yaş formlar sayfasında)</t>
        </is>
      </c>
      <c r="Q15" s="29" t="inlineStr">
        <is>
          <t>Yıllık; 2026/27 için başvuru 7 Nisan-6 Mayıs 2026.</t>
        </is>
      </c>
      <c r="R15" s="29" t="n"/>
      <c r="S15" s="29" t="inlineStr">
        <is>
          <t>Yardım her eğitim yılı için yeniden istenir; geçen yılın başvurusu yeni yıla geçmez.</t>
        </is>
      </c>
      <c r="T15" s="29" t="n"/>
    </row>
    <row r="16" ht="54" customHeight="1">
      <c r="A16" s="29" t="inlineStr">
        <is>
          <t>sevilla:sevilla-atal-ispanyolca-bilmeyen-cocuk-icin-okul-destegi</t>
        </is>
      </c>
      <c r="B16" s="29" t="inlineStr">
        <is>
          <t>sevilla</t>
        </is>
      </c>
      <c r="C16" s="29" t="inlineStr">
        <is>
          <t>sevilla-atal-ispanyolca-bilmeyen-cocuk-icin-okul-destegi</t>
        </is>
      </c>
      <c r="D16" s="29" t="inlineStr">
        <is>
          <t>Sevilla'daki devlet okullarında İspanyolca bilmeyen yabancı çocuklar için ATAL desteği nedir?</t>
        </is>
      </c>
      <c r="E16" s="29" t="inlineStr">
        <is>
          <t>Okul saatinde, özel öğretmenle verilen İspanyolca programı; ilkokul ve ESO'daki devlet okullarında</t>
        </is>
      </c>
      <c r="F16" s="29" t="inlineStr">
        <is>
          <t>ATAL (Aulas Temporales de Adaptación Lingüística, geçici dil uyum sınıfları), İspanyolca bilmeyen yabancı öğrencilere okul saatinde, bu iş için görevli öğretmenlerce verilen bir İspanyolca öğretim programıdır. Programda çocuğun okula ve çevreye uyumu, İspanyolcanın ders dili olarak öğrenilmesi ve köken kültürünün korunması hedeflenir. Endülüs Eğitim Bakanlığı (Consejería de Educación) programı devlet okullarının Educación Primaria ve ESO kademelerinde uygular; ders normalde çocuğun kendi sınıfında yürür, dili anlama ve konuşmada özel zorluk varsa sınıf dışı destek grupları kurulabilir ve çocuk dil artık belirleyici olmadığında sınıfa tam döner. ATAL öğretmeni üç ayda bir (trimestre başına) her çocuk için bireysel bir ilerleme raporu yazar ve sınıf öğretmenine verir.</t>
        </is>
      </c>
      <c r="G16" s="29" t="inlineStr">
        <is>
          <t>ATAL, İspanyolca desteği, yabancı öğrenci, Aulas Temporales de Adaptación Lingüística, Endülüs okul, ilkokul, ESO, uyum sınıfı</t>
        </is>
      </c>
      <c r="H16" s="29" t="inlineStr">
        <is>
          <t>new;settled</t>
        </is>
      </c>
      <c r="I16" s="29" t="inlineStr">
        <is>
          <t>sevilla:kaynak:251;sevilla:kaynak:246</t>
        </is>
      </c>
      <c r="J16" s="49" t="n">
        <v>46319</v>
      </c>
      <c r="K16" s="51" t="n">
        <v>907</v>
      </c>
      <c r="L16" s="29" t="inlineStr">
        <is>
          <t>Hayır</t>
        </is>
      </c>
      <c r="M16" s="29" t="inlineStr">
        <is>
          <t>Taslak</t>
        </is>
      </c>
      <c r="N16" s="29" t="inlineStr">
        <is>
          <t>sevilla:aile</t>
        </is>
      </c>
      <c r="O16" s="29" t="inlineStr">
        <is>
          <t>Çocuğun okula kayıtlı olduğu devlet okulunun yönetimine İspanyolca bilmediğini bildir ve ATAL desteğini sor.
Henüz okul belirlemediysen sorularını Sevilla'daki Delegación Territorial de Educación'a 955034200 numarasından ilet.
Çocuk destek grubuna alınırsa dersin bir kısmını sınıf dışında İspanyolcayla geçirir; dili yeterince öğrendiğinde sınıfa tam döner.
Üç ayda bir hazırlanan ilerleme raporunu sınıf öğretmeninden iste.</t>
        </is>
      </c>
      <c r="P16" s="29" t="n"/>
      <c r="Q16" s="29" t="inlineStr">
        <is>
          <t>Okul saatinde, öğretim yılı boyunca</t>
        </is>
      </c>
      <c r="R16" s="29" t="n"/>
      <c r="S16" s="29" t="inlineStr">
        <is>
          <t>Program devlet okullarının Educación Primaria ve ESO kademelerinde uygulanır.</t>
        </is>
      </c>
      <c r="T16" s="29" t="n"/>
    </row>
    <row r="17" ht="54" customHeight="1">
      <c r="A17" s="29" t="inlineStr">
        <is>
          <t>sevilla:sevilla-yenidogan-bebek-nufus-kaydi-registro-civil</t>
        </is>
      </c>
      <c r="B17" s="29" t="inlineStr">
        <is>
          <t>sevilla</t>
        </is>
      </c>
      <c r="C17" s="29" t="inlineStr">
        <is>
          <t>sevilla-yenidogan-bebek-nufus-kaydi-registro-civil</t>
        </is>
      </c>
      <c r="D17" s="29" t="inlineStr">
        <is>
          <t>Sevilla'da doğan bebeğin nüfus kaydı (Registro Civil) nerede ve hangi şartlarla yapılır?</t>
        </is>
      </c>
      <c r="E17" s="29" t="inlineStr">
        <is>
          <t>Sevilla'daki Registro Civil exclusivo Nº1; doğumdan 24 saat sonra 8 güne kadar süre, anne-baba evli olup olmamasına göre farklı usul</t>
        </is>
      </c>
      <c r="F17" s="29" t="inlineStr">
        <is>
          <t>Sevilla'da bebeğin kaydı Registro Civil exclusivo Nº1 de Sevilla'da yapılır. Bu ofis, Sevilla'da doğan bebekleri ya da Sevilla dışında doğmuş olsa da anne-babası kayıttan en az üç ay önce Sevilla'da empadronado (belediye kaydı) olanları, ya da ikisinin DNI'sinde aynı Sevilla adresi görünenleri kaydeder. Doğum kaydı için süre, doğumdan 24 saat sonra başlar ve 8 gündür; olağanüstü durumlarda 30 güne uzayabilir. Anne-baba evliyse biri ya da yetkilendirdiği kişi gelebilir; ilk çocuksa beyan formunu ikisi de imzalar ve soyadının babanınki mi annenin mi önce geleceğini gözlemler bölümüne yazar. Evli olmayan çiftlerde anne ve baba birlikte gelmek zorundadır. Kaydı yapılan ilk ortak çocuk için evli olmayan çiftlere aile cüzdanı (libro de familia) verilir.</t>
        </is>
      </c>
      <c r="G17" s="29" t="inlineStr">
        <is>
          <t>bebek kaydı, doğum kaydı, Registro Civil Sevilla, nüfus kaydı, libro de familia, empadronamiento, cita previa</t>
        </is>
      </c>
      <c r="H17" s="29" t="inlineStr">
        <is>
          <t>new;settled</t>
        </is>
      </c>
      <c r="I17" s="29" t="inlineStr">
        <is>
          <t>sevilla:kaynak:252;sevilla:kaynak:254</t>
        </is>
      </c>
      <c r="J17" s="49" t="n">
        <v>46319</v>
      </c>
      <c r="K17" s="51" t="n">
        <v>908</v>
      </c>
      <c r="L17" s="29" t="inlineStr">
        <is>
          <t>Evet</t>
        </is>
      </c>
      <c r="M17" s="29" t="inlineStr">
        <is>
          <t>Taslak</t>
        </is>
      </c>
      <c r="N17" s="29" t="inlineStr">
        <is>
          <t>sevilla:aile</t>
        </is>
      </c>
      <c r="O17" s="29" t="inlineStr">
        <is>
          <t>Hastanenin verdiği sarı formu (impreso amarillo) anne-baba olarak ön ve arka yüzüyle doldur.
Kayıt yerini belirle: Sevilla'da doğduysa ya da anne-baba kayıttan üç ay önce Sevilla'da empadronado ise ya da ikisinin DNI'sinde aynı Sevilla adresi varsa Sevilla'daki Registro Civil'e başvur.
Anne-baba evliyse biri (ya da yetkilendirdiği kişi) gelebilir; ilk çocuksa beyan formunu ikisi de imzalar ve soyadı tercihini gözlemler kısmına yazar. Evli değillerse ikisi birlikte gider.
Cita previa (randevu) için Adalet Bakanlığı'nın çevrim içi randevu sayfasını kullan ya da 600 15 80 95 numarasını ara; DNI'n yoksa aynı numaradan hangi kimlikle gelebileceğini sor.
Anne boşanmışsa boşanma kararını ya da boşanmanın yazılı olduğu evlilik belgesini götür; baba reşit değilse expedientes bölümünden randevu al; anne reşit değilse velisiyle birlikte gel.</t>
        </is>
      </c>
      <c r="P17" s="29" t="inlineStr">
        <is>
          <t>Hastanenin sarı formu (ön ve arka yüz)
Anne-babanın DNI'si (DNI'n yoksa kimlik için 600 15 80 95'i ara)
Sevilla dışında doğan bebek için anne-babanın empadronamiento belgesi
Boşanmış anne için boşanma kararı ya da boşanmanın yazılı olduğu evlilik belgesi</t>
        </is>
      </c>
      <c r="Q17" s="29" t="inlineStr">
        <is>
          <t>Doğumdan 24 saat sonra başlar, 8 güne kadar; olağanüstü durumda 30 güne kadar uzayabilir.</t>
        </is>
      </c>
      <c r="R17" s="29" t="n"/>
      <c r="S17" s="29" t="inlineStr">
        <is>
          <t>Bazı sağlık merkezlerinde kayıt, anne-babanın merkezde imzaladığı resmî formla ve doktor raporunun elektronik gönderilmesiyle yapılır; bu durumda çoğunlukla Registro Civil ofisine gitmek gerekmez.</t>
        </is>
      </c>
      <c r="T17" s="29" t="n"/>
    </row>
    <row r="18" ht="54" customHeight="1">
      <c r="A18" s="29" t="inlineStr">
        <is>
          <t>sevilla:sevilla-dogum-sonrasi-saglik-sosyal-guvenlik-ve-padron-adimlari</t>
        </is>
      </c>
      <c r="B18" s="29" t="inlineStr">
        <is>
          <t>sevilla</t>
        </is>
      </c>
      <c r="C18" s="29" t="inlineStr">
        <is>
          <t>sevilla-dogum-sonrasi-saglik-sosyal-guvenlik-ve-padron-adimlari</t>
        </is>
      </c>
      <c r="D18" s="29" t="inlineStr">
        <is>
          <t>Sevilla'da doğumdan sonra hangi sağlık ve kayıt adımlarını sırayla yapmalısın?</t>
        </is>
      </c>
      <c r="E18" s="29" t="inlineStr">
        <is>
          <t>Taburcu belgeleri, lohusa ziyareti, topuk testi, Seguridad Social kaydı, sağlık kartı ve empadronamiento</t>
        </is>
      </c>
      <c r="F18" s="29" t="inlineStr">
        <is>
          <t>Doğum her şey yolundaysa 36-48 saat içinde taburcu ile sonuçlanır ve bu sırada anne ile bebeğin hastane çıkış raporu ile doğum belgesi verilir. Sonra sırayla: sağlık merkezinde randevular (lohusa ziyareti doğumdan 5-9 gün sonra ve bebeğin sağlık izlem programı), yaklaşık üçüncü günde topuk testi, Registro Civil kaydı, Seguridad Social'a (INSS) bebeğin kaydı, ardından sağlık kartı (tarjeta sanitaria) ve bebeğin oturduğun yerin belediyesinde padrón kaydı gelir. Hamilelik sırasında cinsel ve üreme sağlığı sorularını 7/24 ücretsiz 900 850 100 hattına sorabilirsin.</t>
        </is>
      </c>
      <c r="G18" s="29" t="inlineStr">
        <is>
          <t>doğum sonrası, taburcu, lohusa ziyareti, topuk testi, prueba del talón, Seguridad Social, tarjeta sanitaria, empadronamiento, libro de familia</t>
        </is>
      </c>
      <c r="H18" s="29" t="inlineStr">
        <is>
          <t>new</t>
        </is>
      </c>
      <c r="I18" s="29" t="inlineStr">
        <is>
          <t>sevilla:kaynak:254;sevilla:kaynak:273</t>
        </is>
      </c>
      <c r="J18" s="49" t="n">
        <v>46319</v>
      </c>
      <c r="K18" s="51" t="n">
        <v>909</v>
      </c>
      <c r="L18" s="29" t="inlineStr">
        <is>
          <t>Hayır</t>
        </is>
      </c>
      <c r="M18" s="29" t="inlineStr">
        <is>
          <t>Taslak</t>
        </is>
      </c>
      <c r="N18" s="29" t="inlineStr">
        <is>
          <t>sevilla:aile</t>
        </is>
      </c>
      <c r="O18" s="29" t="inlineStr">
        <is>
          <t>Taburcu olurken anne ve bebeğin hastane çıkış raporunu ve doğum belgesini (certificado de nacimiento) al.
Sağlık merkezinden lohusa ziyareti (doğumdan 5-9 gün sonra) ve bebeğin sağlık izlem programı için randevu iste.
Topuk testini (prueba del talón) yaklaşık üçüncü günde yaptır; randevu gerekmez, sağlık merkezinde ya da tatil günlerinde acil birimlerinde yapılır.
Bebeği Registro Civil'e kaydettir ve libro de familia'yı al.
Bebeği INSS'in CAISS merkezlerinde ya da 'Tu Seguridad Social' sitesinden Seguridad Social'a kaydet; yüz yüze ya da posta yoluyla kayıtta Junta'nın sayfası libro de familia, DNI ve yararlanıcı başvuru formunu sayar; DNI'n yoksa hangi kimlikle başvurabileceğini INSS'in bilgi hattından (91 542 11 76 ya da 901 16 65 65) sor.
Seguridad Social kaydından sonra bebek için sağlık kartı iste ve bebeği oturduğun yerin belediyesinde padrón'a yazdır.</t>
        </is>
      </c>
      <c r="P18" s="29" t="inlineStr">
        <is>
          <t>Hastane çıkış raporu ve doğum belgesi
Libro de familia (ya da güncellenmemişse doğumun tam metin sertifikasıyla birlikte)
DNI (yüz yüze ya da posta yoluyla kayıtta; DNI'n yoksa INSS bilgi hattını ara: 91 542 11 76 ya da 901 16 65 65)
Seguridad Social yararlanıcı başvuru formu</t>
        </is>
      </c>
      <c r="Q18" s="29" t="inlineStr">
        <is>
          <t>Taburcu: normalde 36-48 saat; lohusa ziyareti 5.-9. gün; topuk testi yaklaşık 3. gün.</t>
        </is>
      </c>
      <c r="R18" s="29" t="n"/>
      <c r="S18" s="29" t="inlineStr">
        <is>
          <t>Seguridad Social'a elektronik kayıt Tu Seguridad Social sitesinden yapılır.</t>
        </is>
      </c>
      <c r="T18" s="29" t="n"/>
    </row>
    <row r="19" ht="54" customHeight="1">
      <c r="A19" s="29" t="inlineStr">
        <is>
          <t>sevilla:sevilla-registro-civil-hangi-islem-icin-hangi-telefon</t>
        </is>
      </c>
      <c r="B19" s="29" t="inlineStr">
        <is>
          <t>sevilla</t>
        </is>
      </c>
      <c r="C19" s="29" t="inlineStr">
        <is>
          <t>sevilla-registro-civil-hangi-islem-icin-hangi-telefon</t>
        </is>
      </c>
      <c r="D19" s="29" t="inlineStr">
        <is>
          <t>Sevilla Registro Civil'de doğum belgesi, evlilik, babalık tanıma ve diğer işlemler için hangi numara aranır?</t>
        </is>
      </c>
      <c r="E19" s="29" t="inlineStr">
        <is>
          <t>İşleme göre ayrı telefon hatları ve babalık tanıma (reconocimiento de paternidad) için gerekenler</t>
        </is>
      </c>
      <c r="F19" s="29" t="inlineStr">
        <is>
          <t>Sevilla'daki Registro Civil exclusivo Nº1'in her işlem için ayrı bir telefon hattı var. Genel bilgi için 600 15 80 95 ya da 955 51 00 56; doğum, evlilik ve ölüm sertifikaları için 600 15 80 84; yeni doğan kaydı için 600 15 80 95; dinî nikâh için 600 15 80 91 ya da 955 51 00 39; medeni nikâh için 955 51 00 40; ölüm kaydı için 600 15 80 93; tanıma, soyadı sırası değişikliği gibi kenar not işlemleri için 600 15 80 92; vatandaşlık, hata düzeltme, ad-soyad değişikliği ve gecikmiş doğum kaydı gibi işlemler için 600 15 80 85 ya da 600 15 80 88. Sevilla Registro Civil sayfasına göre babalık tanıma için iki ebeveyn DNI'siyle birlikte gelir; DNI'n yoksa tanıma işlemlerinin hattı 600 15 80 92'den hangi kimlikle gelebileceğini sor. Baba Sevilla'da oturuyor olmalı ve tanınan kişinin doğum sertifikası (certificado literal de nacimiento) gerekir.</t>
        </is>
      </c>
      <c r="G19" s="29" t="inlineStr">
        <is>
          <t>Registro Civil Sevilla, telefon, doğum sertifikası, medeni nikâh, babalık tanıma, reconocimiento de paternidad, certificado literal, cita previa</t>
        </is>
      </c>
      <c r="H19" s="29" t="inlineStr">
        <is>
          <t>new;settled</t>
        </is>
      </c>
      <c r="I19" s="29" t="inlineStr">
        <is>
          <t>sevilla:kaynak:252;sevilla:kaynak:253</t>
        </is>
      </c>
      <c r="J19" s="49" t="n">
        <v>46319</v>
      </c>
      <c r="K19" s="51" t="n">
        <v>910</v>
      </c>
      <c r="L19" s="29" t="inlineStr">
        <is>
          <t>Hayır</t>
        </is>
      </c>
      <c r="M19" s="29" t="inlineStr">
        <is>
          <t>Taslak</t>
        </is>
      </c>
      <c r="N19" s="29" t="inlineStr">
        <is>
          <t>sevilla:aile</t>
        </is>
      </c>
      <c r="O19" s="29" t="inlineStr">
        <is>
          <t>Yapmak istediğin işlemi yukarıdaki hatlardan uygun olana bağla; genel soru için 955 51 00 56 numarasını ya da registrocivil.sevilla@justicia.es adresini kullan.
Medeni nikâh için registro.SE.matrimonio.jus@juntadeandalucia.es adresine yaz ya da 955 51 00 40 numarasını ara; belgeleri topla, cita previa al, çift ve bir tanıkla görüş ve törende iki tanık getir.
Babalık tanıma için anne ve baba DNI'leriyle birlikte gelinir; DNI'n yoksa 600 15 80 92'yi arayıp hangi kimlikle gelebileceğini sor. Baba Sevilla'da oturuyorsa ve padrón kaydı sunuyorsa işlem Sevilla'da yapılır.
Tanınan kişi 12 yaşından büyükse o da gelmelidir; reşitse tanınan gelir, anne gelmez.
Randevuyu Adalet Bakanlığı'nın çevrim içi cita previa sayfasından al.</t>
        </is>
      </c>
      <c r="P19" s="29" t="inlineStr">
        <is>
          <t>Babalık tanıma için: iki ebeveynin DNI'si (DNI'n yoksa 600 15 80 92'yi ara), babanın padrón kaydı, tanınan kişinin certificado literal de nacimiento'su</t>
        </is>
      </c>
      <c r="Q19" s="29" t="n"/>
      <c r="R19" s="29" t="n"/>
      <c r="S19" s="29" t="n"/>
      <c r="T19" s="29" t="n"/>
    </row>
    <row r="20" ht="54" customHeight="1">
      <c r="A20" s="29" t="inlineStr">
        <is>
          <t>sevilla:sevilla-aile-destekleri-ekonomik-yardim-bulusma-noktasi-arabuluculuk</t>
        </is>
      </c>
      <c r="B20" s="29" t="inlineStr">
        <is>
          <t>sevilla</t>
        </is>
      </c>
      <c r="C20" s="29" t="inlineStr">
        <is>
          <t>sevilla-aile-destekleri-ekonomik-yardim-bulusma-noktasi-arabuluculuk</t>
        </is>
      </c>
      <c r="D20" s="29" t="inlineStr">
        <is>
          <t>Endülüs'te ve Sevilla'da çocuklu ailelere hangi sosyal destekler var: ekonomik yardım, buluşma noktası, arabuluculuk?</t>
        </is>
      </c>
      <c r="E20" s="29" t="inlineStr">
        <is>
          <t>Ayudas económicas familiares yalnız sosyal hizmetlerin önerisiyle başlar; Punto de Encuentro Familiar ve aile arabuluculuğu</t>
        </is>
      </c>
      <c r="F20" s="29" t="inlineStr">
        <is>
          <t>Junta'nın aile desteklerinin ilki ayudas económicas familiares'dir: bakmakla yükümlü olduğu çocukların temel ihtiyaçlarını karşılayacak kaynağı olmayan ailelere verilen geçici, nakdî ya da ayni yardımdır. Yardım süreci aile adına değil, toplum sosyal hizmetleri ekiplerinin (servicios sociales comunitarios) tespiti ve önerisiyle başlar; çocuk 18 yaşına gelince yardım sona erer. Bunun yanında acil durumlar için Ayudas de Emergencia Social vardır. Boşanma ya da ayrılık sırasında çocuğun anne-babasıyla görüşmesi güç oluyorsa ücretsiz ve geçici bir tarafsız mekân olan Punto de Encuentro Familiar kullanılabilir. Ailevi çatışmalar için Registro de Mediación Familiar'daki arabuluculardan yararlanılabilir; koşulları sağlayanlar için nöbetçi (turno de oficio) ücretsiz arabuluculuk vardır.</t>
        </is>
      </c>
      <c r="G20" s="29" t="inlineStr">
        <is>
          <t>aile yardımı, ayudas económicas familiares, servicios sociales, Punto de Encuentro Familiar, mediación familiar, Ayuda de Emergencia Social, Junta de Andalucía</t>
        </is>
      </c>
      <c r="H20" s="29" t="inlineStr">
        <is>
          <t>settled</t>
        </is>
      </c>
      <c r="I20" s="29" t="inlineStr">
        <is>
          <t>sevilla:kaynak:255;sevilla:kaynak:254</t>
        </is>
      </c>
      <c r="J20" s="49" t="n">
        <v>46319</v>
      </c>
      <c r="K20" s="51" t="n">
        <v>911</v>
      </c>
      <c r="L20" s="29" t="inlineStr">
        <is>
          <t>Hayır</t>
        </is>
      </c>
      <c r="M20" s="29" t="inlineStr">
        <is>
          <t>Taslak</t>
        </is>
      </c>
      <c r="N20" s="29" t="inlineStr">
        <is>
          <t>sevilla:aile</t>
        </is>
      </c>
      <c r="O20" s="29" t="inlineStr">
        <is>
          <t>Çocuklarının temel ihtiyaçlarını karşılayamıyorsan oturduğun yerin toplum sosyal hizmetleri (servicios sociales comunitarios) merkezine git; ekonomik yardım süreci bu ekiplerin önerisiyle başlar.
Acil ve olağanüstü bir ihtiyacın varsa aynı merkezde Ayuda de Emergencia Social'i sor.
Ayrılık ya da boşanma sürecinde çocuğun diğer ebeveynle görüşmesi zorlaşıyorsa Punto de Encuentro Familiar hizmetini iste.
Aile içi anlaşmazlıkta arabuluculuk istiyorsan Registro de Mediación Familiar'daki arabulucuları kullan; ücretsizlik koşulunu sağlıyorsan turno de oficio'yu sor.
Genel sorular için Junta'nın 012 ya da 955 012 012 hattını ara.</t>
        </is>
      </c>
      <c r="P20" s="29" t="n"/>
      <c r="Q20" s="29" t="n"/>
      <c r="R20" s="29" t="inlineStr">
        <is>
          <t>Punto de Encuentro Familiar hizmeti ücretsizdir.</t>
        </is>
      </c>
      <c r="S20" s="29" t="inlineStr">
        <is>
          <t>Ekonomik yardım koşullarla gelir: yardımı alan aile, sosyal hizmetlerin öngördüğü tamamlayıcı müdahaleyi kabul etmek zorundadır.</t>
        </is>
      </c>
      <c r="T20" s="29" t="n"/>
    </row>
    <row r="21" ht="54" customHeight="1">
      <c r="A21" s="29" t="inlineStr">
        <is>
          <t>sevilla:sevilla-egitim-delegasyonu-delegacion-territorial-adres-telefon</t>
        </is>
      </c>
      <c r="B21" s="29" t="inlineStr">
        <is>
          <t>sevilla</t>
        </is>
      </c>
      <c r="C21" s="29" t="inlineStr">
        <is>
          <t>sevilla-egitim-delegasyonu-delegacion-territorial-adres-telefon</t>
        </is>
      </c>
      <c r="D21" s="29" t="inlineStr">
        <is>
          <t>Sevilla'da Eğitim Bölge Müdürlüğü (Delegación Territorial de Educación) nerede, nasıl ulaşılır?</t>
        </is>
      </c>
      <c r="E21" s="29" t="inlineStr">
        <is>
          <t>Ronda de Tamarguillo adresi, doğrudan telefon ve okul kayıtları için ücretsiz bilgi hattı</t>
        </is>
      </c>
      <c r="F21" s="29" t="inlineStr">
        <is>
          <t>Junta de Andalucía'nın Sevilla ilindeki eğitim birimi Delegación Territorial de Educación en Sevilla'dır; Edificio Antiguo Matadero, Ronda de Tamarguillo s/n, Sevilla 41005 adresinde bulunur. Telefonu 955034200, e-postası informacion.dpse.ced@juntadeandalucia.es. Birimin servisleri arasında Servicio de Planificación y Escolarización (okullaşma planlaması), Servicio de Ordenación Educativa ve Servicio de Inspección Educativa vardır. Okullaşma sürecine dair soruları için Consejería'nın ayrı, ücretsiz bir hattı bulunur: 900 848 000, kesintisiz 8.00-19.00.</t>
        </is>
      </c>
      <c r="G21" s="29" t="inlineStr">
        <is>
          <t>Delegación de Educación Sevilla, eğitim müdürlüğü, Ronda de Tamarguillo, 955034200, 900 848 000, okullaşma</t>
        </is>
      </c>
      <c r="H21" s="29" t="inlineStr">
        <is>
          <t>planning;new;settled</t>
        </is>
      </c>
      <c r="I21" s="29" t="inlineStr">
        <is>
          <t>sevilla:kaynak:246;sevilla:kaynak:256</t>
        </is>
      </c>
      <c r="J21" s="49" t="n">
        <v>46319</v>
      </c>
      <c r="K21" s="51" t="n">
        <v>912</v>
      </c>
      <c r="L21" s="29" t="inlineStr">
        <is>
          <t>Hayır</t>
        </is>
      </c>
      <c r="M21" s="29" t="inlineStr">
        <is>
          <t>Taslak</t>
        </is>
      </c>
      <c r="N21" s="29" t="inlineStr">
        <is>
          <t>sevilla:aile</t>
        </is>
      </c>
      <c r="O21" s="29" t="inlineStr">
        <is>
          <t>Yüz yüze gitmek istersen Ronda de Tamarguillo s/n adresindeki Edificio Antiguo Matadero'ya git.
Telefonla ulaşmak için 955034200'ü ara; yazılı soru için informacion.dpse.ced@juntadeandalucia.es adresine yaz.
Okul kaydı ve yerleştirme sorularında ücretsiz 900 848 000 hattını 8.00-19.00 arasında ara.
Okullaşma konusunu sorarken Servicio de Planificación y Escolarización adını an.</t>
        </is>
      </c>
      <c r="P21" s="29" t="n"/>
      <c r="Q21" s="29" t="inlineStr">
        <is>
          <t>900 848 000 hattı 8.00-19.00 arasında kesintisiz.</t>
        </is>
      </c>
      <c r="R21" s="29" t="inlineStr">
        <is>
          <t>Bilgi hattı ücretsizdir.</t>
        </is>
      </c>
      <c r="S21" s="29" t="n"/>
      <c r="T21" s="29" t="n"/>
    </row>
    <row r="22" ht="54" customHeight="1">
      <c r="A22" s="29" t="inlineStr">
        <is>
          <t>sevilla:sevilla-okul-basvurusu-ve-matrikul-online-secretaria-virtual-iande</t>
        </is>
      </c>
      <c r="B22" s="29" t="inlineStr">
        <is>
          <t>sevilla</t>
        </is>
      </c>
      <c r="C22" s="29" t="inlineStr">
        <is>
          <t>sevilla-okul-basvurusu-ve-matrikul-online-secretaria-virtual-iande</t>
        </is>
      </c>
      <c r="D22" s="29" t="inlineStr">
        <is>
          <t>Sevilla'da okul başvurusu ve matrikülü internetten nasıl yaparım: Secretaría Virtual, iANDE, iPASEN?</t>
        </is>
      </c>
      <c r="E22" s="29" t="inlineStr">
        <is>
          <t>Okula gitmeden başvuru ve matrikül; iANDE anahtarı iPASEN'de, ders ve yemek formları aynı işlemde</t>
        </is>
      </c>
      <c r="F22" s="29" t="inlineStr">
        <is>
          <t>Endülüs'te kamu ve devlet destekli okullara başvuru ve matrikül Secretaría Virtual üzerinden elektronik yapılabilir; böylece iş saatinde okula gitmek gerekmez. Kimlik doğrulaması için üç yol var: iANDE anahtarı, dijital sertifika ve Cl@ve. iANDE anahtarını iPASEN uygulamasındaki Administrador PASEN mesajında bulursun; her çocuk için ayrı anahtar verilir. Yeni anahtar gerekiyorsa herhangi bir okula yüz yüze gitmen gerekir. Online matrikülde ders seçimi yapılır, comedor escolar, aula matinal ve extraescolar formları doldurulur ve görüntü kullanım izni verilir. Matrikül istersen okulda yüz yüze de yapılabilir. Kamu okullarının ve concertado okulların concertada olan kademelerinin 3-5 yaş (Infantil ikinci kademe) kabul süreci tüm Endülüs için aynıdır; concertado okulların concertada olmayan kademeleri farklı olabilir, concertado olmayan özel okullar ise kendi tarih ve koşullarını belirler. Bunları o okuldan öğren.</t>
        </is>
      </c>
      <c r="G22" s="29" t="inlineStr">
        <is>
          <t>Secretaría Virtual, iANDE, iPASEN, Cl@ve, online okul kaydı, matrikül, iEscolariza, Endülüs okul başvurusu, escolarización</t>
        </is>
      </c>
      <c r="H22" s="29" t="inlineStr">
        <is>
          <t>planning;new</t>
        </is>
      </c>
      <c r="I22" s="29" t="inlineStr">
        <is>
          <t>sevilla:kaynak:256;sevilla:kaynak:257</t>
        </is>
      </c>
      <c r="J22" s="49" t="n">
        <v>46319</v>
      </c>
      <c r="K22" s="51" t="n">
        <v>903</v>
      </c>
      <c r="L22" s="29" t="inlineStr">
        <is>
          <t>Hayır</t>
        </is>
      </c>
      <c r="M22" s="29" t="inlineStr">
        <is>
          <t>Taslak</t>
        </is>
      </c>
      <c r="N22" s="29" t="inlineStr">
        <is>
          <t>sevilla:aile</t>
        </is>
      </c>
      <c r="O22" s="29" t="inlineStr">
        <is>
          <t>iPASEN uygulamasını güncelle; mesajlarında Administrador PASEN'den gelen iANDE iletisini bul. İletide her çocuğun anahtarı yazılıdır.
iANDE anahtarın yoksa ya da yenisi gerekiyorsa herhangi bir okula yüz yüze git ve iste; dijital sertifika ya da Cl@ve de kullanılabilir.
Secretaría Virtual takviminde Solicitudes bölümünden ilgili işlemin bağlantısını aç; bağlantı yalnız ilgili dönem açıkken çalışır.
Online matrikülde ders seçimini yap, comedor, aula matinal ve extraescolar formlarını doldur ve görüntü kullanım iznini ver.
Okulda yüz yüze yapmak istersen Educación'ın yayımladığı matrikül formlarını indir ve okula götür.
Okul ve adres puanı sorgulamak için iEscolariza uygulamasını kullan; kayıt sorularında 900 848 000 numarasını ara.</t>
        </is>
      </c>
      <c r="P22" s="29" t="inlineStr">
        <is>
          <t>iANDE anahtarı (iPASEN'den) ya da dijital sertifika ya da Cl@ve
Yüz yüze matrikülde: Educación'ın matrikül formu</t>
        </is>
      </c>
      <c r="Q22" s="29" t="inlineStr">
        <is>
          <t>Hat 8.00-19.00 arasında kesintisiz; başvuru ve matrikül bağlantıları ilgili dönem açıkken çalışır.</t>
        </is>
      </c>
      <c r="R22" s="29" t="n"/>
      <c r="S22" s="29" t="inlineStr">
        <is>
          <t>Concertado okulların concertada olmayan kademelerinde ve concertado olmayan özel okullarda başvuru tarihlerini ve koşullarını okulun kendisi belirler.</t>
        </is>
      </c>
      <c r="T22" s="29" t="n"/>
    </row>
    <row r="23" ht="54" customHeight="1">
      <c r="A23" s="29" t="inlineStr">
        <is>
          <t>sevilla:sevilla-okul-yeri-yetersizse-puanlama-ve-oncelik-kriterleri</t>
        </is>
      </c>
      <c r="B23" s="29" t="inlineStr">
        <is>
          <t>sevilla</t>
        </is>
      </c>
      <c r="C23" s="29" t="inlineStr">
        <is>
          <t>sevilla-okul-yeri-yetersizse-puanlama-ve-oncelik-kriterleri</t>
        </is>
      </c>
      <c r="D23" s="29" t="inlineStr">
        <is>
          <t>Sevilla'da okulda yer yetersizse başvurular nasıl puanlanır: kardeş, yakınlık, engel, gelir ve öncelik hakları?</t>
        </is>
      </c>
      <c r="E23" s="29" t="inlineStr">
        <is>
          <t>Endülüs kabul ölçütleri: kardeş 14 puan, engel 2-4 puan, gelir yalnız izin verirsen; bağlı okul ve zorunlu taşınma önceliklidir</t>
        </is>
      </c>
      <c r="F23" s="29" t="inlineStr">
        <is>
          <t>Bir okulda başvuru sayısı yer sayısını aşarsa kabul şu ölçütlerle sıralanır: okulda kayıtlı kardeş, evin ya da veli iş yerinin yakınlığı, çocukta/ebeveynde/kardeşte engel, ailenin kişi başı yıllık geliri, kalabalık (numerosa) ve tek ebeveynli aile, velilerin çalışması, birinci kademe Educación Infantil'e kayıtlı olma, tek kardeşi olma ve çoğul doğum; Bachillerato'da ayrıca not ortalaması da sayılır. Kardeşler farklı sınıflar için aynı okula başvurursa biri kabul edilince diğerlerine 14 puan verilir (birikmez); aynı sınıfa başvuru varsa biri kabul edilince diğerleri de kabul edilir. Çocukta %33 ile %66 arası engel 3 puan, %66 ve üstü 4 puandır; gelişim bozukluğu da 3 puan sayılır ama yalnız Infantil ikinci kademe (3-5 yaş) başvurularında; velide %33-66 arası 2, %66 ve üstü 3 puan; her engelli kardeş yarım puan (en çok 2). Bağlı (adscrito) okuldan gelenler, velisi o okulda haftada en az 10 saat çalışanlar ve zorunlu iş taşınması gibi nedenlerle gelen aileler öncelik alır.</t>
        </is>
      </c>
      <c r="G23" s="29" t="inlineStr">
        <is>
          <t>baremo, puanlama, okul kabul ölçütleri, kardeş puanı, familia numerosa, adscrito, prioridad, Decreto 21/2020, escolarización</t>
        </is>
      </c>
      <c r="H23" s="29" t="inlineStr">
        <is>
          <t>planning;new</t>
        </is>
      </c>
      <c r="I23" s="29" t="inlineStr">
        <is>
          <t>sevilla:kaynak:136</t>
        </is>
      </c>
      <c r="J23" s="49" t="n">
        <v>46319</v>
      </c>
      <c r="K23" s="51" t="n">
        <v>904</v>
      </c>
      <c r="L23" s="29" t="inlineStr">
        <is>
          <t>Hayır</t>
        </is>
      </c>
      <c r="M23" s="29" t="inlineStr">
        <is>
          <t>Taslak</t>
        </is>
      </c>
      <c r="N23" s="29" t="inlineStr">
        <is>
          <t>sevilla:aile</t>
        </is>
      </c>
      <c r="O23" s="29" t="inlineStr">
        <is>
          <t>Kardeşin başvurduğun okulda kayıtlıysa bunu başvuruda belirt; farklı sınıf için 14 puan alırsın.
Adresi mi yoksa velinin iş yerini mi esas alacağını başvuruda seç; çoğu bilgiyi idare kendi kayıtlarından alır, itiraz edersen belgeleri sen sunarsın.
Gelir puanını istiyorsan Vergi İdaresi'nin (AEAT) gelir bilgisini vermesine yazılı izin ver; istemiyorsan izin vermeyebilirsin.
Çalışma puanı için bakım sorumluluğu olan tüm velilerin, başvuru döneminin başlangıç tarihinden önceki en az altı ay kesintisiz ve haftada en az 20 saat çalışıyor olması gerekir.
Kalabalık aile belgen (familia numerosa) süresi dolmuşsa yenileme başvurusunu yap ve kabul kararı çıkmadan önce belgeyi ilet.
Başvuruda en çok dört yedek okul yaz; her okulun puanını kamu okulunda okul konseyi, concertado okulda okulun sahibi (titular) hesaplar.</t>
        </is>
      </c>
      <c r="P23" s="29" t="inlineStr">
        <is>
          <t>Gerekirse: yürürlükte familia numerosa belgesi
Libro de familia (tek ebeveynli aile ya da çoğul doğum için onaylı kopya)
Empadronamiento belgesi (adres bilgisi tutmuyorsa)</t>
        </is>
      </c>
      <c r="Q23" s="29" t="n"/>
      <c r="R23" s="29" t="n"/>
      <c r="S23" s="29" t="inlineStr">
        <is>
          <t>Bu ölçütler yer yetersiz olduğunda sıralama içindir; yer yeterliyse başvuru doğrudan kabul edilir. Altı aylık çalışma koşulu ve 20 saat sınırı yalnız çalışma puanı içindir.</t>
        </is>
      </c>
      <c r="T23" s="29" t="n"/>
    </row>
    <row r="24" ht="54" customHeight="1">
      <c r="A24" s="29" t="inlineStr">
        <is>
          <t>sevilla:sevilla-okul-yemegi-sabah-bakimi-ve-etkinlikler-servicios-complementarios</t>
        </is>
      </c>
      <c r="B24" s="29" t="inlineStr">
        <is>
          <t>sevilla</t>
        </is>
      </c>
      <c r="C24" s="29" t="inlineStr">
        <is>
          <t>sevilla-okul-yemegi-sabah-bakimi-ve-etkinlikler-servicios-complementarios</t>
        </is>
      </c>
      <c r="D24" s="29" t="inlineStr">
        <is>
          <t>Sevilla'da okul yemeği, sabah bakımı ve etkinlikler (comedor, aula matinal, extraescolar) nasıl istenir, indirim ne zaman?</t>
        </is>
      </c>
      <c r="E24" s="29" t="inlineStr">
        <is>
          <t>Hizmetler matrikül döneminde istenir; ücretsizlik ya da indirim (bonificación) için ayrı kısa dönem Eylül'de</t>
        </is>
      </c>
      <c r="F24" s="29" t="inlineStr">
        <is>
          <t>Okul yemeği (comedor escolar), sabah bakımı (aula matinal) ve okul sonrası etkinlikler (actividades extraescolares) tamamlayıcı hizmet (servicios complementarios) sayılır. Bu hizmetler matrikül döneminde istenir. Kamu okullarında Infantil ikinci kademe, Primaria ve özel eğitim için matrikül 1-8 Haziran'dır; sık sorulan sorular sayfasının hizmetler bölümü ise aynı etaplar için hizmet isteği süresini 1-10 Haziran diye yazar. İki tarih tutmadığı için hizmet formlarını matrikülle birlikte 8 Haziran'a kadar vermek ikisine de uyar. ESO'daki institutos için matrikül ve hizmet isteği 1-10 Temmuz'dur. Hizmetlerin ücretsiz olması ya da indirimli olması (gratuidad/bonificación) için ayrı dönem 1-7 Eylül'dür; son gün 7 Eylül'dür. Okulların sunduğu hizmetlerin bilgisi okul ilan panosundadır. Hizmet istemek, kabul ölçütü olarak hiçbir puan getirmez. Kamu ve concertado okullar ücretsiz eğitim için aileden para isteyemez; bu hizmetler ve extraescolar etkinlikler ise gönüllüdür.</t>
        </is>
      </c>
      <c r="G24" s="29" t="inlineStr">
        <is>
          <t>comedor escolar, aula matinal, extraescolar, servicios complementarios, bonificación, okul yemeği, gratuidad, matrikül</t>
        </is>
      </c>
      <c r="H24" s="29" t="inlineStr">
        <is>
          <t>planning;new;settled</t>
        </is>
      </c>
      <c r="I24" s="29" t="inlineStr">
        <is>
          <t>sevilla:kaynak:136</t>
        </is>
      </c>
      <c r="J24" s="49" t="n">
        <v>46319</v>
      </c>
      <c r="K24" s="51" t="n">
        <v>906</v>
      </c>
      <c r="L24" s="29" t="inlineStr">
        <is>
          <t>Hayır</t>
        </is>
      </c>
      <c r="M24" s="29" t="inlineStr">
        <is>
          <t>Taslak</t>
        </is>
      </c>
      <c r="N24" s="29" t="inlineStr">
        <is>
          <t>sevilla:aile</t>
        </is>
      </c>
      <c r="O24" s="29" t="inlineStr">
        <is>
          <t>Okulun ilan panosundan comedor, aula matinal ve extraescolar hizmetlerinin bilgisine bak.
Hizmetleri matrikülle birlikte ve en geç 8 Haziran'a kadar iste: Infantil ikinci kademe, Primaria ve özel eğitim için matrikül 1-8 Haziran (hizmetler bölümü 1-10 Haziran yazar), ESO için 1-10 Temmuz (2026/27 dönemi). Online matrikülde ilgili formlar aynı işlemde bulunur.
Ücretsizlik ya da indirim için 1-7 Eylül arasında ayrıca başvur.
Okul eğitim için ücret isterse bunun yasal olmadığını hatırla; gönüllü olan yalnız hizmetler ve extraescolar etkinliklerdir.</t>
        </is>
      </c>
      <c r="P24" s="29" t="inlineStr">
        <is>
          <t>Okulun hizmet formları (online matrikülde Secretaría Virtual'da)</t>
        </is>
      </c>
      <c r="Q24" s="29" t="inlineStr">
        <is>
          <t>Hizmet isteme: matrikülle birlikte (matrikül 1-8 Haziran, hizmetler bölümü 1-10 Haziran yazar; ESO için 1-10 Temmuz); indirim: 1-7 Eylül.</t>
        </is>
      </c>
      <c r="R24" s="29" t="n"/>
      <c r="S24" s="29" t="inlineStr">
        <is>
          <t>Ücretsizlik ya da indirim başvurusunun son günü 7 Eylül'dür.</t>
        </is>
      </c>
      <c r="T24" s="29" t="n"/>
    </row>
    <row r="25" ht="54" customHeight="1">
      <c r="A25" s="29" t="inlineStr">
        <is>
          <t>sevilla:sevilla-okul-yerlestirme-sonuclari-itiraz-ve-matrikul-takvimi</t>
        </is>
      </c>
      <c r="B25" s="29" t="inlineStr">
        <is>
          <t>sevilla</t>
        </is>
      </c>
      <c r="C25" s="29" t="inlineStr">
        <is>
          <t>sevilla-okul-yerlestirme-sonuclari-itiraz-ve-matrikul-takvimi</t>
        </is>
      </c>
      <c r="D25" s="29" t="inlineStr">
        <is>
          <t>Sevilla'da okul yerleştirme sonuçları ne zaman açıklanır, itiraz ve matrikül nasıl yürür?</t>
        </is>
      </c>
      <c r="E25" s="29" t="inlineStr">
        <is>
          <t>2026/27 takvimi: puan listesi Nisan, sonuç 14 Mayıs, recurso de alzada 26 Mayıs-25 Haziran, matrikül Haziran-Temmuz</t>
        </is>
      </c>
      <c r="F25" s="29" t="inlineStr">
        <is>
          <t>Okul başvurusu verildikten sonra süreç sırasıyla şöyle ilerler. 2026/27 takvimine göre puanlı liste 17-20 Nisan'da yayımlandı, ardından 10 ders günü süren dinleme (audiencia) dönemi 21 Nisan'da başladı. Eşit puanlar 13 Mayıs'ta kurayla çözüldü, kabul kararı 14 Mayıs'ta yayımlandı, tercih ettiği okulda yer bulamayanlar 25 Mayıs'ta yeniden yerleştirildi (reubicación). Recurso de alzada ve itirazlar 26 Mayıs-25 Haziran arasında yapıldı. Matrikül: Infantil ikinci kademe, Primaria ve özel eğitim 1-8 Haziran, ESO, özel eğitim ve Bachillerato 1-10 Temmuz, ek sınavla sınıfa geçecek Bachillerato öğrencileri 1-8 Eylül. Başvuru dönemi için takvim sayfası 1 Mart-7 Nisan 2026'yı gösterir; sık sorulan sorular sayfası ise 1-31 Mart yazar; iki sayfa tutmadığı için başvuruyu 31 Mart'a kadar vermek ikisine de uyar. Matrikül yaptırmak, yer verilen okulda zorunludur.</t>
        </is>
      </c>
      <c r="G25" s="29" t="inlineStr">
        <is>
          <t>okul sonuçları, recurso de alzada, matrikül takvimi, sorteo, reubicación, audiencia, escolarización 2026/2027, itiraz</t>
        </is>
      </c>
      <c r="H25" s="29" t="inlineStr">
        <is>
          <t>planning;new</t>
        </is>
      </c>
      <c r="I25" s="29" t="inlineStr">
        <is>
          <t>sevilla:kaynak:247;sevilla:kaynak:136</t>
        </is>
      </c>
      <c r="J25" s="49" t="n">
        <v>46319</v>
      </c>
      <c r="K25" s="51" t="n">
        <v>905</v>
      </c>
      <c r="L25" s="29" t="inlineStr">
        <is>
          <t>Hayır</t>
        </is>
      </c>
      <c r="M25" s="29" t="inlineStr">
        <is>
          <t>Taslak</t>
        </is>
      </c>
      <c r="N25" s="29" t="inlineStr">
        <is>
          <t>sevilla:aile</t>
        </is>
      </c>
      <c r="O25" s="29" t="inlineStr">
        <is>
          <t>Başvuruyu 31 Mart'a kadar ver: takvim sayfası 7 Nisan'a kadar gösterse de sık sorulan sorular sayfası 1-31 Mart yazar.
Puanlı listeye bak ve dinleme (audiencia) döneminde itirazını okula yaz.
Kabul kararını (2026/27'de 14 Mayıs) izle; tercih ettiğin okulda yer bulamadıysan yeniden yerleştirme sonucunu bekle (2026/27'de 25 Mayıs).
Karara itiraz için recurso de alzada ver; bunun için önce okulda puan itirazı yapmış olman gerekmez.
Yer verilen okulda matrikülü kendi etabının tarihinde yaptır: Infantil ikinci kademe ve Primaria 1-8 Haziran, ESO ve Bachillerato 1-10 Temmuz (2026/27).
Bir öğrenci için yalnız tek başvuru ver; birden fazla ya da süre dışı başvuru önceliğini kaybettirir.</t>
        </is>
      </c>
      <c r="P25" s="29" t="inlineStr">
        <is>
          <t>Okul başvuru kopyası (okulun kaydettiği)</t>
        </is>
      </c>
      <c r="Q25" s="29" t="inlineStr">
        <is>
          <t>2026/27: puanlı liste 17-20 Nisan, sorteo 13 Mayıs, karar 14 Mayıs, yeniden yerleştirme 25 Mayıs, recurso 26 Mayıs-25 Haziran, matrikül 1-8 Haziran / 1-10 Temmuz / 1-8 Eylül.</t>
        </is>
      </c>
      <c r="R25" s="29" t="n"/>
      <c r="S25" s="29" t="inlineStr">
        <is>
          <t>Tarihler 2026/27 takvimidir; her yıl yeni takvim yayımlanır.</t>
        </is>
      </c>
      <c r="T25" s="29" t="n"/>
    </row>
    <row r="26" ht="54" customHeight="1">
      <c r="A26" s="29" t="inlineStr">
        <is>
          <t>sevilla:familia-numerosa-unvani-alma-yenileme-ve-sevilla-basvurusu</t>
        </is>
      </c>
      <c r="B26" s="29" t="inlineStr">
        <is>
          <t>sevilla</t>
        </is>
      </c>
      <c r="C26" s="29" t="inlineStr">
        <is>
          <t>familia-numerosa-unvani-alma-yenileme-ve-sevilla-basvurusu</t>
        </is>
      </c>
      <c r="D26" s="29" t="inlineStr">
        <is>
          <t>Çok çocuklu aile unvanı (título de familia numerosa) Endülüs'te nasıl alınır ve yenilenir, Sevilla'da nereye başvurulur?</t>
        </is>
      </c>
      <c r="E26" s="29" t="inlineStr">
        <is>
          <t>3 ve üzeri çocuk: 5 çocuktan itibaren especial, 4 çocukta özel durumlarda da especial, diğerleri general; yenileme unvan bitmeden önceki 3 ay içinde</t>
        </is>
      </c>
      <c r="F26" s="29" t="inlineStr">
        <is>
          <t>Bir ya da iki ebeveyn ile üç veya daha fazla çocuğu olan aile (çocuklar ortak olmasa da) Endülüs'te título de familia numerosa için başvurabilir. Especial kategori; 5 ve üzeri çocuk, 4 çocuktan en az 3'ü çoklu doğum, çoklu evlat edinme veya çoklu sürekli ya da evlat edinme öncesi koruyucu aile kaynaklıysa ya da 4 çocuklu ailede kişi başı yıllık gelir IPREM'in %75'ini aşmıyorsa geçerlidir; geri kalan aileler general kategorisindedir. Başvuru, ikamet ettiğin ilin Delegación Territorial'ine yönelik Nº 003206/2 formuyla yapılır; Sevilla'daki delegasyon Luis Montoto 89'dadır (telefon 955 00 68 28). Başvuruyu ebeveynlerden biri ya da yasal ehliyeti olan başka bir aile üyesi yapabilir.</t>
        </is>
      </c>
      <c r="G26" s="29" t="inlineStr">
        <is>
          <t>familia numerosa, título de familia numerosa, çok çocuklu aile, aile unvanı, Endülüs aile, VEAJA, categoría especial, renovación</t>
        </is>
      </c>
      <c r="H26" s="29" t="inlineStr">
        <is>
          <t>new;settled</t>
        </is>
      </c>
      <c r="I26" s="29" t="inlineStr">
        <is>
          <t>sevilla:kaynak:447;sevilla:kaynak:448</t>
        </is>
      </c>
      <c r="J26" s="49" t="n">
        <v>46320</v>
      </c>
      <c r="K26" s="51" t="n">
        <v>913</v>
      </c>
      <c r="L26" s="29" t="inlineStr">
        <is>
          <t>Hayır</t>
        </is>
      </c>
      <c r="M26" s="29" t="inlineStr">
        <is>
          <t>Taslak</t>
        </is>
      </c>
      <c r="N26" s="29" t="inlineStr">
        <is>
          <t>sevilla:aile</t>
        </is>
      </c>
      <c r="O26" s="29" t="inlineStr">
        <is>
          <t>Ailenin kapsama girip girmediğine bak: üç ya da daha fazla çocuk; çocuklar bekâr ve 21 yaşından küçük olmalı (üniversite, yüksek meslek okulu gibi eğitimdeyse ya da iş bulmaya yönelik eğitim görüyorsa 25 yaş dahil), seninle yaşamalı ve sana ekonomik olarak bağlı olmalı. %33'ün üstünde engelli ya da çalışamaz durumdaki çocukta yaş sınırı yoktur. Çocuğun yıllık geliri IPREM'i aşmıyorsa ekonomik bağımlılık sürer.
Kategoriyi belirle: 5 ve üzeri çocuk ya da 4 çocuktan en az 3'ü çoklu doğum, çoklu evlat edinme veya çoklu sürekli ya da evlat edinme öncesi koruyucu aile kaynaklıysa especial; kişi başı yıllık geliri IPREM'in %75'ini aşmayan 4 çocuklu aile de especial; geri kalan aileler general.
Resmî formu (Nº 003206/2) doldur ve imzala: ilk başvuruda EXPEDICIÓN, yenilemede renovación, değişiklikte modificación kutusunu işaretle; yenileme ve değişiklikte unvan numarasını yaz. Form ve belgeler İspanyolca olmalı, yabancı dildeki belge İspanyolcaya çevrilmiş ve legalize edilmiş olmalı.
Belgeleri hazırla: kimlikler, Libro de Familia, empadronamiento belgeleri ve gerekiyorsa gelir beyanı (aşağıdaki belge listesine bak). İdare geçerli DNI'ı olanların kimlik bilgilerini ve Endülüs'teki bir belediyede kayıtlı olanların ikamet bilgilerini kendisi sorgulayabilir; yalnız sorgulanamayan kişiler için belge ekle.
Formu ikamet ettiğin ilin Delegación Territorial'ine yönelterek ver; Sevilla'da bu delegasyon Luis Montoto 89'dadır. İnternetten VEAJA'dan (dijital sertifika veya Cl@ve gerekir) ya da Presentación Electrónica General'den, yüz yüze ise herhangi bir kamu kayıt bürosundan (oficina de asistencia en materia de registros) veya postaneden verebilirsin.
Yenilemeyi unvanın bitmesinden önceki 3 ay içinde iste. VEAJA ile yenilersen idare işlemi sürdürürken geçici belge (certificado provisional) çıkabilir; yenilemede çocukların üniversite kaydı gibi belgeleri başvuruyla birlikte eklemen gerekmez, ancak idare isterse bu belgeleri sonradan vermeyi taahhüt edersin.
Ailede değişiklik olursa 3 ay içinde bildir; 4 çocuklu ailenin especial kategorisi gelire dayanıyorsa ya da ekonomik bağımlılığı gelirle kanıtlıyorsan her yılın ilk üç ayında önceki yılın gelir beyanını ver; bu gelirler idarenin elinde zaten varsa tekrar vermen gerekmez.</t>
        </is>
      </c>
      <c r="P26" s="29" t="inlineStr">
        <is>
          <t>Başvuru formu Nº 003206/2 (Anexo I), imzalı
Ailenin yasal olarak kimlik taşıması gereken üyelerinin geçerli DNI, NIE veya pasaport kopyası (geçerli DNI'ı olanların kimlik bilgilerini idare kendisi sorgulayabilir; yalnız sorgulanamayanlar için gerekir)
Libro de Familia kopyası (üçüncü ülke vatandaşlarında benzeri belge); ilk başvuruda her durumda gerekir
Her aile üyesi için bireysel empadronamiento belgesi ya da toplu empadronamiento belgesi; yalnız idare ikamet bilgisini sorgulayamıyorsa gerekir (idare yalnız Endülüs'teki belediyelerde kayıtlı kişileri sorgulayabilir); DNI'ı olmayan 14 yaş altı çocuklar için bunlardan biri şart
Özel kategori ya da ekonomik bağımlılık için gelir gerekiyorsa: 16 yaş üstü tüm aile üyelerinin önceki yıl gelirine dair beyan (formun 4. bölümü)
Aile üyelerinden birinin oturum kartı yenileme aşamasındaysa formun 5. bölümündeki beyan
AB/AEA dışı başvuranda: ailenin tüm üyelerinin geçerli yabancı kimlik kartı (tarjeta de identidad de extranjero)
İlk başvuruda 21 yaşından büyük öğrenci çocuk varsa öğrenim belgesi
Özel durumlarda (boşanma, engel, koruyucu aile gibi) başvuru formunun talimatlarında sayılan ek belgeler</t>
        </is>
      </c>
      <c r="Q26" s="29" t="inlineStr">
        <is>
          <t>Yenileme: unvan bitmeden önceki 3 ay içinde. Değişiklik (aile üyeleri veya koşullar değişirse): değişimden sonraki 3 ay içinde.</t>
        </is>
      </c>
      <c r="R26" s="29" t="n"/>
      <c r="S26" s="29" t="inlineStr">
        <is>
          <t>İki çocuklu aile de şu durumlarda aynı kapsama girer: çocuklardan en az biri %33 ve üzeri engelli ya da çalışamaz durumdaysa; eşi ölmüş ebeveynin iki çocuğu varsa; tek ebeveyn %65 ve üzeri engelliyse; iki ebeveynin ikisi de engelliyse, en az biri %65 ve üzeri engelliyse ya da çalışamaz durumdaysa. Ayrı yaşayan ya da boşanmış ebeveyn, nafaka yükümlülüğünü gösteren mahkeme kararını sunarsa ve çocuklar ekonomik olarak ona bağlıysa, 3 ve üzeri çocuk için de başvurabilir; çocuklarla aynı evde yaşaması şart değildir. %33'ün üstünde engelli ya da çalışamaz durumdaki çocuk kategori hesabında iki sayılır. Aile üyeleri İspanyol ya da AB/AEA vatandaşıysa İspanya'da ikamet etmeli; başka bir AB/AEA ülkesinde yaşıyorlarsa ebeveynlerden en az biri İspanya'da ücretli ya da serbest çalışmalı. Başka ülke vatandaşlarında hak veren tüm aile üyeleri İspanya'da ikamet etmeli.</t>
        </is>
      </c>
      <c r="T26" s="29" t="inlineStr">
        <is>
          <t>{"kind": "steps", "title": "Aile unvanı başvurusu", "note": "Şematik", "items": [{"key": "1", "title": "Kapsamı kontrol et", "text": "Ailenin kapsama girip girmediğine bak: üç ya da daha fazla çocuk; çocuklar bekâr ve 21 yaşından küçük olmalı (üniversite, yüksek meslek okulu gibi eğitimdeyse ya da iş bulmaya yönelik eğitim görüyorsa 25 yaş dahil), seninle yaşamalı ve sana ekonomik olarak bağlı olmalı. %33'ün üstünde engelli ya da çalışamaz durumdaki çocukta yaş sınırı yoktur. Çocuğun yıllık geliri IPREM'i aşmıyorsa ekonomik bağımlılık sürer."}, {"key": "2", "title": "Kategoriyi belirle", "text": "Kategoriyi belirle: 5 ve üzeri çocuk ya da 4 çocuktan en az 3'ü çoklu doğum, çoklu evlat edinme veya çoklu sürekli ya da evlat edinme öncesi koruyucu aile kaynaklıysa especial; kişi başı yıllık geliri IPREM'in %75'ini aşmayan 4 çocuklu aile de especial; geri kalan aileler general."}, {"key": "3", "title": "Formu doldur", "text": "Resmî formu (Nº 003206/2) doldur ve imzala: ilk başvuruda EXPEDICIÓN, yenilemede renovación, değişiklikte modificación kutusunu işaretle; yenileme ve değişiklikte unvan numarasını yaz. Form ve belgeler İspanyolca olmalı, yabancı dildeki belge İspanyolcaya çevrilmiş ve legalize edilmiş olmalı."}, {"key": "4", "title": "Belgeleri hazırla", "text": "Belgeleri hazırla: kimlikler, Libro de Familia, empadronamiento belgeleri ve gerekiyorsa gelir beyanı (aşağıdaki belge listesine bak). İdare geçerli DNI'ı olanların kimlik bilgilerini ve Endülüs'teki bir belediyede kayıtlı olanların ikamet bilgilerini kendisi sorgulayabilir; yalnız sorgulanamayan kişiler için belge ekle."}, {"key": "5", "title": "Başvuruyu ver", "text": "Formu ikamet ettiğin ilin Delegación Territorial'ine yönelterek ver; Sevilla'da bu delegasyon Luis Montoto 89'dadır. İnternetten VEAJA'dan (dijital sertifika veya Cl@ve gerekir) ya da Presentación Electrónica General'den, yüz yüze ise herhangi bir kamu kayıt bürosundan (oficina de asistencia en materia de registros) veya postaneden verebilirsin."}, {"key": "6", "title": "Yenilemeyi zamanında iste", "text": "Yenilemeyi unvanın bitmesinden önceki 3 ay içinde iste. VEAJA ile yenilersen idare işlemi sürdürürken geçici belge (certificado provisional) çıkabilir; yenilemede çocukların üniversite kaydı gibi belgeleri başvuruyla birlikte eklemen gerekmez, ancak idare isterse bu belgeleri sonradan vermeyi taahhüt edersin."}, {"key": "7", "title": "Değişiklikleri bildir", "text": "Ailede değişiklik olursa 3 ay içinde bildir; 4 çocuklu ailenin especial kategorisi gelire dayanıyorsa ya da ekonomik bağımlılığı gelirle kanıtlıyorsan her yılın ilk üç ayında önceki yılın gelir beyanını ver; bu gelirler idarenin elinde zaten varsa tekrar vermen gerekmez."}]}</t>
        </is>
      </c>
    </row>
    <row r="27" ht="54" customHeight="1">
      <c r="A27" s="29" t="inlineStr">
        <is>
          <t>sevilla:kira-sozlesmesi-suresi-ve-uzama</t>
        </is>
      </c>
      <c r="B27" s="29" t="inlineStr">
        <is>
          <t>sevilla</t>
        </is>
      </c>
      <c r="C27" s="29" t="inlineStr">
        <is>
          <t>kira-sozlesmesi-suresi-ve-uzama</t>
        </is>
      </c>
      <c r="D27" s="29" t="inlineStr">
        <is>
          <t>İspanya'da konut kira sözleşmesi en az kaç yıl sürer ve nasıl uzar?</t>
        </is>
      </c>
      <c r="E27" s="29" t="inlineStr">
        <is>
          <t>Konut kirasında en az süre 5 yıl (kiraya veren tüzel kişiyse 7); sözleşme yıllık uzar, kiracı 30 gün önceden bildirerek uzamayı durdurabilir</t>
        </is>
      </c>
      <c r="F27" s="29" t="inlineStr">
        <is>
          <t>Konut kira sözleşmesinde en az süre kural olarak 5 yıldır (kiraya veren tüzel kişiyse 7 yıl): taraflar süreyi özgürce belirler, ancak süre bundan kısa yazılırsa vade gününde sözleşme, bu en az süreye ulaşana dek yıllık dönemlerle zorunlu olarak uzar. İstisnalar vardır. Kiraya veren gerçek kişiyse ve sözleşmeye baştan açıkça, kendisi ya da birinci derece (kan ya da evlat edinme yoluyla) yakınları için (kesinleşmiş ayrılık, boşanma ya da evlilik iptali kararı hâlinde eşi için de) evi kalıcı konut olarak ihtiyaç duyduğunu yazmışsa, ilk yıldan sonra nedenini belirterek en az 2 ay önceden bildirip evi geri isteyebilir; bu durumda zorunlu uzama işlemez (md. 9.3). Kiraya veren ya da yakınları evi çıkıştan sonraki 3 ay içinde kullanmazsa kiracı 30 gün içinde eve geri konulmayı ya da tazminat almayı seçebilir. Geçici konut sözleşmeleri (kiracının asıl evinden haklı ve belgelenebilir bir nedenle geçici olarak ayrı kaldığı dönemde konut ihtiyacını karşılayan kira) bu en az süre kurallarına tabi değildir; süreleri 31 günden uzun olmalı ve kural olarak 12 ayı aşmaz (md. 9 bis). Uzamasını istemiyorsan, en az süre dolana dek vade gününden en az 30 gün önce kiraya verene yenilemek istemediğini bildirirsin. Süre yazılmamışsa ya da belirsizse sözleşme bir yıllık sayılır ve yıllık uzatma hakkın yine geçerlidir. Geçici konut hükümleri 6 Ekim 2026 tarihli Real Decreto-ley 29/2026 ile geldi; kararname (Real Decreto-ley) olduğu için ileride değişebilir ve aynı hükmü getiren daha önceki Real Decreto-ley 26/2026 Meclis kararıyla kaldırılmıştı (2 Ekim 2026 tarihli Resolución). Kira yasası 2026'da değişiyor; bu kart 7 Ekim 2026 tarihli konsolide metne göre (yayım 7 Ekim, yürürlük 8 Ekim).</t>
        </is>
      </c>
      <c r="G27" s="29" t="inlineStr">
        <is>
          <t>kira sözleşmesi, alquiler, Ley de Arrendamientos Urbanos, LAU, kira süresi, prórroga, arrendamiento de vivienda</t>
        </is>
      </c>
      <c r="H27" s="29" t="inlineStr">
        <is>
          <t>planning;new</t>
        </is>
      </c>
      <c r="I27" s="29" t="inlineStr">
        <is>
          <t>sevilla:kaynak:090</t>
        </is>
      </c>
      <c r="J27" s="49" t="n">
        <v>46319</v>
      </c>
      <c r="K27" s="51" t="n">
        <v>9066</v>
      </c>
      <c r="L27" s="29" t="inlineStr">
        <is>
          <t>Hayır</t>
        </is>
      </c>
      <c r="M27" s="29" t="inlineStr">
        <is>
          <t>Taslak</t>
        </is>
      </c>
      <c r="N27" s="29" t="inlineStr">
        <is>
          <t>sevilla:ev</t>
        </is>
      </c>
      <c r="O27" s="29" t="inlineStr">
        <is>
          <t>Sözleşmedeki süreye bak: taraflar süreyi özgürce belirler; süre 5 yıldan (kiraya veren tüzel kişiyse 7 yıldan) kısaysa vade gününde sözleşme en az süreye ulaşana dek yıllık dönemlerle zorunlu olarak uzar.
Kiraya veren gerçek kişiyse, sözleşmede kendisi ya da birinci derece yakınları için evi kalıcı konut olarak isteme ihtiyacının baştan açıkça yazılıp yazılmadığına bak; yazılmışsa ilk yıldan sonra, nedeni belirtilerek en az 2 ay önceden yapılan bildirimle ev geri istenebilir ve zorunlu uzama işlemez.
Sürenin sözleşme tarihinden ya da ev sana teslim edildiği tarihten (hangisi sonraysa) başladığını bil; teslim tarihini ispat etmek kiracıya düşer, bu yüzden teslim tarihini gösteren bir kayıt tut.
En az süre dolmadan gelen bir vade gününde uzamak istemiyorsan, sözleşmenin bitiş tarihinden ya da yıllık uzamalardan birinin bitişinden en az 30 gün önce kiraya verene yenilemek istemediğini bildir.
Sözleşmede süre yazmıyorsa ya da süre belirsizse, sözleşmenin bir yıllık yapıldığını bil; yıllık uzatma hakkın bu durumda da geçerlidir.
Geçici konut sözleşmesi yapıyorsan en az süre kuralının işlemediğini bil: süre 31 günden uzun olmalı ve kural olarak 12 ayı aşmaz.</t>
        </is>
      </c>
      <c r="P27" s="29" t="n"/>
      <c r="Q27" s="29" t="inlineStr">
        <is>
          <t>Kira yasası 2026'da değişiyor; bu kart 7 Ekim 2026 tarihli konsolide metne göre (yayım 7 Ekim, yürürlük 8 Ekim). Geçici konut hükümleri (md. 2.3, 9.4, 9 bis) 6 Ekim 2026 tarihli Real Decreto-ley 29/2026 ile geldi; kararname (Real Decreto-ley) olduğu için ileride değişebilir. En az süre 5 yıl (kiraya veren tüzel kişiyse 7 yıl); uzamayı durdurma bildirimi vade gününden en az 30 gün önce.</t>
        </is>
      </c>
      <c r="R27" s="29" t="n"/>
      <c r="S27" s="29" t="n"/>
      <c r="T27" s="29" t="n"/>
    </row>
    <row r="28" ht="54" customHeight="1">
      <c r="A28" s="29" t="inlineStr">
        <is>
          <t>sevilla:kira-depozitosu-fianza-ve-iade</t>
        </is>
      </c>
      <c r="B28" s="29" t="inlineStr">
        <is>
          <t>sevilla</t>
        </is>
      </c>
      <c r="C28" s="29" t="inlineStr">
        <is>
          <t>kira-depozitosu-fianza-ve-iade</t>
        </is>
      </c>
      <c r="D28" s="29" t="inlineStr">
        <is>
          <t>İspanya'da kira depozitosu (fianza) ne kadardır ve nasıl geri alınır?</t>
        </is>
      </c>
      <c r="E28" s="29" t="inlineStr">
        <is>
          <t>Konutta fianza bir aylık kiradır; bakiye anahtar tesliminden bir ay sonra iade edilmemişse yasal faiz işler; fianza dışında ek güvence de kararlaştırılabilir</t>
        </is>
      </c>
      <c r="F28" s="29" t="inlineStr">
        <is>
          <t>Konutta fianza bir aylık kiradır ve sözleşme yapılırken para olarak verilmesi zorunludur. Sözleşme bitince iade edilecek bakiye, anahtarların tesliminden bir ay sonra hâlâ iade edilmemişse yasal faiz işler. Sözleşme bitince taraflar evin durumunu imzalı yazılı bir belgeyle kaydeder; belge hiç imzalanmazsa ya da belgede hiçbir kusur yazılmazsa, aksi ispatlanmadıkça ev uygun durumda teslim edilmiş sayılır. İlk 5 yıl (kiraya veren tüzel kişiyse ilk 7 yıl) fianza güncellenmez; her uzamada kiraya veren artırılmasını, kiracı azaltılmasını isteyebilir. Fianza dışında taraflar ek bir güvence kararlaştırabilir: konut sözleşmelerinde 5 yıla kadar (kiraya veren tüzel kişiyse 7 yıla kadar) süreli sözleşmede bu ek güvence en çok iki aylık kira, geçici kiralamalarda en çok bir aylık kiradır; kiracıdan kira ödememe sigortası ya da benzeri bir sigorta kapsamı yaptırması istenemez. Özerk bölgeler, kiraya verenin fianza'yı faizsiz olarak bölge idaresine ya da belirlenen kuruma yatırma zorunluluğu koyabilir; bu zorunluluk bölgeye göre değişir. Ek güvence sınırı ve çıkış belgesi 6 Ekim 2026 tarihli Real Decreto-ley 29/2026 ile geldi; kararname (Real Decreto-ley) olduğu için ileride değişebilir. Kira yasası 2026'da değişiyor; bu kart 7 Ekim 2026 tarihli konsolide metne göre (yayım 7 Ekim, yürürlük 8 Ekim).</t>
        </is>
      </c>
      <c r="G28" s="29" t="inlineStr">
        <is>
          <t>fianza, kira depozitosu, depozito iadesi, depósito de fianzas, alquiler, yasal faiz, LAU</t>
        </is>
      </c>
      <c r="H28" s="29" t="inlineStr">
        <is>
          <t>new;settled</t>
        </is>
      </c>
      <c r="I28" s="29" t="inlineStr">
        <is>
          <t>sevilla:kaynak:090</t>
        </is>
      </c>
      <c r="J28" s="49" t="n">
        <v>46319</v>
      </c>
      <c r="K28" s="51" t="n">
        <v>9067</v>
      </c>
      <c r="L28" s="29" t="inlineStr">
        <is>
          <t>Hayır</t>
        </is>
      </c>
      <c r="M28" s="29" t="inlineStr">
        <is>
          <t>Taslak</t>
        </is>
      </c>
      <c r="N28" s="29" t="inlineStr">
        <is>
          <t>sevilla:ev</t>
        </is>
      </c>
      <c r="O28" s="29" t="inlineStr">
        <is>
          <t>Sözleşmeyi imzalarken bir aylık kira tutarında fianza ver; konut kiralamada bu zorunludur.
Fianza dışında bir ek güvence kararlaştırılıyorsa sınırı bil: konutta 5 yıla kadar (kiraya veren tüzel kişiyse 7 yıla kadar) süreli sözleşmede en çok iki aylık kira, geçici kiralamalarda en çok bir aylık kira; kira ödememe sigortası ya da benzeri bir sigorta kapsamı yaptırman senden istenemez.
İlk 5 yıl (kiraya veren tüzel kişiyse ilk 7 yıl) fianza'nın güncellenmediğini bil; sözleşme uzadığında kiraya veren artırılmasını, sen azaltılmasını isteyebilirsin, tutar konutta bir aylık güncel kiraya eşitlenene dek.
Evden çıkarken evin durumunu iki tarafın imzaladığı yazılı bir belgeyle kaydet; belge imzalanmazsa ya da belgede kusur yazılmazsa, aksi ispatlanmadıkça ev uygun durumda teslim edilmiş sayılır.
Anahtarları teslim et ve teslim tarihini not et; iade edilecek fianza bakiyesi anahtar tesliminden bir ay sonra hâlâ ödenmemişse bu tutar yasal faiz işler.
Bölgende fianza'nın idareye yatırılması zorunluysa bu yükümlülük kiraya verene aittir; idare, sözleşmenin bitiminden bir ay sonra yatırılan tutarı iade etmezse tutar yasal faiz işler.</t>
        </is>
      </c>
      <c r="P28" s="29" t="n"/>
      <c r="Q28" s="29" t="inlineStr">
        <is>
          <t>Kira yasası 2026'da değişiyor; bu kart 7 Ekim 2026 tarihli konsolide metne göre (yayım 7 Ekim, yürürlük 8 Ekim). Ek güvence sınırı (md. 36.5) ve çıkış belgesi (md. 36.7) 6 Ekim 2026 tarihli Real Decreto-ley 29/2026 ile geldi; kararname (Real Decreto-ley) olduğu için ileride değişebilir. Faiz, anahtar tesliminden bir ay sonra başlar.</t>
        </is>
      </c>
      <c r="R28" s="29" t="inlineStr">
        <is>
          <t>Konutta fianza: bir aylık kira. Ek güvence (tarafların anlaşmasıyla): 5 yıla kadar (kiraya veren tüzel kişiyse 7 yıla kadar) süreli konut sözleşmesinde en çok iki aylık kira, geçici kiralamalarda en çok bir aylık kira.</t>
        </is>
      </c>
      <c r="S28" s="29" t="n"/>
      <c r="T28" s="29" t="n"/>
    </row>
    <row r="29" ht="54" customHeight="1">
      <c r="A29" s="29" t="inlineStr">
        <is>
          <t>sevilla:kira-artisi-siniri-irav</t>
        </is>
      </c>
      <c r="B29" s="29" t="inlineStr">
        <is>
          <t>sevilla</t>
        </is>
      </c>
      <c r="C29" s="29" t="inlineStr">
        <is>
          <t>kira-artisi-siniri-irav</t>
        </is>
      </c>
      <c r="D29" s="29" t="inlineStr">
        <is>
          <t>İspanya'da ev sahibi kirayı yılda en çok ne kadar artırabilir?</t>
        </is>
      </c>
      <c r="E29" s="29" t="inlineStr">
        <is>
          <t>Artış son yayımlanmış IRAV değişimini aşamaz; yalnız sözleşmede açıkça yazılıysa ve yıldönümünde yapılır; IRAV her ay yayımlanır</t>
        </is>
      </c>
      <c r="F29" s="29" t="inlineStr">
        <is>
          <t>Güncelleme yapılsa bile kira artışı, güncelleme tarihinde yayımlanmış son IRAV endeksinin yüzde değişimini aşamaz. Kira yalnızca sözleşmenin her yıldönümünde ve sözleşmede kararlaştırılan biçimde güncellenebilir; sözleşmede açık bir güncelleme anlaşması yoksa güncelleme uygulanmaz. IRAV'ı INE hesaplar; INE'ye göre 26 Mayıs 2023'ten sonra imzalanan sözleşmeler IRAV'a göre güncellenir, bu kart bu sözleşmeler içindir. INE sayfasında IRAV için son veri Eylül 2026'dır (14/10/2026'da yayımlandı) ve yıllık değişim %2,54'tür; bu değer her ay değişir. Konut piyasası gergin ilan edilen bölgelerde kira için ayrıca kurallar vardır; böyle bir ilanın olup olmadığı bölgeye göre değişir. Kira yasası 2026'da değişiyor; bu kart 7 Ekim 2026 tarihli konsolide metne göre (yayım 7 Ekim, yürürlük 8 Ekim). Md. 18.1, 6 Ekim 2026 tarihli Real Decreto-ley 29/2026 (art. 3.11) ile değiştirilmiştir; aynı maddeyi değiştiren daha önceki Real Decreto-ley 26/2026 (29 Eylül 2026) ise Meclisin kararnameyi yürürlükten kaldırmasıyla (2 Ekim 2026 tarihli Resolución) geçersiz kılındı. Kararnameyle yapılan değişikliğin kalıcılığı bu nedenle kesin değildir.</t>
        </is>
      </c>
      <c r="G29" s="29" t="inlineStr">
        <is>
          <t>kira artışı, IRAV, kira güncelleme, actualización de la renta, INE, zona tensionada, alquiler</t>
        </is>
      </c>
      <c r="H29" s="29" t="inlineStr">
        <is>
          <t>settled</t>
        </is>
      </c>
      <c r="I29" s="29" t="inlineStr">
        <is>
          <t>sevilla:kaynak:090;sevilla:kaynak:091</t>
        </is>
      </c>
      <c r="J29" s="49" t="n">
        <v>46319</v>
      </c>
      <c r="K29" s="51" t="n">
        <v>9068</v>
      </c>
      <c r="L29" s="29" t="inlineStr">
        <is>
          <t>Hayır</t>
        </is>
      </c>
      <c r="M29" s="29" t="inlineStr">
        <is>
          <t>Taslak</t>
        </is>
      </c>
      <c r="N29" s="29" t="inlineStr">
        <is>
          <t>sevilla:ev</t>
        </is>
      </c>
      <c r="O29" s="29" t="inlineStr">
        <is>
          <t>Sözleşmende kira güncelleme maddesi olup olmadığına bak; açık bir anlaşma yoksa kira güncellenmez.
Güncelleme maddesi var ama endeks ya da yöntem yazmıyorsa kira IRAV'ın yıllık değişimine göre güncellenir; her durumda artış IRAV'ın yüzde değişimini aşamaz.
Referans ay olarak, güncelleme tarihinde yayımlanmış son endeksin ayı alınır; güncelleme sözleşmenin yıldönümünde yapılabilir.
Güncellenen kira, ilgili tarafın karşı tarafa yazılı bildirmesinden sonraki aydan itibaren istenebilir; kiracı isterse bildirime INE'nin uygun belgesi eklenir.
Bildirim, önceki ayın kira makbuzuna yazılan bir notla da geçerli biçimde yapılabilir.</t>
        </is>
      </c>
      <c r="P29" s="29" t="n"/>
      <c r="Q29" s="29" t="inlineStr">
        <is>
          <t>IRAV değeri her ay değişir: INE sayfasında son veri Eylül 2026 (14/10/2026'da yayımlandı), yıllık değişim %2,54. Kira yasası 2026'da değişiyor; bu kart 7 Ekim 2026 tarihli konsolide metne göre (yayım 7 Ekim, yürürlük 8 Ekim). Md. 18.1, 6 Ekim 2026 tarihli Real Decreto-ley 29/2026 ile değiştirilmiştir; daha önceki Real Decreto-ley 26/2026'nın aynı maddeye ilişkin değişikliği Meclis kararıyla kaldırıldı, bu yüzden kararnameyle yapılan değişikliğin kalıcılığı kesin değildir.</t>
        </is>
      </c>
      <c r="R29" s="29" t="n"/>
      <c r="S29" s="29" t="inlineStr">
        <is>
          <t>Konut piyasası gergin ilan edilen bölgelerde kira için ayrıca kurallar vardır; ilanın olup olmadığı bölgeye göre değişir.</t>
        </is>
      </c>
      <c r="T29" s="29" t="n"/>
    </row>
    <row r="30" ht="54" customHeight="1">
      <c r="A30" s="29" t="inlineStr">
        <is>
          <t>sevilla:kirada-onarim-ve-hasar-sorumlulugu</t>
        </is>
      </c>
      <c r="B30" s="29" t="inlineStr">
        <is>
          <t>sevilla</t>
        </is>
      </c>
      <c r="C30" s="29" t="inlineStr">
        <is>
          <t>kirada-onarim-ve-hasar-sorumlulugu</t>
        </is>
      </c>
      <c r="D30" s="29" t="inlineStr">
        <is>
          <t>İspanya'da kirada onarım masrafını kim öder?</t>
        </is>
      </c>
      <c r="E30" s="29" t="inlineStr">
        <is>
          <t>Yaşanabilirlik için gerekli onarımlar ev sahibine; olağan kullanımdan doğan küçük onarımlar konut kirasında kiracıya, geçici konutta ev sahibine aittir</t>
        </is>
      </c>
      <c r="F30" s="29" t="inlineStr">
        <is>
          <t>Evi yaşanabilir durumda tutmak için gereken onarımları ev sahibi yapar; konut kira sözleşmesinde bunun için kirayı artıramaz. Olağan kullanımdan doğan aşınmanın gerektirdiği küçük onarımlar konut kira sözleşmesinde kiracıya aittir; geçici konut sözleşmesinde ise bu küçük onarımlar da ev sahibine aittir (md. 21 bis). Bozulma İspanyol Medeni Kanunu'nun (Código Civil) 1563 ve 1564. maddelerine göre kiracıya yüklenebiliyorsa, o onarım ev sahibinin yükümlülüğü dışında kalır. Konut kira sözleşmesinde kiracı onarım gerektiğini en kısa sürede ev sahibine bildirir; yakın bir zarar ya da ağır bir rahatsızlık varsa ev sahibine haber vererek acil onarımı kendisi yaptırıp tutarını hemen ev sahibinden isteyebilir. Geçici konutta kiracı onarımı yine en kısa sürede bildirir; ev sahibi en çok 5 iş günü içinde yanıt vermek zorundadır, yanıt gelmezse kiracı gerekli onarımları yaptırıp tutarını hemen ev sahibinden isteyebilir; ödenmezse gerekçesini bildirdikten sonra tutarı ertesi ayın kirasından düşebilir. Geçici konut hükümleri 6 Ekim 2026 tarihli Real Decreto-ley 29/2026 ile geldi; kararname (Real Decreto-ley) olduğu için ileride değişebilir. Kira yasası 2026'da değişiyor; bu kart 7 Ekim 2026 tarihli konsolide metne göre (yayım 7 Ekim, yürürlük 8 Ekim).</t>
        </is>
      </c>
      <c r="G30" s="29" t="inlineStr">
        <is>
          <t>kira onarım, hasar sorumluluğu, conservación de la vivienda, pequeñas reparaciones, ev sahibi, kiracı, habitabilidad</t>
        </is>
      </c>
      <c r="H30" s="29" t="inlineStr">
        <is>
          <t>settled</t>
        </is>
      </c>
      <c r="I30" s="29" t="inlineStr">
        <is>
          <t>sevilla:kaynak:090</t>
        </is>
      </c>
      <c r="J30" s="49" t="n">
        <v>46319</v>
      </c>
      <c r="K30" s="51" t="n">
        <v>9069</v>
      </c>
      <c r="L30" s="29" t="inlineStr">
        <is>
          <t>Hayır</t>
        </is>
      </c>
      <c r="M30" s="29" t="inlineStr">
        <is>
          <t>Taslak</t>
        </is>
      </c>
      <c r="N30" s="29" t="inlineStr">
        <is>
          <t>sevilla:ev</t>
        </is>
      </c>
      <c r="O30" s="29" t="inlineStr">
        <is>
          <t>Onarım gerektiğini fark ettiğinde en kısa sürede ev sahibine bildir.
Konut kira sözleşmesinde ev sahibinin kendisinin ya da görevlendirdiği teknisyenlerin evin durumunu doğrudan görmesine izin ver.
Konut kira sözleşmesinde yaşanabilirlik için gereken onarımı ev sahibinden bekle; bunun için kira artırılamaz.
Konut kira sözleşmesinde olağan kullanımdan doğan aşınmanın gerektirdiği küçük onarımları kendin üstlen; geçici konut sözleşmesinde bunlar da ev sahibine aittir.
Konut kira sözleşmesinde yakın bir zarar ya da ağır bir rahatsızlığı önlemek için acil onarım gerekiyorsa, ev sahibine önceden haber vererek onarımı yaptır ve tutarını hemen ev sahibinden iste.
Geçici konutta ev sahibi 5 iş günü içinde yanıt vermezse gerekli onarımları yaptırabilir, tutarı hemen ev sahibinden isteyebilirsin; ödemezse gerekçeni bildirip ertesi ayın kirasından düşebilirsin.</t>
        </is>
      </c>
      <c r="P30" s="29" t="n"/>
      <c r="Q30" s="29" t="inlineStr">
        <is>
          <t>Kira yasası 2026'da değişiyor; bu kart 7 Ekim 2026 tarihli konsolide metne göre (yayım 7 Ekim, yürürlük 8 Ekim). Geçici konut hükümleri (md. 21 bis) 6 Ekim 2026 tarihli Real Decreto-ley 29/2026 ile geldi; kararname (Real Decreto-ley) olduğu için ileride değişebilir.</t>
        </is>
      </c>
      <c r="R30" s="29" t="n"/>
      <c r="S30" s="29" t="inlineStr">
        <is>
          <t>Bozulma kiracıya yüklenebiliyorsa (İspanyol Código Civil md. 1563 ve 1564) ev sahibi o onarımı yapmak zorunda değildir.</t>
        </is>
      </c>
      <c r="T30" s="29" t="n"/>
    </row>
    <row r="31" ht="54" customHeight="1">
      <c r="A31" s="29" t="inlineStr">
        <is>
          <t>sevilla:kiralik-evden-cikis-ve-ihbar-suresi</t>
        </is>
      </c>
      <c r="B31" s="29" t="inlineStr">
        <is>
          <t>sevilla</t>
        </is>
      </c>
      <c r="C31" s="29" t="inlineStr">
        <is>
          <t>kiralik-evden-cikis-ve-ihbar-suresi</t>
        </is>
      </c>
      <c r="D31" s="29" t="inlineStr">
        <is>
          <t>İspanya'da kiracı sözleşme bitmeden evden çıkabilir mi?</t>
        </is>
      </c>
      <c r="E31" s="29" t="inlineStr">
        <is>
          <t>Evet: konut kiracısı en az altı ay geçtikten sonra, kiraya verene en az 30 gün önceden bildirerek çıkabilir (geçici konutta: bir ay sonra, 10 gün önceden)</t>
        </is>
      </c>
      <c r="F31" s="29" t="inlineStr">
        <is>
          <t>Evet. Konut kiracısı, en az altı ay geçtikten sonra kiraya verene en az 30 gün önceden bildirmek koşuluyla kira sözleşmesinden çıkabilir (desistimiento; md. 11.1). Geçici konut sözleşmesinde çıkış, sözleşmenin yapılmasından en az bir ay sonra ve kiraya verene en az 10 gün önceden bildirmekle yapılır; bu hüküm 6 Ekim 2026 tarihli Real Decreto-ley 29/2026 ile geldi, kararname (Real Decreto-ley) olduğu için ileride değişebilir. Sözleşmenin ilk 5 yılında (kiraya veren tüzel kişiyse ilk 7 yılında) bir vade gününde ayrılmak istiyorsan, uzamayı durdurmak için vade gününden en az 30 gün önce yenilemek istemediğini bildirirsin (md. 9.1). Bugünkü metne göre (8 Ekim 2026'dan beri yürürlükte) 5 yıl (kiraya veren tüzel kişiyse 7 yıl) dolduktan sonraki vadelerde md. 10.1 geçerlidir: yenilememe isteğini kiracı en az 2 ay önceden bildirir; sonraki yıllık uzamaların bitişinde bu süre 1 aydır. 15 Kasım 2026'dan itibaren ise md. 10.1, 6 Ekim 2026 tarihli Real Decreto-ley 28/2026 ile yeni bir metne bağlanıyor ve bugünkü metnin yerine geçiyor: 5 yıl (tüzel kişi kiraya verende 7 yıl) sonrasında yenilememe bildirimini kiraya veren en az 6 ay, kiracı en az 2 ay önceden yapar; bildirim yapılmazsa sözleşme yıllık değil, 5'er (tüzel kişi kiraya verende 7'şer) yıllık sürelerle kendiliğinden uzar. Kiraya veren yenilememeyi geçerli biçimde bildirirse, kanunda sayılan istisnalar dışında kiracıya tazminat ödemek zorundadır. Bu değişikliklerin kalıcılığı kesin değildir: md. 10 ve md. 11 için daha önce çıkan 26/2026 ve 27/2026 sayılı kararnamelerin değişiklikleri, Meclisin bu kararnameleri yürürlükten kaldırması üzerine 2 Ekim 2026 tarihli Resolución'larla geçersiz kılındı. Kiraya veren, çıkıştan sonra iade etmesi gereken fianza bakiyesini anahtar tesliminden itibaren bir ay içinde iade etmezse bakiye yasal faiz işler. Kira yasası 2026'da değişiyor; bu kart 7 Ekim 2026 tarihli konsolide metne göre (yayım 7 Ekim, yürürlük 8 Ekim).</t>
        </is>
      </c>
      <c r="G31" s="29" t="inlineStr">
        <is>
          <t>evden çıkış, erken çıkış, desistimiento, ihbar süresi, kira feshi, alquiler, anahtar teslimi</t>
        </is>
      </c>
      <c r="H31" s="29" t="inlineStr">
        <is>
          <t>settled</t>
        </is>
      </c>
      <c r="I31" s="29" t="inlineStr">
        <is>
          <t>sevilla:kaynak:090</t>
        </is>
      </c>
      <c r="J31" s="49" t="n">
        <v>46319</v>
      </c>
      <c r="K31" s="51" t="n">
        <v>9070</v>
      </c>
      <c r="L31" s="29" t="inlineStr">
        <is>
          <t>Hayır</t>
        </is>
      </c>
      <c r="M31" s="29" t="inlineStr">
        <is>
          <t>Taslak</t>
        </is>
      </c>
      <c r="N31" s="29" t="inlineStr">
        <is>
          <t>sevilla:ev</t>
        </is>
      </c>
      <c r="O31" s="29" t="inlineStr">
        <is>
          <t>En az altı ay geçtiğinden emin ol; konut kira sözleşmesinde çıkış hakkı bu süre geçtikten sonra kullanılır (geçici konutta bir ay).
Kiraya verene çıkmak istediğini, çıkış tarihinden en az 30 gün önce bildir (geçici konutta en az 10 gün önce).
Sözleşmenin ilk 5 yılında (kiraya veren tüzel kişiyse ilk 7 yılında) bir vade gününde ayrılıyorsan, vade gününden en az 30 gün önce yenilemek istemediğini kiraya verene bildir; 5 yıl (7 yıl) dolduktan sonraki vadelerde bu bildirim kiracı için en az 2 ay önce yapılır. 15 Kasım 2026'dan sonra bu vadelerde sözleşme yıllık değil 5'er (tüzel kişi kiraya verende 7'şer) yıllık sürelerle kendiliğinden uzar; kiracının bildirimi yine en az 2 ay önce yapılır.
Anahtarları teslim ederken teslim tarihini not et; fianza bakiyesi bir ay içinde iade edilmezse yasal faiz işler.</t>
        </is>
      </c>
      <c r="P31" s="29" t="n"/>
      <c r="Q31" s="29" t="inlineStr">
        <is>
          <t>Kira yasası 2026'da değişiyor; bu kart 7 Ekim 2026 tarihli konsolide metne göre (yayım 7 Ekim, yürürlük 8 Ekim). Geçici konutta çıkış hükümü (md. 11.2) 6 Ekim 2026 tarihli Real Decreto-ley 29/2026 ile geldi; kararname (Real Decreto-ley) olduğu için ileride değişebilir; aynı konudaki önceki kararname (Real Decreto-ley 26/2026) Meclis kararıyla kaldırılmıştır. Md. 10.1'in yeni metni 15 Kasım 2026'da yürürlüğe girer (Real Decreto-ley 28/2026). Konutta çıkış bildirimi en az 30 gün önce; çıkış hakkı en az altı ay geçtikten sonra.</t>
        </is>
      </c>
      <c r="R31" s="29" t="n"/>
      <c r="S31" s="29" t="n"/>
      <c r="T31" s="29" t="n"/>
    </row>
    <row r="32" ht="54" customHeight="1">
      <c r="A32" s="29" t="inlineStr">
        <is>
          <t>sevilla:kiralik-ilan-dolandiriciligini-tanima</t>
        </is>
      </c>
      <c r="B32" s="29" t="inlineStr">
        <is>
          <t>sevilla</t>
        </is>
      </c>
      <c r="C32" s="29" t="inlineStr">
        <is>
          <t>kiralik-ilan-dolandiriciligini-tanima</t>
        </is>
      </c>
      <c r="D32" s="29" t="inlineStr">
        <is>
          <t>Ev ararken sahte kiralık ilan dolandırıcılığını nasıl tanırsın?</t>
        </is>
      </c>
      <c r="E32" s="29" t="inlineStr">
        <is>
          <t>Çok düşük fiyat, kopya fotoğraf, evi gösteremeyen yurtdışındaki ev sahibi, aracıyla anahtar teslimi ve acele anonim ödeme isteği uyarı işaretidir</t>
        </is>
      </c>
      <c r="F32" s="29" t="inlineStr">
        <is>
          <t>INCIBE'ye göre sahte kiralık ilanların başlıca işaretleri şunlardır: bölgedeki benzer evlere göre çok düşük fiyat, başka siteden kopyalanmış ya da başka ilanlarda da görülen fotoğraflar, yurtdışında oturduğu için evi şahsen gösteremeyen ev sahibi, anahtar ya da sözleşme teslimi için aracı önerilmesi ve acele ettirilme. MoneyGram ya da Western Union gibi anonim para gönderme hizmetiyle ödeme istenirse ya da ev sahibi görünen kişinin uyruğuyla aynı ülkeden olmayan bir bankaya havale istenirse süreci sürdürme.</t>
        </is>
      </c>
      <c r="G32" s="29" t="inlineStr">
        <is>
          <t>kiralık ilan dolandırıcılığı, estafa alquiler, sahte ilan, INCIBE, MoneyGram, Western Union, ev arama</t>
        </is>
      </c>
      <c r="H32" s="29" t="inlineStr">
        <is>
          <t>planning;new</t>
        </is>
      </c>
      <c r="I32" s="29" t="inlineStr">
        <is>
          <t>sevilla:kaynak:092;sevilla:kaynak:090</t>
        </is>
      </c>
      <c r="J32" s="49" t="n">
        <v>46319</v>
      </c>
      <c r="K32" s="51" t="n">
        <v>9071</v>
      </c>
      <c r="L32" s="29" t="inlineStr">
        <is>
          <t>Hayır</t>
        </is>
      </c>
      <c r="M32" s="29" t="inlineStr">
        <is>
          <t>Taslak</t>
        </is>
      </c>
      <c r="N32" s="29" t="inlineStr">
        <is>
          <t>sevilla:ev</t>
        </is>
      </c>
      <c r="O32" s="29" t="inlineStr">
        <is>
          <t>Çok düşük fiyatlı ilanda dikkatli ol; ilgilendiğin yerin fiyatını bölgedeki diğer kiralarla karşılaştır.
Fotoğraflarda başka bir siteden alındığını gösteren filigran var mı ya da aynı fotoğraflar başka ilanlarda da çıkıyor mu diye bak.
Yurtdışında oturduğu için evi şahsen gösteremeyen ev sahibine güvenme.
Anahtar ya da sözleşme teslimi için aracı önerilirse güvenme; Airbnb gibi şirketlerin adı süreçle ilgisi olmadan kullanılabiliyor. Aracı şirket adına gelen e-posta Outlook ya da Gmail gibi ücretsiz bir alan adından geliyorsa bu da uyarı işaretidir.
Aceleye getirilmeye karşı dikkatli ol; dolandırıcılar anlaşmayı bir an önce kapatmak ister.
MoneyGram ya da Western Union gibi anonim para gönderme hizmetiyle ödeme istenirse süreci sürdürme; ev sahibi görünen kişinin uyruğuyla aynı ülkeden olmayan bir bankaya havale istenirse de sürdürme.
İlanın adresini Google'da ara; sonuçlarda dolandırıcılıkla ilgili haber ya da başka kullanıcıların yorumları çıkabilir.</t>
        </is>
      </c>
      <c r="P32" s="29" t="n"/>
      <c r="Q32" s="29" t="n"/>
      <c r="R32" s="29" t="n"/>
      <c r="S32" s="29" t="inlineStr">
        <is>
          <t>Bilgi olarak: İspanyol kira yasasına (LAU md. 17.3) göre kira ödemesi elektronik araçlarla yapılır; taraflardan birinin banka hesabı ya da elektronik ödeme erişimi yoksa ve onun talebi üzerine nakit ödeme kiralanan evde mümkündür. Bu bir dolandırıcılık ölçütü değildir; bu kartın ölçütleri INCIBE'nin saydığı işaretlerdir. Yasal bilgi 7 Ekim 2026 tarihli konsolide metne göre (yayım 7 Ekim, yürürlük 8 Ekim).</t>
        </is>
      </c>
      <c r="T32" s="29" t="n"/>
    </row>
    <row r="33" ht="54" customHeight="1">
      <c r="A33" s="29" t="inlineStr">
        <is>
          <t>sevilla:endulus-kira-depozitosu-fianza-avra-yatirma-zorunlulugu</t>
        </is>
      </c>
      <c r="B33" s="29" t="inlineStr">
        <is>
          <t>sevilla</t>
        </is>
      </c>
      <c r="C33" s="29" t="inlineStr">
        <is>
          <t>endulus-kira-depozitosu-fianza-avra-yatirma-zorunlulugu</t>
        </is>
      </c>
      <c r="D33" s="29" t="inlineStr">
        <is>
          <t>Endülüs'te kira depozitosu (fianza) AVRA'ya yatırılır mı: 24 Ocak 2026 öncesi ve sonrası sözleşmeler</t>
        </is>
      </c>
      <c r="E33" s="29" t="inlineStr">
        <is>
          <t>24 Ocak 2026 ve sonrasındaki yeni sözleşmelerde yatırma zorunluluğu kalktı; 23 Ocak 2026 dahil öncesindeki sözleşmelerde sürüyor</t>
        </is>
      </c>
      <c r="F33" s="29" t="inlineStr">
        <is>
          <t>Sözleşme tarihine bağlıdır. 24 Ocak 2026 dahil bu tarihten sonra yapılan kira sözleşmelerinde depozitoyu Endülüs yönetimine (AVRA) yatırma zorunluluğu kaldırılmıştır. 23 Ocak 2026 dahil bu tarihe kadar yapılan sözleşmelerde depozitoyu yatırma zorunluluğu sürer. Kaldırma, 16 Aralık 2025 tarihli Ley 5/2025 (Endülüs Konut Yasası) ek hüküm altıdan (Disposición Adicional Sexta) gelir.</t>
        </is>
      </c>
      <c r="G33" s="29" t="inlineStr">
        <is>
          <t>fianza, kira depozitosu, AVRA, Ley 5/2025, Endülüs konut yasası, depozito iadesi, kira sözleşmesi</t>
        </is>
      </c>
      <c r="H33" s="29" t="inlineStr">
        <is>
          <t>new;settled</t>
        </is>
      </c>
      <c r="I33" s="29" t="inlineStr">
        <is>
          <t>sevilla:kaynak:133</t>
        </is>
      </c>
      <c r="J33" s="49" t="n">
        <v>46319</v>
      </c>
      <c r="K33" s="51" t="n">
        <v>9099</v>
      </c>
      <c r="L33" s="29" t="inlineStr">
        <is>
          <t>Hayır</t>
        </is>
      </c>
      <c r="M33" s="29" t="inlineStr">
        <is>
          <t>Taslak</t>
        </is>
      </c>
      <c r="N33" s="29" t="inlineStr">
        <is>
          <t>sevilla:ev</t>
        </is>
      </c>
      <c r="O33" s="29" t="inlineStr">
        <is>
          <t>Kira sözleşmesinin tarihine bak: sözleşme 24 Ocak 2026 ya da sonrasındaysa depozito için AVRA'ya yatırma yükümlülüğü yoktur.
Sözleşme 23 Ocak 2026 dahil öncesine aitse depozitonun yatırılması zorunluluğu devam eder.
Eski rejimde yatırılmış bir depozitoyu geri almak için, sözleşme sona erince AVRA'ya iade talebinde bulun.</t>
        </is>
      </c>
      <c r="P33" s="29" t="n"/>
      <c r="Q33" s="29" t="inlineStr">
        <is>
          <t>Eski rejimde yatırılmış depozitonun iadesi için yönetim, iade talebinden itibaren bir ay içinde öder.</t>
        </is>
      </c>
      <c r="R33" s="29" t="n"/>
      <c r="S33" s="29" t="inlineStr">
        <is>
          <t>İki rejim: (1) Sözleşme tarihi 24 Ocak 2026 ya da sonrası: AVRA'ya yatırma zorunluluğu yok. (2) Sözleşme tarihi 23 Ocak 2026 dahil öncesi: yatırma zorunluluğu sürer. Yasaya göre Endülüs yönetimi, eski mevzuata göre yasal olarak yatırılmış depozitoları, sözleşmeler sona erdikçe ve ilgililerin talebi üzerine iade eder.</t>
        </is>
      </c>
      <c r="T33" s="29" t="n"/>
    </row>
    <row r="34" ht="54" customHeight="1">
      <c r="A34" s="29" t="inlineStr">
        <is>
          <t>sevilla:sevilla-korumali-konut-kayit-defteri-nedir</t>
        </is>
      </c>
      <c r="B34" s="29" t="inlineStr">
        <is>
          <t>sevilla</t>
        </is>
      </c>
      <c r="C34" s="29" t="inlineStr">
        <is>
          <t>sevilla-korumali-konut-kayit-defteri-nedir</t>
        </is>
      </c>
      <c r="D34" s="29" t="inlineStr">
        <is>
          <t>Sevilla'da korumalı konut (vivienda protegida) için neden Registro de Demandantes'e yazılman gerekir?</t>
        </is>
      </c>
      <c r="E34" s="29" t="inlineStr">
        <is>
          <t>Satılık ya da kiralık tüm korumalı konutlar belediyenin talep sahipleri kaydı üzerinden dağıtılır; kayıt için gelir sınırı yıllık IPREM'in 7 katıdır</t>
        </is>
      </c>
      <c r="F34" s="29" t="inlineStr">
        <is>
          <t>Sevilla'da kamu ya da özel girişimle yapılan bütün korumalı konutlar (satılık da kiralık da) belediyenin Registro Público Municipal de Demandantes de Vivienda Protegida (korumalı konut talep sahipleri kaydı) üzerinden dağıtılır. Bu konutlardan birine sahip olmak için önce kayda yazılmış olmak gerekir. Kayıt, ilgilinin şartları sağladığını bildirdiği bir beyanla (declaración responsable) yapılır. Genel şartlar: reşit olmak, tam mülkiyette ya da ömür boyu kullanım hakkıyla bir konutun sahibi olmamak ve başvuranın ya da hanenin gelirinin IPREM'in 7 katını aşmaması. Sevilla belediyesinde nüfus kaydı (empadronamiento) olmak (son 2 yıl ya da daha önce toplam 5 yıl) veya son 3 yıl Sevilla'da çalışmak kayıt şartı değil, konut dağıtımında seçim ölçütüdür.</t>
        </is>
      </c>
      <c r="G34" s="29" t="inlineStr">
        <is>
          <t>vivienda protegida, korumalı konut, Registro de Demandantes, EMVISESA, sosyal konut, IPREM, Sevilla</t>
        </is>
      </c>
      <c r="H34" s="29" t="inlineStr">
        <is>
          <t>planning;new;settled</t>
        </is>
      </c>
      <c r="I34" s="29" t="inlineStr">
        <is>
          <t>sevilla:kaynak:145;sevilla:kaynak:144</t>
        </is>
      </c>
      <c r="J34" s="49" t="n">
        <v>46319</v>
      </c>
      <c r="K34" s="51" t="n">
        <v>400</v>
      </c>
      <c r="L34" s="29" t="inlineStr">
        <is>
          <t>Evet</t>
        </is>
      </c>
      <c r="M34" s="29" t="inlineStr">
        <is>
          <t>Taslak</t>
        </is>
      </c>
      <c r="N34" s="29" t="inlineStr">
        <is>
          <t>sevilla:ev</t>
        </is>
      </c>
      <c r="O34" s="29" t="inlineStr">
        <is>
          <t>Reşit olduğunu ve tam mülkiyette ya da ömür boyu kullanım hakkıyla bir konutun sahibi olmadığını kontrol et.
Gelirini hane olarak topla: başvuranın ya da hanenin yıllık geliri IPREM'in 7 katını aşmamalı.
Kayıt başvurusunu yap; kayıt, şartları sağladığını bildiren bir beyanla işlenir.
Kayıt tamamlanınca korumalı konut dağıtımlarına katılabilirsin; Sevilla'da 2 yıllık ya da toplam 5 yıllık nüfus kaydı (empadronamiento) veya 3 yıllık çalışma seçimde ölçüt olur.</t>
        </is>
      </c>
      <c r="P34" s="29" t="n"/>
      <c r="Q34" s="29" t="n"/>
      <c r="R34" s="29" t="n"/>
      <c r="S34" s="29" t="inlineStr">
        <is>
          <t>Sevilla'da nüfus kaydı (empadronamiento) ya da çalışma bağı kayıt için şart değildir; yalnızca konut seçiminde ölçüttür.</t>
        </is>
      </c>
      <c r="T34" s="29" t="n"/>
    </row>
    <row r="35" ht="54" customHeight="1">
      <c r="A35" s="29" t="inlineStr">
        <is>
          <t>sevilla:sevilla-konut-kayit-basvurusu-randevu-ve-form</t>
        </is>
      </c>
      <c r="B35" s="29" t="inlineStr">
        <is>
          <t>sevilla</t>
        </is>
      </c>
      <c r="C35" s="29" t="inlineStr">
        <is>
          <t>sevilla-konut-kayit-basvurusu-randevu-ve-form</t>
        </is>
      </c>
      <c r="D35" s="29" t="inlineStr">
        <is>
          <t>Sevilla'da korumalı konut kaydı için başvuru nasıl yapılır: randevu, form ve imzalar</t>
        </is>
      </c>
      <c r="E35" s="29" t="inlineStr">
        <is>
          <t>Randevu 010 hattından ya da belediye web platformundan alınır; form hanedeki 18 yaş üstü herkesçe imzalanır; başvuru için süre sınırı yok</t>
        </is>
      </c>
      <c r="F35" s="29" t="inlineStr">
        <is>
          <t>Birlikte yaşayan aile ya da grup tek başvuru yapar. Formu EMVISESA'nın sitesinden indirebilir ya da ilçelerdeki vatandaş hizmet noktalarından (Puntos de Atención al Ciudadano) alabilirsin. Başvuru için randevu şarttır: Sevilla'dan 010'u, şehir dışından 955 010 010'u ara; belediye web platformunda doğru seçenek 'Emvisesa ve Registro de Demandantes'. Formu hanedeki reşit herkes imzalar; başvuruyu başkası adına yapıyorsan imzalı yetki belgesi ve iki kişinin DNI fotokopisi gerekir. Kayıt aracı güncellenirken e-başvuru, belediye elektronik şubesinde 'presentación general' başlatıp doldurduğun formu ekleyerek de yapılıyor; EMVISESA'nın 'Konut talep et' sayfası ayrıca 'Oficina Virtual del Registro' çevrim içi yolunu gösteriyor. Başvuru için son tarih yok.</t>
        </is>
      </c>
      <c r="G35" s="29" t="inlineStr">
        <is>
          <t>Registro de Demandantes, kayıt başvurusu, cita previa, 010, EMVISESA, Punto de Atención al Ciudadano</t>
        </is>
      </c>
      <c r="H35" s="29" t="inlineStr">
        <is>
          <t>planning;new;settled</t>
        </is>
      </c>
      <c r="I35" s="29" t="inlineStr">
        <is>
          <t>sevilla:kaynak:147;sevilla:kaynak:148</t>
        </is>
      </c>
      <c r="J35" s="49" t="n">
        <v>46319</v>
      </c>
      <c r="K35" s="51" t="n">
        <v>401</v>
      </c>
      <c r="L35" s="29" t="inlineStr">
        <is>
          <t>Hayır</t>
        </is>
      </c>
      <c r="M35" s="29" t="inlineStr">
        <is>
          <t>Taslak</t>
        </is>
      </c>
      <c r="N35" s="29" t="inlineStr">
        <is>
          <t>sevilla:ev</t>
        </is>
      </c>
      <c r="O35" s="29" t="inlineStr">
        <is>
          <t>Formu EMVISESA sitesinden indir ya da ilçendeki vatandaş hizmet noktasından al.
Randevu al: Sevilla'dan 010'u, şehir dışından 955 010 010'u ara ya da belediye web platformunda 'Emvisesa ve Registro de Demandantes' seçeneğini kullan.
Formu hanedeki reşit tüm üyelere imzalat; başkası adına başvuruyorsan imzalı yetki belgesi ve iki tarafın DNI fotokopisini hazırla.
Formu randevuda teslim et ya da kayıt aracı güncellenirken geçerli olan yolla belediye elektronik şubesinde 'presentación general' başlatıp formu ekle.</t>
        </is>
      </c>
      <c r="P35" s="29" t="inlineStr">
        <is>
          <t>Doldurulmuş ve hanedeki reşit tüm üyelerce imzalanmış başvuru formu
Başka biri adına başvuruda: imzalı yetki belgesi ve iki tarafın DNI fotokopisi</t>
        </is>
      </c>
      <c r="Q35" s="29" t="inlineStr">
        <is>
          <t>Başvuru için süre sınırı yok.</t>
        </is>
      </c>
      <c r="R35" s="29" t="n"/>
      <c r="S35" s="29" t="inlineStr">
        <is>
          <t>Birden fazla kişi aynı hanedeyse tek başvuru yapılır. Başvuru sayfası yalnız imzalı formu istiyor; EMVISESA'nın 'Konut talep et' sayfası ise şartları gösteren belgelerin hazır olmasından söz ediyor. Ek belge gerekip gerekmediğini 010 ya da 955 476 180 üzerinden sorabilirsin.</t>
        </is>
      </c>
      <c r="T35" s="29" t="n"/>
    </row>
    <row r="36" ht="54" customHeight="1">
      <c r="A36" s="29" t="inlineStr">
        <is>
          <t>sevilla:korumali-konut-oncelik-gruplari-ve-kontenjanlar</t>
        </is>
      </c>
      <c r="B36" s="29" t="inlineStr">
        <is>
          <t>sevilla</t>
        </is>
      </c>
      <c r="C36" s="29" t="inlineStr">
        <is>
          <t>korumali-konut-oncelik-gruplari-ve-kontenjanlar</t>
        </is>
      </c>
      <c r="D36" s="29" t="inlineStr">
        <is>
          <t>Sevilla korumalı konutlarında kimler öncelikli: gençler, büyük aileler, tek ebeveynliler ve diğer gruplar</t>
        </is>
      </c>
      <c r="E36" s="29" t="inlineStr">
        <is>
          <t>Konutlar kontenjanlara göre dağıtılır; genel kontenjanda 40 yaş altına en az %60 ayrılır</t>
        </is>
      </c>
      <c r="F36" s="29" t="inlineStr">
        <is>
          <t>Konutlar sırayla şu kontenjanlara dağıtılır: engelli uyumlu konutlar, büyük aile kontenjanı, özel durum kontenjanı (en az %10), toplumsal cinsiyete dayalı şiddet (violencia de género) mağdurları (en az %10) ve genel kontenjan. Genel kontenjanda 40 yaşından küçükler en az %60 alır; sonra 65 yaş üstü, sonra 40-64 yaş arası gelir. Özel koruma gruplarına örnek: 40 yaşını doldurmamış gençler, 65 yaş ve üstü, büyük aileler, tek ebeveynli aileler, bakmakla yükümlü çocuğu olan haneler, engelliler, evsizler, ipotek ya da kira borcu yüzünden son 2 yılda evini kaybedenler. Sevilla bağı (Sevilla'da 2 yıllık nüfus kaydı, daha önce toplam 5 yıl nüfus kaydı ya da son 3 yıl Sevilla'da çalışma) seçimde öncelik sağlar ama kayıt şartı değildir; toplumsal cinsiyete dayalı şiddet ve terör mağdurları ile İspanya'ya dönen göçmenler (emigrante retornado, belgeyle) bu ölçütten muaftır.</t>
        </is>
      </c>
      <c r="G36" s="29" t="inlineStr">
        <is>
          <t>kontenjan, cupo, büyük aile, genç, tek ebeveyn, grupos de especial protección, Registro de Demandantes, vinculación</t>
        </is>
      </c>
      <c r="H36" s="29" t="inlineStr">
        <is>
          <t>planning;new;settled</t>
        </is>
      </c>
      <c r="I36" s="29" t="inlineStr">
        <is>
          <t>sevilla:kaynak:146;sevilla:kaynak:147</t>
        </is>
      </c>
      <c r="J36" s="49" t="n">
        <v>46319</v>
      </c>
      <c r="K36" s="51" t="n">
        <v>402</v>
      </c>
      <c r="L36" s="29" t="inlineStr">
        <is>
          <t>Hayır</t>
        </is>
      </c>
      <c r="M36" s="29" t="inlineStr">
        <is>
          <t>Taslak</t>
        </is>
      </c>
      <c r="N36" s="29" t="inlineStr">
        <is>
          <t>sevilla:ev</t>
        </is>
      </c>
      <c r="O36" s="29" t="inlineStr">
        <is>
          <t>Hangi gruba girdiğini belirle: 40 yaş altı genç, 65 yaş üstü, büyük aile, tek ebeveynli aile gibi.
Gençlik için yaş şartının hanenin gelirinin tamamını ya da çoğunu getiren kişi tarafından sağlanması gerektiğini bil.
Sevilla'daki nüfus kaydı (empadronamiento) süreni ya da Sevilla'daki çalışma süreni formda 'bağ var' olarak işaretleyebileceğin ölçütlerle karşılaştır.
Grubunu resmî belgeyle kanıtlaman gerekir (büyük aile, engellilik, mağdurluk vb.); belgeni elinin altında tut.</t>
        </is>
      </c>
      <c r="P36" s="29" t="n"/>
      <c r="Q36" s="29" t="n"/>
      <c r="R36" s="29" t="n"/>
      <c r="S36" s="29" t="inlineStr">
        <is>
          <t>Kayıt formu için ek belge istenmez; gruplar (büyük aile, engellilik, mağdurluk vb.) ise resmî belgeyle kanıtlanır.</t>
        </is>
      </c>
      <c r="T36" s="29" t="n"/>
    </row>
    <row r="37" ht="54" customHeight="1">
      <c r="A37" s="29" t="inlineStr">
        <is>
          <t>sevilla:korumali-konut-cekilis-gecerlilik-ve-vazgecme</t>
        </is>
      </c>
      <c r="B37" s="29" t="inlineStr">
        <is>
          <t>sevilla</t>
        </is>
      </c>
      <c r="C37" s="29" t="inlineStr">
        <is>
          <t>korumali-konut-cekilis-gecerlilik-ve-vazgecme</t>
        </is>
      </c>
      <c r="D37" s="29" t="inlineStr">
        <is>
          <t>Korumalı konut kaydı: çekiliş nasıl yapılır, kayıt ne kadar geçerli, konutu reddedersen ne olur?</t>
        </is>
      </c>
      <c r="E37" s="29" t="inlineStr">
        <is>
          <t>Kayıt son güncellemeden itibaren 3 yıl geçerli; değişiklikler 3 ay içinde bildirilir; kiralık konutu reddetmek kaydı düşürür</t>
        </is>
      </c>
      <c r="F37" s="29" t="inlineStr">
        <is>
          <t>Yeni bir konut grubu çıktığında yapımcı iki yoldan birini seçer: kayıtlı talep sahiplerinin sıralandığı çekiliş listesi ya da kamuya açık çağrı; başvuranlar konuttan fazlaysa çağrı noter ya da yetkili kamu görevlisi önünde çekilişle biter. Kayıt, sunulduğu ya da son güncellendiği tarihten itibaren 3 yıl geçerlidir. Durumunda (örneğin aile bileşiminde) değişiklik olursa değişikliği olaydan itibaren 3 ay içinde kayda bildirmelisin. Kiralık konutu reddedersen kaydın silinir; yeni başvuru yapmana bir engel ya da bekleme süresi yoktur. Satılık konutta gönüllü olarak iki kez vazgeçersen kaydın iptal edilir. Çekilişten sonra da kayıt olabilirsin; bir sonraki çekilişe kadar sıra, önceki katılımcıların arkasından numara sırasıyla verilir. EMVISESA'nın sayfasına göre son çekiliş 20 Aralık 2022'de yapıldı.</t>
        </is>
      </c>
      <c r="G37" s="29" t="inlineStr">
        <is>
          <t>sorteo, çekiliş, kayıt geçerlilik, renuncia, Registro de Demandantes, vivienda protegida, adjudicación</t>
        </is>
      </c>
      <c r="H37" s="29" t="inlineStr">
        <is>
          <t>planning;new;settled</t>
        </is>
      </c>
      <c r="I37" s="29" t="inlineStr">
        <is>
          <t>sevilla:kaynak:146</t>
        </is>
      </c>
      <c r="J37" s="49" t="n">
        <v>46319</v>
      </c>
      <c r="K37" s="51" t="n">
        <v>403</v>
      </c>
      <c r="L37" s="29" t="inlineStr">
        <is>
          <t>Hayır</t>
        </is>
      </c>
      <c r="M37" s="29" t="inlineStr">
        <is>
          <t>Taslak</t>
        </is>
      </c>
      <c r="N37" s="29" t="inlineStr">
        <is>
          <t>sevilla:ev</t>
        </is>
      </c>
      <c r="O37" s="29" t="inlineStr">
        <is>
          <t>Kaydının geçerlilik tarihini takip et: kayıt, sunulduğu ya da son güncellendiği tarihten itibaren 3 yıl geçerli.
Aile bileşimi, gelir gibi bilgilerin değişirse olaydan sonraki 3 ay içinde kayda bildir.
Çekilişte ya da çağrıda seçilirsen Registro seni bilgilendirir; teklif edilen konutun kaydındaki özelliklere uyup uymadığına bak.
Kiralık konutu reddedersen kaydın silinir; yeniden başvurabilirsin, bekleme süresi yok.</t>
        </is>
      </c>
      <c r="P37" s="29" t="n"/>
      <c r="Q37" s="29" t="inlineStr">
        <is>
          <t>Kayıt 3 yıl geçerli; değişiklik bildirimi için süre olaydan itibaren 3 ay.</t>
        </is>
      </c>
      <c r="R37" s="29" t="n"/>
      <c r="S37" s="29" t="inlineStr">
        <is>
          <t>En fazla üç belediyenin talep sahipleri kaydına yazılabilirsin; tercih ettiğin belediyeyi belirtirsin.</t>
        </is>
      </c>
      <c r="T37" s="29" t="n"/>
    </row>
    <row r="38" ht="54" customHeight="1">
      <c r="A38" s="29" t="inlineStr">
        <is>
          <t>sevilla:sevilla-kira-referans-fiyat-haritasi-ipra</t>
        </is>
      </c>
      <c r="B38" s="29" t="inlineStr">
        <is>
          <t>sevilla</t>
        </is>
      </c>
      <c r="C38" s="29" t="inlineStr">
        <is>
          <t>sevilla-kira-referans-fiyat-haritasi-ipra</t>
        </is>
      </c>
      <c r="D38" s="29" t="inlineStr">
        <is>
          <t>Sevilla'da mahalle mahalle kira fiyatına nereden bakarsın: IPRA kira referans haritası</t>
        </is>
      </c>
      <c r="E38" s="29" t="inlineStr">
        <is>
          <t>Belediye konut şirketi EMVISESA, şehrin 107 yerleşim mahallesi için interaktif kira referans endeksi yayınlıyor</t>
        </is>
      </c>
      <c r="F38" s="29" t="inlineStr">
        <is>
          <t>EMVISESA'nın IPRA (Índice de Precio de Referencia de Alquiler) uygulaması, Sevilla'nın 107 yerleşim mahallesinin kira referans endeksini interaktif haritada gösterir. Haritada mahalleni seçince iki kart açılır: birincisi mahalledeki konut turizmi baskısını ve geçmişini, ikincisi IPRA ve POA değerlerinin geçmiş grafiğini verir. IPRA, kiracının fiilen ödediği kiraya dayanır (veri olarak AVRA'ya yatırılması gereken depozito, fianza, esas alınır); POA ise ev sahiplerinin ilanda istediği kiradır. İki değer arasındaki farka bakarak ilanın mahalle ortalamasının altında mı üstünde mi olduğunu görebilirsin. Endeksin güncellemesi 25 Kasım 2022'de Sevilla Şehri Yönetim Kurulu kararıyla onaylandı. Endülüs'te fianzayı AVRA'ya yatırma zorunluluğu 24 Ocak 2026'dan itibaren yapılan sözleşmelerde kalktı. Rakamlar uygulamada mahalle seçilince görünür.</t>
        </is>
      </c>
      <c r="G38" s="29" t="inlineStr">
        <is>
          <t>IPRA, kira fiyatı, mahalle, EMVISESA, POA, kira endeksi, alquiler Sevilla</t>
        </is>
      </c>
      <c r="H38" s="29" t="inlineStr">
        <is>
          <t>before;planning;new</t>
        </is>
      </c>
      <c r="I38" s="29" t="inlineStr">
        <is>
          <t>sevilla:kaynak:150;sevilla:kaynak:133</t>
        </is>
      </c>
      <c r="J38" s="49" t="n">
        <v>46319</v>
      </c>
      <c r="K38" s="51" t="n">
        <v>404</v>
      </c>
      <c r="L38" s="29" t="inlineStr">
        <is>
          <t>Hayır</t>
        </is>
      </c>
      <c r="M38" s="29" t="inlineStr">
        <is>
          <t>Taslak</t>
        </is>
      </c>
      <c r="N38" s="29" t="inlineStr">
        <is>
          <t>sevilla:ev</t>
        </is>
      </c>
      <c r="O38" s="29" t="inlineStr">
        <is>
          <t>EMVISESA'nın IPRA haritasını aç.
Haritada ilgilendiğin mahalleyi bul ve üzerine tıkla.
İlk kartta konut turizmi baskısına, ikinci kartta IPRA ve POA grafiğine bak.
İlandaki kirayı mahallenin IPRA değeriyle karşılaştır.</t>
        </is>
      </c>
      <c r="P38" s="29" t="n"/>
      <c r="Q38" s="29" t="n"/>
      <c r="R38" s="29" t="n"/>
      <c r="S38" s="29" t="inlineStr">
        <is>
          <t>IPRA kiracıların gerçekten ödediği kirayı, POA ev sahiplerinin istediği kirayı gösterir; ikisini karıştırma.</t>
        </is>
      </c>
      <c r="T38" s="29" t="n"/>
    </row>
    <row r="39" ht="54" customHeight="1">
      <c r="A39" s="29" t="inlineStr">
        <is>
          <t>sevilla:bono-alquiler-joven-endulus-2026</t>
        </is>
      </c>
      <c r="B39" s="29" t="inlineStr">
        <is>
          <t>sevilla</t>
        </is>
      </c>
      <c r="C39" s="29" t="inlineStr">
        <is>
          <t>bono-alquiler-joven-endulus-2026</t>
        </is>
      </c>
      <c r="D39" s="29" t="inlineStr">
        <is>
          <t>Endülüs'te 35 yaş ve altına kira yardımı (Bono Alquiler Joven): kimlere verilir, 2026'da durum ne?</t>
        </is>
      </c>
      <c r="E39" s="29" t="inlineStr">
        <is>
          <t>Aylık en fazla 250 euro, en çok 24 ay; 2026 başvuruları 22 Haziran 2026'da 15.000 başvuruya ulaşılınca kapandı</t>
        </is>
      </c>
      <c r="F39" s="29" t="inlineStr">
        <is>
          <t>Bono Alquiler Joven, Endülüs Junta'sının gençlere verdiği kira yardımıdır: aylık en fazla 250 euro, en çok 24 tam ve ardışık ay için. Başvuran reşit ve en fazla 35 yaşında (35 dahil) olmalı; İspanyol, AB/AEA ülkesi ya da İsviçre vatandaşı olmalı, AB dışından olanlar İspanya'da düzenli kalış ya da ikamet durumunda olmalı. Yardım için kira sözleşmen (ya da sözleşme taahhüdün) ve düzenli bir gelirin olmalı; önceki vergi yılı gelirin tek kişi için IPREM'in 3 katını (14 maaşla 25.200 euro), birden fazla kişilik hane için 4 katını (33.600 euro) aşmamalı. Başvuran ya da konutta oturan hane üyelerinden hiçbiri İspanya'da bir konutun maliki ya da intifa hakkı sahibi olmamalı (istisnalar var). Kiraladığın konut asıl ve sürekli ikametgâhın olmalı; nüfus kaydın (padrón) yardım döneminin başından itibaren geçerli olmalı. Junta'nın sayfasına göre 2026 başvuru dönemi 13 Ocak 2026'da yeniden açıldı ve 22 Haziran 2026'da 15.000 başvuruya ulaşılınca kapandı.</t>
        </is>
      </c>
      <c r="G39" s="29" t="inlineStr">
        <is>
          <t>Bono Alquiler Joven, kira yardımı, genç, 35 yaş, Junta de Andalucía, 250 euro, IPREM</t>
        </is>
      </c>
      <c r="H39" s="29" t="inlineStr">
        <is>
          <t>planning;new;settled</t>
        </is>
      </c>
      <c r="I39" s="29" t="inlineStr">
        <is>
          <t>sevilla:kaynak:154</t>
        </is>
      </c>
      <c r="J39" s="49" t="n">
        <v>46319</v>
      </c>
      <c r="K39" s="51" t="n">
        <v>405</v>
      </c>
      <c r="L39" s="29" t="inlineStr">
        <is>
          <t>Hayır</t>
        </is>
      </c>
      <c r="M39" s="29" t="inlineStr">
        <is>
          <t>Taslak</t>
        </is>
      </c>
      <c r="N39" s="29" t="inlineStr">
        <is>
          <t>sevilla:ev</t>
        </is>
      </c>
      <c r="O39" s="29" t="inlineStr">
        <is>
          <t>Yaşını kontrol et: başvuru anında en fazla 35 yaşında olmalısın (35 dahil).
Uyrukluk ve oturum durumunu kontrol et: AB dışındansan İspanya'da düzenli kalış ya da ikamet gerekir.
Geliri hesapla: önceki vergi yılı için tek kişide IPREM'in 3 katı, birden fazla kişilik hanede 4 katı üst sınırdır.
Konut maliki ya da intifa hakkı sahibi olmadığını (hane üyeleri dahil) ve nüfus kaydının yardım döneminin başından itibaren kiralık adreste geçerli olduğunu kontrol et.
Kira sözleşmenin (ya da sözleşme taahhüdünün) ve düzenli gelir belgelerinin hazır olduğundan emin ol; 2026 başvuru dönemi 22 Haziran 2026'da kapandı, başvuru yalnız Junta'nın elektronik ofisi (VEAJA) üzerinden yapılıyordu.</t>
        </is>
      </c>
      <c r="P39" s="29" t="inlineStr">
        <is>
          <t>Kira sözleşmesi ya da sözleşme taahhüdü
Düzenli gelir belgeleri
Kişisel dijital sertifika ve Autofirma uygulaması (elektronik başvuru için)</t>
        </is>
      </c>
      <c r="Q39" s="29" t="inlineStr">
        <is>
          <t>2026 başvuru dönemi 13 Ocak 2026'da açıldı, 22 Haziran 2026'da kapandı.</t>
        </is>
      </c>
      <c r="R39" s="29" t="inlineStr">
        <is>
          <t>Yardım: aylık en fazla 250 euro, en çok 24 ay.</t>
        </is>
      </c>
      <c r="S39" s="29" t="inlineStr">
        <is>
          <t>Yardım kiracının asıl ve sürekli konutu için verilir (nüfus kaydı yardım döneminin başından itibaren geçerli olmalı); kiraya verenle birinci ya da ikinci derece akrabalık varsa yardım verilmez.</t>
        </is>
      </c>
      <c r="T39" s="29" t="n"/>
    </row>
    <row r="40" ht="54" customHeight="1">
      <c r="A40" s="29" t="inlineStr">
        <is>
          <t>sevilla:bono-alquiler-joven-kira-tavani-sozlesme-turleri</t>
        </is>
      </c>
      <c r="B40" s="29" t="inlineStr">
        <is>
          <t>sevilla</t>
        </is>
      </c>
      <c r="C40" s="29" t="inlineStr">
        <is>
          <t>bono-alquiler-joven-kira-tavani-sozlesme-turleri</t>
        </is>
      </c>
      <c r="D40" s="29" t="inlineStr">
        <is>
          <t>Bono Alquiler Joven: kira üst sınırı, sözleşme türleri ve kira ödemesini kanıtlama</t>
        </is>
      </c>
      <c r="E40" s="29" t="inlineStr">
        <is>
          <t>Konutta aylık 900 ya da 600 euro, odada 380 ya da 300 euro kira sınırı; başvuru yalnızca elektronik</t>
        </is>
      </c>
      <c r="F40" s="29" t="inlineStr">
        <is>
          <t>2026 başvuru dönemi 22 Haziran 2026'da kapandı. Yardım için kira tutarının bir üst sınırı var. Konut sözleşmelerinde (tür 1, 2, 3) sınır, Plan Vive Ek V'teki 1, 2 ve 3. grup belediyelerde aylık 900 euro, diğer Endülüs belediyelerinde 600 euro'dur. Birbiriyle aile olmayan kişilerin ortak kiraladığı sözleşmelerde (tür 4) konut sınırına ek olarak kişi başı 380 ya da 300 euro, oda kirasında (tür 5) 380 ya da 300 euro uygulanır. Garaj, depo ya da ortak gider sözleşmede ayrı yazılmamışsa kiradan yüzde 5 ile 15 arasında kesinti yapılır. Başvuru yalnızca elektronik yapılır; FNMT'nin verdiği kişisel dijital sertifika ve Autofirma gerekir. Yardım aldığın süre boyunca kira ödemesini makbuz ya da banka dekontuyla kanıtlarsın; şartları etkileyen bir değişikliği 15 gün içinde bildirirsin.</t>
        </is>
      </c>
      <c r="G40" s="29" t="inlineStr">
        <is>
          <t>Bono Alquiler Joven, kira tavanı, oda kirası, Autofirma, VEAJA, Plan Vive, habitación</t>
        </is>
      </c>
      <c r="H40" s="29" t="inlineStr">
        <is>
          <t>planning;new;settled</t>
        </is>
      </c>
      <c r="I40" s="29" t="inlineStr">
        <is>
          <t>sevilla:kaynak:154</t>
        </is>
      </c>
      <c r="J40" s="49" t="n">
        <v>46319</v>
      </c>
      <c r="K40" s="51" t="n">
        <v>406</v>
      </c>
      <c r="L40" s="29" t="inlineStr">
        <is>
          <t>Hayır</t>
        </is>
      </c>
      <c r="M40" s="29" t="inlineStr">
        <is>
          <t>Taslak</t>
        </is>
      </c>
      <c r="N40" s="29" t="inlineStr">
        <is>
          <t>sevilla:ev</t>
        </is>
      </c>
      <c r="O40" s="29" t="inlineStr">
        <is>
          <t>Sözleşme türünü belirle: tek kiracılı konut, aile olarak birlikte kiralanan konut, aile olmayan kişilerle ortak sözleşme ya da yalnızca oda kirası.
Kirayı sınırla karşılaştır: konutta 900 ya da 600 euro, kişi başı payda ve odada 380 ya da 300 euro.
Garaj, depo ya da ortak gider sözleşmede ayrı yazılı değilse kiradan yüzde 5, 10 ya da 15 düşüleceğini hesaba kat.
Dijital sertifikanı ve Autofirma uygulamasını hazırla; başvuru Junta'nın elektronik ofisi (VEAJA) üzerinden yapılır, 2026 dönemi 22 Haziran 2026'da kapandı.
Kira ödemelerini makbuz, dekont ya da banka kaydıyla belgele.</t>
        </is>
      </c>
      <c r="P40" s="29" t="inlineStr">
        <is>
          <t>FNMT kişisel dijital sertifikası
Autofirma uygulaması
Kira ödeme makbuzu ya da banka dekontu</t>
        </is>
      </c>
      <c r="Q40" s="29" t="inlineStr">
        <is>
          <t>Şartları etkileyen değişiklik 15 gün içinde bildirilir.</t>
        </is>
      </c>
      <c r="R40" s="29" t="inlineStr">
        <is>
          <t>Kira sınırı: konutta 900 euro (1-3. grup belediyeler) ya da 600 euro (diğerleri), aylık; oda ve kişi başı pay 380 ya da 300 euro.</t>
        </is>
      </c>
      <c r="S40" s="29" t="inlineStr">
        <is>
          <t>Sınırın hangi gruba göre uygulanacağı, belediyenin Plan Vive Ek V'teki grubuna bağlıdır.</t>
        </is>
      </c>
      <c r="T40" s="29" t="n"/>
    </row>
    <row r="41" ht="54" customHeight="1">
      <c r="A41" s="29" t="inlineStr">
        <is>
          <t>sevilla:emvisesa-ppr-2026-kira-yardimi</t>
        </is>
      </c>
      <c r="B41" s="29" t="inlineStr">
        <is>
          <t>sevilla</t>
        </is>
      </c>
      <c r="C41" s="29" t="inlineStr">
        <is>
          <t>emvisesa-ppr-2026-kira-yardimi</t>
        </is>
      </c>
      <c r="D41" s="29" t="inlineStr">
        <is>
          <t>EMVISESA kiracısıysan: düşük gelirli aileler için PPR kira yardımı (2026) şartları ve evrakı</t>
        </is>
      </c>
      <c r="E41" s="29" t="inlineStr">
        <is>
          <t>Yalnızca EMVISESA konutlarının kiracıları; sosyal hizmetler kullanıcısı olmak şart; 2026 başvuru süresi 15 Eylül 2026'da doldu</t>
        </is>
      </c>
      <c r="F41" s="29" t="inlineStr">
        <is>
          <t>PPR (Protocolo de Protección a Familias con Pocos Recursos), EMVISESA'nın ya da EMVISESA'nın yönettiği konutların kiracısı ve yasal kullanıcısı olan, risk altındaki ya da dışlanmış ailelere verilen kira yardımıdır; Sevilla Belediyesi Sosyal Refah ve İstihdam Delegasyonu bütçesinden karşılanır. Şartlar: konutta yasal olarak asıl ve sürekli ikamet etmek, su, elektrik ya da gaz aboneliklerinin yasal olması, tüm hane üyelerinin o adreste nüfus kaydının olması, apartman aidatlarını ödemiş olmak, EMVISESA'nın Protocolo de Convivencia dosyalarında konutu kullanmama ya da çok ağır ihlal nedeniyle yaptırım almamış olmak, önceki yıllarda PPR başvurusu yaptıysan asgari kirayı (renta mínima exigible) ödemiş olmak ve Belediye Sosyal Hizmetleri'nin kullanıcısı olmak. Şartları Konut Hakkı Belediye Ofisi (OMDV) kontrol eder. 2026 için başvuru süresi 15 Eylül 2026'da sona erdi. Başvuru, OMDV'de randevuyla yüz yüze yapılır.</t>
        </is>
      </c>
      <c r="G41" s="29" t="inlineStr">
        <is>
          <t>PPR, EMVISESA kiracı, kira yardımı, OMDV, düşük gelir, ayudas al alquiler, Servicios Sociales</t>
        </is>
      </c>
      <c r="H41" s="29" t="inlineStr">
        <is>
          <t>settled</t>
        </is>
      </c>
      <c r="I41" s="29" t="inlineStr">
        <is>
          <t>sevilla:kaynak:149</t>
        </is>
      </c>
      <c r="J41" s="49" t="n">
        <v>46319</v>
      </c>
      <c r="K41" s="51" t="n">
        <v>407</v>
      </c>
      <c r="L41" s="29" t="inlineStr">
        <is>
          <t>Hayır</t>
        </is>
      </c>
      <c r="M41" s="29" t="inlineStr">
        <is>
          <t>Taslak</t>
        </is>
      </c>
      <c r="N41" s="29" t="inlineStr">
        <is>
          <t>sevilla:ev</t>
        </is>
      </c>
      <c r="O41" s="29" t="inlineStr">
        <is>
          <t>Şartları kontrol et: konutta asıl ikametgâh, yasal abonelikler, hanenin tamamı o adreste nüfus kayıtlı, aidat borcu yok, EMVISESA yaptırımı yok, önceki yıllarda PPR aldıysan asgari kira ödenmiş, Belediye Sosyal Hizmetleri kullanıcısı olmak.
OMDV'den randevu al: 955 476 054, 955 476 004 ya da 955 476 050.
Başvuru formunu ve ekleri (yetki, Anexo 0, I, III, V) kira sözleşmesinin tüm sahiplerine imzalat.
Evrakı Avenida de San Jerónimo 5'teki OMDV ofisine eksiksiz teslim et; damgalı kopyanı al.</t>
        </is>
      </c>
      <c r="P41" s="29" t="inlineStr">
        <is>
          <t>PPR başvuru formu ve Anexo 0, I, III, V ekleri
Son üç ışık ve su faturası
Aidatın ödendiğini gösteren yönetici ya da apartman başkanı belgesi (aidat tutarı yazılı)
14 yaşını geçen hane üyelerinin DNI fotokopisi; AB vatandaşları için AB kayıt belgesi ve pasaport ya da kimlik, AB dışı için geçerli yabancı kimlik kartı fotokopisi
Aile cüzdanı fotokopisi, toplu ikametgâh belgesi, 16 yaş üstü herkesin gelir belgesi ve iş geçmişi dökümü
Sosyal Güvenlik entegre yardım belgesi (Ingreso Mínimo Vital alıp almadığını gösterir)
Varsa: boşanma sözleşmesi ya da kararı, SEPE veya Sosyal Güvenlik'ten başka yardım için başvuru belgesi, bağımlılık ya da engellilik kararı, ödenmeyen nafaka için şikâyet ya da dava belgesi</t>
        </is>
      </c>
      <c r="Q41" s="29" t="inlineStr">
        <is>
          <t>2026 başvuru süresi 15 Eylül 2026'da sona erdi.</t>
        </is>
      </c>
      <c r="R41" s="29" t="n"/>
      <c r="S41" s="29" t="inlineStr">
        <is>
          <t>Eksik evrak ya da hatalı doldurulmuş form başvuruyu geçersiz kılar.</t>
        </is>
      </c>
      <c r="T41" s="29" t="n"/>
    </row>
    <row r="42" ht="54" customHeight="1">
      <c r="A42" s="29" t="inlineStr">
        <is>
          <t>sevilla:sevilla-konut-isleri-adresler-emvisesa-registro-omdv</t>
        </is>
      </c>
      <c r="B42" s="29" t="inlineStr">
        <is>
          <t>sevilla</t>
        </is>
      </c>
      <c r="C42" s="29" t="inlineStr">
        <is>
          <t>sevilla-konut-isleri-adresler-emvisesa-registro-omdv</t>
        </is>
      </c>
      <c r="D42" s="29" t="inlineStr">
        <is>
          <t>Sevilla'da konut işleri için adresler ve telefonlar: EMVISESA merkezi, Registro ofisi ve Konut Hakkı Ofisi (OMDV)</t>
        </is>
      </c>
      <c r="E42" s="29" t="inlineStr">
        <is>
          <t>Registro ofisi ve OMDV aynı adreste, Avda. San Jerónimo 5'te; EMVISESA merkezi Parque Empresarial Arte Sacro'da</t>
        </is>
      </c>
      <c r="F42" s="29" t="inlineStr">
        <is>
          <t>Korumalı konut kaydı (Registro) ofisi Avda. San Jerónimo 5, ACC. B, 41015 Sevilla adresindedir; hafta içi 8:30-14:30 arası çalışır, cumartesi kapalıdır. Randevu için 010'u (şehir dışından 955 010 010) ya da danışma hattı 955 476 180'i ara; 3 ve 10 numaralı otobüslerin durakları ofisin yakınındadır. Konut Hakkı Belediye Ofisi (OMDV) de Avenida de San Jerónimo 5'tedir; EMVISESA kiracılarının PPR kira yardımı başvurusu için randevu telefonları 955 476 054, 955 476 004 ve 955 476 050. EMVISESA'nın merkezi Avenida de la Ingeniería 9, Parque Empresarial Arte Sacro, Edificio 9, 41015 Sevilla adresindedir; telefon 955 476 000, yalnızca randevuyla hizmet verir, hafta içi 8:30-14:30 arası açıktır, salı günleri ayrıca 16:00-18:30 arası randevuyla çalışır.</t>
        </is>
      </c>
      <c r="G42" s="29" t="inlineStr">
        <is>
          <t>EMVISESA adres, Registro de Demandantes ofisi, OMDV, San Jerónimo 5, Arte Sacro, 010, konut ofisi</t>
        </is>
      </c>
      <c r="H42" s="29" t="inlineStr">
        <is>
          <t>planning;new;settled</t>
        </is>
      </c>
      <c r="I42" s="29" t="inlineStr">
        <is>
          <t>sevilla:kaynak:145;sevilla:kaynak:149</t>
        </is>
      </c>
      <c r="J42" s="49" t="n">
        <v>46319</v>
      </c>
      <c r="K42" s="51" t="n">
        <v>408</v>
      </c>
      <c r="L42" s="29" t="inlineStr">
        <is>
          <t>Evet</t>
        </is>
      </c>
      <c r="M42" s="29" t="inlineStr">
        <is>
          <t>Taslak</t>
        </is>
      </c>
      <c r="N42" s="29" t="inlineStr">
        <is>
          <t>sevilla:ev</t>
        </is>
      </c>
      <c r="O42" s="29" t="inlineStr">
        <is>
          <t>Registro işi için 010'u (şehir dışından 955 010 010) ya da 955 476 180'i arayıp randevu al.
EMVISESA kiracısıysan PPR kira yardımı başvurusu için Konut Hakkı Ofisi'nden (OMDV) 955 476 054, 955 476 004 ya da 955 476 050 numaralarından randevu al.
Randevu günü Avda. San Jerónimo 5'e git; 3 ya da 10 numaralı otobüs yakında durur.
EMVISESA merkezindeki bir iş için 955 476 000'den randevu al.</t>
        </is>
      </c>
      <c r="P42" s="29" t="n"/>
      <c r="Q42" s="29" t="inlineStr">
        <is>
          <t>Registro ofisi: hafta içi 8:30-14:30, cumartesi kapalı. EMVISESA merkezi: hafta içi 8:30-14:30, salı 16:00-18:30 randevuyla.</t>
        </is>
      </c>
      <c r="R42" s="29" t="n"/>
      <c r="S42" s="29" t="inlineStr">
        <is>
          <t>OMDV ve Registro ofisi aynı adreste olsa da randevu telefonları farklıdır.</t>
        </is>
      </c>
      <c r="T42" s="29" t="n"/>
    </row>
    <row r="43" ht="54" customHeight="1">
      <c r="A43" s="29" t="inlineStr">
        <is>
          <t>sevilla:endulus-kiraci-haklari-satis-ev-giris-faturalar</t>
        </is>
      </c>
      <c r="B43" s="29" t="inlineStr">
        <is>
          <t>sevilla</t>
        </is>
      </c>
      <c r="C43" s="29" t="inlineStr">
        <is>
          <t>endulus-kiraci-haklari-satis-ev-giris-faturalar</t>
        </is>
      </c>
      <c r="D43" s="29" t="inlineStr">
        <is>
          <t>Endülüs'te kiracı olarak haklarını bil: ev satılırsa, ev sahibi eve girmek isterse, vergi ve faturalar kimde?</t>
        </is>
      </c>
      <c r="E43" s="29" t="inlineStr">
        <is>
          <t>Junta de Andalucía'nın kiracı ve ev sahibi hak-yükümlülük listesinden Sevilla'da işine yarayanlar</t>
        </is>
      </c>
      <c r="F43" s="29" t="inlineStr">
        <is>
          <t>Ev satılırsa kiracı olarak önalım (tanteo) hakkın var: ev sahibi satma kararını sana yazılı bildirmeli. Evi alan kişi mevcut kira sözleşmesine uymak zorundadır. Evi ancak kısmen ve ev sahibinin önceden yazılı iznine bağlı olarak alt kiraya verebilirsin; tadilat da ev sahibinin açık ve yazılı rızasıyla yapılır. Anahtar tesliminden sonra ev sahibi, sen izin vermedikçe ya da mahkeme izni olmadıkça eve giremez. Ev sahibinin enerji verimliliği sertifikası olması gerekir. Küçük, olağan kullanımdan doğan onarımlar kiracıya düşer. Sayaçlı faturalar (elektrik, su, gaz, telefon) kiracıya aittir; IBI (emlak vergisi) ve çöp harcı ise ev sahibine düşer; kiracı yalnızca sözleşmede kararlaştırılan yük ve vergileri öder. Aksi kararlaştırılmadıkça kira ayın ilk yedi günü içinde ödenir.</t>
        </is>
      </c>
      <c r="G43" s="29" t="inlineStr">
        <is>
          <t>kiracı hakları, derechos inquilino, tanteo, subarriendo, IBI, çöp harcı, Junta de Andalucía</t>
        </is>
      </c>
      <c r="H43" s="29" t="inlineStr">
        <is>
          <t>new;settled</t>
        </is>
      </c>
      <c r="I43" s="29" t="inlineStr">
        <is>
          <t>sevilla:kaynak:153</t>
        </is>
      </c>
      <c r="J43" s="49" t="n">
        <v>46319</v>
      </c>
      <c r="K43" s="51" t="n">
        <v>409</v>
      </c>
      <c r="L43" s="29" t="inlineStr">
        <is>
          <t>Hayır</t>
        </is>
      </c>
      <c r="M43" s="29" t="inlineStr">
        <is>
          <t>Taslak</t>
        </is>
      </c>
      <c r="N43" s="29" t="inlineStr">
        <is>
          <t>sevilla:ev</t>
        </is>
      </c>
      <c r="O43" s="29" t="inlineStr">
        <is>
          <t>Sözleşmeyi oku: kira günü, hangi giderlerin kime ait olduğu ve alt kiralama ya da tadilat izni yazılı mı bak.
Ev satış kararı alınırsa ev sahibinden yazılı bildirim iste ve önalım hakkını kullanıp kullanmayacağına karar ver.
Tadilat ya da alt kiralama yapacaksan ev sahibinden önceden yazılı izin al.
Sayaçlı hizmetlerin (elektrik, su, gaz, telefon) faturalarını kendi adına öde. IBI ve çöp harcı ev sahibine düşer; sözleşmede bunları sana yükleyen bir madde var mı, imzalamadan önce bak.</t>
        </is>
      </c>
      <c r="P43" s="29" t="n"/>
      <c r="Q43" s="29" t="inlineStr">
        <is>
          <t>Kira, aksi kararlaştırılmadıkça ayın ilk 7 günü içinde ödenir.</t>
        </is>
      </c>
      <c r="R43" s="29" t="n"/>
      <c r="S43" s="29" t="n"/>
      <c r="T43" s="29" t="n"/>
    </row>
    <row r="44" ht="54" customHeight="1">
      <c r="A44" s="29" t="inlineStr">
        <is>
          <t>sevilla:kira-ve-konut-hizmeti-sikayeti-hoja-de-reclamaciones-012</t>
        </is>
      </c>
      <c r="B44" s="29" t="inlineStr">
        <is>
          <t>sevilla</t>
        </is>
      </c>
      <c r="C44" s="29" t="inlineStr">
        <is>
          <t>kira-ve-konut-hizmeti-sikayeti-hoja-de-reclamaciones-012</t>
        </is>
      </c>
      <c r="D44" s="29" t="inlineStr">
        <is>
          <t>Endülüs'te işletmelerden şikâyet formu (hoja de reclamaciones) nasıl istenir? Kira hakları için 012 hattı</t>
        </is>
      </c>
      <c r="E44" s="29" t="inlineStr">
        <is>
          <t>Şikâyet formu ücretsiz ve hemen verilir; dijital sertifikanla tamamen internetten, yoksa yazdırıp Junta kayıt servisine verilir</t>
        </is>
      </c>
      <c r="F44" s="29" t="inlineStr">
        <is>
          <t>Mal satan ya da hizmet veren işletme ve profesyoneller, şikâyet formu (hoja de quejas y reclamaciones) bulundurmak zorundadır. İstediğinde form hemen ve ücretsiz verilir; vermezse yetkili tüketici otoritesinin görevlilerinden yardım isteyebilirsin. Şikâyet (queja) yalnızca memnuniyetsizliği bildirir; talep (reclamación) ise iade, onarım ya da tazminat ister. Dijital sertifikan varsa süreç tamamen internetten yürür; yoksa formu yazdırıp doldurur ve Junta de Andalucía'nın herhangi bir biriminin kayıt (registro) servisine verirsin. Bu form, bir işletmeden mal ya da hizmet aldığında kullanılır. Ev sahibiyle kira sözleşmesinden doğan hak ve yükümlülükler hakkında bilgi için 012 ya da 955 012 012'yi arayabilirsin; Junta bu ayrıntıları Consumo Responde sitesinde de yayınlıyor.</t>
        </is>
      </c>
      <c r="G44" s="29" t="inlineStr">
        <is>
          <t>hoja de reclamaciones, şikâyet formu, Consumo Responde, 012, tüketici şikâyeti, kira hakları, Junta de Andalucía</t>
        </is>
      </c>
      <c r="H44" s="29" t="inlineStr">
        <is>
          <t>new;settled</t>
        </is>
      </c>
      <c r="I44" s="29" t="inlineStr">
        <is>
          <t>sevilla:kaynak:155;sevilla:kaynak:153</t>
        </is>
      </c>
      <c r="J44" s="49" t="n">
        <v>46319</v>
      </c>
      <c r="K44" s="51" t="n">
        <v>410</v>
      </c>
      <c r="L44" s="29" t="inlineStr">
        <is>
          <t>Hayır</t>
        </is>
      </c>
      <c r="M44" s="29" t="inlineStr">
        <is>
          <t>Taslak</t>
        </is>
      </c>
      <c r="N44" s="29" t="inlineStr">
        <is>
          <t>sevilla:ev</t>
        </is>
      </c>
      <c r="O44" s="29" t="inlineStr">
        <is>
          <t>İşletmeden ya da hizmet verenden şikâyet formunu (hoja de reclamaciones) iste; hemen ve ücretsiz vermek zorunda.
Form verilmezse yetkili tüketici otoritesinin görevlilerinden yardım iste.
Formu açık ve kısa doldur; ne talep ettiğini (iade, onarım ya da tazminat) yaz.
Dijital sertifikan varsa şikâyeti internetten ilet; yoksa yazdırıp Junta'nın bir biriminin kayıt servisine ver.
Kira hak ve yükümlülükleri hakkında bilgi için 012 ya da 955 012 012'yi ara.</t>
        </is>
      </c>
      <c r="P44" s="29" t="inlineStr">
        <is>
          <t>Doldurulmuş şikâyet formu (hoja de reclamaciones)</t>
        </is>
      </c>
      <c r="Q44" s="29" t="n"/>
      <c r="R44" s="29" t="inlineStr">
        <is>
          <t>Form ücretsizdir.</t>
        </is>
      </c>
      <c r="S44" s="29" t="n"/>
      <c r="T44" s="29" t="n"/>
    </row>
    <row r="45" ht="54" customHeight="1">
      <c r="A45" s="29" t="inlineStr">
        <is>
          <t>sevilla:avra-eski-fianza-iade-basvurusu-model-810</t>
        </is>
      </c>
      <c r="B45" s="29" t="inlineStr">
        <is>
          <t>sevilla</t>
        </is>
      </c>
      <c r="C45" s="29" t="inlineStr">
        <is>
          <t>avra-eski-fianza-iade-basvurusu-model-810</t>
        </is>
      </c>
      <c r="D45" s="29" t="inlineStr">
        <is>
          <t>Eski kira depozitosunu (fianza) AVRA'dan geri almak: Model 810 formu, belgeler ve bir aylık süre</t>
        </is>
      </c>
      <c r="E45" s="29" t="inlineStr">
        <is>
          <t>23 Ocak 2026'ya kadar yapılan sözleşmelerde yatırılan fianza, başvuruyu yapan kiraya verene bir ay içinde iade edilir</t>
        </is>
      </c>
      <c r="F45" s="29" t="inlineStr">
        <is>
          <t>Endülüs'te 23 Ocak 2026'ya (dahil) kadar yapılan kira sözleşmelerinde depozito (fianza) AVRA'ya (Endülüs Konut ve Yenileme Ajansı) yatırılıyordu. Bu depozitonun iadesini sözleşme sona erdikçe, kiraya veren (ya da yasal temsilcisi) 810 numaralı formla ister; başvuru randevuyla yüz yüze ya da elektronik yapılabilir. Formla birlikte taşınmazın katastro referansı gerekir; iade için ayrıca banka hesabının GIRO sistemine kayıtlı olması zorunludur. Dijital sertifikası olan kişi hesabı Oficina Virtual'dan kaydedebilir; olmayan kişi üçüncü kişi hesap bakım formunu doldurur. AVRA, talepten itibaren bir ay içinde depozitoyu iade eder. 24 Ocak 2026'dan itibaren yapılan sözleşmelerde AVRA'ya yatırma zorunluluğu kalkmıştır.</t>
        </is>
      </c>
      <c r="G45" s="29" t="inlineStr">
        <is>
          <t>fianza, AVRA, Model 810, depozito iadesi, GIRO, katastro referansı, kiraya veren</t>
        </is>
      </c>
      <c r="H45" s="29" t="inlineStr">
        <is>
          <t>settled</t>
        </is>
      </c>
      <c r="I45" s="29" t="inlineStr">
        <is>
          <t>sevilla:kaynak:152;sevilla:kaynak:133</t>
        </is>
      </c>
      <c r="J45" s="49" t="n">
        <v>46319</v>
      </c>
      <c r="K45" s="51" t="n">
        <v>411</v>
      </c>
      <c r="L45" s="29" t="inlineStr">
        <is>
          <t>Hayır</t>
        </is>
      </c>
      <c r="M45" s="29" t="inlineStr">
        <is>
          <t>Taslak</t>
        </is>
      </c>
      <c r="N45" s="29" t="inlineStr">
        <is>
          <t>sevilla:ev</t>
        </is>
      </c>
      <c r="O45" s="29" t="inlineStr">
        <is>
          <t>Sözleşmenin 23 Ocak 2026 ya da öncesinde yapılıp yapılmadığına bak; 24 Ocak 2026'dan itibaren yapılan sözleşmelerde fianzayı AVRA'ya yatırma zorunluluğu kalktı.
Kiraya verenden 810 numaralı iade formunu doldurmasını iste: dijital sertifikayla internetten ya da AVRA'dan randevu alıp kâğıt üzerinde.
Katastro referansını forma ekle ve kiraya verenin banka hesabının GIRO sisteminde kayıtlı olduğundan emin ol.
Başvuruyu ilet; AVRA depozitoyu başvurudan itibaren bir ay içinde iade eder.</t>
        </is>
      </c>
      <c r="P45" s="29" t="inlineStr">
        <is>
          <t>Model 810 iade formu
Taşınmazın katastro referansı
GIRO sisteminde kayıtlı banka hesabı</t>
        </is>
      </c>
      <c r="Q45" s="29" t="inlineStr">
        <is>
          <t>AVRA iadeyi talepten itibaren bir ay içinde yapar.</t>
        </is>
      </c>
      <c r="R45" s="29" t="n"/>
      <c r="S45" s="29" t="inlineStr">
        <is>
          <t>İadeyi kiraya veren ister; kiracı olarak ev sahibine sözleşmenin AVRA kapsamında olup olmadığını sorabilirsin.</t>
        </is>
      </c>
      <c r="T45" s="29" t="n"/>
    </row>
    <row r="46" ht="54" customHeight="1">
      <c r="A46" s="29" t="inlineStr">
        <is>
          <t>sevilla:elektrik-aboneligi-serbest-piyasa-pvpc</t>
        </is>
      </c>
      <c r="B46" s="29" t="inlineStr">
        <is>
          <t>sevilla</t>
        </is>
      </c>
      <c r="C46" s="29" t="inlineStr">
        <is>
          <t>elektrik-aboneligi-serbest-piyasa-pvpc</t>
        </is>
      </c>
      <c r="D46" s="29" t="inlineStr">
        <is>
          <t>Elektrik aboneliği nasıl yapılır; serbest piyasa ile PVPC arasındaki fark nedir?</t>
        </is>
      </c>
      <c r="E46" s="29" t="inlineStr">
        <is>
          <t>Serbest piyasa herkese açık; regüle fiyat PVPC yalnız 10 kW ve altı gerçek kişi ve mikro işletmelere</t>
        </is>
      </c>
      <c r="F46" s="29" t="inlineStr">
        <is>
          <t>Elektrik için iki yol var: serbest piyasada fiyat ve koşulları tedarikçiyle serbestçe kararlaştırırsın; regüle piyasada ise yalnız PVPC (küçük tüketici gönüllü fiyatı) sözleşmesi yaparsın. Serbest piyasa herkese açıktır; PVPC'ye yalnız sözleşmeli gücü 10 kW ve altı olan gerçek kişiler ile mikro işletmeler girebilir ve PVPC yalnız "comercializadora de referencia" (referans tedarikçi) ile yapılır. PVPC'de güç ve enerji için ayrı fiyatlar vardır; enerji fiyatı günün saatine göre değişir. Elektrik almak için hem şebeke erişim sözleşmesi (ATR) hem enerji sözleşmesi gerekir; çoğu kişi ikisini de tedarikçi üzerinden yapar.</t>
        </is>
      </c>
      <c r="G46" s="29" t="inlineStr">
        <is>
          <t>elektrik aboneliği, PVPC, serbest piyasa, mercado libre, comercializadora, CUPS, contrato de luz</t>
        </is>
      </c>
      <c r="H46" s="29" t="inlineStr">
        <is>
          <t>new</t>
        </is>
      </c>
      <c r="I46" s="29" t="inlineStr">
        <is>
          <t>sevilla:kaynak:067;sevilla:kaynak:068</t>
        </is>
      </c>
      <c r="J46" s="49" t="n">
        <v>46319</v>
      </c>
      <c r="K46" s="51" t="n">
        <v>9050</v>
      </c>
      <c r="L46" s="29" t="inlineStr">
        <is>
          <t>Hayır</t>
        </is>
      </c>
      <c r="M46" s="29" t="inlineStr">
        <is>
          <t>Taslak</t>
        </is>
      </c>
      <c r="N46" s="29" t="inlineStr">
        <is>
          <t>sevilla:fatura</t>
        </is>
      </c>
      <c r="O46" s="29" t="inlineStr">
        <is>
          <t>Serbest piyasa mı PVPC mi istediğine karar ver; sözleşmeli gücün 10 kW'ın üzerindeyse ya da gerçek kişi veya mikro işletme değilsen PVPC'ye giremezsin.
Aboneliği kendi adına yap: kiracıysan da elektrik noktasının abonesi (sözleşme sahibi) sen olmalısın; evin sahibi kim olursa olsun fark etmez.
Seçtiğin tedarikçiye CUPS kodunu, sözleşme sahibinin adını ve DNI'sini (kimlik numarası), yeni abonelik adresini, Certificado de Instalación ya da Boletín Eléctrico'yu, istediğin gücü ve faturaların çekileceği hesabın IBAN kodunu ver.
Elektrik noktası yeniyse bunlara ek olarak ilk iskân ya da işyeri açma ruhsatını, oturulabilirlik belgesini ve mülkiyet senedi ya da kira sözleşmesini ver.
Sözleşmeyi imzalamadan önce tedarikçinin sözleşmeden ayrı gönderdiği özet belgeyi oku; ana koşullar orada sade dille yazılıdır.</t>
        </is>
      </c>
      <c r="P46" s="29" t="inlineStr">
        <is>
          <t>CUPS kodu (her elektrik faturasında yazar)
Sözleşme sahibinin adı ve DNI (kimlik numarası)
Yeni abonelik adresi
Certificado de Instalación ya da Boletín Eléctrico
Başlatmak istediğin güç
Faturaların çekileceği hesabın IBAN kodu
Elektrik noktası yeniyse: licencia de primera ocupación ya da licencia de apertura
Elektrik noktası yeniyse: cédula de habitabilidad ya da cédula de calificación definitiva
Elektrik noktası yeniyse: mülkiyet senedi ya da kira sözleşmesi</t>
        </is>
      </c>
      <c r="Q46" s="29" t="inlineStr">
        <is>
          <t>CNMC'ye göre elektriğin açılması için yasal azami süre 5 ile 7 iş günüdür; bu süre tedarikçiden bağımsızdır.</t>
        </is>
      </c>
      <c r="R46" s="29" t="n"/>
      <c r="S46" s="29" t="inlineStr">
        <is>
          <t>Sözleşme genelde bir yıllıktır ve aynı sürelerle kendiliğinden uzar. CNMC'ye göre sözleşmede taahhüt (permanencia) şartı varsa tedarikçi, bir yıl dolmadan feshe ceza uygulayabilir; bu ceza düşük gerilimde sözleşmenin kalan enerji maliyetinin %5'ini aşamaz. PVPC'yi seçersen enerjin için başka bir sözleşme biçimine başvuramazsın ve birden fazla tedarikçiyle çalışamazsın. PVPC ile serbest piyasa arasındaki geçişin kendisi, sözleşmenin teknik koşulları aynı kaldıkça ek ücret doğurmaz.</t>
        </is>
      </c>
      <c r="T46" s="29" t="n"/>
    </row>
    <row r="47" ht="54" customHeight="1">
      <c r="A47" s="29" t="inlineStr">
        <is>
          <t>sevilla:elektrik-faturasi-nasil-okunur</t>
        </is>
      </c>
      <c r="B47" s="29" t="inlineStr">
        <is>
          <t>sevilla</t>
        </is>
      </c>
      <c r="C47" s="29" t="inlineStr">
        <is>
          <t>elektrik-faturasi-nasil-okunur</t>
        </is>
      </c>
      <c r="D47" s="29" t="inlineStr">
        <is>
          <t>Elektrik faturası nasıl okunur: potencia, enerji ve vergiler neyi gösterir?</t>
        </is>
      </c>
      <c r="E47" s="29" t="inlineStr">
        <is>
          <t>Sabit güç bedeli, tüketime bağlı enerji bedeli, şebeke giderleri ve vergiler faturada ayrı kalemlerdir</t>
        </is>
      </c>
      <c r="F47" s="29" t="inlineStr">
        <is>
          <t>Elektrik faturası enerji maliyetinden, düzenlenmiş giderlerden (şebeke, yenilenebilir enerji teşviki gibi), tedarikçinin marjından ve vergilerden (elektrik özel vergisi ile IVA) oluşur; sayaç kirası ve ek hizmetler varsa ayrıca eklenir. Tedarikçiler bu maliyetleri genelde iki terimle yansıtır: sabit güç terimi (sözleşmeli güce bağlıdır, hiç elektrik tüketmesen de ödenir) ve değişken enerji terimi (ne kadar ve hangi saatte tükettiğine bağlıdır; serbest piyasada tedarikçiyle sabit fiyat formülü sözleşmediysen). Düzenlenmiş maliyetler şebeke erişim bedelleri (peajes) ve cargos yoluyla yansıtılır; ikisi faturada ayrı gösterilmek zorundadır. PVPC'de vergiler PVPC fiyatının içinde değil, üstüne eklenir.</t>
        </is>
      </c>
      <c r="G47" s="29" t="inlineStr">
        <is>
          <t>elektrik faturası, factura de la luz, potencia, término de energía, peajes, cargos, IVA, Entiende tu factura</t>
        </is>
      </c>
      <c r="H47" s="29" t="inlineStr">
        <is>
          <t>new;settled</t>
        </is>
      </c>
      <c r="I47" s="29" t="inlineStr">
        <is>
          <t>sevilla:kaynak:068;sevilla:kaynak:069</t>
        </is>
      </c>
      <c r="J47" s="49" t="n">
        <v>46319</v>
      </c>
      <c r="K47" s="51" t="n">
        <v>9051</v>
      </c>
      <c r="L47" s="29" t="inlineStr">
        <is>
          <t>Hayır</t>
        </is>
      </c>
      <c r="M47" s="29" t="inlineStr">
        <is>
          <t>Taslak</t>
        </is>
      </c>
      <c r="N47" s="29" t="inlineStr">
        <is>
          <t>sevilla:fatura</t>
        </is>
      </c>
      <c r="O47" s="29" t="inlineStr">
        <is>
          <t>Faturada sözleşme sahibini, sözleşme ve fatura numarasını, CUPS kodunu ve fatura dönemini kontrol et; CNMC'ye göre bunlar faturada yazılı olmak zorundadır.
Potencia (güç) satırına bak: bu tutar sözleşmeli güce bağlıdır ve hiç elektrik tüketmesen de ödenir.
Enerji satırına bak: serbest piyasada tedarikçiyle sabit fiyat formülü sözleşmediysen tutar ne kadar ve hangi saatte tükettiğine bağlıdır.
Peajes ve cargos kalemlerinin ayrı satırda gösterildiğini kontrol et; vergileri (elektrik özel vergisi ve IVA) de faturada bul. PVPC'deysen vergiler PVPC fiyatının üstüne uygulanır.
Sayaç kirası ve bakım ya da sigorta gibi ek hizmetleri ayrı satırda ara; ek hizmetlerin bedeli faturada ayrı yazılmak zorundadır.
Anlamadığın bir kalem olursa CNMC'nin "Entiende tu factura" aracını kullan; tedarikçin kim olursa olsun faturanı anlamana yardım eder.</t>
        </is>
      </c>
      <c r="P47" s="29" t="n"/>
      <c r="Q47" s="29" t="n"/>
      <c r="R47" s="29" t="n"/>
      <c r="S47" s="29" t="inlineStr">
        <is>
          <t>PVPC'deki, bono social'deki ve geçici olarak serbest piyasa sözleşmesi olmayan tüketicilerin faturalarının biçimi ve içeriği düzenlenmiştir. Diğer tüketicilerde tedarikçi fatura tasarımını serbestçe belirler, ama sayılan kalemleri içermek zorundadır.</t>
        </is>
      </c>
      <c r="T47" s="29" t="n"/>
    </row>
    <row r="48" ht="54" customHeight="1">
      <c r="A48" s="29" t="inlineStr">
        <is>
          <t>sevilla:sozlesmeli-elektrik-gucu-nasil-secilir</t>
        </is>
      </c>
      <c r="B48" s="29" t="inlineStr">
        <is>
          <t>sevilla</t>
        </is>
      </c>
      <c r="C48" s="29" t="inlineStr">
        <is>
          <t>sozlesmeli-elektrik-gucu-nasil-secilir</t>
        </is>
      </c>
      <c r="D48" s="29" t="inlineStr">
        <is>
          <t>Sözleşmeli elektrik gücü (potencia contratada) nasıl seçilir ve değiştirilir?</t>
        </is>
      </c>
      <c r="E48" s="29" t="inlineStr">
        <is>
          <t>Güç bedeli tüketmesen de ödenir; gücü ihtiyacına göre tut, değişikliği tedarikçi üzerinden iste</t>
        </is>
      </c>
      <c r="F48" s="29" t="inlineStr">
        <is>
          <t>Sözleşmeli gücü (potencia contratada) fiilen ihtiyacın kadar tut: güç terimi sabittir ve hiç elektrik tüketmesen de ödenir. Aynı anda çalışan cihazları azaltmak daha düşük bir güç seçmene imkân verir. Gücü tedarikçi üzerinden değiştirirsin; 12 ayda en az bir kez güç değişikliği yapma hakkın vardır. Güç artırımı ücretli olabilir; diğer sözleşme değişiklikleri genelde ücretsizdir.</t>
        </is>
      </c>
      <c r="G48" s="29" t="inlineStr">
        <is>
          <t>potencia contratada, elektrik gücü, kW, güç artırma, güç azaltma, comercializadora, contador</t>
        </is>
      </c>
      <c r="H48" s="29" t="inlineStr">
        <is>
          <t>new;settled</t>
        </is>
      </c>
      <c r="I48" s="29" t="inlineStr">
        <is>
          <t>sevilla:kaynak:068;sevilla:kaynak:067</t>
        </is>
      </c>
      <c r="J48" s="49" t="n">
        <v>46319</v>
      </c>
      <c r="K48" s="51" t="n">
        <v>9052</v>
      </c>
      <c r="L48" s="29" t="inlineStr">
        <is>
          <t>Hayır</t>
        </is>
      </c>
      <c r="M48" s="29" t="inlineStr">
        <is>
          <t>Taslak</t>
        </is>
      </c>
      <c r="N48" s="29" t="inlineStr">
        <is>
          <t>sevilla:fatura</t>
        </is>
      </c>
      <c r="O48" s="29" t="inlineStr">
        <is>
          <t>Dağıtım şirketinin internet sitesinden maksimum güç ve tüketim verilerine bak; dağıtım şirketini seçemezsin, CNMC bütün dağıtım şirketlerinin tüketici portalı sitelerini yayımlar.
Aynı anda çalıştırdığın cihazları gözden geçir; birlikte kullanımı azaltırsan daha düşük bir güç yeter.
Güç değişikliği talebini tedarikçine ilet; tedarikçi dağıtım şirketiyle gereken işlemleri senin adına yapar.
Gücü seçerken şunu hesaba kat: güç değişikliği hakkın 12 ayda en az bir kez tanınır.</t>
        </is>
      </c>
      <c r="P48" s="29" t="n"/>
      <c r="Q48" s="29" t="inlineStr">
        <is>
          <t>12 ayda en az bir kez güç değişikliği yapma hakkın vardır.</t>
        </is>
      </c>
      <c r="R48" s="29" t="inlineStr">
        <is>
          <t>Sözleşme değişiklikleri genelde ücretsizdir; güç artırımı ücretli olabilir.</t>
        </is>
      </c>
      <c r="S48" s="29" t="inlineStr">
        <is>
          <t>Sözleşmeli gücü 15 kW'ın altında olan ve saatlik ayrım ile uzaktan okuma yapabilen sayaca sahip tüketici gücü 0,1 kW'ın katları olarak seçebilir.</t>
        </is>
      </c>
      <c r="T48" s="29" t="n"/>
    </row>
    <row r="49" ht="54" customHeight="1">
      <c r="A49" s="29" t="inlineStr">
        <is>
          <t>sevilla:dogalgaz-aboneligi-tur-ve-fatura</t>
        </is>
      </c>
      <c r="B49" s="29" t="inlineStr">
        <is>
          <t>sevilla</t>
        </is>
      </c>
      <c r="C49" s="29" t="inlineStr">
        <is>
          <t>dogalgaz-aboneligi-tur-ve-fatura</t>
        </is>
      </c>
      <c r="D49" s="29" t="inlineStr">
        <is>
          <t>Doğalgaz aboneliği nasıl yapılır; TUR (regüle tarife) ile serbest piyasa arasındaki fark ve fatura kalemleri nelerdir?</t>
        </is>
      </c>
      <c r="E49" s="29" t="inlineStr">
        <is>
          <t>Yılda 50.000 kWh'a kadar tüketenler regüle TUR tarifesine girebilir; tedarikçi değişimi ücretsizdir</t>
        </is>
      </c>
      <c r="F49" s="29" t="inlineStr">
        <is>
          <t>Doğalgazda iki yol var: serbest piyasada fiyatı tedarikçiyle serbestçe kararlaştırırsın; TUR'da (tarifa de último recurso) ise fiyatı idare belirler ve fiyat üç ayda bir belirlenir. CNMC'nin güncel rehberine göre TUR'a yıllık tüketimi 50.000 kWh'a kadar olanlar (en çok 4 bar basınçta) girebilir ve TUR yalnız son çare tedarikçileriyle (comercializador de último recurso) yapılır. Sözleşme için konutuna atanmış CUPS kodu gerekir. Gazı henüz açılmamış konutta tedarikçi sözleşmesinden sonra aboneliği dağıtım şirketi açar. Tedarikçi değiştirmek ücretsizdir ve en geç 3 hafta içinde yapılır.</t>
        </is>
      </c>
      <c r="G49" s="29" t="inlineStr">
        <is>
          <t>doğalgaz, gas natural, TUR, tarifa de último recurso, mercado libre, CUPS, factura del gas</t>
        </is>
      </c>
      <c r="H49" s="29" t="inlineStr">
        <is>
          <t>new;settled</t>
        </is>
      </c>
      <c r="I49" s="29" t="inlineStr">
        <is>
          <t>sevilla:kaynak:070</t>
        </is>
      </c>
      <c r="J49" s="49" t="n">
        <v>46319</v>
      </c>
      <c r="K49" s="51" t="n">
        <v>9053</v>
      </c>
      <c r="L49" s="29" t="inlineStr">
        <is>
          <t>Hayır</t>
        </is>
      </c>
      <c r="M49" s="29" t="inlineStr">
        <is>
          <t>Taslak</t>
        </is>
      </c>
      <c r="N49" s="29" t="inlineStr">
        <is>
          <t>sevilla:fatura</t>
        </is>
      </c>
      <c r="O49" s="29" t="inlineStr">
        <is>
          <t>Yıllık tüketimini kWh olarak belirle; TUR kademesini yıllık tüketim belirler: TUR.1 yılda 5.000 kWh'ın altı (örneğin gaz ocağı ve/veya şofben olan konut), TUR.2 5.000 ile 15.000 kWh arası (örneğin doğalgaz kaloriferli konut), TUR.3 15.000 ile 50.000 kWh arası (örneğin kalorifer ve yüksek tüketimli konut ya da soğuk bölge).
Serbest piyasa ile TUR'u karşılaştır; TUR'u yalnız son çare tedarikçilerinden biriyle yapabilirsin ve koşulları hepsinde aynıdır.
Gazı henüz açılmamış bir konutta bireysel gaz tesisatı yapılmışsa ve yetkili kurulumcunun verdiği tesisat sertifikan varsa tedarikçini seç; tedarikçi abonelik ve hizmete alma talebini senin adına dağıtım şirketine iletir. Dağıtım şirketi talebi en çok 6 iş günü içinde doğrular, kontroller olumluysa başka en çok 6 iş günü içinde aboneliği açar. Yeni abonelikte dağıtım şirketine abonelik hakkı (derechos de alta) ve bağlantı (enganche) bedellerini, ayrıca tesisat doğrulaması bedelini ödersin; ancak tesisat için yetkili gaz kurulumcusunun boletín'inin sunulması gerekiyorsa ya da tesisatın yapımında proje ve nihai iş sertifikası sunulması gerekmişse doğrulama bedeli ödenmez. Binanın gaz şebekesine bağlantısı yoksa dağıtım şirketinden bağlantı hattı (acometida) istemen gerekir.
Sözleşmeyi tedarikçinin satış ofisinde, telefonla ya da internetten yap; evde satış yasaktır. Telefonla arandıysan ve sözleşme yapmaktan emin değilsen satıcıya banka hesap numaranı verme.
Konutuna atanmış CUPS kodunu hazırla; kod bütün gaz faturalarında yazar.
Sözleşmeyi imzalayınca yeni tedarikçi geçişi dağıtım şirketiyle yürütür; geçiş ücretsizdir ve en geç 3 hafta içinde yapılır, istersen daha uzun bir süre isteyebilirsin.
Telefon ya da internetten sözleşme yaptıysan 14 gün içinde sözleşmeden cayabilirsin; cayarsan önceki tedarikçine dönersin.</t>
        </is>
      </c>
      <c r="P49" s="29" t="inlineStr">
        <is>
          <t>CUPS kodu (gaz faturalarında yazar)</t>
        </is>
      </c>
      <c r="Q49" s="29" t="inlineStr">
        <is>
          <t>Tedarikçi değişimi en geç 3 hafta sürer. Gazı henüz açılmamış konutta dağıtım şirketi talebi doğrulamak için en çok 6, aboneliği açmak için başka en çok 6 iş günü kullanır. TUR'un değişken terimi Ocak, Nisan, Temmuz ve Ekim ayının 1'inde güncellenebilir; her yıl Ekim ayında tüketiciler son yıl tüketimine uygun TUR kademesine yeniden yerleştirilir.</t>
        </is>
      </c>
      <c r="R49" s="29" t="n"/>
      <c r="S49" s="29" t="inlineStr">
        <is>
          <t>Gaz faturası şu kalemleri içerir: sabit terim (yıllık ücret, fatura dönemindeki gün sayısına göre uygulanır), değişken terim (tüketilen kWh ile sözleşmedeki fiyatın çarpımı), hidrokarbür vergisi, tedarikçiden aldığın ek hizmetler (ayrı yazılmalıdır) ve IVA. Dağıtım şirketi sayaç tüketiciye ait değilse sayaç kirası, 5 yılda bir yapılan tesisat denetimi, ortak tesisat kirası (canon IRC) ve yeni bağlantıda bağlantı hakları gibi hizmetleri de faturalayabilir. Faturada sayaçtaki m3 okuması (gerçek mi tahmini mi olduğuyla birlikte) ve m3'ü kWh'a çeviren faktör yazılmalıdır. Konut amaçlı apartman yönetimleri (comunidad de propietarios) tüketimlerinden bağımsız olarak TUR'a girebilir; bunun için iki şartı taşımaları gerekir: bireysel kalorifer sayacı ya da maliyet paylaştırıcısı olması (teknik olarak imkânsızsa muaftır) ve enerji verimliliği denetimini süresi içinde olumlu sonuçlandırmış olması.</t>
        </is>
      </c>
      <c r="T49" s="29" t="n"/>
    </row>
    <row r="50" ht="54" customHeight="1">
      <c r="A50" s="29" t="inlineStr">
        <is>
          <t>sevilla:bono-social-elektrik-kimler-alir</t>
        </is>
      </c>
      <c r="B50" s="29" t="inlineStr">
        <is>
          <t>sevilla</t>
        </is>
      </c>
      <c r="C50" s="29" t="inlineStr">
        <is>
          <t>bono-social-elektrik-kimler-alir</t>
        </is>
      </c>
      <c r="D50" s="29" t="inlineStr">
        <is>
          <t>Bono social eléctrico (elektrik faturası indirimi) kimlere verilir?</t>
        </is>
      </c>
      <c r="E50" s="29" t="inlineStr">
        <is>
          <t>Oturduğun konutta PVPC sözleşmen olmalı; gelir, aile ya da emeklilik durumun resmî ölçütlerden birine uymalı</t>
        </is>
      </c>
      <c r="F50" s="29" t="inlineStr">
        <is>
          <t>Bono social (elektrik faturası indirimi) için oturduğun asıl konutta PVPC sözleşmen olmalı ve gelir ya da aile durumun MITECO'nun sıraladığı ölçütlerden birine uymalı. MITECO'nun 2026 sayfasına göre 31 Aralık 2026'ya kadar indirim savunmasız tüketicide %42,5, ağır savunmasız tüketicide %57,5'tir; olağan oranlar ise %35 ve %50'dir. İndirim enerji terimi üzerine ve yıllık kWh sınırları dahilinde uygulanır. Savunmasız sayılmak için şunlardan biri yeter: birlikte yaşayanların yıllık toplam geliri IPREM'in 1,5 katını aşmamak (sayfada 14 maaşlı 1 IPREM = 8.400 euro), büyük aile (familia numerosa) belgesi, gelir sahibi bütün hane üyelerinin Sosyal Güvenlik emeklisi olup asgari emekli maaşı alması ve başka yıllık gelirlerinin toplamda 500 euroyu aşmaması ya da hanede birinin Ingreso Mínimo Vital yararlanıcısı olması. Birlikte yaşayan her ek yetişkin için gelir çarpanı 0,3, her çocuk için 0,5 artar.</t>
        </is>
      </c>
      <c r="G50" s="29" t="inlineStr">
        <is>
          <t>bono social, bono social eléctrico, elektrik indirimi, consumidor vulnerable, IPREM, PVPC, familia numerosa</t>
        </is>
      </c>
      <c r="H50" s="29" t="inlineStr">
        <is>
          <t>new;settled</t>
        </is>
      </c>
      <c r="I50" s="29" t="inlineStr">
        <is>
          <t>sevilla:kaynak:071;sevilla:kaynak:072</t>
        </is>
      </c>
      <c r="J50" s="49" t="n">
        <v>46319</v>
      </c>
      <c r="K50" s="51" t="n">
        <v>9054</v>
      </c>
      <c r="L50" s="29" t="inlineStr">
        <is>
          <t>Hayır</t>
        </is>
      </c>
      <c r="M50" s="29" t="inlineStr">
        <is>
          <t>Taslak</t>
        </is>
      </c>
      <c r="N50" s="29" t="inlineStr">
        <is>
          <t>sevilla:fatura</t>
        </is>
      </c>
      <c r="O50" s="29" t="inlineStr">
        <is>
          <t>Elektrik sözleşmenin oturduğun asıl konutta (vivienda habitual) ve PVPC üzerinde olduğunu kontrol et.
Savunmasız tüketici ölçütlerinden birine uyup uymadığına bak: birlikte yaşayanların toplam yıllık geliri en çok IPREM'in 1,5 katı (sayfada 14 maaşlı 1 IPREM = 8.400 euro olarak verilir; her ek yetişkin için +0,3, her çocuk için +0,5), büyük aile belgesi, gelir sahibi bütün hane üyelerinin Sosyal Güvenlik emeklisi (yaşlılık ya da kalıcı iş göremezlik) olup ilgili emeklilik türünün asgari tutarını alması ve başka yıllık gelirlerinin toplamda 500 euroyu aşmaması ya da hanede birinin Ingreso Mínimo Vital yararlanıcısı olması.
Hanende biri en az yüzde 33 oranında tanınmış engelli, cinsiyete dayalı şiddet mağduru, terör mağduru ya da II. veya III. derece bakım bağımlılığı durumundaysa, ya da tek ebeveyn ve en az bir çocuktan oluşan bir aileysen gelir sınırları 1 IPREM puanı (sayfada 8.400 euro daha) artar.
Ağır savunmasız tüketici için gelirin savunmasız eşiklerinin yarısını aşmaması gerekir; büyük ailede sınır 2 IPREM (sayfada 16.800 euro), gelir sahibi bütün üyeleri asgari emekli maaşı alan ve başka yıllık geliri toplamda 500 euroyu aşmayan hanede 1 IPREM'dir (sayfada 8.400 euro).
Ağır savunmasız ölçütlerini karşılıyorsan ve bir kamu idaresinin (özerk bölge ya da yerel) sosyal hizmetleri seni izleyip PVPC faturanın en az yüzde 50'sini finanse ediyorsa sosyal dışlanma riski altındaki tüketici sayılırsın; geçici ödeme güçlüğünde elektriğin kesilmesi yasaktır.
İndirim enerji terimi üzerine ve yıllık kWh sınırları dahilinde uygulanır. Yıllık sınırlar (Real Decreto 897/2017 Anexo I tablosu, hane bileşimine göre): bireysel talep ya da iki kişilik hane 1.587 kWh; üç kişilik hane, asgari emekli maaşı alan emekliler ya da iki kişilik ve biri çocuk olan hane 2.222 kWh; dört kişilik hane ya da üç kişilik ve ikisi çocuk olan hane 2.698 kWh; beş ve daha fazla kişilik hane, dört kişilik ve üçü çocuk olan hane ya da büyük aile 4.761 kWh.</t>
        </is>
      </c>
      <c r="P50" s="29" t="n"/>
      <c r="Q50" s="29" t="inlineStr">
        <is>
          <t>MITECO'nun 2026 sayfasına göre %42,5 ve %57,5 oranları 31 Aralık 2026'ya kadar geçerlidir.</t>
        </is>
      </c>
      <c r="R50" s="29" t="n"/>
      <c r="S50" s="29" t="inlineStr">
        <is>
          <t>IPREM, Indicador Público de Renta de Efectos Múltiples'in kısaltmasıdır; gelir sınırları bu göstergenin katları olarak verilir. MITECO sayfasında 1 IPREM (14 maaşlı) 8.400 euro, 2 IPREM 16.800 euro olarak yazılıdır.</t>
        </is>
      </c>
      <c r="T50" s="29" t="n"/>
    </row>
    <row r="51" ht="54" customHeight="1">
      <c r="A51" s="29" t="inlineStr">
        <is>
          <t>sevilla:internet-mobil-hat-sozlesmesi-taahhut-cayma</t>
        </is>
      </c>
      <c r="B51" s="29" t="inlineStr">
        <is>
          <t>sevilla</t>
        </is>
      </c>
      <c r="C51" s="29" t="inlineStr">
        <is>
          <t>internet-mobil-hat-sozlesmesi-taahhut-cayma</t>
        </is>
      </c>
      <c r="D51" s="29" t="inlineStr">
        <is>
          <t>İnternet ve mobil hat sözleşmesi: taahhüt süresi, süre dolmadan fesih ve 14 günlük cayma hakkı nasıl işler?</t>
        </is>
      </c>
      <c r="E51" s="29" t="inlineStr">
        <is>
          <t>Sözleşme en çok 24 ay sürer; 14 günlük cayma yalnız uzaktan ve işyeri dışı sözleşmelerde vardır ve istisnaları vardır</t>
        </is>
      </c>
      <c r="F51" s="29" t="inlineStr">
        <is>
          <t>Bireysel tüketici için internet ve mobil hat sözleşmesi en çok 24 ay sürebilir; yalnız fiziksel hat (örneğin fiber) kurulumunu ayrı bir sözleşmeyle taksitle ödediysen bu üst sınır o taksit sözleşmesine uygulanmaz. 14 günlük cayma hakkı yalnız uzaktan (telefon, internet, posta gibi) ve işyeri dışında yapılan sözleşmelerde geçerlidir; operatörün dükkânında imzaladığın sözleşmeye otomatik uygulanmaz. Cayma hakkının istisnaları vardır: hizmet tamamen verilmişse cayamazsın; ödemeli hizmette bu, hizmetin başlamasına önceden açık onay verdiğin ve tamamlanınca cayma hakkını yitireceğini bildiğin durumda geçerlidir; hizmetin cayma süresi içinde başlamasını açıkça istediysen cayarken o ana kadar verilen hizmetin orantılı bedelini ödersin. Süre dolunca sözleşme aynı süre kadar kendiliğinden uzar; bundan sonra en çok bir ay önceden haber vererek, haber süresindeki hizmet bedeli dışında maliyetsiz her an feshedebilirsin. Süre dolmadan, fesih hakkın doğmadan kendi isteğinle bitirirsen maliyet ve cezalar olabilir; operatör bunları sözleşme özetinde yazmak zorundadır.</t>
        </is>
      </c>
      <c r="G51" s="29" t="inlineStr">
        <is>
          <t>internet sözleşmesi, mobil hat, taahhüt, permanencia, cayma hakkı, desistimiento, 24 ay, operatör</t>
        </is>
      </c>
      <c r="H51" s="29" t="inlineStr">
        <is>
          <t>new;settled</t>
        </is>
      </c>
      <c r="I51" s="29" t="inlineStr">
        <is>
          <t>sevilla:kaynak:073;sevilla:kaynak:074</t>
        </is>
      </c>
      <c r="J51" s="49" t="n">
        <v>46319</v>
      </c>
      <c r="K51" s="51" t="n">
        <v>9055</v>
      </c>
      <c r="L51" s="29" t="inlineStr">
        <is>
          <t>Hayır</t>
        </is>
      </c>
      <c r="M51" s="29" t="inlineStr">
        <is>
          <t>Taslak</t>
        </is>
      </c>
      <c r="N51" s="29" t="inlineStr">
        <is>
          <t>sevilla:fatura</t>
        </is>
      </c>
      <c r="O51" s="29" t="inlineStr">
        <is>
          <t>Sözleşmeyi nasıl yaptığını netleştir: telefon, internet ya da posta gibi uzaktan veya işyeri dışında yaptıysan 14 takvim günü içinde gerekçe göstermeden cayabilirsin; bu hakkın istisnası ve olası bir bedeli vardır (sonraki adım).
Hizmet tamamen verilmişse cayma hakkı uygulanmaz; ödemeli hizmette bu, hizmetin başlamasına önceden açık onay verdiğin ve tamamlanınca cayma hakkını yitireceğini bildiğin durumda geçerlidir. Hizmetin cayma süresi içinde başlamasını açıkça istediysen, cayarken o ana kadar verilen hizmetin orantılı bedelini ödersin. Cayma hakkını kullandığın için ceza koyan sözleşme hükümleri tamamen geçersizdir.
Evine istenmeden gelen satıcıyla ya da operatörün satış amaçlı düzenlediği bir gezide imzaladıysan cayma süresi 30 takvim günüdür.
Dükkânda yüz yüze imzaladıysan yasal 14 günlük cayma hakkın yoktur; ancak işyeri dışında seninle kişisel görüşme yapıldıktan hemen sonra dükkânda ya da uzaktan imzalanan sözleşmeler de bu kuralların kapsamındadır.
Sözleşme süresini kontrol et: bireysel tüketici sözleşmesi 24 aydan uzun olamaz (yalnız fiziksel hat kurulumu için ayrı yapılan taksit sözleşmesi hariç).
Otomatik uzatmadan önce operatörün gönderdiği bildirimi oku: taahhüdün bittiğini, nasıl fesih edeceğini ve en iyi tarifelerini içermek zorundadır. Süre dolmadan kendi isteğinle çıkmak istiyorsan sözleşme özetindeki fesih maliyetleri ve olası cezalar bölümüne bak.
Operatör koşulları değiştireceğini bildirirse bildirimden itibaren bir ay içinde ek maliyet ödemeden sözleşmeyi feshedebilirsin; değişiklik yalnız senin lehine, tamamen idari nitelikte ve sana olumsuz etkisi olmayan ya da mevzuatın zorunlu kıldığı bir değişiklikse bu hak doğmaz.</t>
        </is>
      </c>
      <c r="P51" s="29" t="n"/>
      <c r="Q51" s="29" t="inlineStr">
        <is>
          <t>Sözleşme en çok 24 ay sürer. Cayma süresi 14 takvim günüdür; evde istenmeyen ziyaretlerde 30 takvim günüdür. Süre dolup sözleşme uzadıktan sonra fesih için en çok bir ay önceden haber verilir.</t>
        </is>
      </c>
      <c r="R51" s="29" t="n"/>
      <c r="S51" s="29" t="inlineStr">
        <is>
          <t>Fesih hakkının kanundan doğduğu durumlarda (örneğin operatör sözleşme koşullarını değiştirdiğinde), sübvansiyonlu cihazı (terminal) elinde tutmadıkça tazminat ödemezsin. Cihazı tutarsan tazminat, cihazın orantılı değerini ya da sözleşme sonuna kalan hizmet bedelini aşamaz (hangisi daha düşükse). Hakkın doğmadan erken bitirirsen sözleşmedeki maliyet ve cezalar uygulanabilir. Dayanak: Ley 11/2022 madde 67 (BOE'de 27/12/2025 tarihli güncel metin) ve RDL 1/2007 madde 92 ile 102 ile 108 (BOE'de 28/02/2026 tarihli güncel metin).</t>
        </is>
      </c>
      <c r="T51" s="29" t="n"/>
    </row>
    <row r="52" ht="54" customHeight="1">
      <c r="A52" s="29" t="inlineStr">
        <is>
          <t>sevilla:cnmc-teklif-karsilastirma-araci</t>
        </is>
      </c>
      <c r="B52" s="29" t="inlineStr">
        <is>
          <t>sevilla</t>
        </is>
      </c>
      <c r="C52" s="29" t="inlineStr">
        <is>
          <t>cnmc-teklif-karsilastirma-araci</t>
        </is>
      </c>
      <c r="D52" s="29" t="inlineStr">
        <is>
          <t>CNMC karşılaştırma aracı elektrik ve doğalgaz tekliflerini nasıl karşılaştırır?</t>
        </is>
      </c>
      <c r="E52" s="29" t="inlineStr">
        <is>
          <t>Araç yalnız bilgi verir; teklifi sözleşmeye çevirmez, sözleşmeyi seçtiğin tedarikçiyle yaparsın</t>
        </is>
      </c>
      <c r="F52" s="29" t="inlineStr">
        <is>
          <t>CNMC'nin enerji teklifleri karşılaştırma aracı, kendi tüketimini piyasadaki tekliflerle karşılaştırıp profiline en uygun olanı seçmene yardım eder. Araçta regüle fiyatlı teklifler (elektrikte PVPC, gazda TUR) ile serbest fiyatlı teklifler birlikte görünür. Araç yalnızca bilgilendirir ve teklifi doğrudan sözleşmeye çevirmez; sözleşme için seçtiğin tedarikçiye ayrıca başvurursun. Elektrik ve gaz tedarikçileri tekliflerini CNMC'ye bildirmek zorundadır.</t>
        </is>
      </c>
      <c r="G52" s="29" t="inlineStr">
        <is>
          <t>CNMC karşılaştırıcı, comparador de ofertas, elektrik teklifleri, gaz teklifleri, PVPC simülatörü, tedarikçi değiştirme</t>
        </is>
      </c>
      <c r="H52" s="29" t="inlineStr">
        <is>
          <t>new;settled</t>
        </is>
      </c>
      <c r="I52" s="29" t="inlineStr">
        <is>
          <t>sevilla:kaynak:075;sevilla:kaynak:070</t>
        </is>
      </c>
      <c r="J52" s="49" t="n">
        <v>46319</v>
      </c>
      <c r="K52" s="51" t="n">
        <v>9056</v>
      </c>
      <c r="L52" s="29" t="inlineStr">
        <is>
          <t>Hayır</t>
        </is>
      </c>
      <c r="M52" s="29" t="inlineStr">
        <is>
          <t>Taslak</t>
        </is>
      </c>
      <c r="N52" s="29" t="inlineStr">
        <is>
          <t>sevilla:fatura</t>
        </is>
      </c>
      <c r="O52" s="29" t="inlineStr">
        <is>
          <t>https://comparador.cnmc.gob.es/ adresindeki karşılaştırma aracını aç; gaz faturanda QR kod varsa aracı o kodla da açabilirsin.
Kendi tüketimini araca gir ve piyasadaki tekliflerle karşılaştır.
Regüle fiyatlı teklifleri (elektrikte PVPC, gazda TUR) ve serbest fiyatlı teklifleri birlikte incele.
Fiyatın yanında taahhüt (permanencia) şartlarına ve teklife dahil ek hizmetlere de bak.
Seçtiğin teklif için sözleşmeyi araç üzerinden yapamazsın; sözleşme için seçtiğin tedarikçiye başvur.
PVPC'de, 10 kW ve altı güçte ve referans tedarikçideysen, faturanı CNMC'nin PVPC fatura simülatörüyle simüle et; serbest piyasa sözleşmen varsa ya da gücün 10 kW'ın üzerindeyse simülatör işine yaramaz.</t>
        </is>
      </c>
      <c r="P52" s="29" t="n"/>
      <c r="Q52" s="29" t="n"/>
      <c r="R52" s="29" t="n"/>
      <c r="S52" s="29" t="inlineStr">
        <is>
          <t>Elektrik ya da gazda tedarikçi değişiminin kendisi ücretsizdir (mevcut sözleşmendeki taahhüt şartları ayrıdır); CNMC'ye göre değişim için azami süre 21 gündür ve bütün işlemleri yeni tedarikçi yürütür.</t>
        </is>
      </c>
      <c r="T52" s="29" t="n"/>
    </row>
    <row r="53" ht="54" customHeight="1">
      <c r="A53" s="29" t="inlineStr">
        <is>
          <t>sevilla:elektrik-ve-telekom-sikayet-yollari</t>
        </is>
      </c>
      <c r="B53" s="29" t="inlineStr">
        <is>
          <t>sevilla</t>
        </is>
      </c>
      <c r="C53" s="29" t="inlineStr">
        <is>
          <t>elektrik-ve-telekom-sikayet-yollari</t>
        </is>
      </c>
      <c r="D53" s="29" t="inlineStr">
        <is>
          <t>Elektrikte şebeke kesintisi, elektrik faturası sorunu veya telekom şikâyetinde hangi yol izlenir?</t>
        </is>
      </c>
      <c r="E53" s="29" t="inlineStr">
        <is>
          <t>Önce şirkete şikâyet et: elektrikte 15 iş günü, telekomda bir ay bekle; sonra tahkim, özerk bölge ya da OAUT</t>
        </is>
      </c>
      <c r="F53" s="29" t="inlineStr">
        <is>
          <t>Elektrikte önce sorunun muhatabı şirkete şikâyet edersin: fatura ve sözleşme için tedarikçiye (comercializadora), şebekenin kalitesi ve sürekliliği için dağıtım şirketine (distribuidora). Şirket 15 iş günü içinde yanıt vermek zorundadır; memnun kalmazsan Defensor del cliente'ye, tahkim kurullarına (Juntas Arbitrales de Consumo), akredite bir alternatif çözüm kuruluşuna ya da özerk bölgenin tüketici organına gidebilirsin. Telekomda da önce operatöre şikâyet edersin; bir ay içinde yanıt alamazsan ya da yanıt yetmezse telekomünikasyon kullanıcı bürosuna (OAUT) başvurursun. Gerçek kişiysen telekomda hakem kurullarına (Juntas Arbitrales de Consumo) da gidebilirsin; bu yol operatörün hakem sistemine katılmasına bağlıdır ve operatör reddederse OAUT'a başvuru süresi yeniden açılır.</t>
        </is>
      </c>
      <c r="G53" s="29" t="inlineStr">
        <is>
          <t>şikâyet, reclamación, kesinti, distribuidora, comercializadora, OAUT, Juntas Arbitrales de Consumo, Defensor del cliente</t>
        </is>
      </c>
      <c r="H53" s="29" t="inlineStr">
        <is>
          <t>new;settled</t>
        </is>
      </c>
      <c r="I53" s="29" t="inlineStr">
        <is>
          <t>sevilla:kaynak:076;sevilla:kaynak:077</t>
        </is>
      </c>
      <c r="J53" s="49" t="n">
        <v>46319</v>
      </c>
      <c r="K53" s="51" t="n">
        <v>9057</v>
      </c>
      <c r="L53" s="29" t="inlineStr">
        <is>
          <t>Hayır</t>
        </is>
      </c>
      <c r="M53" s="29" t="inlineStr">
        <is>
          <t>Taslak</t>
        </is>
      </c>
      <c r="N53" s="29" t="inlineStr">
        <is>
          <t>sevilla:fatura</t>
        </is>
      </c>
      <c r="O53" s="29" t="inlineStr">
        <is>
          <t>Elektrikte şikâyetini önce ilgili şirketin tüketici hizmetine ilet: fatura ve sözleşme konusunda tedarikçiye, şebekenin kalitesi ve sürekliliği konusunda dağıtım şirketine.
Şikâyette referans numarası al; telefonla yaptıysan başvurunu ve içeriğini kanıtlayan bir belge isteme hakkın var.
Elektrikte 15 iş günü içinde memnun edici yanıt alamazsan Defensor del cliente'ye, Juntas Arbitrales de Consumo'ya, akredite bir alternatif çözüm kuruluşuna ya da özerk bölgenin tüketici organına başvur.
Defensor del cliente şikâyeti en çok 2 ayda sonuçlandırır ve kararı şirketi bağlar; şirketler bu birimi gönüllü kurduğu için hepsinde bulunmaz.
Telekomda şikâyeti önce operatöre telefonla, internetten, postayla ya da ticari ofisinde yap; operatör telefonla şikâyeti kabul etmek zorundadır ve sana referans numarası verir.
Operatörden bir ay içinde yanıt alamazsan ya da yanıt seni tatmin etmezse OAUT'a başvur; başvuruyu elektronik sertifika ya da Cl@ve ile internetten yapabilir ya da formu imzalayıp idarenin herhangi bir kayıt biriminden ya da postayla verebilirsin.
Gerçek kişiysen telekom uyuşmazlığı için Juntas Arbitrales de Consumo (tüketici hakem kurulları) yolunu da kullanabilirsin; operatörün bu hakem sistemine katılıp katılmadığını Tüketim Bakanlığı'nın internet sitesinden öğrenebilirsin. OAUT'a başvuru süresi içinde hakeme gittiysen ve operatör hakeme katılmayı reddederse, OAUT'a başvuru için 3 aylık süre yeniden açılır.</t>
        </is>
      </c>
      <c r="P53" s="29" t="n"/>
      <c r="Q53" s="29" t="inlineStr">
        <is>
          <t>Elektrikte şirketin yanıt süresi en çok 15 iş günüdür. Telekomda operatörün yanıt süresi bir aydır; OAUT'a başvuru süresi operatörün yanıtından ya da yanıt süresinin bitişinden itibaren 3 aydır ve OAUT şikâyeti başvurudan itibaren 6 ay içinde sonuçlandırır. Gerçek kişi OAUT süresi içinde hakeme gidip operatör katılmayı reddederse OAUT için 3 aylık süre yeniden açılır.</t>
        </is>
      </c>
      <c r="R53" s="29" t="n"/>
      <c r="S53" s="29" t="inlineStr">
        <is>
          <t>OAUT kararı idari yolu kapatır; karara karşı alındığı tarihten itibaren bir ay içinde itiraz (recurso de reposición) ya da iki ay içinde idari yargıya dava (recurso contencioso-administrativo) yoluna gidilebilir.</t>
        </is>
      </c>
      <c r="T53" s="29" t="n"/>
    </row>
    <row r="54" ht="54" customHeight="1">
      <c r="A54" s="29" t="inlineStr">
        <is>
          <t>sevilla:apartman-yonetimi-comunidad-de-vecinos</t>
        </is>
      </c>
      <c r="B54" s="29" t="inlineStr">
        <is>
          <t>sevilla</t>
        </is>
      </c>
      <c r="C54" s="29" t="inlineStr">
        <is>
          <t>apartman-yonetimi-comunidad-de-vecinos</t>
        </is>
      </c>
      <c r="D54" s="29" t="inlineStr">
        <is>
          <t>Daire sahibi için apartman yönetimi (comunidad de propietarios): ortak giderler, kurul ve yedek fon (Katalonya dışı genel kural)</t>
        </is>
      </c>
      <c r="E54" s="29" t="inlineStr">
        <is>
          <t>Katalonya dışı genel kural (Ley 49/1960): daire sahibi payı oranında ortak giderlere katılır, kurul yılda en az bir kez toplanır</t>
        </is>
      </c>
      <c r="F54" s="29" t="inlineStr">
        <is>
          <t>Aşağıdaki bilgiler Katalonya dışındaki genel kural olan Ley de Propiedad Horizontal'a (Ley 49/1960) göre, daire sahibi açısından yazılmıştır; Katalonya'da kat mülkiyeti kendi medeni kanununun 5. kitabıyla (Código Civil de Cataluña, Ley 5/2006) düzenlenir. Ley 49/1960'a göre daire ya da işyeri (local) sahibi, ortak giderlere senette (título) belirlenen ya da özel olarak kararlaştırılan katılım payına (cuota de participación) göre katılmak zorundadır. Topluluğun organları Junta de propietarios (mülk sahipleri kurulu), başkan (presidente), varsa başkan yardımcıları, sekreter ve yöneticidir (administrador); sekreter ve yönetici görevlerini, tüzük ya da kurul ayrı atamadıkça başkan yürütür. Kurul en az yılda bir kez bütçeyi ve hesapları onaylamak için toplanır. Yedek fon (fondo de reserva) Ley 49/1960'a göre son olağan bütçenin en az %10'u kadar olmalıdır; Katalonya'da ise bütçede ortak giderlerin en az %5'i yedek fon için ayrılır (Código Civil de Cataluña md. 553-6).</t>
        </is>
      </c>
      <c r="G54" s="29" t="inlineStr">
        <is>
          <t>comunidad de vecinos, propiedad horizontal, apartman yönetimi, junta de propietarios, presidente, fondo de reserva, cuota</t>
        </is>
      </c>
      <c r="H54" s="29" t="inlineStr">
        <is>
          <t>new;settled</t>
        </is>
      </c>
      <c r="I54" s="29" t="inlineStr">
        <is>
          <t>sevilla:kaynak:078;sevilla:kaynak:079</t>
        </is>
      </c>
      <c r="J54" s="49" t="n">
        <v>46319</v>
      </c>
      <c r="K54" s="51" t="n">
        <v>9058</v>
      </c>
      <c r="L54" s="29" t="inlineStr">
        <is>
          <t>Hayır</t>
        </is>
      </c>
      <c r="M54" s="29" t="inlineStr">
        <is>
          <t>Taslak</t>
        </is>
      </c>
      <c r="N54" s="29" t="inlineStr">
        <is>
          <t>sevilla:fatura</t>
        </is>
      </c>
      <c r="O54" s="29" t="inlineStr">
        <is>
          <t>Binanın bakımı, hizmetleri ve yükleri için bireysel olarak ayrılamayan genel giderlere, senette (título) belirlenen ya da özel olarak kararlaştırılan katılım payına (cuota de participación) göre katıl.
Yedek fona (fondo de reserva) da katılım payına göre katıl.
Sekretere İspanya'daki bildirim adresini, iletimini kanıtlayan bir yolla yazılı bildir; bildirmezsen çağrılar ve bildirimler topluluktaki dairene yapılır (dairedeki kişiye teslim edilen bildirim de tam geçerlidir), ulaşılamazsa ilan panosuna asılır ve üç takvim günü sonra geçerli olur.
Kurulun gündemine konu eklemek istiyorsan başkana yazılı olarak konuyu açıkça belirt; başkan konuyu bir sonraki toplantının gündemine koyar.
Kurul toplantısına kendin ya da imzalı yazılı yetkiyle bir temsilci aracılığıyla katıl; vadesi gelmiş borcun varsa (ve borca mahkemede itiraz etmediysen ya da tutarı mahkeme veya noter aracılığıyla bırakmadıysan) görüşebilirsin ama oy kullanamazsın.
Dairenin sahibi değişirse sekretere yazılı bildir; bildirmezsen (yönetim organları değişikliği başka bir yolla öğrenmediyse) devirden sonraki borçlardan yeni malikle birlikte müteselsil sorumlu kalırsın.
Başkan seçilirsen: görev zorunludur, ama göreve geldikten sonraki bir ay içinde hakimden görevden alınmanı isteyebilirsin.</t>
        </is>
      </c>
      <c r="P54" s="29" t="n"/>
      <c r="Q54" s="29" t="inlineStr">
        <is>
          <t>Kurul en az yılda bir kez toplanır; Ley 49/1960'a göre (Katalonya dışı) olağan yıllık toplantının çağrısı en az 6 gün önceden yapılır; Katalonya'da çağrı, davet ve bildirimler en az 8 takvim günü önceden gönderilir (Código Civil de Cataluña md. 553-21.2). Tüzük aksini söylemedikçe yönetim organları bir yıl için seçilir.</t>
        </is>
      </c>
      <c r="R54" s="29" t="inlineStr">
        <is>
          <t>Ley 49/1960'a göre yedek fon, topluluğun son olağan bütçesinin en az %10'u kadar olmalıdır. Katalonya'da bütçede ortak giderlerin en az %5'i yedek fon için ayrılır (Código Civil de Cataluña md. 553-6).</t>
        </is>
      </c>
      <c r="S54" s="29" t="inlineStr">
        <is>
          <t>Bu bilgiler daire sahiplerinin yükümlülüklerine dairdir ve Ley 49/1960'ın BOE'deki 03/10/2026 tarihli güncel metnine göre yazılmıştır; Katalonya için yalnız aşağıda ayrıca etiketlenen değerler verilmiştir (Ley 5/2006'nın BOE'deki 03/07/2026 tarihli güncel metni).
Ley 49/1960 (Katalonya dışı): Daire alırsan, satın alınan daire önceki sahiplerin ortak gider borçlarından devrin yapıldığı yılın vadesi gelmiş kısmı ile önceki üç takvim yılı kadarıyla sorumludur. Satıcı, devir belgesinde borç durumunu beyan etmeli ve sekreterin verdiği borç sertifikasını sunmalıdır (alıcı onu açıkça muaf tutmadıkça); sertifika talepten itibaren en çok 7 takvim günü içinde verilir.
Katalonya (Código Civil de Cataluña): Özel bölümler, ortak giderler ve yedek fon için cari yılın vadesi gelmiş kısmından ve hemen önceki dört yıldan doğan tutarlardan sorumludur (md. 553-5.1). Toplantı çağrıları, davetler ve bildirimler, tüzük açıkça başka bir şey söylemedikçe en az 8 takvim günü önceden gönderilir (md. 553-21.2).</t>
        </is>
      </c>
      <c r="T54" s="29" t="n"/>
    </row>
    <row r="55" ht="54" customHeight="1">
      <c r="A55" s="29" t="inlineStr">
        <is>
          <t>sevilla:su-aboneligi-emasesa-ilk-kez</t>
        </is>
      </c>
      <c r="B55" s="29" t="inlineStr">
        <is>
          <t>sevilla</t>
        </is>
      </c>
      <c r="C55" s="29" t="inlineStr">
        <is>
          <t>su-aboneligi-emasesa-ilk-kez</t>
        </is>
      </c>
      <c r="D55" s="29" t="inlineStr">
        <is>
          <t>Sevilla'da su aboneliği (EMASESA) nasıl açılır, hangi belgeler istenir?</t>
        </is>
      </c>
      <c r="E55" s="29" t="inlineStr">
        <is>
          <t>Online ya da randevuyla; evde yaşayanları gösteren padrón belgesi tarifeyi belirler</t>
        </is>
      </c>
      <c r="F55" s="29" t="inlineStr">
        <is>
          <t>Sevilla'da su sözleşmesini EMASESA ile yaparsın. Başvuruyu Oficina Online'dan evden verebilir ya da Puntos de Atención Ciudadana'da cita previa (randevu) alarak yüz yüze yapabilirsin. Başvuru formuna kimlik, evi kullanma hakkını gösteren belge ve iç tesisat belgesi eklenir. Konut için evde yaşayanları gösteren certificado de empadronamiento colectivo (toplu ikamet kaydı belgesi) özellikle önemlidir, çünkü tarife evdeki kişi sayısına göre uygulanır. Ücret ödenip şartlar tamamlanınca EMASESA suyu en geç 15 iş günü içinde açmakla yükümlüdür; işler için gereken izin ya da ruhsatlar gecikirse bu süre durur.</t>
        </is>
      </c>
      <c r="G55" s="29" t="inlineStr">
        <is>
          <t>su aboneliği, EMASESA, agua Sevilla, contratar agua, empadronamiento colectivo, cita previa, alta de suministro</t>
        </is>
      </c>
      <c r="H55" s="29" t="inlineStr">
        <is>
          <t>new</t>
        </is>
      </c>
      <c r="I55" s="29" t="inlineStr">
        <is>
          <t>sevilla:kaynak:156;sevilla:kaynak:158</t>
        </is>
      </c>
      <c r="J55" s="49" t="n">
        <v>46320</v>
      </c>
      <c r="K55" s="51" t="n">
        <v>500</v>
      </c>
      <c r="L55" s="29" t="inlineStr">
        <is>
          <t>Evet</t>
        </is>
      </c>
      <c r="M55" s="29" t="inlineStr">
        <is>
          <t>Taslak</t>
        </is>
      </c>
      <c r="N55" s="29" t="inlineStr">
        <is>
          <t>sevilla:fatura</t>
        </is>
      </c>
      <c r="O55" s="29" t="inlineStr">
        <is>
          <t>Oficina Online'dan başvur ya da Puntos de Atención Ciudadana için cita previa al; yüz yüze gidiyorsan doldurulmuş ve çıktısı alınmış başvuru formunu götür (Solicitud para la Instalación de Suministro y/o Alcantarillado, CO015).
Kimlik belgeni ekle: NIF, NIE veya pasaport.
Evi kullanma hakkını gösteren belgeyi ekle (tapu ya da kira sözleşmesi gibi); belgede evin catastral referansı (kadastro numarası) yazmalı.
Belediyeden evde yaşayan herkesin göründüğü güncel certificado de empadronamiento colectivo'yu al ve ekle.
Yeni ya da yenilenmiş konutsa Licencia Municipal de Primera Ocupación'u (ilk iskân ruhsatı) de ekle.
Kurulum firmasından Certificado de Instalación Interior (iç tesisat belgesi) iste; EMASESA'nın kodlu basılı formu önerilir.</t>
        </is>
      </c>
      <c r="P55" s="29" t="inlineStr">
        <is>
          <t>Başvuru formu CO015 (Solicitud para la Instalación de Suministro y/o Alcantarillado)
NIF, NIE veya pasaport
Evi kullanma hakkını gösteren belge (tapu, kira sözleşmesi) ve catastral referans
Certificado de empadronamiento colectivo
Licencia Municipal de Primera Ocupación (yeni ya da yenilenmiş konutta)
Certificado de Instalación Interior</t>
        </is>
      </c>
      <c r="Q55" s="29" t="inlineStr">
        <is>
          <t>Ücret ödenip şartlar tamamlandıktan sonra en geç 15 iş günü; gerekli izin ya da ruhsat gecikirse süre durur</t>
        </is>
      </c>
      <c r="R55" s="29" t="n"/>
      <c r="S55" s="29" t="inlineStr">
        <is>
          <t>Padrón belgesini sözleşmeden sonra verirsen etkisi yalnız verdiğin günden başlar, geriye dönük işlemez.</t>
        </is>
      </c>
      <c r="T55" s="29" t="n"/>
    </row>
    <row r="56" ht="54" customHeight="1">
      <c r="A56" s="29" t="inlineStr">
        <is>
          <t>sevilla:su-sozlesmesi-devir-cambio-titularidad-ve-baja</t>
        </is>
      </c>
      <c r="B56" s="29" t="inlineStr">
        <is>
          <t>sevilla</t>
        </is>
      </c>
      <c r="C56" s="29" t="inlineStr">
        <is>
          <t>su-sozlesmesi-devir-cambio-titularidad-ve-baja</t>
        </is>
      </c>
      <c r="D56" s="29" t="inlineStr">
        <is>
          <t>Evde su sözleşmesi başkasının adınaysa: devir (cambio de titularidad) ve taşınırken kapatma (baja)</t>
        </is>
      </c>
      <c r="E56" s="29" t="inlineStr">
        <is>
          <t>Devir ücretsiz ama teminat (fianza) istenir; sözleşmeyi kapatmak abonenin yükümlülüğü</t>
        </is>
      </c>
      <c r="F56" s="29" t="inlineStr">
        <is>
          <t>Taşındığın evde su sözleşmesi başka birinin adınaysa yeni abonelik değil, EMASESA'dan devir (transferencia ya da cambio de titularidad) istersin. Evi satın almak ya da kiralamak devir nedenlerinden biridir. Devir ücretsizdir; yalnız olası borçlar için EMASESA kasasına bir teminat (fianza) yatırılır. Evden ayrılırken sözleşmeyi kapatmayı (baja) abone bildirmek zorundadır. Kapatmada ya da devirde bir kapanış faturası (factura de liquidación) çıkar; bunu kapatmayı isteyen abone ya da devirde önceki abone öder.</t>
        </is>
      </c>
      <c r="G56" s="29" t="inlineStr">
        <is>
          <t>su sözleşmesi devri, cambio de titularidad, baja, EMASESA, fianza, factura de liquidación, kiracı su</t>
        </is>
      </c>
      <c r="H56" s="29" t="inlineStr">
        <is>
          <t>new;settled</t>
        </is>
      </c>
      <c r="I56" s="29" t="inlineStr">
        <is>
          <t>sevilla:kaynak:157;sevilla:kaynak:158</t>
        </is>
      </c>
      <c r="J56" s="49" t="n">
        <v>46319</v>
      </c>
      <c r="K56" s="51" t="n">
        <v>501</v>
      </c>
      <c r="L56" s="29" t="inlineStr">
        <is>
          <t>Hayır</t>
        </is>
      </c>
      <c r="M56" s="29" t="inlineStr">
        <is>
          <t>Taslak</t>
        </is>
      </c>
      <c r="N56" s="29" t="inlineStr">
        <is>
          <t>sevilla:fatura</t>
        </is>
      </c>
      <c r="O56" s="29" t="inlineStr">
        <is>
          <t>Devri Oficina Online'dan iste ya da Puntos de Atención Ciudadana için cita previa al; yüz yüze gidiyorsan doldurulmuş ve çıktısı alınmış Solicitud de cambio de titularidad formunu götür.
Kimlik belgeni (NIF, NIE veya pasaport) ve evi kullanma hakkını gösteren belgeyi ekle.
Evde yaşayanları gösteren güncel certificado de empadronamiento colectivo'yu ekle.
Sayacın endeksinin açık okunduğu bir fotoğrafını ekle.
Teminatı (fianza) EMASESA kasasına yatır.
Evden çıkarken sözleşmeyi kapatmak için baja bildir; bunu yapmak abonenin yükümlülüğüdür.</t>
        </is>
      </c>
      <c r="P56" s="29" t="inlineStr">
        <is>
          <t>Solicitud de cambio de titularidad de un contrato
NIF, NIE veya pasaport
Evi kullanma hakkını gösteren belge
Certificado de empadronamiento colectivo
Sayacın endeksinin okunduğu fotoğraf</t>
        </is>
      </c>
      <c r="Q56" s="29" t="n"/>
      <c r="R56" s="29" t="inlineStr">
        <is>
          <t>Devir ücretsiz; teminat (fianza) yatırılır</t>
        </is>
      </c>
      <c r="S56" s="29" t="inlineStr">
        <is>
          <t>Boşanmada konutu kullanma hakkı mahkemece onaylı convenio regulador ile sana verildiyse devir isteyebilirsin; süre olay tarihinden itibaren iki yıldır. Ölümde eş, kayıtlı partner, çocuklar, evlat edinilmiş çocuklar, anne-baba ve kardeşler sözleşmeyi devralabilir.</t>
        </is>
      </c>
      <c r="T56" s="29" t="n"/>
    </row>
    <row r="57" ht="54" customHeight="1">
      <c r="A57" s="29" t="inlineStr">
        <is>
          <t>sevilla:su-fiyati-kisi-sayisina-gore-emasesa-tarifesi</t>
        </is>
      </c>
      <c r="B57" s="29" t="inlineStr">
        <is>
          <t>sevilla</t>
        </is>
      </c>
      <c r="C57" s="29" t="inlineStr">
        <is>
          <t>su-fiyati-kisi-sayisina-gore-emasesa-tarifesi</t>
        </is>
      </c>
      <c r="D57" s="29" t="inlineStr">
        <is>
          <t>Sevilla'da su ne kadar tutar: evdeki kişi sayısına göre blok tarife ve örnek m³ fiyatları</t>
        </is>
      </c>
      <c r="E57" s="29" t="inlineStr">
        <is>
          <t>Konut tüketimi evde kayıtlı kişi sayısına göre faturalanır; 2025 yılı 3 kişilik örnekte m³ başına 2,369 ile 4,089 euro (KDV hariç)</t>
        </is>
      </c>
      <c r="F57" s="29" t="inlineStr">
        <is>
          <t>EMASESA konut tüketimini evde kayıtlı (padrón ile kanıtlanmış) kişi sayısına göre faturalar; tarife kişi başına tüketim bloklarından oluşur. Bu yüzden evde yaşayan herkesin o adreste kayıtlı olması fiyatı doğrudan etkiler. EMASESA'nın 2025 yılı için yayımladığı 3 kişilik örnekte aylık 7 m³ tüketimde m³ başına 2,369 euro, 15 m³'te 3,084 euro, 30 m³'te 4,089 euro çıkıyor. Bu tutarlara KDV ve Junta de Andalucía'nın altyapı katkı payı (canon) dahil değil. EMASESA 18 Şubat 2026 tarihli BOP 33/2026 yönetmeliğiyle yeni tarifeler yayımladı; bu tutarlar 2025 tarifelerinden hesaplandığı için 2026'da ödeyeceğin m³ fiyatı bu örnekten farklı olabilir.</t>
        </is>
      </c>
      <c r="G57" s="29" t="inlineStr">
        <is>
          <t>su tarifesi, EMASESA tarifa, agua precio Sevilla, bloque, m3 fiyatı, padrón, empadronados</t>
        </is>
      </c>
      <c r="H57" s="29" t="inlineStr">
        <is>
          <t>planning;new</t>
        </is>
      </c>
      <c r="I57" s="29" t="inlineStr">
        <is>
          <t>sevilla:kaynak:160;sevilla:kaynak:161</t>
        </is>
      </c>
      <c r="J57" s="49" t="n">
        <v>46320</v>
      </c>
      <c r="K57" s="51" t="n">
        <v>502</v>
      </c>
      <c r="L57" s="29" t="inlineStr">
        <is>
          <t>Hayır</t>
        </is>
      </c>
      <c r="M57" s="29" t="inlineStr">
        <is>
          <t>Taslak</t>
        </is>
      </c>
      <c r="N57" s="29" t="inlineStr">
        <is>
          <t>sevilla:fatura</t>
        </is>
      </c>
      <c r="O57" s="29" t="inlineStr">
        <is>
          <t>Evde yaşayan herkesin o adreste padrón kaydı olduğundan emin ol; EMASESA kişi sayısını bu kayda göre alır.
Faturadaki sözleşme bölümünde yazan kişi sayısının doğru olup olmadığına bak.
Kendi tüketimin için Oficina Online'daki ya da Mi Emasesa uygulamasındaki fatura simülatörünü kullan.
2026 tarifelerini EMASESA'nın tarife sayfasındaki 'Nuevas Tarifas' belgesinden incele.</t>
        </is>
      </c>
      <c r="P57" s="29" t="n"/>
      <c r="Q57" s="29" t="n"/>
      <c r="R57" s="29" t="inlineStr">
        <is>
          <t>3 kişilik örnek, KDV ve canon hariç, EMASESA'nın 2025 örneği: aylık 7 m³ için 2,369 euro/m³; 15 m³ için 3,084 euro/m³; 30 m³ için 4,089 euro/m³</t>
        </is>
      </c>
      <c r="S57" s="29" t="n"/>
      <c r="T57" s="29" t="n"/>
    </row>
    <row r="58" ht="54" customHeight="1">
      <c r="A58" s="29" t="inlineStr">
        <is>
          <t>sevilla:emasesa-su-faturasi-nasil-okunur-kalemler</t>
        </is>
      </c>
      <c r="B58" s="29" t="inlineStr">
        <is>
          <t>sevilla</t>
        </is>
      </c>
      <c r="C58" s="29" t="inlineStr">
        <is>
          <t>emasesa-su-faturasi-nasil-okunur-kalemler</t>
        </is>
      </c>
      <c r="D58" s="29" t="inlineStr">
        <is>
          <t>EMASESA su faturası nasıl okunur: sabit ücret, tüketim, canon ve KDV</t>
        </is>
      </c>
      <c r="E58" s="29" t="inlineStr">
        <is>
          <t>Fatura içme suyu, atık su, kurum canonları ve KDV'den oluşur; sabit ücret sayaç çapına bağlı</t>
        </is>
      </c>
      <c r="F58" s="29" t="inlineStr">
        <is>
          <t>EMASESA faturası içme suyu (abastecimiento) ve atık su (saneamiento) hizmetini ve diğer kurumlar adına toplanan canonları kapsar. Her hizmette sabit (cuota fija) ve değişken (cuota variable) bölüm vardır. Sabit ücret hizmeti kullansan da kullanmasan da ödenir ve sayacın çapına (calibre) göre belirlenir; değişken ücret tüketime göre artan bloklarla hesaplanır. Canonlar Consorcio Provincial de Aguas ve Junta de Andalucía adınadır. KDV su ile ilgili kalemlerde %10, diğer kalemlerde %21'dir. Bazı belediyelerde çöp tasası (tasa de basuras) da su faturasından toplanır; öyleyse faturanın döküm bölümünde ayrıca yazar.</t>
        </is>
      </c>
      <c r="G58" s="29" t="inlineStr">
        <is>
          <t>su faturası, EMASESA factura, cuota fija, cuota variable, canon, calibre, tasa de basuras</t>
        </is>
      </c>
      <c r="H58" s="29" t="inlineStr">
        <is>
          <t>new;settled</t>
        </is>
      </c>
      <c r="I58" s="29" t="inlineStr">
        <is>
          <t>sevilla:kaynak:161;sevilla:kaynak:167</t>
        </is>
      </c>
      <c r="J58" s="49" t="n">
        <v>46319</v>
      </c>
      <c r="K58" s="51" t="n">
        <v>503</v>
      </c>
      <c r="L58" s="29" t="inlineStr">
        <is>
          <t>Hayır</t>
        </is>
      </c>
      <c r="M58" s="29" t="inlineStr">
        <is>
          <t>Taslak</t>
        </is>
      </c>
      <c r="N58" s="29" t="inlineStr">
        <is>
          <t>sevilla:fatura</t>
        </is>
      </c>
      <c r="O58" s="29" t="inlineStr">
        <is>
          <t>Fatura başında fatura numarasına, son ödeme tarihine, faturalama dönemine ve ödenecek tutara bak.
Sözleşme bölümünde evde kayıtlı kişi sayısının doğru olduğundan emin ol; su fiyatı buna göre hesaplanır.
Okuma özetinde sayaç numarasına, sayaç çapına, önceki ve şimdiki endekse ve yöntemin gerçek mi tahmin mi olduğuna bak.
Döküm bölümünde abastecimiento, saneamiento, canonlar ve KDV satırlarını tek tek oku.
Tüketim geçmişi bölümünden son 5 dönemin litre/gün tüketimini kendi dönemlerinle karşılaştır.</t>
        </is>
      </c>
      <c r="P58" s="29" t="n"/>
      <c r="Q58" s="29" t="inlineStr">
        <is>
          <t>Faturalama en çok 3 ayda bir yapılır</t>
        </is>
      </c>
      <c r="R58" s="29" t="n"/>
      <c r="S58" s="29" t="inlineStr">
        <is>
          <t>EMASESA'ya göre bir kişinin verimli su tüketimi ayda 3 m³'ü aşmamalı.</t>
        </is>
      </c>
      <c r="T58" s="29" t="n"/>
    </row>
    <row r="59" ht="54" customHeight="1">
      <c r="A59" s="29" t="inlineStr">
        <is>
          <t>sevilla:emasesa-sosyal-tarife-kimler-yararlanir</t>
        </is>
      </c>
      <c r="B59" s="29" t="inlineStr">
        <is>
          <t>sevilla</t>
        </is>
      </c>
      <c r="C59" s="29" t="inlineStr">
        <is>
          <t>emasesa-sosyal-tarife-kimler-yararlanir</t>
        </is>
      </c>
      <c r="D59" s="29" t="inlineStr">
        <is>
          <t>EMASESA sosyal su tarifesi (tarifa social): kimler yararlanır, indirim yüzde kaç?</t>
        </is>
      </c>
      <c r="E59" s="29" t="inlineStr">
        <is>
          <t>Kişi başı günde 110 litreye kadar %25 ile %100 arası indirim; ölçüt evde kayıtlı kişilerin geliri</t>
        </is>
      </c>
      <c r="F59" s="29" t="inlineStr">
        <is>
          <t>Tarifa social, kişi başı günde 110 litreye kadar tüketime indirim getirir; bu miktarı aşan tüketim indirimsiz ödenir. Aynı evde kayıtlı kişilerin toplam brüt gelirine göre dört düzey var: %25 (Tip 1), %50 (Tip 2), %75 (Tip 3) ve %100 (ağır kırılganlık ya da sosyal dışlanma riski). Gelir sınırı IPREM'in (çoklu etki göstergesi) katı olarak verilir ve kayıtlı kişi sayısıyla artar; hesaba 16 yaşın üstündeki kayıtlı kişilerin geliri girer. Sabit ücretler, sözleşme ve yeniden bağlanma ücretleri de indirimli olur.</t>
        </is>
      </c>
      <c r="G59" s="29" t="inlineStr">
        <is>
          <t>tarifa social, sosyal tarife, su indirimi, EMASESA, IPREM, vulnerabilidad, bonificación agua</t>
        </is>
      </c>
      <c r="H59" s="29" t="inlineStr">
        <is>
          <t>new;settled</t>
        </is>
      </c>
      <c r="I59" s="29" t="inlineStr">
        <is>
          <t>sevilla:kaynak:159;sevilla:kaynak:158</t>
        </is>
      </c>
      <c r="J59" s="49" t="n">
        <v>46320</v>
      </c>
      <c r="K59" s="51" t="n">
        <v>504</v>
      </c>
      <c r="L59" s="29" t="inlineStr">
        <is>
          <t>Evet</t>
        </is>
      </c>
      <c r="M59" s="29" t="inlineStr">
        <is>
          <t>Taslak</t>
        </is>
      </c>
      <c r="N59" s="29" t="inlineStr">
        <is>
          <t>sevilla:fatura</t>
        </is>
      </c>
      <c r="O59" s="29" t="inlineStr">
        <is>
          <t>Evde kayıtlı 16 yaş üstü herkesin brüt gelirini topla ve aşağıdaki IPREM katı tablosuyla karşılaştır.
Su sözleşmesinin evde kayıtlı kişilerden birinin adına olduğundan emin ol; değilse devir iste.
Adresinde padrón kaydının olduğundan emin ol; indirim kişi sayısı padrón belgesiyle hesaplanır.
Bekleyen borcun varsa önce öde ya da borç tanıma (reconocimiento de deuda) imzala.</t>
        </is>
      </c>
      <c r="P59" s="29" t="n"/>
      <c r="Q59" s="29" t="n"/>
      <c r="R59" s="29" t="inlineStr">
        <is>
          <t>Gelir sınırı (IPREM katı; Tip 1 / Tip 2 / Tip 3 / ağır kırılganlık): 1 kişi 1,30 / 1,15 / 1,05 / 0,95; 2 kişi 1,60 / 1,40 / 1,30 / 1,20; 3 kişi 1,90 / 1,70 / 1,55 / 1,45; 4 kişi 2,10 / 1,95 / 1,85 / 1,75; 5 kişi 2,30 / 2,15 / 2,10 / 2,00; 6 ve üzeri 2,45 / 2,25 / 2,15 / 2,05</t>
        </is>
      </c>
      <c r="S59" s="29" t="inlineStr">
        <is>
          <t>%33 ve üzeri engeli olanlar ile evde bakılan III. derece bağımlılar iki kişi sayılır. Başka bir kamu kurumundan ya da özel kuruluştan aynı amaçla yardım alan hane yararlanamaz. Suyu açık konutta indirim süresince fiilen su kullanman gerekir; EMASESA'nın sık sorulan sorular sayfası bunu ayda ortalama en az 333 litre diye yazıyor, tarife sayfası ise haklı bir nedenle tüketim olmazsa indirimin sabit ücretlere uygulanabileceğini belirtiyor. Ekonomik ölçüt olarak EMASESA'nın Şubat 2026 yönetmeliğini tanıtan tarife sayfası yalnız IPREM'i gösteriyor; sık sorulan sorular sayfası ise ek olarak 16 yaş üstü kayıtlı kişilerin konut dışı mülkleri için kadastro değeri sınırı yazıyor (tek yetişkin için 16.917,60 euro). Bu ek sınırın yürürlükte olup olmadığını başvuru öncesi tarifasocial@emasesa.com adresine sorabilirsin.</t>
        </is>
      </c>
      <c r="T59" s="29" t="n"/>
    </row>
    <row r="60" ht="54" customHeight="1">
      <c r="A60" s="29" t="inlineStr">
        <is>
          <t>sevilla:emasesa-sosyal-tarife-basvuru-belgeler-yenileme</t>
        </is>
      </c>
      <c r="B60" s="29" t="inlineStr">
        <is>
          <t>sevilla</t>
        </is>
      </c>
      <c r="C60" s="29" t="inlineStr">
        <is>
          <t>emasesa-sosyal-tarife-basvuru-belgeler-yenileme</t>
        </is>
      </c>
      <c r="D60" s="29" t="inlineStr">
        <is>
          <t>EMASESA sosyal tarifesine başvuru: nereden, hangi belgelerle, ne kadar süre geçerli, nasıl yenilenir?</t>
        </is>
      </c>
      <c r="E60" s="29" t="inlineStr">
        <is>
          <t>Online, e-posta ya da randevuyla başvurulur; indirim yıl boyunca uygulanır, bitişinden önceki 3 ay içinde yenileme istenir</t>
        </is>
      </c>
      <c r="F60" s="29" t="inlineStr">
        <is>
          <t>Sosyal tarife başvurusunu Oficina Online'dan, tarifasocial@emasesa.com adresine e-postayla ya da Puntos de Atención Ciudadana'da cita previa alarak yaparsın; imzalı başvuru formu ve gerekli belgeler birlikte verilir. Eksik olan bir şey varsa EMASESA süre tanıyan bir bildirim gönderir; süre içinde cevap vermezsen başvurudan vazgeçmiş sayılırsın ve yeni form vermen gerekir. EMASESA'nın tarife sayfasına göre onaylanan indirim, iki aylık faturalama düzenine uyarlanarak yıl boyunca uygulanır; sık sorulan sorular sayfası ise başvuru tarihinden sonraki 4 üç aylık ya da 12 aylık faturadan söz ediyor. Aynı durumdaysan bitiminden önceki 3 ay içinde yenileme istersin.</t>
        </is>
      </c>
      <c r="G60" s="29" t="inlineStr">
        <is>
          <t>sosyal tarife başvurusu, tarifa social solicitud, EMASESA, bonificación, padrón, yenileme</t>
        </is>
      </c>
      <c r="H60" s="29" t="inlineStr">
        <is>
          <t>new;settled</t>
        </is>
      </c>
      <c r="I60" s="29" t="inlineStr">
        <is>
          <t>sevilla:kaynak:159;sevilla:kaynak:158</t>
        </is>
      </c>
      <c r="J60" s="49" t="n">
        <v>46320</v>
      </c>
      <c r="K60" s="51" t="n">
        <v>505</v>
      </c>
      <c r="L60" s="29" t="inlineStr">
        <is>
          <t>Hayır</t>
        </is>
      </c>
      <c r="M60" s="29" t="inlineStr">
        <is>
          <t>Taslak</t>
        </is>
      </c>
      <c r="N60" s="29" t="inlineStr">
        <is>
          <t>sevilla:fatura</t>
        </is>
      </c>
      <c r="O60" s="29" t="inlineStr">
        <is>
          <t>Sözleşmenin senin adına olduğundan emin ol; değilse devir iste. Devir sürerken de başvurabilirsin, değerlendirme devir tamamlanana kadar bekler. Henüz sözleşmen yoksa su aboneliği başvurusuyla birlikte verebilirsin.
Solicitud tarifa social formunu EMASESA sayfasından indir ya da bir müşteri noktasından al; doldurup imzala.
Aşağıdaki belgeleri hazırla; veri sorgulama izinleri evde kayıtlı 16 yaş üstü herkesin imzasını ister.
Formu ve belgeleri Oficina Online'dan, tarifasocial@emasesa.com adresine e-postayla ya da cita previa ile bir müşteri noktasında teslim et.
EMASESA eksik belge bildirirse verilen süre içinde tamamla; tamamlamazsan başvuru geçersiz sayılır.
Onaydan sonra indirimin bitişinden önceki 3 ay içinde yenileme iste.</t>
        </is>
      </c>
      <c r="P60" s="29" t="inlineStr">
        <is>
          <t>Certificado de empadronamiento colectivo (ya da EMASESA'nın padrón verisine bakması için izin)
16 yaş üstü herkesin kimliği: İspanyol vatandaşları için DNI, yabancılar için NIE veya pasaport
Agencia Tributaria verilerinin sorgulanması için 16 yaş üstü herkesin imzalı izni (izin vermeyenler son gelir beyanı ya da resmî gelir sertifikasını sunar)
Engellilik ya da bağımlılık durumu varsa ilgili belge</t>
        </is>
      </c>
      <c r="Q60" s="29" t="inlineStr">
        <is>
          <t>İndirim yıl boyunca uygulanır (iki aylık faturalamaya uyarlanmış); sık sorulan sorular sayfası başvurudan sonraki 4 üç aylık ya da 12 aylık fatura diyor</t>
        </is>
      </c>
      <c r="R60" s="29" t="n"/>
      <c r="S60" s="29" t="inlineStr">
        <is>
          <t>Toplu sayaçlı binada her daire için ayrı başvuru formu ve her daire için toplu padrón belgesi gerekir; başvuruyu yönetici ya da yöneticinin açıkça yetki verdiği kişi yapar. EMASESA'nın sık sorulan sorular sayfasındaki belge listesinde, 16 yaş üstü herkesin Catastro verilerinin sorgulanmasına imzalı izni (vermeyenler Catastro sertifikası sunar) da yer alıyor; Şubat 2026 yönetmeliğini tanıtan sayfa ise ölçütü yalnız IPREM'e bağlıyor. Bu belgenin hâlâ istenip istenmediğini tarifasocial@emasesa.com adresine sorabilirsin.</t>
        </is>
      </c>
      <c r="T60" s="29" t="n"/>
    </row>
    <row r="61" ht="54" customHeight="1">
      <c r="A61" s="29" t="inlineStr">
        <is>
          <t>sevilla:emasesa-su-faturasi-odeme-yollari</t>
        </is>
      </c>
      <c r="B61" s="29" t="inlineStr">
        <is>
          <t>sevilla</t>
        </is>
      </c>
      <c r="C61" s="29" t="inlineStr">
        <is>
          <t>emasesa-su-faturasi-odeme-yollari</t>
        </is>
      </c>
      <c r="D61" s="29" t="inlineStr">
        <is>
          <t>EMASESA su faturası nasıl ödenir: kart, Bizum, banka ve otomatik ödeme</t>
        </is>
      </c>
      <c r="E61" s="29" t="inlineStr">
        <is>
          <t>Faturadaki QR kodla kart ya da Bizum; otomatik ödeme (domiciliación) her bankada tanımlanabilir</t>
        </is>
      </c>
      <c r="F61" s="29" t="inlineStr">
        <is>
          <t>EMASESA faturasını kartla (Pago Rápido, Oficina Online, Mi Emasesa uygulaması ya da telefon), Bizum ile, bankalarda ya da merkez ve müşteri noktalarında ödeyebilirsin. Faturadaki QR kodu okutunca doğrudan hızlı ödeme sayfasına gidersin; orada kart bilgilerini girer ya da telefon numaranı yazıp Bizum işlemini telefonundan onaylarsın. Otomatik ödeme (domiciliación) herhangi bir bankada tanımlanabilir. Anlaşmalı bankalarda (Cajasur, Banco Santander, BBVA, Caja Rural, La Caixa, Unicaja) nakit, kart ya da hesaptan ödeme yapılır. Süresi geçmiş faturada EMASESA sana yeni bir ödeme belgesi gönderir.</t>
        </is>
      </c>
      <c r="G61" s="29" t="inlineStr">
        <is>
          <t>su faturası ödeme, EMASESA pago, Bizum, domiciliación, QR, Pago Rápido, Mi Emasesa</t>
        </is>
      </c>
      <c r="H61" s="29" t="inlineStr">
        <is>
          <t>new;settled</t>
        </is>
      </c>
      <c r="I61" s="29" t="inlineStr">
        <is>
          <t>sevilla:kaynak:162;sevilla:kaynak:158</t>
        </is>
      </c>
      <c r="J61" s="49" t="n">
        <v>46319</v>
      </c>
      <c r="K61" s="51" t="n">
        <v>506</v>
      </c>
      <c r="L61" s="29" t="inlineStr">
        <is>
          <t>Hayır</t>
        </is>
      </c>
      <c r="M61" s="29" t="inlineStr">
        <is>
          <t>Taslak</t>
        </is>
      </c>
      <c r="N61" s="29" t="inlineStr">
        <is>
          <t>sevilla:fatura</t>
        </is>
      </c>
      <c r="O61" s="29" t="inlineStr">
        <is>
          <t>Faturadaki QR kodu okut; kart bilgilerini gir ya da Bizum'u seç, telefon numaranı yaz ve işlemi telefonundan onayla.
Dilersen Oficina Online'dan, Mi Emasesa uygulamasından ya da telefonla (955 00 32 00 veya 900 82 20 10) kartla öde.
Otomatik ödeme için Oficina Online'dan, uygulamadan, telefondan ya da müşteri noktalarından domiciliación tanımla; banka hesabını değiştirmek için de aynı kanallar var.
Faturanın süresi geçtiyse EMASESA'dan SMS ya da e-postayla yeni ödeme belgesi iste; onu bir bankada, Correos şubesinde ya da banka uygulamasında öde.
Müşteri noktasında ödeyeceksen önce cita previa al; merkezde kart, nakit ve çek, müşteri noktalarında kart ve çek kabul edilir.</t>
        </is>
      </c>
      <c r="P61" s="29" t="n"/>
      <c r="Q61" s="29" t="n"/>
      <c r="R61" s="29" t="n"/>
      <c r="S61" s="29" t="inlineStr">
        <is>
          <t>Bankan faturayı iade ederse otomatik ödeme sona erer ve sonraki faturalar hesabına yansımaz; yeniden tanımlamak için EMASESA'yı ara. İade edilen faturayı Calle Escuelas Pías 1'deki merkez ofiste (pazartesi-cuma 8:00-14:15) ya da anlaşmalı bankalarda ödeyebilirsin.</t>
        </is>
      </c>
      <c r="T61" s="29" t="n"/>
    </row>
    <row r="62" ht="54" customHeight="1">
      <c r="A62" s="29" t="inlineStr">
        <is>
          <t>sevilla:su-faturasi-odenmezse-kesinti-mektubu-ve-yeniden-baglanma</t>
        </is>
      </c>
      <c r="B62" s="29" t="inlineStr">
        <is>
          <t>sevilla</t>
        </is>
      </c>
      <c r="C62" s="29" t="inlineStr">
        <is>
          <t>su-faturasi-odenmezse-kesinti-mektubu-ve-yeniden-baglanma</t>
        </is>
      </c>
      <c r="D62" s="29" t="inlineStr">
        <is>
          <t>Su faturasını zamanında ödeyemezsen ne olur: kesinti mektubu, 90 gün ve yeniden bağlanma</t>
        </is>
      </c>
      <c r="E62" s="29" t="inlineStr">
        <is>
          <t>Kesinti öncesi mektup gelir; sosyal acil durumu belgelenen konut abonesinin suyu kesilmez</t>
        </is>
      </c>
      <c r="F62" s="29" t="inlineStr">
        <is>
          <t>Fatura gönüllü ödeme süresinde ödenmezse EMASESA sözleşmeye göre suyu kesebilir. Kesintiden önce gelen mektup, gönüllü ödeme döneminin bittiğini ve hangi tarihten sonra kesme yetkisi doğduğunu bildirir; borcu mektuptaki tarihten önce EMASESA'nın bir müşteri noktasında ödemen gerekir. Kesinti tarihinden sonra 90 gün içinde borç ödenmezse sözleşme sona erer. Suyu yeniden açtırmak için tüm bekleyen faturaları ve yeniden bağlanma (reconexión) faturasını ödersin; sayaç sökülüp abonelik kapandıysa yeni abonelik gerekir. Belediye sosyal hizmetlerinin geçerli biçimde belgelediği sosyal acil durumdaki kişilerin konut suyu kesilmez.</t>
        </is>
      </c>
      <c r="G62" s="29" t="inlineStr">
        <is>
          <t>su kesintisi, EMASESA corte de suministro, reconexión, deuda, sosyal acil durum, carta de corte</t>
        </is>
      </c>
      <c r="H62" s="29" t="inlineStr">
        <is>
          <t>settled</t>
        </is>
      </c>
      <c r="I62" s="29" t="inlineStr">
        <is>
          <t>sevilla:kaynak:158;sevilla:kaynak:167</t>
        </is>
      </c>
      <c r="J62" s="49" t="n">
        <v>46319</v>
      </c>
      <c r="K62" s="51" t="n">
        <v>507</v>
      </c>
      <c r="L62" s="29" t="inlineStr">
        <is>
          <t>Hayır</t>
        </is>
      </c>
      <c r="M62" s="29" t="inlineStr">
        <is>
          <t>Taslak</t>
        </is>
      </c>
      <c r="N62" s="29" t="inlineStr">
        <is>
          <t>sevilla:fatura</t>
        </is>
      </c>
      <c r="O62" s="29" t="inlineStr">
        <is>
          <t>Kesinti mektubundaki tarihi oku; mektup gönüllü ödeme döneminin bittiğini ve kesme yetkisinin hangi tarihte başladığını bildirir.
Borcu o tarihten önce EMASESA'nın herhangi bir müşteri noktasında öde.
Su kesildiyse bekleyen tüm faturaları ve yeniden bağlanma faturasını öde.
Sayaç sökülmüş ve abonelik kapanmışsa yeni abonelik (alta) için başvur.
Geliri sosyal tarife sınırının altındaysa tarifa social için başvur; başvuruyla birlikte borç tanıma ve ödeme planı imzalanır.</t>
        </is>
      </c>
      <c r="P62" s="29" t="n"/>
      <c r="Q62" s="29" t="inlineStr">
        <is>
          <t>Kesinti tarihinden sonra 90 gün içinde borç ödenmezse sözleşme sona erer</t>
        </is>
      </c>
      <c r="R62" s="29" t="n"/>
      <c r="S62" s="29" t="inlineStr">
        <is>
          <t>Sözleşme yapmadan suyu kullanıyorsan EMASESA 'uso fraudulento' mektubu gönderir; durumu düzeltmek için cita previa alıp sözleşmeni düzenlersin.</t>
        </is>
      </c>
      <c r="T62" s="29" t="n"/>
    </row>
    <row r="63" ht="54" customHeight="1">
      <c r="A63" s="29" t="inlineStr">
        <is>
          <t>sevilla:su-sayaci-tahmini-okuma-kacak-kontrolu-yuksek-fatura</t>
        </is>
      </c>
      <c r="B63" s="29" t="inlineStr">
        <is>
          <t>sevilla</t>
        </is>
      </c>
      <c r="C63" s="29" t="inlineStr">
        <is>
          <t>su-sayaci-tahmini-okuma-kacak-kontrolu-yuksek-fatura</t>
        </is>
      </c>
      <c r="D63" s="29" t="inlineStr">
        <is>
          <t>Su sayacı, tahmini fatura ve kaçak kontrolü: EMASESA'dan beklenmedik yüksek fatura gelirse</t>
        </is>
      </c>
      <c r="E63" s="29" t="inlineStr">
        <is>
          <t>Okumayı kendin bildirebilirsin; sayaç kapalı musluklarda dönüyorsa iç tesisatta kaçak olabilir</t>
        </is>
      </c>
      <c r="F63" s="29" t="inlineStr">
        <is>
          <t>EMASESA sayaçtan gerçek okuma alamazsa (sayaç arızası, evde kimsenin bulunmaması gibi nedenlerle) faturayı tahmini tüketimle keser; sayaç arızası dışındaki durumlarda tahmin sonradan gerçek okumaya göre düzeltilir. Okumayı kendin de bildirebilirsin ve EMASESA bunu kontrol eder. Kaçak testi basit: su kullanan her şeyi kapat, iç anahtarı açık bırak ve sayaca bak; sayaç tüketim kaydediyorsa iç tesisatta kaçak olabilir. Gizli iç tesisat kaçağı yüzünden olağandışı yüksek tüketim çıkarsa EMASESA'dan faturanın düzenlenmesini (regularización) isteyebilirsin; şartlar yönetmelikte.</t>
        </is>
      </c>
      <c r="G63" s="29" t="inlineStr">
        <is>
          <t>su sayacı, lectura estimada, fuga, kaçak, yüksek fatura, EMASESA, contador, regularización</t>
        </is>
      </c>
      <c r="H63" s="29" t="inlineStr">
        <is>
          <t>settled</t>
        </is>
      </c>
      <c r="I63" s="29" t="inlineStr">
        <is>
          <t>sevilla:kaynak:158;sevilla:kaynak:167</t>
        </is>
      </c>
      <c r="J63" s="49" t="n">
        <v>46319</v>
      </c>
      <c r="K63" s="51" t="n">
        <v>508</v>
      </c>
      <c r="L63" s="29" t="inlineStr">
        <is>
          <t>Hayır</t>
        </is>
      </c>
      <c r="M63" s="29" t="inlineStr">
        <is>
          <t>Taslak</t>
        </is>
      </c>
      <c r="N63" s="29" t="inlineStr">
        <is>
          <t>sevilla:fatura</t>
        </is>
      </c>
      <c r="O63" s="29" t="inlineStr">
        <is>
          <t>Okumayı Oficina Online'dan (emasesaonline.com), 955 010 010 ya da 900 822 010 numaralarından veya Sevilla'daysan 010 Línea Sevilla'dan bildir; EMASESA okumayı kontrol eder.
Kaçak testi: tüm musluk ve su kullanan cihazları kapat, iç anahtarı açık bırak ve sayaca bak; sayaç tüketim gösteriyorsa kaçak olabilir.
Akıllı (NB-IoT) sayacın varsa Mi Emasesa uygulamasından saatlik ya da günlük tüketimi izle; kullanmadığın saatlerde sürekli tüketim kaçağa işaret eder.
Yüksek tüketim mektubu geldiyse okumanın doğru olduğunu ve alışkanlıklarının değişmediğini düşünüyorsan iç tesisatı gözden geçir.
Gizli iç tesisat kaçağı kaynaklı anormal yüksek faturada EMASESA'dan regularización iste.</t>
        </is>
      </c>
      <c r="P63" s="29" t="n"/>
      <c r="Q63" s="29" t="n"/>
      <c r="R63" s="29" t="n"/>
      <c r="S63" s="29" t="inlineStr">
        <is>
          <t>Sayaç en çok 12 yıl takılı kalabilir ve süre dolunca değiştirilir. Sayaç işçileri hiçbir durumda para istemez ve istendiğinde şirket kimlik kartını göstermek zorundadır; kuşkun varsa 955 010 010 veya 900 822 010'u ara.</t>
        </is>
      </c>
      <c r="T63" s="29" t="n"/>
    </row>
    <row r="64" ht="54" customHeight="1">
      <c r="A64" s="29" t="inlineStr">
        <is>
          <t>sevilla:emasesa-sevilla-distrito-sur-ve-este-musteri-noktalari</t>
        </is>
      </c>
      <c r="B64" s="29" t="inlineStr">
        <is>
          <t>sevilla</t>
        </is>
      </c>
      <c r="C64" s="29" t="inlineStr">
        <is>
          <t>emasesa-sevilla-distrito-sur-ve-este-musteri-noktalari</t>
        </is>
      </c>
      <c r="D64" s="29" t="inlineStr">
        <is>
          <t>Sevilla'da EMASESA müşteri noktaları: Distrito Sur ve Distrito Este adresleri, saatleri ve telefon</t>
        </is>
      </c>
      <c r="E64" s="29" t="inlineStr">
        <is>
          <t>İki nokta da hafta içi öğleye kadar, hafta içi dört gün öğleden sonra açık; randevu şart</t>
        </is>
      </c>
      <c r="F64" s="29" t="inlineStr">
        <is>
          <t>Su işlerini yüz yüze halletmek için EMASESA'nın Puntos de Atención Ciudadana noktalarından ikisi şunlardır: Distrito Sur (C/ Jorge Guillén, s/n, 41013) ve Distrito Este (C/ Cueva de Menga, s/n, Urb. Los Minaretes, 41020). İkisi de pazartesi-cuma 08:30-14:30 arası, ayrıca pazartesi-perşembe 17:00-19:00 arası açıktır. İkisinde de cita previa (randevu) olmadan hizmet alınmaz. Telefon numaraları 955 003 200 ve 900 822 010.</t>
        </is>
      </c>
      <c r="G64" s="29" t="inlineStr">
        <is>
          <t>EMASESA müşteri noktası, Punto de Atención Ciudadana, Distrito Sur, Distrito Este, Sevilla su ofisi, cita previa</t>
        </is>
      </c>
      <c r="H64" s="29" t="inlineStr">
        <is>
          <t>new;settled</t>
        </is>
      </c>
      <c r="I64" s="29" t="inlineStr">
        <is>
          <t>sevilla:kaynak:164;sevilla:kaynak:165</t>
        </is>
      </c>
      <c r="J64" s="49" t="n">
        <v>46320</v>
      </c>
      <c r="K64" s="51" t="n">
        <v>509</v>
      </c>
      <c r="L64" s="29" t="inlineStr">
        <is>
          <t>Hayır</t>
        </is>
      </c>
      <c r="M64" s="29" t="inlineStr">
        <is>
          <t>Taslak</t>
        </is>
      </c>
      <c r="N64" s="29" t="inlineStr">
        <is>
          <t>sevilla:fatura</t>
        </is>
      </c>
      <c r="O64" s="29" t="inlineStr">
        <is>
          <t>Gideceğin noktadan önce cita previa al; bu iki noktada randevusuz hizmet verilmez.
Sana yakın noktayı seç: Distrito Sur C/ Jorge Guillén, s/n, 41013; Distrito Este C/ Cueva de Menga, s/n, Urb. Los Minaretes, 41020.
Hafta içi 08:30-14:30 ya da pazartesi-perşembe 17:00-19:00 arasında randevu saatine git.
Telefon numaraları: 955 003 200 ve 900 822 010.</t>
        </is>
      </c>
      <c r="P64" s="29" t="n"/>
      <c r="Q64" s="29" t="inlineStr">
        <is>
          <t>Pazartesi-cuma 08:30-14:30; pazartesi-perşembe 17:00-19:00</t>
        </is>
      </c>
      <c r="R64" s="29" t="n"/>
      <c r="S64" s="29" t="n"/>
      <c r="T64" s="29" t="n"/>
    </row>
    <row r="65" ht="54" customHeight="1">
      <c r="A65" s="29" t="inlineStr">
        <is>
          <t>sevilla:resmi-tatiller-2027</t>
        </is>
      </c>
      <c r="B65" s="29" t="inlineStr">
        <is>
          <t>sevilla</t>
        </is>
      </c>
      <c r="C65" s="29" t="inlineStr">
        <is>
          <t>resmi-tatiller-2027</t>
        </is>
      </c>
      <c r="D65" s="29" t="inlineStr">
        <is>
          <t>İspanya'da 2027'de resmî tatil günleri hangileri, hangileri bölgeye göre değişir?</t>
        </is>
      </c>
      <c r="E65" s="29" t="inlineStr">
        <is>
          <t>BOE'de 13 Ekim 2026'da yayımlandı: sekiz ulusal gün ve 6 Ocak 2027'de hiçbir bölgede değişmedi, kalanı bölgeye göre değişir; yerel tatiller belediyeye bağlıdır</t>
        </is>
      </c>
      <c r="F65" s="29" t="inlineStr">
        <is>
          <t>2027'de her bölgede tatil olan günler: bölgelerin değiştiremediği 1 Ocak (Año Nuevo), 26 Mart (Viernes Santo), 1 Mayıs (Fiesta del Trabajo), 12 Ekim (Fiesta Nacional de España), 1 Kasım (Todos los Santos), 6 Aralık (Día de la Constitución), 8 Aralık (Inmaculada Concepción) ve 25 Aralık (Natividad del Señor); bir de 6 Ocak (Epifanía del Señor), çünkü kararın tablosunda hiçbir bölge 2027 için bu günün yerine başka gün koymamıştır. Liste, BOE'de 13 Ekim 2026'da yayımlanan (8 Ekim 2026 tarihli) Dirección General de Trabajo kararındadır. Bunların dışındaki günler bölgeye göre değişir: bazı ulusal günlerin yerine bölgeler kendi geleneksel günlerini koyabilir, ayrıca bazı bölgeler kendi bölge gününü ekler (2027 tablosunda bazı bölgelerin, örneğin başkent bölgesinin sütununda bölge günü işareti yoktur; Canarias için ada günleri tablonun altındaki 1 numaralı notta verilir). Karar 17 özerk bölgenin ve Ceuta ile Melilla'nın gönderdiği listelere dayanır. Yerel tatiller belediyeye göredir ve bu kararda yer almaz.</t>
        </is>
      </c>
      <c r="G65" s="29" t="inlineStr">
        <is>
          <t>resmi tatiller 2027, fiestas laborales 2027, BOE tatil takvimi, ulusal tatil, bölge tatili, fiestas locales, Viernes Santo, Jueves Santo</t>
        </is>
      </c>
      <c r="H65" s="29" t="inlineStr">
        <is>
          <t>planning;new;settled</t>
        </is>
      </c>
      <c r="I65" s="29" t="inlineStr">
        <is>
          <t>sevilla:kaynak:121</t>
        </is>
      </c>
      <c r="J65" s="49" t="n">
        <v>46319</v>
      </c>
      <c r="K65" s="51" t="n">
        <v>9091</v>
      </c>
      <c r="L65" s="29" t="inlineStr">
        <is>
          <t>Hayır</t>
        </is>
      </c>
      <c r="M65" s="29" t="inlineStr">
        <is>
          <t>Taslak</t>
        </is>
      </c>
      <c r="N65" s="29" t="inlineStr">
        <is>
          <t>sevilla:gunluk</t>
        </is>
      </c>
      <c r="O65" s="29" t="inlineStr">
        <is>
          <t>1 Ocak, 6 Ocak, 26 Mart, 1 Mayıs, 12 Ekim, 1 Kasım, 6 Aralık, 8 Aralık ve 25 Aralık'ı her yerde tatil olarak planla.
19 Mart (San José), 25 Mart (Jueves Santo) ve 16 Ağustos (Asunción'dan sonraki pazartesi) için kararın ekindeki tabloda kendi bölgenin sütununa bak: bölge bu günlerin yerine başka gün koyabilir.
29 Mart (Lunes de Pascua) gibi *** işaretli günleri bölge günü olarak oku; bunlar yalnız tabloda işaretli bölgelerde tatildir.
Belediyene özgü yerel tatilleri bölgenin ya da ilin resmî gazetesinde yayımlanan listeden öğren; belediye başına yılda en çok iki gün olabilir.</t>
        </is>
      </c>
      <c r="P65" s="29" t="n"/>
      <c r="Q65" s="29" t="inlineStr">
        <is>
          <t>2027 takvim yılı</t>
        </is>
      </c>
      <c r="R65" s="29" t="n"/>
      <c r="S65" s="29" t="inlineStr">
        <is>
          <t>Bazı bölgelerde adaya ya da yöreye özgü ek veya değişik tatil günleri vardır; kararın açıklama notlarında örnekleri verilir.</t>
        </is>
      </c>
      <c r="T65" s="29" t="n"/>
    </row>
    <row r="66" ht="54" customHeight="1">
      <c r="A66" s="29" t="inlineStr">
        <is>
          <t>sevilla:magaza-acilis-saatleri-cercevesi</t>
        </is>
      </c>
      <c r="B66" s="29" t="inlineStr">
        <is>
          <t>sevilla</t>
        </is>
      </c>
      <c r="C66" s="29" t="inlineStr">
        <is>
          <t>magaza-acilis-saatleri-cercevesi</t>
        </is>
      </c>
      <c r="D66" s="29" t="inlineStr">
        <is>
          <t>İspanya'da mağazaların açılış saatlerini kim belirler, yasal alt sınırlar neler?</t>
        </is>
      </c>
      <c r="E66" s="29" t="inlineStr">
        <is>
          <t>Ley 1/2004 ulusal çerçeveyi çizer; saat düzenlemesi özerk bölgelerdedir, haftalık ve pazar/tatil alt sınırları kanunda yazılıdır</t>
        </is>
      </c>
      <c r="F66" s="29" t="inlineStr">
        <is>
          <t>Saat düzenlemesi özerk bölgelerin yetkisindedir; Ley 1/2004 (Horarios Comerciales) ise ortak çerçeveyi ve alt sınırları koyar (konsolide metin, 17/10/2014 sürümü; metin bilgilendirme amaçlıdır, hukuki değeri yoktur). Bu çerçevede her işletmeci açılış ve kapanış saatini, hangi tatil günlerinde açık olacağını ve günlük ya da haftalık saatini kendisi belirler. Bölge, iş günlerinde haftalık toplam açık kalma süresini 90 saatin altına indiremez. Pazar ve tatil günlerinde yıllık ulusal asgari açık kalma sayısı 16'dır; bölge bu sayıyı artırabilir ya da azaltabilir, ama 10'un altına indiremez ve hangi pazar ve tatillerde açık olunacağını bölge belirler. Bu yüzden saat ve açık pazar günleri bölgene göre değişir.</t>
        </is>
      </c>
      <c r="G66" s="29" t="inlineStr">
        <is>
          <t>mağaza saatleri, horarios comerciales, Ley 1/2004, pazar günü açık, domingos y festivos, tiendas de conveniencia, çalışma saatleri</t>
        </is>
      </c>
      <c r="H66" s="29" t="inlineStr">
        <is>
          <t>new;settled</t>
        </is>
      </c>
      <c r="I66" s="29" t="inlineStr">
        <is>
          <t>sevilla:kaynak:122</t>
        </is>
      </c>
      <c r="J66" s="49" t="n">
        <v>46319</v>
      </c>
      <c r="K66" s="51" t="n">
        <v>9092</v>
      </c>
      <c r="L66" s="29" t="inlineStr">
        <is>
          <t>Hayır</t>
        </is>
      </c>
      <c r="M66" s="29" t="inlineStr">
        <is>
          <t>Taslak</t>
        </is>
      </c>
      <c r="N66" s="29" t="inlineStr">
        <is>
          <t>sevilla:gunluk</t>
        </is>
      </c>
      <c r="O66" s="29" t="inlineStr">
        <is>
          <t>İşletmenin türüne bak: asıl işi pastane ve pasta, ekmek, hazır yemek, gazete, akaryakıt, çiçek ve bitki satmak olan mağazalar ile tiendas de conveniencia (500 m²'ye kadar, günde en az 18 saat açık, kitap, gazete, gıda, plak, video, oyuncak ve hediye gibi karışık ürün satan mağaza) tüm ülkede gün ve saatini serbestçe belirler. Sınır noktalarındaki, istasyon ve ulaşım araçlarındaki ve turistik yoğunluk bölgelerindeki mağazalar da serbesttir; bu bölgeleri özerk bölge belirler ve belediyenin önerisine göre ilan edilen alan ya da dönem kısıtlı olabilir.
Kullanım alanı 300 metrekarenin altındaki küçük mağazalarda da gün ve saat serbesttir; KOBİ sayılmayan şirket ve gruplara ait olanlar bunun dışındadır.
Eczane ve estanko (tütün bayii) kendi özel mevzuatına tabidir. Yukarıdakilerin dışındaki mağazalarda bölge, iş günlerindeki haftalık toplam açık kalma süresini 90 saatin altına indiremez; açılış ve kapanış saatini işletmeci seçer.
Pazar ve tatilde açık olabilecek gün sayısı ulusal çerçevede yılda en az 16'dır; bölgen bunu artırabilir ya da 10'a kadar indirebilir. Hangi günlerin açık olacağını bölge belirler.</t>
        </is>
      </c>
      <c r="P66" s="29" t="n"/>
      <c r="Q66" s="29" t="n"/>
      <c r="R66" s="29" t="n"/>
      <c r="S66" s="29" t="inlineStr">
        <is>
          <t>Bölgeler halka saatleri bildirme yükümlülükleri de koyabilir. Yukarıdaki sayılar ulusal çerçevedir; bölgenin kendi düzenlemesi bunların üzerine çıkabilir.</t>
        </is>
      </c>
      <c r="T66" s="29" t="n"/>
    </row>
    <row r="67" ht="54" customHeight="1">
      <c r="A67" s="29" t="inlineStr">
        <is>
          <t>sevilla:ab-disi-paket-gumruk-iva</t>
        </is>
      </c>
      <c r="B67" s="29" t="inlineStr">
        <is>
          <t>sevilla</t>
        </is>
      </c>
      <c r="C67" s="29" t="inlineStr">
        <is>
          <t>ab-disi-paket-gumruk-iva</t>
        </is>
      </c>
      <c r="D67" s="29" t="inlineStr">
        <is>
          <t>AB dışından internetten alınan 150 euroya kadarlık paket için İspanya'da IVA ve gümrük vergisi ödenir mi?</t>
        </is>
      </c>
      <c r="E67" s="29" t="inlineStr">
        <is>
          <t>IVA ödenir; 1 Temmuz 2026'dan beri 150 euroya kadar siparişte kategori başına 3 euro arancel, 1 Kasım 2026'dan itibaren ayrıca 2 euro işlem ücreti</t>
        </is>
      </c>
      <c r="F67" s="29" t="inlineStr">
        <is>
          <t>Evet, 150 euroya kadar siparişlerde. AEAT'a göre AB dışından internetten alışverişte IVA ödenir: satıcı IOSS sistemine katılıyorsa fiyata IVA dahildir, katılmıyorsa paketi İspanya'ya sokan taşıyıcı IVA'yı tahsil eder ve teslimden önce malın fiyatının %21'ini isteyebilir. 1 Temmuz 2026'dan itibaren toplam tutarı en çok 150 euro olan siparişlerde IVA'ya ek olarak her ürün kategorisi için 3 euro sabit arancel (gümrük vergisi) ödenir; kaynak AB dışı örnek olarak Çin, ABD ve Birleşik Krallık'ı verir. 1 Kasım 2026'dan önce arancel olarak yalnız bu 3 euro vardır (taşıyıcı ayrıca bazı yönetim giderleri isteyebilir); 1 Kasım 2026'dan itibaren her kategori için 2 euro işlem ücreti de arancelle birlikte ödenir. AB dışı kaynaklı paketler Correos'ta gümrük kontrolüne girer; bu tutarlar önceden ödenmemişse alıcı onları ödemeden paketi alamaz.</t>
        </is>
      </c>
      <c r="G67" s="29" t="inlineStr">
        <is>
          <t>gümrük, IVA, arancel, AB dışı paket, 150 euro, Correos, AEAT, IOSS, internetten alışveriş, aduana</t>
        </is>
      </c>
      <c r="H67" s="29" t="inlineStr">
        <is>
          <t>new;settled</t>
        </is>
      </c>
      <c r="I67" s="29" t="inlineStr">
        <is>
          <t>sevilla:kaynak:123;sevilla:kaynak:124</t>
        </is>
      </c>
      <c r="J67" s="49" t="n">
        <v>46319</v>
      </c>
      <c r="K67" s="51" t="n">
        <v>9093</v>
      </c>
      <c r="L67" s="29" t="inlineStr">
        <is>
          <t>Hayır</t>
        </is>
      </c>
      <c r="M67" s="29" t="inlineStr">
        <is>
          <t>Taslak</t>
        </is>
      </c>
      <c r="N67" s="29" t="inlineStr">
        <is>
          <t>sevilla:gunluk</t>
        </is>
      </c>
      <c r="O67" s="29" t="inlineStr">
        <is>
          <t>Siparişten önce satıcının koşullarında fiyatın IVA ve gümrük vergisini içerip içermediğine bak.
Malın sipariş anında nereden gönderildiğine bak: gümrük vergisi için belirleyici olan, ürünün sipariş sonrası gönderildiği yerdir; ürün İspanya'da ya da başka bir AB ülkesindeyse gümrük vergisi yoktur.
Fiyata dahil değilse taşıyıcının istediği IVA ve arancel tutarını öde; teslim buna bağlı olabilir. Correos'ta bu tutarları alıcı öder.
İade edeceksen arancelin iade edilmediğini bil; arancel yalnız mal kusurluysa ya da sözleşmeye uymuyorsa geri verilir. IVA iadesi ise ayrı işler.</t>
        </is>
      </c>
      <c r="P67" s="29" t="n"/>
      <c r="Q67" s="29" t="inlineStr">
        <is>
          <t>1 Temmuz 2026'dan itibaren; işlem ücreti 1 Kasım 2026'dan itibaren</t>
        </is>
      </c>
      <c r="R67" s="29" t="inlineStr">
        <is>
          <t>Arancel: kategori başına 3 euro (150 euroya kadar siparişlerde, 1 Temmuz 2026'dan itibaren). İşlem ücreti: kategori başına 2 euro (1 Kasım 2026'dan itibaren)</t>
        </is>
      </c>
      <c r="S67" s="29" t="inlineStr">
        <is>
          <t>AEAT gümrük vergisini tüketiciden talep etmez; yalnız satıcı ya da platformun gümrük beyanı için görevlendirdiği kişiden ister. Tüketici gümrük işlemlerini kendi adına yapıyorsa kaynak bu güvenceyi vermez. Kontrol iki yönde işler: İspanya anakarasına (Península ve Baleares) AB dışından, Canarias, Ceuta ya da Melilla'dan gelen paketler ve Canarias, Ceuta ya da Melilla'ya başka bir bölgeden giren paketler Correos'ta gümrük kontrolüne tabidir. %21 oranı kaynak sayfada bölge ayrımı yapılmadan verilir; Canarias, Ceuta ve Melilla'daki IVA uygulaması bu kartın kapsamı dışındadır. Bazı ürünler kısıtlı ya da yasak olabilir; ithalatı yapan kişi şartları öğrenmekten ve gerekli belgeleri vermekten sorumludur.</t>
        </is>
      </c>
      <c r="T67" s="29" t="n"/>
    </row>
    <row r="68" ht="54" customHeight="1">
      <c r="A68" s="29" t="inlineStr">
        <is>
          <t>sevilla:diger-resmi-yardim-hatlari</t>
        </is>
      </c>
      <c r="B68" s="29" t="inlineStr">
        <is>
          <t>sevilla</t>
        </is>
      </c>
      <c r="C68" s="29" t="inlineStr">
        <is>
          <t>diger-resmi-yardim-hatlari</t>
        </is>
      </c>
      <c r="D68" s="29" t="inlineStr">
        <is>
          <t>İspanya'da 112 dışında hangi resmî yardım hatları var (016, 021, 028, 024)?</t>
        </is>
      </c>
      <c r="E68" s="29" t="inlineStr">
        <is>
          <t>Ministerio de Igualdad'ın 016, 021, 028, ATENPRO ve 900 19 10 10 hatları ile Ministerio de Sanidad'ın 024 intihar önleme hattı</t>
        </is>
      </c>
      <c r="F68" s="29" t="inlineStr">
        <is>
          <t>Evet, 112 dışında konuya özel resmî hatlar var: 016, 021, 028, ATENPRO, 900 19 10 10 ve 024. Ministerio de Igualdad'ın hatları: kadına yönelik şiddet için 016 (bilgi, hukuki danışmanlık ve psikososyal destek), ırksal ya da etnik ayrımcılık mağdurları için 021, LGTBI hakları ve nefret suçları için 028. Kadına şiddet mağdurları için 24 saat telefonla bakım ve koruma hizmeti ATENPRO'nun numarası 900 22 22 92, kadın haklarına dair bilgi ve danışmanlık hattı ise 900 19 10 10'dur. Ministerio de Sanidad'ın 024 hattı intihar düşüncesi ya da riski taşıyanlara ve yakınlarına yöneliktir; ülke genelinde ücretsiz, gizli ve günün 24 saati, yılın 365 günü açıktır.</t>
        </is>
      </c>
      <c r="G68" s="29" t="inlineStr">
        <is>
          <t>016, 021, 028, 024, yardım hattı, kadına şiddet, ayrımcılık, LGTBI, intihar önleme, ATENPRO</t>
        </is>
      </c>
      <c r="H68" s="29" t="inlineStr">
        <is>
          <t>new;settled</t>
        </is>
      </c>
      <c r="I68" s="29" t="inlineStr">
        <is>
          <t>sevilla:kaynak:125;sevilla:kaynak:126</t>
        </is>
      </c>
      <c r="J68" s="49" t="n">
        <v>46319</v>
      </c>
      <c r="K68" s="51" t="n">
        <v>9094</v>
      </c>
      <c r="L68" s="29" t="inlineStr">
        <is>
          <t>Hayır</t>
        </is>
      </c>
      <c r="M68" s="29" t="inlineStr">
        <is>
          <t>Taslak</t>
        </is>
      </c>
      <c r="N68" s="29" t="inlineStr">
        <is>
          <t>sevilla:gunluk</t>
        </is>
      </c>
      <c r="O68" s="29" t="inlineStr">
        <is>
          <t>Kadına yönelik şiddet için 016'yı ara; 600 000 016 numarasına ya da 016-online@igualdad.gob.es adresine de ulaşabilirsin.
Irksal ya da etnik ayrımcılık için 021'i ara; 028 hattı LGTBI hakları ve nefret suçları içindir, chat ile de ulaşılır.
ATENPRO (şiddet mağdurları için 24 saat telefon bakım ve koruma hizmeti) 900 22 22 92 numaralı telefondur; kadın haklarına dair bilgi ve danışmanlık için 900 19 10 10'u ara.
İntihar düşüncesi ya da riski için 024'ü ara; hat sohbet ve işaret dili video çevirisiyle de açıktır.
Yaşamı hemen tehdit eden acil bir durumda doğrudan 112'yi ara.</t>
        </is>
      </c>
      <c r="P68" s="29" t="n"/>
      <c r="Q68" s="29" t="inlineStr">
        <is>
          <t>024 hattı günün 24 saati, yılın 365 günü</t>
        </is>
      </c>
      <c r="R68" s="29" t="n"/>
      <c r="S68" s="29" t="inlineStr">
        <is>
          <t>024 hattı yüz yüze bir sağlık uzmanıyla görüşmenin yerini almak için değildir; duruma göre sağlık sistemine yönlendirir ya da 112'ye aktarır.</t>
        </is>
      </c>
      <c r="T68" s="29" t="n"/>
    </row>
    <row r="69" ht="54" customHeight="1">
      <c r="A69" s="29" t="inlineStr">
        <is>
          <t>sevilla:bahsis-ve-odeme-aliskanliklari</t>
        </is>
      </c>
      <c r="B69" s="29" t="inlineStr">
        <is>
          <t>sevilla</t>
        </is>
      </c>
      <c r="C69" s="29" t="inlineStr">
        <is>
          <t>bahsis-ve-odeme-aliskanliklari</t>
        </is>
      </c>
      <c r="D69" s="29" t="inlineStr">
        <is>
          <t>İspanya'da bahşiş vermek zorunlu mu, nakit ve kartla ödeme nasıl işler?</t>
        </is>
      </c>
      <c r="E69" s="29" t="inlineStr">
        <is>
          <t>Bahşiş zorunlu değil, servis fiyata dahildir; bar, restoran, otel ve taksilerde yaygındır, genelde toplamın yüzde beş ile on arasıdır (spain.info)</t>
        </is>
      </c>
      <c r="F69" s="29" t="inlineStr">
        <is>
          <t>Hayır, bahşiş zorunlu değil: spain.info'ya göre işletmelerin tamamı hizmet bedelini fiyata dahil eder. Yine de bar ve restoranlarda, otellerde ve taksilerde bahşiş vermek yaygındır; tutar hesap tutarına bağlıdır ve genelde toplam tutarın yüzde beşi ile yüzde onu arasındadır. Ödemede hemen her yerde nakit geçer ve genelde yalnız euro kabul edilir; makineyle ödemede bazen kartla ödemek zorunlu olabilir. Kredi ve banka kartları yaygındır, çoğunlukla Visa ve Mastercard; kartla ödeme için yaklaşık 10 € asgari tutar istenebilir ve kartının koşullarına göre komisyon doğabilir. Etiketteki fiyatta pazarlık kabul edilmez.</t>
        </is>
      </c>
      <c r="G69" s="29" t="inlineStr">
        <is>
          <t>bahşiş, propinas, ödeme, nakit, kart, Visa, Mastercard, pazarlık, euro</t>
        </is>
      </c>
      <c r="H69" s="29" t="inlineStr">
        <is>
          <t>before;new;settled</t>
        </is>
      </c>
      <c r="I69" s="29" t="inlineStr">
        <is>
          <t>sevilla:kaynak:127</t>
        </is>
      </c>
      <c r="J69" s="49" t="n">
        <v>46319</v>
      </c>
      <c r="K69" s="51" t="n">
        <v>9095</v>
      </c>
      <c r="L69" s="29" t="inlineStr">
        <is>
          <t>Hayır</t>
        </is>
      </c>
      <c r="M69" s="29" t="inlineStr">
        <is>
          <t>Taslak</t>
        </is>
      </c>
      <c r="N69" s="29" t="inlineStr">
        <is>
          <t>sevilla:gunluk</t>
        </is>
      </c>
      <c r="O69" s="29" t="inlineStr">
        <is>
          <t>Servis bedeli fiyata dahil olduğu için bahşişi isteğe göre ver; bar, restoran, otel ve taksilerde yaygındır.
Verecekse hesap tutarının yüzde beşi ile yüzde onu arasında bir tutar belirle.
Yanında nakit euro bulundur; makineyle ödemede kart gerekebilir.
Kartla küçük tutar ödeyeceksen yaklaşık 10 € asgari tutar istenebileceğini ve kartının komisyon koşullarını hesaba kat.</t>
        </is>
      </c>
      <c r="P69" s="29" t="n"/>
      <c r="Q69" s="29" t="n"/>
      <c r="R69" s="29" t="n"/>
      <c r="S69" s="29" t="inlineStr">
        <is>
          <t>Kartla ödemede komisyon, kartının koşullarına bağlıdır.</t>
        </is>
      </c>
      <c r="T69" s="29" t="n"/>
    </row>
    <row r="70" ht="54" customHeight="1">
      <c r="A70" s="29" t="inlineStr">
        <is>
          <t>sevilla:endulus-2027-resmi-tatilleri</t>
        </is>
      </c>
      <c r="B70" s="29" t="inlineStr">
        <is>
          <t>sevilla</t>
        </is>
      </c>
      <c r="C70" s="29" t="inlineStr">
        <is>
          <t>endulus-2027-resmi-tatilleri</t>
        </is>
      </c>
      <c r="D70" s="29" t="inlineStr">
        <is>
          <t>Endülüs'te 2027'de resmî tatil günleri hangileri, Día de Andalucía ve 15 Ağustos neden kayıyor?</t>
        </is>
      </c>
      <c r="E70" s="29" t="inlineStr">
        <is>
          <t>Decreto 84/2026: Día de Andalucía 1 Mart'a, 15 Ağustos 16 Ağustos'a kayar; belediye başına iki yerel tatil ayrıca gelir</t>
        </is>
      </c>
      <c r="F70" s="29" t="inlineStr">
        <is>
          <t>Decreto 84/2026'ya göre Endülüs'te 2027'nin ücretli, telafisiz bölge tatilleri şunlardır: 1 Ocak (Cuma), 6 Ocak (Çarşamba), 1 Mart (Pazartesi, Día de Andalucía), 25 Mart Jueves Santo, 26 Mart Viernes Santo, 1 Mayıs (Cumartesi), 16 Ağustos (Pazartesi), 12 Ekim (Salı), 1 Kasım (Pazartesi), 6 Aralık (Pazartesi), 8 Aralık (Çarşamba) ve 25 Aralık (Cumartesi). Día de Andalucía (28 Şubat) ve Asunción (15 Ağustos) 2027'de Pazar'a denk geldiği için ertesi Pazartesi'ye, yani 1 Mart ve 16 Ağustos'a kaydırıldı. Bunlara ek olarak her belediyede iki yerel tatil vardır; hangi günler olduğu belediyene göre değişir.</t>
        </is>
      </c>
      <c r="G70" s="29" t="inlineStr">
        <is>
          <t>Endülüs resmî tatil 2027, fiestas laborales, Día de Andalucía, Jueves Santo, Viernes Santo, fiestas locales, Decreto 84/2026</t>
        </is>
      </c>
      <c r="H70" s="29" t="inlineStr">
        <is>
          <t>planning;new;settled</t>
        </is>
      </c>
      <c r="I70" s="29" t="inlineStr">
        <is>
          <t>sevilla:kaynak:140</t>
        </is>
      </c>
      <c r="J70" s="49" t="n">
        <v>46319</v>
      </c>
      <c r="K70" s="51" t="n">
        <v>9103</v>
      </c>
      <c r="L70" s="29" t="inlineStr">
        <is>
          <t>Hayır</t>
        </is>
      </c>
      <c r="M70" s="29" t="inlineStr">
        <is>
          <t>Taslak</t>
        </is>
      </c>
      <c r="N70" s="29" t="inlineStr">
        <is>
          <t>sevilla:gunluk</t>
        </is>
      </c>
      <c r="O70" s="29" t="inlineStr">
        <is>
          <t>Aşağıdaki listeyi 2027 iş planına işle.
1 Mart ve 16 Ağustos'un kaydırılmış tarihler olduğunu hesaba kat.
Belediyenin iki yerel tatil günü ayrıca belirlenir; bunları listeye ekle.</t>
        </is>
      </c>
      <c r="P70" s="29" t="n"/>
      <c r="Q70" s="29" t="inlineStr">
        <is>
          <t>2027 takvim yılı için geçerli.</t>
        </is>
      </c>
      <c r="R70" s="29" t="n"/>
      <c r="S70" s="29" t="inlineStr">
        <is>
          <t>Yıllık sınır on dört gündür; ikisi yerel tatildir. Her belediyenin en çok iki yerel tatil önerisi Consejería'ya bildirilir.</t>
        </is>
      </c>
      <c r="T70" s="29" t="n"/>
    </row>
    <row r="71" ht="54" customHeight="1">
      <c r="A71" s="29" t="inlineStr">
        <is>
          <t>sevilla:endulus-112-nasil-calisir</t>
        </is>
      </c>
      <c r="B71" s="29" t="inlineStr">
        <is>
          <t>sevilla</t>
        </is>
      </c>
      <c r="C71" s="29" t="inlineStr">
        <is>
          <t>endulus-112-nasil-calisir</t>
        </is>
      </c>
      <c r="D71" s="29" t="inlineStr">
        <is>
          <t>Sevilla'da 112'yi arayınca ne olur, hangi dillerde cevap verirler?</t>
        </is>
      </c>
      <c r="E71" s="29" t="inlineStr">
        <is>
          <t>Endülüs 112 hattı ücretsiz ve kesintisiz; İspanyolca, İngilizce, Fransızca, Almanca ve Arapça yanıt veriliyor</t>
        </is>
      </c>
      <c r="F71" s="29" t="inlineStr">
        <is>
          <t>Endülüs'te (Sevilla dahil) 112, sağlık, yangın söndürme ve kurtarma, kamu güvenliği ve sivil korumayı tek numarada toplayan ücretsiz bir hattır; cep, sabit telefon ya da ankesörlüden aranabilir. Operatörler İspanyolca, İngilizce, Fransızca, Almanca ve Arapça cevap veriyor. Açılışta "Emergencias 112 Andalucía, ¿dígame?" der; sonra ne olduğunu, nerede olduğunu ve telefon numaranı sorar. Telefonuna ücretsiz 112 Andalucía uygulamasını kurarsan 112 düğmesine basınca, konum açıksa, tam koordinatların merkeze gider.</t>
        </is>
      </c>
      <c r="G71" s="29" t="inlineStr">
        <is>
          <t>112, Emergencias 112 Andalucía, acil durum, acil numara, 112 uygulaması, WhatsApp konum, yabancı dil</t>
        </is>
      </c>
      <c r="H71" s="29" t="inlineStr">
        <is>
          <t>planning;new;settled</t>
        </is>
      </c>
      <c r="I71" s="29" t="inlineStr">
        <is>
          <t>sevilla:kaynak:191;sevilla:kaynak:193</t>
        </is>
      </c>
      <c r="J71" s="49" t="n">
        <v>46319</v>
      </c>
      <c r="K71" s="51" t="n">
        <v>1100</v>
      </c>
      <c r="L71" s="29" t="inlineStr">
        <is>
          <t>Evet</t>
        </is>
      </c>
      <c r="M71" s="29" t="inlineStr">
        <is>
          <t>Taslak</t>
        </is>
      </c>
      <c r="N71" s="29" t="inlineStr">
        <is>
          <t>sevilla:gunluk</t>
        </is>
      </c>
      <c r="O71" s="29" t="inlineStr">
        <is>
          <t>Tehlikeyi görünce sakin kal ve 112'yi ara; hat cep, sabit telefon ve ankesörlüden çalışır.
Operatörün sorularına sırayla cevap ver: ne oluyor, nerede ve hangi numaradan arıyorsun.
Yerini bilmiyorsan 112 Andalucía uygulamasındaki 112 düğmesine bas; konum özelliği açıksa koordinatların merkeze gider.
Konumun hâlâ belirsizse operatör sana WhatsApp ya da Line üzerinden konum göndermen için ihtiyacın olan dilde talimat yollayabilir; ihbarın kendisi yine telefon aramasıyla yapılır.
Görüşme "Avisamos a los servicios operativos" (ilgili birimleri uyarıyoruz) cümlesiyle biter.</t>
        </is>
      </c>
      <c r="P71" s="29" t="n"/>
      <c r="Q71" s="29" t="inlineStr">
        <is>
          <t>Kesintisiz hizmet</t>
        </is>
      </c>
      <c r="R71" s="29" t="inlineStr">
        <is>
          <t>Ücretsiz</t>
        </is>
      </c>
      <c r="S71" s="29" t="inlineStr">
        <is>
          <t>Şehirdeysen sokak, meydan ya da cadde adını, yakında tanınmış bir anıt ya da dükkân varsa onu söyle.</t>
        </is>
      </c>
      <c r="T71" s="29" t="n"/>
    </row>
    <row r="72" ht="54" customHeight="1">
      <c r="A72" s="29" t="inlineStr">
        <is>
          <t>sevilla:061-ya-da-saglik-merkezi-acil-ayrimi</t>
        </is>
      </c>
      <c r="B72" s="29" t="inlineStr">
        <is>
          <t>sevilla</t>
        </is>
      </c>
      <c r="C72" s="29" t="inlineStr">
        <is>
          <t>061-ya-da-saglik-merkezi-acil-ayrimi</t>
        </is>
      </c>
      <c r="D72" s="29" t="inlineStr">
        <is>
          <t>Sevilla'da sağlık sorunu acil mi, acele mi? 061'i ne zaman ararsın, sağlık merkezine ne zaman gidersin?</t>
        </is>
      </c>
      <c r="E72" s="29" t="inlineStr">
        <is>
          <t>Endülüs Hükûmeti ateş, ağrı, kusmayı "urgencia", bilinç kaybı ve kalp krizini "emergencia" sayıyor</t>
        </is>
      </c>
      <c r="F72" s="29" t="inlineStr">
        <is>
          <t>Junta de Andalucía iki durumu ayırıyor. Ateş, ağrı, kusma gibi hayatı tehlikeye sokmayan ama en kısa sürede sağlık hizmeti gereken durumlar "urgencia"dır; bilinç kaybı, kalp krizi ya da kalp durması, çok kan kaybı gibi hayati riskli durumlar "emergencia"dır. Emergencia'da 061'i ara ya da hemen en yakın acil servise git. Acil hizmeti Endülüs'te hem hastanelerde hem sağlık merkezlerinde verilir. Diğer sağlık hizmetleri hakkında bilgi için Salud Responde'yi (955 545 060) arayabilirsin.</t>
        </is>
      </c>
      <c r="G72" s="29" t="inlineStr">
        <is>
          <t>061, urgencias, acil servis, centro de salud, emergencia sanitaria, Salud Responde, Sevilla acil</t>
        </is>
      </c>
      <c r="H72" s="29" t="inlineStr">
        <is>
          <t>new;settled</t>
        </is>
      </c>
      <c r="I72" s="29" t="inlineStr">
        <is>
          <t>sevilla:kaynak:191;sevilla:kaynak:192</t>
        </is>
      </c>
      <c r="J72" s="49" t="n">
        <v>46319</v>
      </c>
      <c r="K72" s="51" t="n">
        <v>1101</v>
      </c>
      <c r="L72" s="29" t="inlineStr">
        <is>
          <t>Hayır</t>
        </is>
      </c>
      <c r="M72" s="29" t="inlineStr">
        <is>
          <t>Taslak</t>
        </is>
      </c>
      <c r="N72" s="29" t="inlineStr">
        <is>
          <t>sevilla:gunluk</t>
        </is>
      </c>
      <c r="O72" s="29" t="inlineStr">
        <is>
          <t>Durum hayati tehlike taşıyorsa (bilinç kaybı, kalp krizi, çok kan kaybı) 061'i ara ya da hemen en yakın acil servise git.
061 sana şunları sorar: nereden arıyorsun, ne oldu, kaç kişi etkilendi; cevapları hazır tut.
Hayati risk yoksa ama hızlı bakım gerekiyorsa: acil hizmeti Endülüs'te hem sağlık merkezlerinde hem hastanelerde verilir; acil birimi olan bir sağlık merkezine ya da hastanenin acil servisine gidebilirsin.
Başka sağlık hizmetleri için bilgi gerekirse Salud Responde'yi 955 545 060'tan ara.</t>
        </is>
      </c>
      <c r="P72" s="29" t="n"/>
      <c r="Q72" s="29" t="n"/>
      <c r="R72" s="29" t="inlineStr">
        <is>
          <t>061 araması, "tarifa plana" (sabit paket) kullanıcıları için ücretsiz</t>
        </is>
      </c>
      <c r="S72" s="29" t="inlineStr">
        <is>
          <t>061 ekibi ağır durumdaki hastayı stabilize eder ve referans hastaneye götürür.</t>
        </is>
      </c>
      <c r="T72" s="29" t="n"/>
    </row>
    <row r="73" ht="54" customHeight="1">
      <c r="A73" s="29" t="inlineStr">
        <is>
          <t>sevilla:endulus-bilgi-hatlari-salud-consumo-012</t>
        </is>
      </c>
      <c r="B73" s="29" t="inlineStr">
        <is>
          <t>sevilla</t>
        </is>
      </c>
      <c r="C73" s="29" t="inlineStr">
        <is>
          <t>endulus-bilgi-hatlari-salud-consumo-012</t>
        </is>
      </c>
      <c r="D73" s="29" t="inlineStr">
        <is>
          <t>Endülüs'te sağlık, tüketici ve genel bilgi için hangi hatlar aranır (Salud Responde, Consumo Responde, 012)?</t>
        </is>
      </c>
      <c r="E73" s="29" t="inlineStr">
        <is>
          <t>Junta de Andalucía'nın sağlık, tüketici ve vatandaş bilgi hatları ile üç uzman bilgi numarası</t>
        </is>
      </c>
      <c r="F73" s="29" t="inlineStr">
        <is>
          <t>Sağlık hizmetleri hakkında bilgi için Salud Responde 955 545 060, tüketici sorunları için Consumo Responde 900 215 080, Junta de Andalucía hizmetleri için genel vatandaş bilgi hattı 012 (ya da 955 012 012) var. Ayrıca kanser bilgisi için Infocáncer (900 100 036), toksikoloji bilgisi için Servicio Médico de Información Toxicológica (915 620 420) ve cinsel ve üreme sağlığı bilgisi için 900 850 100 numaraları Junta'nın sayfasında listeleniyor. Bunlar bilgi hatlarıdır; hayati tehlikede 112 ya da 061'i ara.</t>
        </is>
      </c>
      <c r="G73" s="29" t="inlineStr">
        <is>
          <t>Salud Responde, Consumo Responde, 012, Junta de Andalucía telefon, Infocáncer, toksikoloji, bilgi hattı</t>
        </is>
      </c>
      <c r="H73" s="29" t="inlineStr">
        <is>
          <t>new;settled</t>
        </is>
      </c>
      <c r="I73" s="29" t="inlineStr">
        <is>
          <t>sevilla:kaynak:192;sevilla:kaynak:191</t>
        </is>
      </c>
      <c r="J73" s="49" t="n">
        <v>46319</v>
      </c>
      <c r="K73" s="51" t="n">
        <v>1102</v>
      </c>
      <c r="L73" s="29" t="inlineStr">
        <is>
          <t>Hayır</t>
        </is>
      </c>
      <c r="M73" s="29" t="inlineStr">
        <is>
          <t>Taslak</t>
        </is>
      </c>
      <c r="N73" s="29" t="inlineStr">
        <is>
          <t>sevilla:gunluk</t>
        </is>
      </c>
      <c r="O73" s="29" t="inlineStr">
        <is>
          <t>Sağlık hizmetleri için bilgi almak istiyorsan Salud Responde'yi 955 545 060'tan ara.
Tüketici hakkı sorunun için Consumo Responde'yi 900 215 080'den ara.
Junta de Andalucía hizmetleri hakkında genel soru için 012 ya da 955 012 012'yi ara.
Hayati tehlike varsa bu hatları değil 112'yi ya da 061'i ara.</t>
        </is>
      </c>
      <c r="P73" s="29" t="n"/>
      <c r="Q73" s="29" t="n"/>
      <c r="R73" s="29" t="n"/>
      <c r="S73" s="29" t="inlineStr">
        <is>
          <t>Bunlar bilgi hatlarıdır; hayati tehlikede 112 ya da 061'i ara.</t>
        </is>
      </c>
      <c r="T73" s="29" t="n"/>
    </row>
    <row r="74" ht="54" customHeight="1">
      <c r="A74" s="29" t="inlineStr">
        <is>
          <t>sevilla:konteyner-renkleri-sevilla</t>
        </is>
      </c>
      <c r="B74" s="29" t="inlineStr">
        <is>
          <t>sevilla</t>
        </is>
      </c>
      <c r="C74" s="29" t="inlineStr">
        <is>
          <t>konteyner-renkleri-sevilla</t>
        </is>
      </c>
      <c r="D74" s="29" t="inlineStr">
        <is>
          <t>Sevilla'da çöp hangi konteynere atılır? Konteyner renkleri ve neyin nereye gittiği</t>
        </is>
      </c>
      <c r="E74" s="29" t="inlineStr">
        <is>
          <t>Organik atık kahverengi, ambalaj sarı, kâğıt ve karton mavi, cam yeşil konteynere gider</t>
        </is>
      </c>
      <c r="F74" s="29" t="inlineStr">
        <is>
          <t>Sevilla'nın turizm kurumu şehirde seçici atık toplama sistemi olduğunu ve dört tür konteyner kullanıldığını yazıyor. Organik atık (yemek artıkları ve diğer organik atıklar) kahverengi, ambalaj atığı (plastik, teneke ve briks) sarı, kâğıt ve karton mavi, cam yeşil konteynere atılır. Kurum, atığı doğru konteynere ve belirlenen toplama saatlerine uyarak bırakmanı istiyor.</t>
        </is>
      </c>
      <c r="G74" s="29" t="inlineStr">
        <is>
          <t>çöp, geri dönüşüm, konteyner renkleri, reciclaje, orgánico, envases, vidrio, Sevilla çöp</t>
        </is>
      </c>
      <c r="H74" s="29" t="inlineStr">
        <is>
          <t>new;settled</t>
        </is>
      </c>
      <c r="I74" s="29" t="inlineStr">
        <is>
          <t>sevilla:kaynak:204;sevilla:kaynak:195</t>
        </is>
      </c>
      <c r="J74" s="49" t="n">
        <v>46319</v>
      </c>
      <c r="K74" s="51" t="n">
        <v>1103</v>
      </c>
      <c r="L74" s="29" t="inlineStr">
        <is>
          <t>Evet</t>
        </is>
      </c>
      <c r="M74" s="29" t="inlineStr">
        <is>
          <t>Taslak</t>
        </is>
      </c>
      <c r="N74" s="29" t="inlineStr">
        <is>
          <t>sevilla:gunluk</t>
        </is>
      </c>
      <c r="O74" s="29" t="inlineStr">
        <is>
          <t>Yemek artıklarını ve organik atıkları kahverengi (organik) konteynere at.
Plastik, teneke ve briks ambalajı sarı konteynere at.
Kâğıt ve kartonu mavi konteynere at.
Cam şişe ve kavanozu yeşil konteynere at.
Çöpü yalnız belirlenen saatlerde konteynere bırak.</t>
        </is>
      </c>
      <c r="P74" s="29" t="n"/>
      <c r="Q74" s="29" t="n"/>
      <c r="R74" s="29" t="n"/>
      <c r="S74" s="29" t="n"/>
      <c r="T74" s="29" t="n"/>
    </row>
    <row r="75" ht="54" customHeight="1">
      <c r="A75" s="29" t="inlineStr">
        <is>
          <t>sevilla:cam-sise-kavanoz-geri-donusum-kurallari</t>
        </is>
      </c>
      <c r="B75" s="29" t="inlineStr">
        <is>
          <t>sevilla</t>
        </is>
      </c>
      <c r="C75" s="29" t="inlineStr">
        <is>
          <t>cam-sise-kavanoz-geri-donusum-kurallari</t>
        </is>
      </c>
      <c r="D75" s="29" t="inlineStr">
        <is>
          <t>Sevilla'da cam şişe ve kavanoz geri dönüşümü: konteynere ne girer, ne girmez?</t>
        </is>
      </c>
      <c r="E75" s="29" t="inlineStr">
        <is>
          <t>Boş, durulanmış, kapaksız şişe ve kavanoz; ayna, ampul, seramik ve ilaç ambalajı camla atılmaz</t>
        </is>
      </c>
      <c r="F75" s="29" t="inlineStr">
        <is>
          <t>Cam konteynerine yalnız boş ve durulanmış cam ambalaj (şişe, kavanoz, küçük şişe) atılır; kapak, mantar ve tıpalar çıkarılır. Atığı poşetle birlikte atma ve hiçbir şeyi konteynerin dışında bırakma. Ayna, ampul, cam sofra takımı, düz cam ve pencere camı, seramik, porselen, tuğla, taş, çanak çömlek ve vazo cam konteynerine girmez. İlaç ambalajı eczaneye götürülür. Sevilla'nın şehir rehberinde cam konteyneri yeşildir.</t>
        </is>
      </c>
      <c r="G75" s="29" t="inlineStr">
        <is>
          <t>cam geri dönüşüm, vidrio, cam konteyneri, şişe kavanoz atığı, ilaç ambalajı, geri dönüşüm kuralları</t>
        </is>
      </c>
      <c r="H75" s="29" t="inlineStr">
        <is>
          <t>new;settled</t>
        </is>
      </c>
      <c r="I75" s="29" t="inlineStr">
        <is>
          <t>sevilla:kaynak:196;sevilla:kaynak:204</t>
        </is>
      </c>
      <c r="J75" s="49" t="n">
        <v>46319</v>
      </c>
      <c r="K75" s="51" t="n">
        <v>1104</v>
      </c>
      <c r="L75" s="29" t="inlineStr">
        <is>
          <t>Hayır</t>
        </is>
      </c>
      <c r="M75" s="29" t="inlineStr">
        <is>
          <t>Taslak</t>
        </is>
      </c>
      <c r="N75" s="29" t="inlineStr">
        <is>
          <t>sevilla:gunluk</t>
        </is>
      </c>
      <c r="O75" s="29" t="inlineStr">
        <is>
          <t>Şişe ve kavanozu boşalt, durula; kapak, mantar ve tıpayı çıkar.
Cam atığını poşete koymadan yeşil cam konteynerine at; konteynerin dışına hiçbir şey bırakma.
Kapak ve tıpaları sarı konteynere at; doğal mantarları organik atığa ver.
İlaç ambalajlarını eczaneye götür.</t>
        </is>
      </c>
      <c r="P75" s="29" t="n"/>
      <c r="Q75" s="29" t="n"/>
      <c r="R75" s="29" t="n"/>
      <c r="S75" s="29" t="inlineStr">
        <is>
          <t>Cam konteynerine ayna, ampul, düz cam, seramik ve porselen atma.</t>
        </is>
      </c>
      <c r="T75" s="29" t="n"/>
    </row>
    <row r="76" ht="54" customHeight="1">
      <c r="A76" s="29" t="inlineStr">
        <is>
          <t>sevilla:organik-atik-ayri-toplama-zorunlulugu</t>
        </is>
      </c>
      <c r="B76" s="29" t="inlineStr">
        <is>
          <t>sevilla</t>
        </is>
      </c>
      <c r="C76" s="29" t="inlineStr">
        <is>
          <t>organik-atik-ayri-toplama-zorunlulugu</t>
        </is>
      </c>
      <c r="D76" s="29" t="inlineStr">
        <is>
          <t>Yemek artıkları (organik atık) için ayrı toplama zorunlu mu, Sevilla'da nasıl ayırırsın?</t>
        </is>
      </c>
      <c r="E76" s="29" t="inlineStr">
        <is>
          <t>7/2022 sayılı yasa, tüm yerel yönetimlere 31 Aralık 2023'ten beri organik atığı ayrı toplamayı zorunlu kılıyor</t>
        </is>
      </c>
      <c r="F76" s="29" t="inlineStr">
        <is>
          <t>İspanya'nın 7/2022 sayılı atık yasası (8 Nisan 2022) organik atığın (biorresiduos) kaynağında ayrılmasını ve başka atıkla karıştırılmamasını şart koşar; ayrı toplama tüm yerel yönetimler için 31 Aralık 2023'ten beri zorunludur. Sistemi belediye seçer: kahverengi konteyner, kapı kapı toplama ya da puntos limpios (gönüllü getirme tesisleri) olabilir. Sevilla'nın şehir rehberi de organik atığı (yemek artıkları) ayrı bir konteyner olarak listeler.</t>
        </is>
      </c>
      <c r="G76" s="29" t="inlineStr">
        <is>
          <t>biorresiduos, organik atık, kahverengi konteyner, ayrı toplama, compostaje, punto limpio, Ley 7/2022</t>
        </is>
      </c>
      <c r="H76" s="29" t="inlineStr">
        <is>
          <t>new;settled</t>
        </is>
      </c>
      <c r="I76" s="29" t="inlineStr">
        <is>
          <t>sevilla:kaynak:197;sevilla:kaynak:204</t>
        </is>
      </c>
      <c r="J76" s="49" t="n">
        <v>46319</v>
      </c>
      <c r="K76" s="51" t="n">
        <v>1105</v>
      </c>
      <c r="L76" s="29" t="inlineStr">
        <is>
          <t>Hayır</t>
        </is>
      </c>
      <c r="M76" s="29" t="inlineStr">
        <is>
          <t>Taslak</t>
        </is>
      </c>
      <c r="N76" s="29" t="inlineStr">
        <is>
          <t>sevilla:gunluk</t>
        </is>
      </c>
      <c r="O76" s="29" t="inlineStr">
        <is>
          <t>Yemek artıklarını diğer çöpten ayır ve organik atık konteynerine at.
Mahallende kahverengi konteyner yerine kapı kapı toplama varsa, o sistemin saat ve yerine uy.
Evden toplanmayan seçili atıklar için puntos limpios'a (gönüllü getirme tesisi) götür.
Organik atık bazı yerlerde evde ya da mahallede kompostlanarak da işleniyor.</t>
        </is>
      </c>
      <c r="P76" s="29" t="n"/>
      <c r="Q76" s="29" t="inlineStr">
        <is>
          <t>31 Aralık 2023'ten beri zorunlu</t>
        </is>
      </c>
      <c r="R76" s="29" t="n"/>
      <c r="S76" s="29" t="n"/>
      <c r="T76" s="29" t="n"/>
    </row>
    <row r="77" ht="54" customHeight="1">
      <c r="A77" s="29" t="inlineStr">
        <is>
          <t>sevilla:idi-sevilla-universitesi-ispanyolca-kursu</t>
        </is>
      </c>
      <c r="B77" s="29" t="inlineStr">
        <is>
          <t>sevilla</t>
        </is>
      </c>
      <c r="C77" s="29" t="inlineStr">
        <is>
          <t>idi-sevilla-universitesi-ispanyolca-kursu</t>
        </is>
      </c>
      <c r="D77" s="29" t="inlineStr">
        <is>
          <t>Sevilla Üniversitesi Dil Enstitüsü'nde (IDI) yabancılar için İspanyolca kursu: öğrenci olmadan katılabilir misin?</t>
        </is>
      </c>
      <c r="E77" s="29" t="inlineStr">
        <is>
          <t>IDI'nin İspanyolca kursları dört aylık dönemlerle işliyor; üniversite öğrencisi olmak şart değil</t>
        </is>
      </c>
      <c r="F77" s="29" t="inlineStr">
        <is>
          <t>Instituto de Idiomas (IDI), Sevilla Üniversitesi'nin dil enstitüsüdür ve ana dili İspanyolca olmayanlar için İspanyolca kursu açar. Kurslar dört aylık dönemlerle (cuatrimestral) işlediği için şehre dönem ortasında gelsen de uygun seviyeden başlayabilirsin. Enstitüyü üniversite öğrencisi olmayanlar da kullanabilir. Bir kursu geçersen o seviyen otomatik olarak belgelenmiş olur; seviyeni zaten biliyorsan akreditasyon sınavlarıyla (ACLES gibi) resmî olarak belgeletebilirsin.</t>
        </is>
      </c>
      <c r="G77" s="29" t="inlineStr">
        <is>
          <t>IDI, Instituto de Idiomas, Sevilla Üniversitesi, İspanyolca kursu, español como lengua extranjera, ACLES</t>
        </is>
      </c>
      <c r="H77" s="29" t="inlineStr">
        <is>
          <t>planning;new;settled</t>
        </is>
      </c>
      <c r="I77" s="29" t="inlineStr">
        <is>
          <t>sevilla:kaynak:198</t>
        </is>
      </c>
      <c r="J77" s="49" t="n">
        <v>46319</v>
      </c>
      <c r="K77" s="51" t="n">
        <v>1106</v>
      </c>
      <c r="L77" s="29" t="inlineStr">
        <is>
          <t>Hayır</t>
        </is>
      </c>
      <c r="M77" s="29" t="inlineStr">
        <is>
          <t>Taslak</t>
        </is>
      </c>
      <c r="N77" s="29" t="inlineStr">
        <is>
          <t>sevilla:gunluk</t>
        </is>
      </c>
      <c r="O77" s="29" t="inlineStr">
        <is>
          <t>IDI sayfasındaki kurs listesinden ("Oferta de cursos") İspanyolca kurslarını incele.
Dönem ortasında gelsen bile seviyene uygun gruptan başlayabilirsin; kurslar dört aylıktır.
Seviyeni belgelemek istiyorsan IDI'nin akreditasyon sınavlarına (ACLES ve harici sınavlar) bak.</t>
        </is>
      </c>
      <c r="P77" s="29" t="n"/>
      <c r="Q77" s="29" t="inlineStr">
        <is>
          <t>Kurslar dört aylık dönemlerle (cuatrimestral)</t>
        </is>
      </c>
      <c r="R77" s="29" t="n"/>
      <c r="S77" s="29" t="inlineStr">
        <is>
          <t>Kurs ücretleri enstitünün "Precios públicos" (kamu fiyatları) bölümünde yer alıyor.</t>
        </is>
      </c>
      <c r="T77" s="29" t="n"/>
    </row>
    <row r="78" ht="54" customHeight="1">
      <c r="A78" s="29" t="inlineStr">
        <is>
          <t>sevilla:eoi-resmi-dil-okullari-sevilla-endulus</t>
        </is>
      </c>
      <c r="B78" s="29" t="inlineStr">
        <is>
          <t>sevilla</t>
        </is>
      </c>
      <c r="C78" s="29" t="inlineStr">
        <is>
          <t>eoi-resmi-dil-okullari-sevilla-endulus</t>
        </is>
      </c>
      <c r="D78" s="29" t="inlineStr">
        <is>
          <t>Sevilla'da resmî dil okulu (EOI) ile dil öğrenmek ve resmî dil sertifikası almak mümkün mü?</t>
        </is>
      </c>
      <c r="E78" s="29" t="inlineStr">
        <is>
          <t>Endülüs'te resmî dil eğitiminin ana yapısı EOI; sertifika sınavları her yıl açılır (2025/2026'da Mayıs-Haziran ve Eylül)</t>
        </is>
      </c>
      <c r="F78" s="29" t="inlineStr">
        <is>
          <t>Escuelas Oficiales de Idiomas (EOI), Endülüs'te resmî dil eğitiminin ana yapısıdır; temelden ileriye kadar seviyeler, yüz yüze, yarı yüz yüze ya da uzaktan eğitim sunar. Resmî sertifika sınavları her yıl yapılır, Endülüs genelinde aynı anda, bütün EOI'lerde gerçekleşir; sınava kayıtlı öğrenci olarak ya da serbest (régimen libre) girebilirsin. Sertifika sınavı dilleri arasında İspanyolca (ikinci dil olarak) da sayılır. 2025/2026 dönemi için olağan sınavlar Mayıs ve Haziran'da, olağanüstü sınav Eylül'de yapıldı. Kayıt ve kabul Eğitim Bakanlığı'nın (Consejería de Educación) prosedürüyle yürür.</t>
        </is>
      </c>
      <c r="G78" s="29" t="inlineStr">
        <is>
          <t>EOI, Escuela Oficial de Idiomas, resmî dil sertifikası, régimen libre, B2 sınavı, español segunda lengua, Endülüs dil okulu</t>
        </is>
      </c>
      <c r="H78" s="29" t="inlineStr">
        <is>
          <t>planning;new;settled</t>
        </is>
      </c>
      <c r="I78" s="29" t="inlineStr">
        <is>
          <t>sevilla:kaynak:199</t>
        </is>
      </c>
      <c r="J78" s="49" t="n">
        <v>46319</v>
      </c>
      <c r="K78" s="51" t="n">
        <v>1107</v>
      </c>
      <c r="L78" s="29" t="inlineStr">
        <is>
          <t>Hayır</t>
        </is>
      </c>
      <c r="M78" s="29" t="inlineStr">
        <is>
          <t>Taslak</t>
        </is>
      </c>
      <c r="N78" s="29" t="inlineStr">
        <is>
          <t>sevilla:gunluk</t>
        </is>
      </c>
      <c r="O78" s="29" t="inlineStr">
        <is>
          <t>Junta'nın dil sayfasından EOI'lerin dil ve seviye listesine bak.
Kayıt ve kabul için Consejería de Educación'ın EOI kabul ve kayıt prosedürünü kullan.
Sınava sadece girmek istiyorsan serbest (régimen libre) başvuru seçeneğini kullan.
Sorun olursa Junta de Andalucía bilgi hattını 012 ya da 955 012 012'den ara.</t>
        </is>
      </c>
      <c r="P78" s="29" t="n"/>
      <c r="Q78" s="29" t="inlineStr">
        <is>
          <t>Olağan sınav Mayıs-Haziran, olağanüstü sınav Eylül (2025/2026 dönemi)</t>
        </is>
      </c>
      <c r="R78" s="29" t="n"/>
      <c r="S78" s="29" t="inlineStr">
        <is>
          <t>Sevilla'daki EOI'lerin adresleri ve ücretleri bu sayfada yer almıyor.</t>
        </is>
      </c>
      <c r="T78" s="29" t="n"/>
    </row>
    <row r="79" ht="54" customHeight="1">
      <c r="A79" s="29" t="inlineStr">
        <is>
          <t>sevilla:halk-kutuphanesi-uyelik-karti-endulus</t>
        </is>
      </c>
      <c r="B79" s="29" t="inlineStr">
        <is>
          <t>sevilla</t>
        </is>
      </c>
      <c r="C79" s="29" t="inlineStr">
        <is>
          <t>halk-kutuphanesi-uyelik-karti-endulus</t>
        </is>
      </c>
      <c r="D79" s="29" t="inlineStr">
        <is>
          <t>Andalucía halk kütüphaneleri üyelik kartı (tarjeta de usuario) nasıl çıkarılır, ücretli mi?</t>
        </is>
      </c>
      <c r="E79" s="29" t="inlineStr">
        <is>
          <t>Kart ücretsiz, beş yıl geçerli ve ağdaki bütün kütüphanelerde kullanılıyor</t>
        </is>
      </c>
      <c r="F79" s="29" t="inlineStr">
        <is>
          <t>Andalucía Halk Kütüphaneleri Ağı'nın (Red de Bibliotecas Públicas de Andalucía) üyelik kartı ücretsizdir ve ödünç kitap almak için şarttır. Yetişkinler için yüz yüze başvuruda kayıt formunu doldurmak yeterlidir; kütüphane başvuru sırasında DNI, pasaport, yabancı kimlik numarası (NIE) ya da aile cüzdanı gösterilmesini isteyebilir. Elektronik imza sertifikan varsa başvuruyu internetten de yapabilirsin. Kart beş yıl sonra sona erer ve ağın bütün kütüphanelerinde geçerlidir.</t>
        </is>
      </c>
      <c r="G79" s="29" t="inlineStr">
        <is>
          <t>kütüphane kartı, tarjeta de usuario, Red de Bibliotecas Públicas de Andalucía, kütüphane üyeliği, carné, ödünç kitap</t>
        </is>
      </c>
      <c r="H79" s="29" t="inlineStr">
        <is>
          <t>new;settled</t>
        </is>
      </c>
      <c r="I79" s="29" t="inlineStr">
        <is>
          <t>sevilla:kaynak:200;sevilla:kaynak:201</t>
        </is>
      </c>
      <c r="J79" s="49" t="n">
        <v>46319</v>
      </c>
      <c r="K79" s="51" t="n">
        <v>1108</v>
      </c>
      <c r="L79" s="29" t="inlineStr">
        <is>
          <t>Hayır</t>
        </is>
      </c>
      <c r="M79" s="29" t="inlineStr">
        <is>
          <t>Taslak</t>
        </is>
      </c>
      <c r="N79" s="29" t="inlineStr">
        <is>
          <t>sevilla:gunluk</t>
        </is>
      </c>
      <c r="O79" s="29" t="inlineStr">
        <is>
          <t>Yüz yüze başvuracaksan kayıt formunu doldur ve Andalucía içindeki posta adresini yaz.
Başvuru sırasında DNI, pasaport, NIE ya da aile cüzdanını yanında bulundur.
Elektronik imza sertifikan varsa formu internet üzerinden doldurabilirsin.
Kartı kaybedersen kütüphaneye hemen haber ver.</t>
        </is>
      </c>
      <c r="P79" s="29" t="inlineStr">
        <is>
          <t>DNI, pasaport, yabancı kimlik numarası (NIE) ya da aile cüzdanı
Kayıt (inscripción) formu</t>
        </is>
      </c>
      <c r="Q79" s="29" t="inlineStr">
        <is>
          <t>Kart verildiği tarihten beş yıl sonra sona erer</t>
        </is>
      </c>
      <c r="R79" s="29" t="inlineStr">
        <is>
          <t>Ücretsiz</t>
        </is>
      </c>
      <c r="S79" s="29" t="inlineStr">
        <is>
          <t>14 yaşından küçükler için formu anne, baba ya da velayet sahibi doldurur. Kart kişiye özeldir ve başkasına devredilemez; yalnız tam gerekçeli durumlar bunun dışındadır.</t>
        </is>
      </c>
      <c r="T79" s="29" t="n"/>
    </row>
    <row r="80" ht="54" customHeight="1">
      <c r="A80" s="29" t="inlineStr">
        <is>
          <t>sevilla:infanta-elena-kutuphanesi-sevilla</t>
        </is>
      </c>
      <c r="B80" s="29" t="inlineStr">
        <is>
          <t>sevilla</t>
        </is>
      </c>
      <c r="C80" s="29" t="inlineStr">
        <is>
          <t>infanta-elena-kutuphanesi-sevilla</t>
        </is>
      </c>
      <c r="D80" s="29" t="inlineStr">
        <is>
          <t>Sevilla'daki Infanta Elena Eyalet Kütüphanesi: adres, çalışma saatleri, ödünç alma ve internet kullanımı</t>
        </is>
      </c>
      <c r="E80" s="29" t="inlineStr">
        <is>
          <t>Avenida de María Luisa 8'de; 9 belgeye kadar ödünç, haftada 2 saat internet, fotokopi A4 başına 0,06 euro</t>
        </is>
      </c>
      <c r="F80" s="29" t="inlineStr">
        <is>
          <t>Biblioteca Pública Provincial Infanta Elena, Avenida de María Luisa 8, 41003 Sevilla adresindedir (tel. 954 712 305). Kış saatlerinde hafta içi 9:00-21:00, cumartesi 9:00-14:00 açıktır; 16-30 Haziran hafta içi 9:00-21:00, Temmuz-Ağustos hafta içi 9:00-14:00, 1-15 Eylül hafta içi 9:00-21:00 ve cumartesi kapalıdır. Üyelik kartıyla toplam 9 belge ödünç alırsın: 6 kitap ve 3 görsel-işitsel. Kütüphanenin hizmetlerinin çoğu ücretsizdir; yalnız fotokopi ücretlidir.</t>
        </is>
      </c>
      <c r="G80" s="29" t="inlineStr">
        <is>
          <t>Infanta Elena kütüphanesi, Sevilla kütüphane, Biblioteca Provincial, kitap ödünç, kütüphane saatleri, ücretsiz internet</t>
        </is>
      </c>
      <c r="H80" s="29" t="inlineStr">
        <is>
          <t>new;settled</t>
        </is>
      </c>
      <c r="I80" s="29" t="inlineStr">
        <is>
          <t>sevilla:kaynak:201</t>
        </is>
      </c>
      <c r="J80" s="49" t="n">
        <v>46319</v>
      </c>
      <c r="K80" s="51" t="n">
        <v>1109</v>
      </c>
      <c r="L80" s="29" t="inlineStr">
        <is>
          <t>Hayır</t>
        </is>
      </c>
      <c r="M80" s="29" t="inlineStr">
        <is>
          <t>Taslak</t>
        </is>
      </c>
      <c r="N80" s="29" t="inlineStr">
        <is>
          <t>sevilla:gunluk</t>
        </is>
      </c>
      <c r="O80" s="29" t="inlineStr">
        <is>
          <t>Ödünç almak için önce ağ üyelik kartını çıkar.
Kitabı raftan al; kırmızı daireli kitaplar ödünç verilmez, yalnız kütüphanede okunur.
Süreyi uzatmak istersen kitap için tek yenileme yapabilirsin, 10 gün ek süre verilir.
İnternet için birinci kat girişindeki görsel-işitsel tezgâhına kartınla ya da kimliğinle yazıl; haftada iki saat, ardışık olmayan oturumlarla kullanırsın.
Etüt masasını 30 dakikadan uzun boş bırakma; yeri kaybedersin.</t>
        </is>
      </c>
      <c r="P80" s="29" t="inlineStr">
        <is>
          <t>Kütüphane kartı (ödünç için)
Kimlik ya da kart (internet için)</t>
        </is>
      </c>
      <c r="Q80" s="29" t="inlineStr">
        <is>
          <t>Kış: hafta içi 9:00-21:00, cumartesi 9:00-14:00</t>
        </is>
      </c>
      <c r="R80" s="29" t="inlineStr">
        <is>
          <t>Fotokopi A4 başına 0,06 euro; hizmetlerin çoğu ücretsiz</t>
        </is>
      </c>
      <c r="S80" s="29" t="inlineStr">
        <is>
          <t>Kütüphaneye yiyecek ve içecek sokulamaz; kişisel eşyalar için dolap vardır.</t>
        </is>
      </c>
      <c r="T80" s="29" t="n"/>
    </row>
    <row r="81" ht="54" customHeight="1">
      <c r="A81" s="29" t="inlineStr">
        <is>
          <t>sevilla:semana-santa-2027-sevilla-gunluk-hayat</t>
        </is>
      </c>
      <c r="B81" s="29" t="inlineStr">
        <is>
          <t>sevilla</t>
        </is>
      </c>
      <c r="C81" s="29" t="inlineStr">
        <is>
          <t>semana-santa-2027-sevilla-gunluk-hayat</t>
        </is>
      </c>
      <c r="D81" s="29" t="inlineStr">
        <is>
          <t>Sevilla'da Semana Santa 2027'de ne zaman, günlük hayatı nasıl etkiler?</t>
        </is>
      </c>
      <c r="E81" s="29" t="inlineStr">
        <is>
          <t>21-28 Mart 2027; merkezde alaylar, kapalı sokaklar ve sınırlı toplu taşıma</t>
        </is>
      </c>
      <c r="F81" s="29" t="inlineStr">
        <is>
          <t>Sevilla Turizm Kurumu'na göre Semana Santa 2027'de 21-28 Mart arasında kutlanır. Her gün birkaç kardeşlik (hermandad) alayı kiliselerinden çıkar; hepsi, Plaza de la Campana'da başlayıp Katedral'de biten ortak bir bölümü (Carrera Oficial) izler. Alaylar 10 saati aşabilir; Kutsal Perşembe gece yarısından Cuma sabahına kadar süren Madrugá, şehrin en simgesel alaylarının yer aldığı gecedir. Merkezde birçok sokak trafiğe kapanır ve toplu taşıma sınırlıdır, bu yüzden yürümek en iyi seçenektir.</t>
        </is>
      </c>
      <c r="G81" s="29" t="inlineStr">
        <is>
          <t>Semana Santa, Kutsal Hafta, Sevilla alaylar, Madrugá, hermandad, Carrera Oficial, Sevilla 2027</t>
        </is>
      </c>
      <c r="H81" s="29" t="inlineStr">
        <is>
          <t>planning;new;settled</t>
        </is>
      </c>
      <c r="I81" s="29" t="inlineStr">
        <is>
          <t>sevilla:kaynak:202;sevilla:kaynak:203</t>
        </is>
      </c>
      <c r="J81" s="49" t="n">
        <v>46319</v>
      </c>
      <c r="K81" s="51" t="n">
        <v>1110</v>
      </c>
      <c r="L81" s="29" t="inlineStr">
        <is>
          <t>Hayır</t>
        </is>
      </c>
      <c r="M81" s="29" t="inlineStr">
        <is>
          <t>Taslak</t>
        </is>
      </c>
      <c r="N81" s="29" t="inlineStr">
        <is>
          <t>sevilla:gunluk</t>
        </is>
      </c>
      <c r="O81" s="29" t="inlineStr">
        <is>
          <t>Gitmek istediğin alayların güzergâh ve saatlerini, şehirdeki kuruluşların yayımladığı Semana Santa programlarından ve günlük basından önceden öğren.
En kalabalık noktalara erken git; rahat kıyafet ve ayakkabı giy, çünkü çok yürüyeceksin.
Merkezde otobüs ve tramvayın sınırlı çalışacağını hesaba kat; yürümeyi planla.
Anıt ve kültür mekânlarının çalışma saatleri bu hafta değişebilir; ziyaretini buna göre planla.
Misafirin geliyorsa konaklamayı erkenden ayarla.</t>
        </is>
      </c>
      <c r="P81" s="29" t="n"/>
      <c r="Q81" s="29" t="inlineStr">
        <is>
          <t>21-28 Mart 2027</t>
        </is>
      </c>
      <c r="R81" s="29" t="n"/>
      <c r="S81" s="29" t="inlineStr">
        <is>
          <t>Resmî program için Consejo General de Hermandades y Cofradías de la Ciudad de Sevilla: Calle San Gregorio 26, tel. 954 21 59 27.</t>
        </is>
      </c>
      <c r="T81" s="29" t="n"/>
    </row>
    <row r="82" ht="54" customHeight="1">
      <c r="A82" s="29" t="inlineStr">
        <is>
          <t>sevilla:feria-de-abril-el-real-casetas-gunluk-hayat</t>
        </is>
      </c>
      <c r="B82" s="29" t="inlineStr">
        <is>
          <t>sevilla</t>
        </is>
      </c>
      <c r="C82" s="29" t="inlineStr">
        <is>
          <t>feria-de-abril-el-real-casetas-gunluk-hayat</t>
        </is>
      </c>
      <c r="D82" s="29" t="inlineStr">
        <is>
          <t>Sevilla'da Feria de Abril günlerinde şehirde ne olur, casetaya nasıl girilir?</t>
        </is>
      </c>
      <c r="E82" s="29" t="inlineStr">
        <is>
          <t>Alumbrao gecesiyle başlar; casetaların çoğu özeldir, Turismo de Sevilla'nın halka açık casetası rezervasyonla</t>
        </is>
      </c>
      <c r="F82" s="29" t="inlineStr">
        <is>
          <t>Sevilla turizm kurumunun Feria sayfasında etkinlik 'bu yıl' Salı 13 - Pazar 18 Nisan olarak yer alıyor; sayfa yılı yazmıyor, 13 Nisan'ın Salı'ya denk geldiği yıl 2027'dir. Feria, El Real'in ışıklarının yandığı "alumbrao" gecesiyle başlar, hafta Guadalquivir kıyısındaki havai fişekle biter. Casetaların (geleneksel Feria çadırlarının) çoğu aile, grup ya da derneklere ait özel çadırdır; herkese açık casetalar da vardır. Turismo de Sevilla'nın halka açık casetası Pascual Márquez Caddesi 225-229'dadır ve masa için önceden rezervasyon gerekir. El Real'de iki turist bilgi kiosku 12:30-18:30 arası hizmet verir.</t>
        </is>
      </c>
      <c r="G82" s="29" t="inlineStr">
        <is>
          <t>Feria de Abril, El Real, caseta, alumbrao, Sevilla Feria, Portada, Sevilla bahar festivali</t>
        </is>
      </c>
      <c r="H82" s="29" t="inlineStr">
        <is>
          <t>planning;new;settled</t>
        </is>
      </c>
      <c r="I82" s="29" t="inlineStr">
        <is>
          <t>sevilla:kaynak:282</t>
        </is>
      </c>
      <c r="J82" s="49" t="n">
        <v>46319</v>
      </c>
      <c r="K82" s="51" t="n">
        <v>1111</v>
      </c>
      <c r="L82" s="29" t="inlineStr">
        <is>
          <t>Hayır</t>
        </is>
      </c>
      <c r="M82" s="29" t="inlineStr">
        <is>
          <t>Taslak</t>
        </is>
      </c>
      <c r="N82" s="29" t="inlineStr">
        <is>
          <t>sevilla:gunluk</t>
        </is>
      </c>
      <c r="O82" s="29" t="inlineStr">
        <is>
          <t>Halka açık casetaya gitmek istiyorsan masa için önceden rezervasyon yaptır: Laredo Binası (Plaza San Francisco), Paseo Colón kiosku, Marqués de Contadero merkez ofisi ya da San Jorge Kalesi (Triana) turizm bürolarına git ya da +34 663 141 195'i ara.
Casetaların çoğu özel olduğundan, herkese açık casetaları (Turismo de Sevilla'nın casetası gibi) ara.
El Real'de sorun için La Portada (Calle Antonio Bienvenida) ya da Calle Costillares kioskundaki bilgi noktasına git.
Rehberli tura katılmak istersen La Portada girişinde 13:00, 14:30, 16:00 ya da 17:30'daki turlara rezervasyon yaptır; turlar İspanyolca, İngilizce, Fransızca, İtalyanca ve Portekizce.</t>
        </is>
      </c>
      <c r="P82" s="29" t="n"/>
      <c r="Q82" s="29" t="inlineStr">
        <is>
          <t>Salı 13 - Pazar 18 Nisan (sayfa yıl vermiyor; hafta günleri 2027'ye uyuyor)</t>
        </is>
      </c>
      <c r="R82" s="29" t="n"/>
      <c r="S82" s="29" t="inlineStr">
        <is>
          <t>El Real 450.000 metrekare alana yayılır ve 1.052 caseta barındırır.</t>
        </is>
      </c>
      <c r="T82" s="29" t="n"/>
    </row>
    <row r="83" ht="54" customHeight="1">
      <c r="A83" s="29" t="inlineStr">
        <is>
          <t>sevilla:feria-de-abril-ulasim-park-ve-erisilebilirlik</t>
        </is>
      </c>
      <c r="B83" s="29" t="inlineStr">
        <is>
          <t>sevilla</t>
        </is>
      </c>
      <c r="C83" s="29" t="inlineStr">
        <is>
          <t>feria-de-abril-ulasim-park-ve-erisilebilirlik</t>
        </is>
      </c>
      <c r="D83" s="29" t="inlineStr">
        <is>
          <t>Sevilla'da Feria de Abril'e otobüs, taksi ya da araçla nasıl gidilir, El Real engelli ve hareket kısıtlı kişiler için erişilebilir mi?</t>
        </is>
      </c>
      <c r="E83" s="29" t="inlineStr">
        <is>
          <t>Feria'ya özel otobüsler, TUSSAM ve taksi durakları, Maestranza Aérea'da engelli park yerleri, yenilik olarak anılan yaya girişi</t>
        </is>
      </c>
      <c r="F83" s="29" t="inlineStr">
        <is>
          <t>Turismo de Sevilla'ya göre El Real'e gitmek için en çok önerilen yollardan biri otobüstür: Feria için özel otobüsler çalışır ve hizmet hareket kısıtı olanlara uygundur. Feria'ya yakın taksi durakları ve TUSSAM otobüs durakları engelli ya da hareket kısıtlı kişilerin binip inmesi için hazırlanmıştır. Pepe Luis Vázquez Caddesi ile Juan Pablo II Bulvarı'nı bağlayan, yenilik olarak anılan bir yaya girişi giriş çıkışı rahatlatır ve taksi ile otobüslere yakınlık sağlar. Hareket kısıtlı kişilere ayrılmış park yerleri Maestranza Aérea Bulvarı ve Virgen de la Cinta Caddesi'ndedir; kullanmak için yürürlükte olan Tarjeta de Estacionamiento para Personas con Movilidad Reducida (hareket kısıtlılar için park kartı) gerekir. El Real'de uyarlanmış kaldırım ve geçitlerle erişilebilir güzergâhlar, uyarlanmış umumi tuvalet modülleri vardır; halka açık casetalar serbest girişlidir ve erişilebilirlik koşulları genelde daha iyidir.</t>
        </is>
      </c>
      <c r="G83" s="29" t="inlineStr">
        <is>
          <t>Feria de Abril ulaşım, Feria otobüsü, TUSSAM, engelli park, erişilebilirlik, El Real, taksi, La Portada</t>
        </is>
      </c>
      <c r="H83" s="29" t="inlineStr">
        <is>
          <t>planning;new;settled</t>
        </is>
      </c>
      <c r="I83" s="29" t="inlineStr">
        <is>
          <t>sevilla:kaynak:283;sevilla:kaynak:282</t>
        </is>
      </c>
      <c r="J83" s="49" t="n">
        <v>46320</v>
      </c>
      <c r="K83" s="51" t="n">
        <v>1113</v>
      </c>
      <c r="L83" s="29" t="inlineStr">
        <is>
          <t>Hayır</t>
        </is>
      </c>
      <c r="M83" s="29" t="inlineStr">
        <is>
          <t>Taslak</t>
        </is>
      </c>
      <c r="N83" s="29" t="inlineStr">
        <is>
          <t>sevilla:gunluk</t>
        </is>
      </c>
      <c r="O83" s="29" t="inlineStr">
        <is>
          <t>El Real'e Feria'ya özel otobüslerle git; hizmet hareket kısıtı olanlar için uyarlanmıştır.
Taksiyle ya da TUSSAM otobüsüyle gelirsen Feria'ya yakın taksi ve otobüs duraklarını kullan; bu duraklar engelli ve hareket kısıtlı yolcuların binip inmesi için hazırlanmıştır.
Araçla gelip yürürlükte olan Tarjeta de Estacionamiento para Personas con Movilidad Reducida sahibiysen Maestranza Aérea Bulvarı ya da Virgen de la Cinta Caddesi'ndeki ayrılmış yerlere park et ve kartını yanında bulundur.
Yaya gelirsen Pepe Luis Vázquez Caddesi ile Juan Pablo II Bulvarı'nı bağlayan yenilik olarak anılan yaya girişini ya da La Portada'daki uyarlanmış girişi kullan.
Uyarlanmış umumi tuvaletlerin yerini Turismo de Sevilla'nın resmî erişilebilirlik planında bul.</t>
        </is>
      </c>
      <c r="P83" s="29" t="inlineStr">
        <is>
          <t>Engelli park yeri için yürürlükte olan engelli park kartı (Tarjeta de Estacionamiento para Personas con Movilidad Reducida)</t>
        </is>
      </c>
      <c r="Q83" s="29" t="n"/>
      <c r="R83" s="29" t="n"/>
      <c r="S83" s="29" t="n"/>
      <c r="T83" s="29" t="n"/>
    </row>
    <row r="84" ht="54" customHeight="1">
      <c r="A84" s="29" t="inlineStr">
        <is>
          <t>sevilla:sevilla-sokak-yasami-komsuluk-decalogo</t>
        </is>
      </c>
      <c r="B84" s="29" t="inlineStr">
        <is>
          <t>sevilla</t>
        </is>
      </c>
      <c r="C84" s="29" t="inlineStr">
        <is>
          <t>sevilla-sokak-yasami-komsuluk-decalogo</t>
        </is>
      </c>
      <c r="D84" s="29" t="inlineStr">
        <is>
          <t>Sevilla'da komşuluk ve sokak yaşamı: Turismo de Sevilla'nın on maddelik şehir rehberi ne söylüyor?</t>
        </is>
      </c>
      <c r="E84" s="29" t="inlineStr">
        <is>
          <t>Gece sessizliği, doğru konteyner, trafik kuralları, sigara içilmeyen alanlar ve Santa Cruz mahallesi</t>
        </is>
      </c>
      <c r="F84" s="29" t="inlineStr">
        <is>
          <t>Turismo de Sevilla, şehirde yaşayanlar ve ziyaretçiler için on maddelik bir yaşam rehberi (decálogo) yayımlıyor. Rehber komşuların dinlenmesine, özellikle geceleri, saygı göstermeyi, atığı doğru konteynere ve toplama saatlerine uyarak bırakmayı, sokakları temiz tutmayı, bisiklet, araba ya da scooter kullanırken trafik kurallarına uymayı ve sigara içilmeyen alanlara uymayı istiyor. Barrio de Santa Cruz'da yıl boyu komşuların yaşadığını, bu mahalle için ayrıca öneriler bulunduğunu da belirtiyor.</t>
        </is>
      </c>
      <c r="G84" s="29" t="inlineStr">
        <is>
          <t>komşuluk, convivencia, Santa Cruz, gece sessizliği, Sevilla yaşam kuralları, decálogo, sigara yasağı alanlar</t>
        </is>
      </c>
      <c r="H84" s="29" t="inlineStr">
        <is>
          <t>new;settled</t>
        </is>
      </c>
      <c r="I84" s="29" t="inlineStr">
        <is>
          <t>sevilla:kaynak:204</t>
        </is>
      </c>
      <c r="J84" s="49" t="n">
        <v>46319</v>
      </c>
      <c r="K84" s="51" t="n">
        <v>1112</v>
      </c>
      <c r="L84" s="29" t="inlineStr">
        <is>
          <t>Hayır</t>
        </is>
      </c>
      <c r="M84" s="29" t="inlineStr">
        <is>
          <t>Taslak</t>
        </is>
      </c>
      <c r="N84" s="29" t="inlineStr">
        <is>
          <t>sevilla:gunluk</t>
        </is>
      </c>
      <c r="O84" s="29" t="inlineStr">
        <is>
          <t>Geceleri sokakta bile komşuların dinlenmesine saygı göster; sesi kıs.
Atığı doğru konteynere ve toplama saatlerine uyarak bırak.
Bisiklet, araba ya da scooter kullanırken trafik kurallarına uy.
Sigara içilmesi yasak alanlara uy.
Santa Cruz mahallesinde komşular yıl boyu yaşadığı için bu mahalleye özgü önerilere bak.</t>
        </is>
      </c>
      <c r="P84" s="29" t="n"/>
      <c r="Q84" s="29" t="n"/>
      <c r="R84" s="29" t="n"/>
      <c r="S84" s="29" t="inlineStr">
        <is>
          <t>Bunlar Turismo de Sevilla'nın basit önerileridir; trafik ve sigara için bağlayıcı kurallar ayrıdır.</t>
        </is>
      </c>
      <c r="T84" s="29" t="n"/>
    </row>
    <row r="85" ht="54" customHeight="1">
      <c r="A85" s="29" t="inlineStr">
        <is>
          <t>sevilla:is-sozlesmesi-turleri</t>
        </is>
      </c>
      <c r="B85" s="29" t="inlineStr">
        <is>
          <t>sevilla</t>
        </is>
      </c>
      <c r="C85" s="29" t="inlineStr">
        <is>
          <t>is-sozlesmesi-turleri</t>
        </is>
      </c>
      <c r="D85" s="29" t="inlineStr">
        <is>
          <t>İspanya'da iş sözleşmesi süresiz mi yapılır, hangi sözleşme türleri var?</t>
        </is>
      </c>
      <c r="E85" s="29" t="inlineStr">
        <is>
          <t>Kural süresiz sözleşmedir; süreli sözleşme yalnız yasada sayılan iki nedenle yapılabilir</t>
        </is>
      </c>
      <c r="F85" s="29" t="inlineStr">
        <is>
          <t>Evet, kural olarak süresizdir: iş sözleşmesinin süresiz (indefinido) yapıldığı varsayılır. Süreli sözleşme yalnızca üretimdeki dalgalanmalar (circunstancias de la producción) ya da bir işçinin yerine geçme (sustitución) nedeniyle yapılabilir ve nedenin sözleşmede açıkça yazılması gerekir. Mevsimlik ya da aralıklı işler için süresiz bir tür olan fijo-discontinuo vardır; eğitim amaçlı contrato formativo ise iki türlüdür. Bu düzen 2021 sonunda çıkan Real Decreto-ley 32/2021 iş reformuyla geldi; süreli sözleşme kuralları 30 Mart 2022'de yürürlüğe girdi.</t>
        </is>
      </c>
      <c r="G85" s="29" t="inlineStr">
        <is>
          <t>iş sözleşmesi, contrato indefinido, contrato temporal, fijo-discontinuo, contrato formativo, süresiz sözleşme, süreli sözleşme</t>
        </is>
      </c>
      <c r="H85" s="29" t="inlineStr">
        <is>
          <t>planning;new</t>
        </is>
      </c>
      <c r="I85" s="29" t="inlineStr">
        <is>
          <t>sevilla:kaynak:055;sevilla:kaynak:056</t>
        </is>
      </c>
      <c r="J85" s="49" t="n">
        <v>46319</v>
      </c>
      <c r="K85" s="51" t="n">
        <v>9039</v>
      </c>
      <c r="L85" s="29" t="inlineStr">
        <is>
          <t>Hayır</t>
        </is>
      </c>
      <c r="M85" s="29" t="inlineStr">
        <is>
          <t>Taslak</t>
        </is>
      </c>
      <c r="N85" s="29" t="inlineStr">
        <is>
          <t>sevilla:is</t>
        </is>
      </c>
      <c r="O85" s="29" t="inlineStr">
        <is>
          <t>Sözleşmenin süresiz mi, süreli mi, formativo mu olduğuna bak; süreli sözleşmede neden (üretim ya da yerine geçme) ve nedenin süreyle bağlantısı sözleşmede açıkça yazılmış olmalı.
Üretim nedenli süreli sözleşmede süre en çok 6 aydır; sektör düzeyindeki toplu sözleşme bunu 1 yıla çıkarabilir.
Mevsimlik ya da aralıklı işte fijo-discontinuo sözleşmesi yazılı yapılır ve faaliyet döneminin süresini gösterir; çalışma süresi ve dağılımı tahmini olarak yazılabilir.
Formativo sözleşmede formación en alternancia en 3 ay ile 2 yıl arasında, práctica profesional ise 6 ay ile 1 yıl arasında sürer.
Kurallara aykırı süreli sözleşmeyle çalıştırılırsan ya da 24 ayda 18 aydan uzun süre, iki veya daha fazla üretim nedenli sözleşmeyle çalıştırılırsan kalıcı (fijo) işçi sayılırsın.</t>
        </is>
      </c>
      <c r="P85" s="29" t="n"/>
      <c r="Q85" s="29" t="inlineStr">
        <is>
          <t>Üretim nedenli süreli sözleşme: en çok 6 ay (sektör toplu sözleşmesiyle 1 yıl)
Formación en alternancia: 3 ay - 2 yıl
Práctica profesional: 6 ay - 1 yıl</t>
        </is>
      </c>
      <c r="R85" s="29" t="n"/>
      <c r="S85" s="29" t="inlineStr">
        <is>
          <t>Süreli sözleşmeli çalışanlar süresiz sözleşmeli çalışanlarla aynı haklara sahiptir; sözleşmenin sona ermesine ilişkin özel kurallar ve yasada formativo sözleşmeler için ayrıca öngörülen kurallar hariç. Hakların bir kısmı, doğasına uygun düştüğünde çalışılan süreye göre orantılı tanınır.</t>
        </is>
      </c>
      <c r="T85" s="29" t="n"/>
    </row>
    <row r="86" ht="54" customHeight="1">
      <c r="A86" s="29" t="inlineStr">
        <is>
          <t>sevilla:asgari-ucret-smi-2026-calisma-saatleri</t>
        </is>
      </c>
      <c r="B86" s="29" t="inlineStr">
        <is>
          <t>sevilla</t>
        </is>
      </c>
      <c r="C86" s="29" t="inlineStr">
        <is>
          <t>asgari-ucret-smi-2026-calisma-saatleri</t>
        </is>
      </c>
      <c r="D86" s="29" t="inlineStr">
        <is>
          <t>2026'da İspanya'da asgari ücret (SMI) ne kadar, haftalık çalışma süresi kaç saat?</t>
        </is>
      </c>
      <c r="E86" s="29" t="inlineStr">
        <is>
          <t>Günlük 40,70 euro ya da aylık 1.221 euro; olağan çalışma yıllık ortalamada haftada en çok 40 saat</t>
        </is>
      </c>
      <c r="F86" s="29" t="inlineStr">
        <is>
          <t>2026 için asgari ücret (SMI, salario mínimo interprofesional) günlük 40,70 euro ya da aylık 1.221 euro'dur; ücret günlük belirlenmişse günlük, aylık belirlenmişse aylık tutar geçerlidir. Olağan çalışma süresi yıllık ortalamada haftada en çok 40 saattir. Tutarlar 1 Ocak 2026'dan itibaren uygulanır, 2025'e göre %3,1 artıştır ve tarım, sanayi ve hizmetlerde yaş ve cinsiyet ayrımı olmadan geçerlidir.</t>
        </is>
      </c>
      <c r="G86" s="29" t="inlineStr">
        <is>
          <t>asgari ücret, SMI, salario mínimo, çalışma saati, haftalık 40 saat, jornada, 2026</t>
        </is>
      </c>
      <c r="H86" s="29" t="inlineStr">
        <is>
          <t>planning;new;settled</t>
        </is>
      </c>
      <c r="I86" s="29" t="inlineStr">
        <is>
          <t>sevilla:kaynak:057;sevilla:kaynak:055</t>
        </is>
      </c>
      <c r="J86" s="49" t="n">
        <v>46319</v>
      </c>
      <c r="K86" s="51" t="n">
        <v>9040</v>
      </c>
      <c r="L86" s="29" t="inlineStr">
        <is>
          <t>Hayır</t>
        </is>
      </c>
      <c r="M86" s="29" t="inlineStr">
        <is>
          <t>Taslak</t>
        </is>
      </c>
      <c r="N86" s="29" t="inlineStr">
        <is>
          <t>sevilla:is</t>
        </is>
      </c>
      <c r="O86" s="29" t="inlineStr">
        <is>
          <t>Sözleşmendeki ücretin günlük mü aylık mı belirlendiğine bak: günlük ücrette günlük 40,70 euro, aylık ücrette aylık 1.221 euro asgari tutardır.
SMI artışı, yıllık hesapta toplamı SMI'nın üzerinde olan mevcut ücretlerin yapısını ve tutarını etkilemez; bu karşılaştırmada esas alınan yıllık asgari ücret hiçbir hâlde 17.094 euronun altında sayılamaz (RD 126/2026 madde 3).
Asgari ücrete yalnızca para olarak ödenen kısım sayılır; ayni (para dışı) ödeme tutarı düşüremez.
Yasal çalışma süresinden kısa çalışıyorsan ücretin orantılı (a prorrata) ödenir.
Aynı işverene toplam 120 günü aşmayan süreli sözleşmeyle çalışıyorsan asgari ücretle birlikte pazar ve tatil günlerinin ve iki olağanüstü ikramiyenin (her biri 30 günlük maaş) orantılı payı da ödenir; yasal iş günü başına tutar 57,82 euronun altına inemez.
Saat başı ve evde kalmadan çalışan ev hizmetlisiysen asgari tutar fiilen çalışılan saat başına 9,55 euro'dur.
Günler arasında en az 12 saat ara olmalı; olağan günlük çalışma 9 saati aşamaz (toplu sözleşme ya da işyeri anlaşması başka dağılım belirlemedikçe) ve kesintisiz günlük çalışma 6 saati geçerse en az 15 dakikalık mola verilir.</t>
        </is>
      </c>
      <c r="P86" s="29" t="n"/>
      <c r="Q86" s="29" t="inlineStr">
        <is>
          <t>Tutarlar 1 Ocak - 31 Aralık 2026 dönemi için geçerlidir</t>
        </is>
      </c>
      <c r="R86" s="29" t="inlineStr">
        <is>
          <t>Asgari ücret (2026): günlük 40,70 euro ya da aylık 1.221 euro
Süreli sözleşmede (aynı işverene 120 günü aşmayan): yasal iş günü başına en az 57,82 euro
Saatlik çalışan ev hizmetlisi: saat başına 9,55 euro</t>
        </is>
      </c>
      <c r="S86" s="29" t="inlineStr">
        <is>
          <t>Haftalık dinlenme en az bir buçuk gün kesintisizdir ve genel kural olarak cumartesi öğleden sonrasını (ya da pazartesi sabahını) ve pazar gününün tamamını kapsar.</t>
        </is>
      </c>
      <c r="T86" s="29" t="n"/>
    </row>
    <row r="87" ht="54" customHeight="1">
      <c r="A87" s="29" t="inlineStr">
        <is>
          <t>sevilla:yillik-izin-ve-resmi-tatiller-2026</t>
        </is>
      </c>
      <c r="B87" s="29" t="inlineStr">
        <is>
          <t>sevilla</t>
        </is>
      </c>
      <c r="C87" s="29" t="inlineStr">
        <is>
          <t>yillik-izin-ve-resmi-tatiller-2026</t>
        </is>
      </c>
      <c r="D87" s="29" t="inlineStr">
        <is>
          <t>İspanya'da yıllık izin en az kaç gün, 2026'da resmî tatiller hangi günler?</t>
        </is>
      </c>
      <c r="E87" s="29" t="inlineStr">
        <is>
          <t>Yıllık izin en az 30 takvim günü; 2026 listesine göre resmî tatiller ücretli, yılda en çok 14 gün</t>
        </is>
      </c>
      <c r="F87" s="29" t="inlineStr">
        <is>
          <t>Yıllık ücretli izin hiçbir durumda 30 takvim gününden az olamaz ve para ile karşılanamaz. Resmî tatiller (fiestas laborales) ücretli ve telafisizdir; yılda en çok 14 gün olabilir ve bunun 2'si yerel tatildir. 2026 listesinde Yılbaşı (1 Ocak), Viernes Santo (3 Nisan), 1 Mayıs, 15 Ağustos, 12 Ekim, 8 Aralık ve 25 Aralık özerk bölgelerin değiştiremediği ulusal tatillerdir ve her yerde ortaktır; bunların dışındaki günlerin çoğu bölgeye (yerel tatiller belediyeye) göre değişir; 6 Ocak ise 2026'da hiçbir bölgenin değiştirmediği bir gündür.</t>
        </is>
      </c>
      <c r="G87" s="29" t="inlineStr">
        <is>
          <t>yıllık izin, vacaciones, 30 gün, resmi tatil, fiestas laborales, 2026 tatilleri, bayram</t>
        </is>
      </c>
      <c r="H87" s="29" t="inlineStr">
        <is>
          <t>planning;new;settled</t>
        </is>
      </c>
      <c r="I87" s="29" t="inlineStr">
        <is>
          <t>sevilla:kaynak:055;sevilla:kaynak:058</t>
        </is>
      </c>
      <c r="J87" s="49" t="n">
        <v>46319</v>
      </c>
      <c r="K87" s="51" t="n">
        <v>9041</v>
      </c>
      <c r="L87" s="29" t="inlineStr">
        <is>
          <t>Hayır</t>
        </is>
      </c>
      <c r="M87" s="29" t="inlineStr">
        <is>
          <t>Taslak</t>
        </is>
      </c>
      <c r="N87" s="29" t="inlineStr">
        <is>
          <t>sevilla:is</t>
        </is>
      </c>
      <c r="O87" s="29" t="inlineStr">
        <is>
          <t>İznin tarihlerini işverenle ortak anlaşmayla belirlersin; anlaşma olmazsa tarihi sosyal mahkeme (jurisdicción social) belirler ve kararı kesindir.
Şirketin izin takvimini, izin başlamadan en az iki ay önce öğrenirsin.
Hamilelik, doğum ya da emzirmeye bağlı rapor veya doğum ve evlat edinme izni, şirketin izin takvimine denk gelirse izni bu dönem bitince, yıl dolmuş olsa bile kullanırsın.
Başka bir hastalık raporu izni kullanmanı engellerse, rapor bittikten sonra ve iznin doğduğu yılın sonundan itibaren 18 ayı aşmadan kullanabilirsin.
Bölgenin kendi tatilleri 2026 listesinde bölgeye göre ayrı gösterilir; yerel (belediye) tatilleri ise özerk bölgenin ya da ilin resmî gazetesinde yayımlanır.</t>
        </is>
      </c>
      <c r="P87" s="29" t="n"/>
      <c r="Q87" s="29" t="inlineStr">
        <is>
          <t>Yıllık izin: en az 30 takvim günü
Resmî tatil: yılda en çok 14 gün, bunun 2'si yerel
Liste yalnızca 2026 yılı içindir</t>
        </is>
      </c>
      <c r="R87" s="29" t="n"/>
      <c r="S87" s="29" t="inlineStr">
        <is>
          <t>6 Ocak (Epifanía) 2026 listesinde yer alıyor ve hiçbir bölge bu günü değiştirmemiş; Jueves Santo (2 Nisan) ve diğer günler bölgeden bölgeye değişir. Yasa (Estatuto de los Trabajadores md. 37.2) ulusal tatil olarak her koşulda yalnızca Noel, Yılbaşı, 1 Mayıs ve 12 Ekim'in korunmasını güvence altına alır; 2026 listesinde özerk bölgelerin değiştiremediği ulusal tatil olarak işaretlenen günler ise özette sayılan 7 gündür.</t>
        </is>
      </c>
      <c r="T87" s="29" t="n"/>
    </row>
    <row r="88" ht="54" customHeight="1">
      <c r="A88" s="29" t="inlineStr">
        <is>
          <t>sevilla:maas-bordrosu-nomina-icerigi</t>
        </is>
      </c>
      <c r="B88" s="29" t="inlineStr">
        <is>
          <t>sevilla</t>
        </is>
      </c>
      <c r="C88" s="29" t="inlineStr">
        <is>
          <t>maas-bordrosu-nomina-icerigi</t>
        </is>
      </c>
      <c r="D88" s="29" t="inlineStr">
        <is>
          <t>Maaş bordrosu (nómina) neleri göstermek zorunda, imzalamak ne anlama gelir?</t>
        </is>
      </c>
      <c r="E88" s="29" t="inlineStr">
        <is>
          <t>Bordro aylıktır; kazançlar ve kesintiler ayrı gösterilir; imza ücreti aldığını gösterir</t>
        </is>
      </c>
      <c r="F88" s="29" t="inlineStr">
        <is>
          <t>Bordro (recibo de salarios) takvim ayına aittir ve işçinin farklı kazançlarını ile yasal kesintilerini açık ve ayrı göstermelidir. Ücret aylıktan kısa dönemlerle ödenirse bunlar, aylık bordroda kapatılacak avans olarak belgelenir. Bordroyu imzalaman ücreti aldığını gösterir, tutarı onayladığın anlamına gelmez; ücret banka havalesiyle ödenirse imzan yerine banka dekontu geçer. 2026'da genel rejimde ortak riskler (contingencias comunes) için prim oranı %28,30'dur ve bunun %4,70'i işçiye düşer. Bu oran yalnız ortak riskler içindir; bordrodaki toplam sosyal güvenlik kesintisi anlamına gelmez.</t>
        </is>
      </c>
      <c r="G88" s="29" t="inlineStr">
        <is>
          <t>maaş bordrosu, nómina, recibo de salarios, bordro imzası, sosyal güvenlik kesintisi, contingencias comunes, 2026</t>
        </is>
      </c>
      <c r="H88" s="29" t="inlineStr">
        <is>
          <t>new;settled</t>
        </is>
      </c>
      <c r="I88" s="29" t="inlineStr">
        <is>
          <t>sevilla:kaynak:059;sevilla:kaynak:060</t>
        </is>
      </c>
      <c r="J88" s="49" t="n">
        <v>46319</v>
      </c>
      <c r="K88" s="51" t="n">
        <v>9042</v>
      </c>
      <c r="L88" s="29" t="inlineStr">
        <is>
          <t>Hayır</t>
        </is>
      </c>
      <c r="M88" s="29" t="inlineStr">
        <is>
          <t>Taslak</t>
        </is>
      </c>
      <c r="N88" s="29" t="inlineStr">
        <is>
          <t>sevilla:is</t>
        </is>
      </c>
      <c r="O88" s="29" t="inlineStr">
        <is>
          <t>Bordronun bir takvim ayına ait olduğunu kontrol et.
Kazanç kalemlerini ve kesintileri ayrı ayrı oku; ikisi açıkça birbirinden ayrılmış olmalı.
Ücret nakit, çek ya da banka çeki ile ödenirse bordronun kopyasını imzalayarak teslim al; banka havalesinde imza yerine banka dekontu geçer.
Sosyal güvenlik kesintisinde ortak riskler için işçiye düşen payın 2026'da %4,70 olduğunu bil; bu oran toplam sosyal güvenlik kesintisi değildir. İş kazası ve meslek hastalığı primleri (tarife primleri) tamamen işverene aittir.
Bordro kopyalarını sakla: işveren bordroları sosyal güvenlik bildirgeleriyle birlikte en az 5 yıl saklar.</t>
        </is>
      </c>
      <c r="P88" s="29" t="n"/>
      <c r="Q88" s="29" t="inlineStr">
        <is>
          <t>Bordro bir takvim ayını kapsar; bordrolar en az 5 yıl saklanır</t>
        </is>
      </c>
      <c r="R88" s="29" t="inlineStr">
        <is>
          <t>Ortak riskler (genel rejim, 2026): ortak riskler oranı %28,30 (yalnız bu risk için), işveren payı %23,60, işçi payı %4,70</t>
        </is>
      </c>
      <c r="S88" s="29" t="inlineStr">
        <is>
          <t>Bordro modeli toplu sözleşme ya da işveren ile işçi temsilcileri arasındaki anlaşmayla başka bir biçimde de düzenlenebilir; yine de kazançlar ve kesintiler açık ve ayrı gösterilmelidir.</t>
        </is>
      </c>
      <c r="T88" s="29" t="n"/>
    </row>
    <row r="89" ht="54" customHeight="1">
      <c r="A89" s="29" t="inlineStr">
        <is>
          <t>sevilla:finiquito-isten-ayrilirken-tasfiye-belgesi</t>
        </is>
      </c>
      <c r="B89" s="29" t="inlineStr">
        <is>
          <t>sevilla</t>
        </is>
      </c>
      <c r="C89" s="29" t="inlineStr">
        <is>
          <t>finiquito-isten-ayrilirken-tasfiye-belgesi</t>
        </is>
      </c>
      <c r="D89" s="29" t="inlineStr">
        <is>
          <t>İşten ayrılırken finiquito (tasfiye makbuzu) imzalamadan önce hangi güvencelere sahipsin?</t>
        </is>
      </c>
      <c r="E89" s="29" t="inlineStr">
        <is>
          <t>İşveren tasfiye belgesi önerisini bildirime eklemek zorunda; imzada işçi temsilcisini isteyebilirsin</t>
        </is>
      </c>
      <c r="F89" s="29" t="inlineStr">
        <is>
          <t>İki güvencen var: İşveren, sözleşmenin sona ermesi nedeniyle fesih ya da ön bildirim (preaviso) yaptığında, borçlu olduğu tutarların tasfiye belgesi önerisini (propuesta del documento de liquidación) bildirime eklemek zorundadır; ayrıca finiquito makbuzunu imzalarken yanında bir işçi temsilcisinin bulunmasını isteyebilirsin. İşveren temsilcinin bulunmasını engellerse bunu makbuzun üzerine yazdırabilirsin. Sözleşme karşılıklı anlaşmayla, süresinin dolmasıyla, istifayla ya da işten çıkarılmayla sona erebilir.</t>
        </is>
      </c>
      <c r="G89" s="29" t="inlineStr">
        <is>
          <t>finiquito, tasfiye belgesi, işten ayrılma, liquidación, istifa, dimisión, preaviso</t>
        </is>
      </c>
      <c r="H89" s="29" t="inlineStr">
        <is>
          <t>settled</t>
        </is>
      </c>
      <c r="I89" s="29" t="inlineStr">
        <is>
          <t>sevilla:kaynak:055</t>
        </is>
      </c>
      <c r="J89" s="49" t="n">
        <v>46319</v>
      </c>
      <c r="K89" s="51" t="n">
        <v>9043</v>
      </c>
      <c r="L89" s="29" t="inlineStr">
        <is>
          <t>Hayır</t>
        </is>
      </c>
      <c r="M89" s="29" t="inlineStr">
        <is>
          <t>Taslak</t>
        </is>
      </c>
      <c r="N89" s="29" t="inlineStr">
        <is>
          <t>sevilla:is</t>
        </is>
      </c>
      <c r="O89" s="29" t="inlineStr">
        <is>
          <t>Fesih bildirimini ya da ön bildirimi aldığında ekinde borçlu olunan tutarların tasfiye belgesi önerisinin bulunup bulunmadığına bak.
Finiquito makbuzunu imzalamadan önce işçi temsilcisinin (representante legal de los trabajadores) imza anında hazır bulunmasını iste.
İşveren temsilcinin bulunmasını engellerse bunu makbuzun üzerine yazdır.
Makbuzda imzanın bir işçi temsilcisinin önünde atıldığı ya da senin bu olanağı kullanmadığın yazılır.
İstifa edeceksen toplu sözleşmenin ya da yöredeki âdetin belirlediği ön bildirim süresine uy.</t>
        </is>
      </c>
      <c r="P89" s="29" t="n"/>
      <c r="Q89" s="29" t="n"/>
      <c r="R89" s="29" t="n"/>
      <c r="S89" s="29" t="inlineStr">
        <is>
          <t>Süreli sözleşme süresinin dolmasıyla biterse (formativo ve ikame sözleşmeleri hariç) her hizmet yılı için 12 günlük maaşın orantılı payı kadar (ya da uygulanabilir özel mevzuatın öngördüğü tutarda) tazminat hakkın doğar. Süresi 1 yılı aşan süreli sözleşmeyi sona erdirmek isteyen taraf diğerine en az 15 gün önce bildirir.</t>
        </is>
      </c>
      <c r="T89" s="29" t="n"/>
    </row>
    <row r="90" ht="54" customHeight="1">
      <c r="A90" s="29" t="inlineStr">
        <is>
          <t>sevilla:isten-cikarilma-despido-turleri-ve-tazminat</t>
        </is>
      </c>
      <c r="B90" s="29" t="inlineStr">
        <is>
          <t>sevilla</t>
        </is>
      </c>
      <c r="C90" s="29" t="inlineStr">
        <is>
          <t>isten-cikarilma-despido-turleri-ve-tazminat</t>
        </is>
      </c>
      <c r="D90" s="29" t="inlineStr">
        <is>
          <t>İşten çıkarılma (despido) türleri nelerdir, tazminat ve itiraz süresi ne kadar?</t>
        </is>
      </c>
      <c r="E90" s="29" t="inlineStr">
        <is>
          <t>Haksız çıkarmada yılda 33 gün maaş (12 Şubat 2012 ve sonrası sözleşmeler); çıkarmaya karşı dava hakkı 20 iş günü içinde kullanılır</t>
        </is>
      </c>
      <c r="F90" s="29" t="inlineStr">
        <is>
          <t>İtiraz süresi çıkarmadan sonra 20 iş günüdür; haksız çıkarmada tazminat yılda 33 gün maaştır (12 Şubat 2012 ve sonrasında yapılan sözleşmeler için). İşten çıkarma disiplin nedenli (despido disciplinario), objektif nedenli (causas objetivas) ya da toplu (despido colectivo) olabilir. Mahkeme çıkarmayı haksız (improcedente) bulursa işveren seni geri alır ya da yılda 33 gün maaş, en çok 24 aylık tazminat öder (12 Şubat 2012 ve sonrasında yapılan sözleşmeler için). Objektif nedenli çıkarma haklı (procedente) bulunursa tazminat yılda 20 gün maaş, en çok 12 aylıktır; haksız bulunursa yukarıdaki haksız çıkarma kuralı, yani yılda 33 gün maaş (en çok 24 aylık; 12 Şubat 2012 ve sonrasında yapılan sözleşmeler için) uygulanır. 12 Şubat 2012'den önce yapılan sözleşmelerde bu tarihten önceki hizmet süresi için yılda 45 gün, sonraki süre için yılda 33 gün maaş hesaplanır. Çıkarmaya karşı dava hakkın, çıkarmadan sonraki 20 iş günü içinde kullanılmazsa düşer.</t>
        </is>
      </c>
      <c r="G90" s="29" t="inlineStr">
        <is>
          <t>işten çıkarma, despido, tazminat, indemnización, despido improcedente, despido objetivo, despido colectivo, 20 iş günü</t>
        </is>
      </c>
      <c r="H90" s="29" t="inlineStr">
        <is>
          <t>settled</t>
        </is>
      </c>
      <c r="I90" s="29" t="inlineStr">
        <is>
          <t>sevilla:kaynak:055</t>
        </is>
      </c>
      <c r="J90" s="49" t="n">
        <v>46319</v>
      </c>
      <c r="K90" s="51" t="n">
        <v>9044</v>
      </c>
      <c r="L90" s="29" t="inlineStr">
        <is>
          <t>Hayır</t>
        </is>
      </c>
      <c r="M90" s="29" t="inlineStr">
        <is>
          <t>Taslak</t>
        </is>
      </c>
      <c r="N90" s="29" t="inlineStr">
        <is>
          <t>sevilla:is</t>
        </is>
      </c>
      <c r="O90" s="29" t="inlineStr">
        <is>
          <t>Disiplin çıkarmasında bildirimin yazılı olduğunu, olayları ve çıkarmanın etkili olacağı tarihi içerdiğini kontrol et; objektif nedenli çıkarmada çıkarma nedeni yazılı bildirilmelidir.
Objektif nedenli çıkarmada kural olarak tazminat (yılda 20 gün maaş) bildirimle aynı anda sana sunulur ve 15 günlük ön bildirim süresi tanınır.
Ön bildirim süresince ücret kaybı olmadan, yeni iş aramak için haftada 6 saatlik izin hakkın var.
Çıkarmayı kabul etmiyorsan çıkarmadan sonraki 20 iş günü içinde dava aç; uzlaştırma (conciliación) başvurusu bu süreyi keser.
Mahkeme çıkarmayı haksız bulursa işveren, kararın bildiriminden itibaren 5 gün içinde seni geri almayı ya da yılda 33 gün maaş (en çok 24 aylık; 12 Şubat 2012 ve sonrası sözleşmelerde) tazminat ödemeyi seçer.
Çıkarma geçersiz (nulo) bulunursa derhal işe geri alınır ve ödenmeyen maaşlarını alırsın; disiplin çıkarması haklı (procedente) bulunursa tazminat ve ara dönem maaşı hakkın olmaz.</t>
        </is>
      </c>
      <c r="P90" s="29" t="n"/>
      <c r="Q90" s="29" t="inlineStr">
        <is>
          <t>İtiraz süresi: çıkarmadan sonraki 20 iş günü
Tazminat ya da geri alma seçimi: karar bildiriminden itibaren 5 gün
Objektif nedenli çıkarmada ön bildirim: 15 gün</t>
        </is>
      </c>
      <c r="R90" s="29" t="inlineStr">
        <is>
          <t>Haksız çıkarma (12 Şubat 2012 ve sonrası sözleşmeler): yılda 33 gün maaş, en çok 24 aylık
12 Şubat 2012'den önceki sözleşmeler: önceki hizmet süresi için yılda 45 gün, sonraki süre için yılda 33 gün maaş; toplam en çok 720 gün maaş (eski dönem hesabı bundan fazla gün çıkarırsa o sayı üst sınır olur, en çok 42 aylık)
Objektif nedenli çıkarma haklı bulunursa: yılda 20 gün maaş, en çok 12 aylık; haksız bulunursa: yılda 33 gün maaş, en çok 24 aylık (12 Şubat 2012 ve sonrası sözleşmeler)</t>
        </is>
      </c>
      <c r="S90" s="29" t="inlineStr">
        <is>
          <t>Toplu işten çıkarma, 90 günlük dönemde 100'den az çalışanı olan şirkette en az 10, 100 ile 300 arasında çalışanı olan şirkette çalışanların %10'u, 300'den fazla çalışanı olan şirkette en az 30 kişiyi kapsayan çıkarmadır; öncesinde işçi temsilcileriyle en çok 30 takvim günü (50'den az çalışanı olan şirkette 15 gün) süren bir görüşme dönemi yapılır. Ayrımcılık ya da temel hakların ihlali nedeniyle yapılan çıkarma geçersizdir.</t>
        </is>
      </c>
      <c r="T90" s="29" t="n"/>
    </row>
    <row r="91" ht="54" customHeight="1">
      <c r="A91" s="29" t="inlineStr">
        <is>
          <t>sevilla:issizlik-maasi-paro-sepe-basvurusu</t>
        </is>
      </c>
      <c r="B91" s="29" t="inlineStr">
        <is>
          <t>sevilla</t>
        </is>
      </c>
      <c r="C91" s="29" t="inlineStr">
        <is>
          <t>issizlik-maasi-paro-sepe-basvurusu</t>
        </is>
      </c>
      <c r="D91" s="29" t="inlineStr">
        <is>
          <t>İşsizlik ödeneği (paro) kimlere verilir, ne kadar sürer, SEPE'ye nasıl başvurulur?</t>
        </is>
      </c>
      <c r="E91" s="29" t="inlineStr">
        <is>
          <t>Son 6 yılda en az 360 gün işsizlik primi; başvuru son çalışılan günden sonraki 15 iş günü içinde</t>
        </is>
      </c>
      <c r="F91" s="29" t="inlineStr">
        <is>
          <t>Son 6 yılda en az 360 gün işsizlik primi ödediysen ve yasal olarak işsiz kaldıysan SEPE'den primli işsizlik ödeneği (prestación contributiva por desempleo) alabilirsin. Ödenek süresi prim gününe göre 120 ile 720 gün arasında değişir; tutar, son 180 günün ortalama prim bazı olan baz matrahın (base reguladora) ilk 180 gün %70'i, 181. günden sonra %60'ıdır. Başvuruyu son çalıştığın günden sonraki 15 iş günü içinde yaparsın. Yabancı işçiler de (AB/AEA ülkesi vatandaşı olsun olmasın), İspanya'da yasal olarak oturuyor, yasal şartları karşılıyor ve iş arayan olarak kayıtlıysa primli işsizlik ödeneğine hak kazanır; yani AB dışı vatandaş olmak tek başına engel değildir, ama prim süresi gibi öteki şartlar yine aranır.</t>
        </is>
      </c>
      <c r="G91" s="29" t="inlineStr">
        <is>
          <t>işsizlik maaşı, paro, SEPE, prestación contributiva, desempleo, demandante de empleo, işsizlik ödeneği</t>
        </is>
      </c>
      <c r="H91" s="29" t="inlineStr">
        <is>
          <t>settled</t>
        </is>
      </c>
      <c r="I91" s="29" t="inlineStr">
        <is>
          <t>sevilla:kaynak:061;sevilla:kaynak:062</t>
        </is>
      </c>
      <c r="J91" s="49" t="n">
        <v>46319</v>
      </c>
      <c r="K91" s="51" t="n">
        <v>9045</v>
      </c>
      <c r="L91" s="29" t="inlineStr">
        <is>
          <t>Hayır</t>
        </is>
      </c>
      <c r="M91" s="29" t="inlineStr">
        <is>
          <t>Taslak</t>
        </is>
      </c>
      <c r="N91" s="29" t="inlineStr">
        <is>
          <t>sevilla:is</t>
        </is>
      </c>
      <c r="O91" s="29" t="inlineStr">
        <is>
          <t>İşsizliğin yasal işsizlik hâli olduğundan emin ol, sosyal güvenlikte işsizlik primi ödenen bir rejimde kayıtlı (alta) olduğunu ve olağan emeklilik yaşına gelmediğini kontrol et.
Demandante de empleo (iş arayan) olarak kayıt ol ve ödenek boyunca kaydını sürdür.
Başvuru modelini (acuerdo de actividad dahil) doldur; kimlik belgeni, ödeneğin yatırılacağı hesabın banka belgesini ve son 6 aydaki işverenlerin şirket sertifikalarını hazırla.
Başvuruyu son çalıştığın günden sonraki 15 iş günü içinde SEPE elektronik ofisinden, randevu alarak ödenek ofisinden, herhangi bir kamu kayıt ofisinden ya da idari postayla yap.
SEPE, başvurudan sonraki 15 gün içinde karar verir ve karar tarihinden itibaren 10 gün içinde bildirir.
Ödenek 30 günlük aylık taksitler hâlinde, bir sonraki ayın 10 ile 15'i arasında, kendi adına açık banka hesabına yatırılır.</t>
        </is>
      </c>
      <c r="P91" s="29" t="inlineStr">
        <is>
          <t>Resmî başvuru modeli (acuerdo de actividad dahil)
AB vatandaşı: pasaport ya da kimlik belgesi ile NIE'yi gösteren kayıt sertifikası (veya sürekli oturum sertifikası)
AB dışı vatandaş: fotoğraflı TIE (pasaportu da yanında bulundur)
Ödeneğin yatırılacağı hesabın banka belgesi
Çocuk varsa Libro de Familia ya da doğum veya aile sicil belgesi (yabancılarda resmî İspanyolca çevirili eşdeğeri)
Son 6 aydaki işverenlerin şirket sertifikaları (işverenler SEPE'ye göndermediyse)</t>
        </is>
      </c>
      <c r="Q91" s="29" t="inlineStr">
        <is>
          <t>Prim günlerine göre ödenek süresi:
360-539 gün prim: 120 gün ödenek
540-719 gün prim: 180 gün ödenek
720-899 gün prim: 240 gün ödenek
900-1.079 gün prim: 300 gün ödenek
1.080-1.259 gün prim: 360 gün ödenek
1.260-1.439 gün prim: 420 gün ödenek
1.440-1.619 gün prim: 480 gün ödenek
1.620-1.799 gün prim: 540 gün ödenek
1.800-1.979 gün prim: 600 gün ödenek
1.980-2.159 gün prim: 660 gün ödenek
2.160 ve üzeri gün prim: 720 gün ödenek
Başvuru süresi: son çalışılan günden sonra 15 iş günü</t>
        </is>
      </c>
      <c r="R91" s="29" t="inlineStr">
        <is>
          <t>İlk 180 gün baz matrahın %70'i
181. günden sonra: baz matrahın %60'ı
Brüt tutardan sosyal güvenlik primi ve gerektiğinde IRPF stopajı (retención) düşülür</t>
        </is>
      </c>
      <c r="S91" s="29" t="inlineStr">
        <is>
          <t>Belgeler bölümündeki AB vatandaşı satırı AB vatandaşları içindir; AB serbest dolaşım rejimi Türk vatandaşına uygulanmaz, Türk vatandaşı AB dışı vatandaş satırına girer. Ödenek tutarı yasal bir üst ve alt sınıra bağlıdır; bu sınırlar bakmakla yükümlü olduğun çocuğun olup olmamasına göre değişir. Süresinden sonra başvurursan ödenek başvuru tarihinden başlar ve aradan geçen gün sayısı kadar ödenek günü kaybedersin.</t>
        </is>
      </c>
      <c r="T91" s="29" t="n"/>
    </row>
    <row r="92" ht="54" customHeight="1">
      <c r="A92" s="29" t="inlineStr">
        <is>
          <t>sevilla:is-kazasi-ve-meslek-hastaligi-tanimi</t>
        </is>
      </c>
      <c r="B92" s="29" t="inlineStr">
        <is>
          <t>sevilla</t>
        </is>
      </c>
      <c r="C92" s="29" t="inlineStr">
        <is>
          <t>is-kazasi-ve-meslek-hastaligi-tanimi</t>
        </is>
      </c>
      <c r="D92" s="29" t="inlineStr">
        <is>
          <t>Başkası hesabına (ücretli) çalışanda iş kazası (accidente de trabajo) ve meslek hastalığı nedir, işe gidiş-dönüş yolundaki kaza sayılır mı?</t>
        </is>
      </c>
      <c r="E92" s="29" t="inlineStr">
        <is>
          <t>Evet: işe gidiş-dönüş yolundaki kaza da iş kazasıdır; meslek hastalığı yönetmelikteki cetvele bağlıdır</t>
        </is>
      </c>
      <c r="F92" s="29" t="inlineStr">
        <is>
          <t>Evet, işe giderken ya da işten dönerken geçirdiğin kaza da iş kazası (accidente de trabajo) sayılır. Genel tanım şudur: başkası hesabına yaptığın işle bağlantılı olarak uğradığın her bedensel yaralanma iş kazasıdır. İş yerinde ve çalışma süresi içinde aldığın yaralanma, aksi ispatlanmadıkça iş kazası kabul edilir. Meslek hastalığı (enfermedad profesional) ise başkası hesabına yaptığın işten kaynaklanan ve uygulama yönetmeliklerindeki cetvelde (cuadro) sayılan faaliyetler ile etkenlere bağlı hastalıktır.</t>
        </is>
      </c>
      <c r="G92" s="29" t="inlineStr">
        <is>
          <t>iş kazası, accidente de trabajo, meslek hastalığı, enfermedad profesional, işe gidiş dönüş kazası, accidente in itinere</t>
        </is>
      </c>
      <c r="H92" s="29" t="inlineStr">
        <is>
          <t>settled</t>
        </is>
      </c>
      <c r="I92" s="29" t="inlineStr">
        <is>
          <t>sevilla:kaynak:063</t>
        </is>
      </c>
      <c r="J92" s="49" t="n">
        <v>46319</v>
      </c>
      <c r="K92" s="51" t="n">
        <v>9046</v>
      </c>
      <c r="L92" s="29" t="inlineStr">
        <is>
          <t>Hayır</t>
        </is>
      </c>
      <c r="M92" s="29" t="inlineStr">
        <is>
          <t>Taslak</t>
        </is>
      </c>
      <c r="N92" s="29" t="inlineStr">
        <is>
          <t>sevilla:is</t>
        </is>
      </c>
      <c r="O92" s="29" t="inlineStr">
        <is>
          <t>Yaralanmanın işini yaparken, işin sonucu olarak ya da işe gidip gelirken oluştuğunu belirle.
İş yerinde ve çalışma saatinde olduysa bu durum, aksi ispatlanmadıkça iş kazası sayılır.
Hastalıkta, hastalığın cetvelde (cuadro) sayılan faaliyet ve etkenlerle bağlantısına bak; cetvelde yer almayan bir hastalık, işin tek nedeni olduğu kanıtlanırsa iş kazası sayılır.
Önceden var olan bir hastalık ya da kusur kaza sonucu oluşan yaralanma yüzünden ağırlaşırsa bu ağırlaşma da iş kazası kapsamındadır.</t>
        </is>
      </c>
      <c r="P92" s="29" t="n"/>
      <c r="Q92" s="29" t="n"/>
      <c r="R92" s="29" t="n"/>
      <c r="S92" s="29" t="inlineStr">
        <is>
          <t>İş kazası sayılmayanlar: çalışmayla hiçbir ilgisi olmayan mücbir sebepler ve işçinin kastı ya da pervasız dikkatsizliği. Güneş çarpması, yıldırım ve benzeri doğa olayları ise çalışmayla ilgisiz mücbir sebep sayılmaz; yani bu gerekçeyle iş kazası dışında bırakılamazlar. Mesleki alışkanlıktan doğan dikkatsizlik ile işverenin, bir iş arkadaşının ya da üçüncü bir kişinin kusuru, olayın çalışmayla hiçbir ilgisi olmadığı durum dışında, kazanın iş kazası sayılmasına engel değildir. İş kazası olmayan kaza 'accidente no laboral', iş kazası ya da meslek hastalığı olmayan hastalık ise 'enfermedad común' sayılır.</t>
        </is>
      </c>
      <c r="T92" s="29" t="n"/>
    </row>
    <row r="93" ht="54" customHeight="1">
      <c r="A93" s="29" t="inlineStr">
        <is>
          <t>sevilla:serbest-calisan-autonomo-kayit-ve-prim-tablosu</t>
        </is>
      </c>
      <c r="B93" s="29" t="inlineStr">
        <is>
          <t>sevilla</t>
        </is>
      </c>
      <c r="C93" s="29" t="inlineStr">
        <is>
          <t>serbest-calisan-autonomo-kayit-ve-prim-tablosu</t>
        </is>
      </c>
      <c r="D93" s="29" t="inlineStr">
        <is>
          <t>İspanya'da serbest çalışan (autónomo) olarak Seguridad Social'a (RETA) alta nasıl yapılır, 2026 prim bazı tablosu nedir?</t>
        </is>
      </c>
      <c r="E93" s="29" t="inlineStr">
        <is>
          <t>Önce IAE kaydı, sonra Importass'ta 6 adımda RETA kaydı; 2026'da tablo her net gelir diliminin en düşük ve en yüksek prim bazını verir</t>
        </is>
      </c>
      <c r="F93" s="29" t="inlineStr">
        <is>
          <t>Önce Agencia Tributaria'da (ya da oturduğun yere göre foral vergi idaresinde) IAE'ye (Impuesto de Actividades Económicas) kayıt olursun; ardından Seguridad Social'ın Importass uygulamasından altı adımda otonom kaydını (alta) yaparsın. 2026'da tablo, net gelir diliminin euro/ay cinsinden en düşük ve en yüksek prim bazını verir; prim ödeyeceğin bazı kayıt sırasında kendin yazarsın ve azami baz ayda 5.101,20 euro'dur. Ortak riskler (contingencias comunes) için prim oranı %28,30'dur; bu yalnız ortak riskler oranıdır, toplam prim oranı değildir: mesleki riskler için %1,30, MEI için %0,90 ayrıca belirlenmiştir.</t>
        </is>
      </c>
      <c r="G93" s="29" t="inlineStr">
        <is>
          <t>serbest çalışan, autónomo, RETA, Importass, IAE, alta, prim bazı, tarifa plana, 2026</t>
        </is>
      </c>
      <c r="H93" s="29" t="inlineStr">
        <is>
          <t>new;settled</t>
        </is>
      </c>
      <c r="I93" s="29" t="inlineStr">
        <is>
          <t>sevilla:kaynak:060;sevilla:kaynak:064</t>
        </is>
      </c>
      <c r="J93" s="49" t="n">
        <v>46319</v>
      </c>
      <c r="K93" s="51" t="n">
        <v>9047</v>
      </c>
      <c r="L93" s="29" t="inlineStr">
        <is>
          <t>Hayır</t>
        </is>
      </c>
      <c r="M93" s="29" t="inlineStr">
        <is>
          <t>Taslak</t>
        </is>
      </c>
      <c r="N93" s="29" t="inlineStr">
        <is>
          <t>sevilla:is</t>
        </is>
      </c>
      <c r="O93" s="29" t="inlineStr">
        <is>
          <t>IAE kaydını Agencia Tributaria'da (ya da oturduğun yere göre foral vergi idaresinde) yaptır; bu kayıt Seguridad Social kaydından önce gerekir.
Importass uygulamasında Cl@ve, dijital sertifika ya da geçerli başka bir yöntemle kimliğini doğrula.
Servicios bölümünden Altas, bajas y modificaciones, sonra Afiliación y altas de trabajadores, sonra Alta en trabajo autónomo yolunu izle ve Solicitar alta düğmesine bas.
Faaliyetinin başlangıç tarihini (prim ödemeye başlayacağın gün), faaliyetini, IAE bilgilerini (kaydın yapıldığı kurum ve IAE kodu), faaliyet adresini, beklenen aylık net gelirini ve prim ödeyeceğin bazı gir.
Tarifa plana ile diğer indirim ve teşviklerden yararlanmak istiyorsan bunu işaretle ve kapsamını yönetecek mutua'yı seç.
İletişim bilgilerini ve primlerin çekileceği banka hesabını yaz, bilgileri gözden geçirip onayla; kayıt justificante'sini indir.</t>
        </is>
      </c>
      <c r="P93" s="29" t="inlineStr">
        <is>
          <t>Önceden yapılmış IAE kaydı
Cl@ve, dijital sertifika ya da geçerli başka bir kimlik doğrulama yöntemi
Primlerin çekileceği banka hesabı</t>
        </is>
      </c>
      <c r="Q93" s="29" t="inlineStr">
        <is>
          <t>Kayıt Importass'ta 6 adımda tamamlanır
Faaliyet başlangıç tarihi, prim ödemeye başladığın gündür
Prim tablosu 2026 yılı içindir</t>
        </is>
      </c>
      <c r="R93" s="29" t="inlineStr">
        <is>
          <t>2026 prim bazı tablosu (net gelir ve baz euro/ay; ortak riskler için oran %28,30 (yalnız ortak riskler oranı, toplam değil); azami baz 5.101,20 euro/ay):
Tabla reducida, 1. dilim (net gelir ≤ 670 euro/ay): en düşük baz 653,59, en yüksek baz 718,94 euro/ay
Tabla reducida, 2. dilim (net gelir &gt; 670 ve ≤ 900 euro/ay): en düşük baz 718,95, en yüksek baz 900,00 euro/ay
Tabla reducida, 3. dilim (net gelir &gt; 900 ve &lt; 1.166,70 euro/ay): en düşük baz 849,67, en yüksek baz 1.166,70 euro/ay
Tabla general, 1. dilim (net gelir ≥ 1.166,70 ve ≤ 1.300 euro/ay): en düşük baz 950,98, en yüksek baz 1.300,00 euro/ay
Tabla general, 2. dilim (net gelir &gt; 1.300 ve ≤ 1.500 euro/ay): en düşük baz 960,78, en yüksek baz 1.500,00 euro/ay
Tabla general, 3. dilim (net gelir &gt; 1.500 ve ≤ 1.700 euro/ay): en düşük baz 960,78, en yüksek baz 1.700,00 euro/ay
Tabla general, 4. dilim (net gelir &gt; 1.700 ve ≤ 1.850 euro/ay): en düşük baz 1.143,79, en yüksek baz 1.850,00 euro/ay
Tabla general, 5. dilim (net gelir &gt; 1.850 ve ≤ 2.030 euro/ay): en düşük baz 1.209,15, en yüksek baz 2.030,00 euro/ay
Tabla general, 6. dilim (net gelir &gt; 2.030 ve ≤ 2.330 euro/ay): en düşük baz 1.274,51, en yüksek baz 2.330,00 euro/ay
Tabla general, 7. dilim (net gelir &gt; 2.330 ve ≤ 2.760 euro/ay): en düşük baz 1.356,21, en yüksek baz 2.760,00 euro/ay
Tabla general, 8. dilim (net gelir &gt; 2.760 ve ≤ 3.190 euro/ay): en düşük baz 1.437,91, en yüksek baz 3.190,00 euro/ay
Tabla general, 9. dilim (net gelir &gt; 3.190 ve ≤ 3.620 euro/ay): en düşük baz 1.519,61, en yüksek baz 3.620,00 euro/ay
Tabla general, 10. dilim (net gelir &gt; 3.620 ve ≤ 4.050 euro/ay): en düşük baz 1.601,31, en yüksek baz 4.050,00 euro/ay
Tabla general, 11. dilim (net gelir &gt; 4.050 ve ≤ 6.000 euro/ay): en düşük baz 1.732,03, en yüksek baz 5.101,20 euro/ay
Tabla general, 12. dilim (net gelir &gt; 6.000 euro/ay): en düşük baz 1.928,10, en yüksek baz 5.101,20 euro/ay</t>
        </is>
      </c>
      <c r="S93" s="29" t="inlineStr">
        <is>
          <t>Tablo iki bölümdür: net gelir 1.166,70 euro/ayın altındaysa tabla reducida, 1.166,70 euro/ay ve üzerindeyse tabla general geçerlidir.</t>
        </is>
      </c>
      <c r="T93" s="29" t="n"/>
    </row>
    <row r="94" ht="54" customHeight="1">
      <c r="A94" s="29" t="inlineStr">
        <is>
          <t>sevilla:dogum-ve-babalik-izni-sureleri</t>
        </is>
      </c>
      <c r="B94" s="29" t="inlineStr">
        <is>
          <t>sevilla</t>
        </is>
      </c>
      <c r="C94" s="29" t="inlineStr">
        <is>
          <t>dogum-ve-babalik-izni-sureleri</t>
        </is>
      </c>
      <c r="D94" s="29" t="inlineStr">
        <is>
          <t>İspanya'da doğum ve babalık izni kaç hafta, ödenek ne kadar?</t>
        </is>
      </c>
      <c r="E94" s="29" t="inlineStr">
        <is>
          <t>Her ebeveyne 19 hafta, tek ebeveynli ailede 32 hafta; ödenek baz matrahın %100'ü</t>
        </is>
      </c>
      <c r="F94" s="29" t="inlineStr">
        <is>
          <t>Doğum izni, biyolojik anne ve diğer ebeveyn için ayrı ayrı 19 haftadır; tek ebeveynli ailede izin 32 haftadır. Bunun 6 haftası doğumdan hemen sonra zorunludur ve tam gün kullanılır. Doğum ve bakım ödeneği (prestación por nacimiento y cuidado de menor) baz matrahın %100'üdür. Evlat edinme, evlat edinme amaçlı bakım ve koruyucu aile için de her kişiye aynı süreler tanınır.</t>
        </is>
      </c>
      <c r="G94" s="29" t="inlineStr">
        <is>
          <t>doğum izni, babalık izni, ebeveyn izni, nacimiento y cuidado de menor, 19 hafta, 32 hafta, doğum ödeneği</t>
        </is>
      </c>
      <c r="H94" s="29" t="inlineStr">
        <is>
          <t>planning;new;settled</t>
        </is>
      </c>
      <c r="I94" s="29" t="inlineStr">
        <is>
          <t>sevilla:kaynak:055;sevilla:kaynak:063</t>
        </is>
      </c>
      <c r="J94" s="49" t="n">
        <v>46319</v>
      </c>
      <c r="K94" s="51" t="n">
        <v>9048</v>
      </c>
      <c r="L94" s="29" t="inlineStr">
        <is>
          <t>Hayır</t>
        </is>
      </c>
      <c r="M94" s="29" t="inlineStr">
        <is>
          <t>Taslak</t>
        </is>
      </c>
      <c r="N94" s="29" t="inlineStr">
        <is>
          <t>sevilla:is</t>
        </is>
      </c>
      <c r="O94" s="29" t="inlineStr">
        <is>
          <t>İlk 6 haftayı doğumdan hemen sonra, kesintisiz ve tam gün kullan; bu süre zorunludur.
11 haftalık bölümü (tek ebeveynli ailede 22 hafta), zorunlu dönemin bitiminden çocuk 12 aylık olana dek haftalık dönemler hâlinde birleştirerek ya da bölerek kullanabilirsin; biyolojik anne bu bölümü doğumun beklenen tarihinden 4 hafta öncesine kadar öne çekebilir.
Kalan 2 haftalık bölümü (tek ebeveynli ailede 4 hafta) çocuk 8 yaşına gelene kadar haftalık dönemler hâlinde kullanabilirsin.
11 ve 2 haftalık bölümleri tam gün ya da işverenle anlaşarak yarı zamanlı kullanabilirsin; kullanımı işverene en az 15 gün önceden bildir.
Bu hak kişiye bağlıdır; diğer ebeveyne devredemezsin.
Çocukta engel varsa ya da çoğul doğumda ilk çocuktan sonraki her çocuk için izin 2 hafta uzar; bu ek sürenin 1 haftası her ebeveyne düşer.</t>
        </is>
      </c>
      <c r="P94" s="29" t="n"/>
      <c r="Q94" s="29" t="inlineStr">
        <is>
          <t>Doğum izni: her ebeveyn için 19 hafta (tek ebeveynli ailede 32 hafta)
6 hafta zorunlu + 11 hafta (tek ebeveynli: 22) + 2 hafta (tek ebeveynli: 4)</t>
        </is>
      </c>
      <c r="R94" s="29" t="inlineStr">
        <is>
          <t>Doğum ve bakım ödeneği: baz matrahın %100'ü</t>
        </is>
      </c>
      <c r="S94" s="29" t="inlineStr">
        <is>
          <t>Ödenek için sosyal güvenlik primi şartı yaşa göre değişir. Evlat edinmede mahkeme kararı, koruyucu aile ve evlat edinme amaçlı bakımda idari karar tarihindeki yaş esas alınır; doğum durumunda ve uluslararası evlat edinmede ise esas alınan yaş, ilgilinin izin başlangıcında doldurduğu yaştır. Prim şartı, doğumda doğum anına, uluslararası evlat edinmede karar (resolución) anına göre doğrulanır. 21 yaşından küçüklerde şart yoktur; 21 ile 25 yaş arasında izin başlangıcından önceki son 7 yılda 90 gün (ya da çalışma hayatında toplam 180 gün), 26 yaş ve üzerinde son 7 yılda 180 gün (ya da çalışma hayatında toplam 360 gün) prim gerekir. Her izin döneminin başında sosyal güvenlikte kayıtlı (alta) olman gerekir.</t>
        </is>
      </c>
      <c r="T94" s="29" t="n"/>
    </row>
    <row r="95" ht="54" customHeight="1">
      <c r="A95" s="29" t="inlineStr">
        <is>
          <t>sevilla:yabanci-diploma-denklik-okul-ve-universite</t>
        </is>
      </c>
      <c r="B95" s="29" t="inlineStr">
        <is>
          <t>sevilla</t>
        </is>
      </c>
      <c r="C95" s="29" t="inlineStr">
        <is>
          <t>yabanci-diploma-denklik-okul-ve-universite</t>
        </is>
      </c>
      <c r="D95" s="29" t="inlineStr">
        <is>
          <t>Yabancı diploman İspanya'da nasıl denk sayılır? Üniversite dışı ve üniversite diplomaları için yollar</t>
        </is>
      </c>
      <c r="E95" s="29" t="inlineStr">
        <is>
          <t>Üniversite dışı diplomalar homologación ya da convalidación kurallarına, üniversite diplomaları Üniversiteler Bakanlığı'nın elektronik ofisine bağlıdır</t>
        </is>
      </c>
      <c r="F95" s="29" t="inlineStr">
        <is>
          <t>Diplomanın türüne göre iki ayrı yol var. Okul düzeyindeki (üniversite dışı) yabancı diplomalar için homologación ya da convalidación söz konusudur; yabancı üniversite diplomaları için Üniversiteler Bakanlığı'nın elektronik ofisine başvurulur ve sonuç homologación ya da declaración de equivalencia olur. Üniversitede eksik kalan veya yarım bırakılan eğitimlerin tanınması ise başvurulan İspanyol üniversitesinin işidir (convalidación).</t>
        </is>
      </c>
      <c r="G95" s="29" t="inlineStr">
        <is>
          <t>diploma denkliği, homologación, convalidación, declaración de equivalencia, yabancı diploma, apostil, DELE</t>
        </is>
      </c>
      <c r="H95" s="29" t="inlineStr">
        <is>
          <t>planning;new</t>
        </is>
      </c>
      <c r="I95" s="29" t="inlineStr">
        <is>
          <t>sevilla:kaynak:065;sevilla:kaynak:066</t>
        </is>
      </c>
      <c r="J95" s="49" t="n">
        <v>46319</v>
      </c>
      <c r="K95" s="51" t="n">
        <v>9049</v>
      </c>
      <c r="L95" s="29" t="inlineStr">
        <is>
          <t>Hayır</t>
        </is>
      </c>
      <c r="M95" s="29" t="inlineStr">
        <is>
          <t>Taslak</t>
        </is>
      </c>
      <c r="N95" s="29" t="inlineStr">
        <is>
          <t>sevilla:is</t>
        </is>
      </c>
      <c r="O95" s="29" t="inlineStr">
        <is>
          <t>Önce diplomanın üniversite diploması mı, yoksa üniversite dışı bir diploma mı olduğunu belirle.
Üniversite dışı diplomada diplomanın ülkende resmî olması, tamamen bitirilmiş olması ve İspanyol karşılığıyla akademik düzey, süre ve içerik bakımından yeterli denkliği olması gerekir; önceki tüm sınıfları geçmiş olmalısın.
Üniversite diplomasında başvuruyu yalnızca elektronik yolla, Üniversiteler Bakanlığı'nın elektronik ofisindeki kayıt sistemi üzerinden yap.
Başvuruya kimlik ve uyruk belgeni, diplomanı (ya da düzenlenme belgesini), ders, saat ve ECTS kredilerini gösteren not belgeni, harç ödeme belgesini ve gerekiyorsa dil yeterliliği belgesini ekle.
Diplomanı ve not belgeni diplomatik yoldan ya da Lahey apostiliyle onaylat ve gerekiyorsa resmî İspanyolca çevirisini ekle; AB, AEA ya da İsviçre makamlarının verdiği belgelerde bu şart aranmaz.
Homologación başvurusunda dil yeterliliği için DELE B2 ve üzeri, resmî dil okulundan B2 ve üzeri sertifika, Certificado de Aptitud, eğitimin en az %75'inin İspanyolca görüldüğünü gösteren okul belgesi ya da üniversite öncesi eğitimin İspanyolca görüldüğünü gösteren belgeden biri gerekir.
Eğitimi yarım bıraktıysan ya da ders saydırmak istiyorsan İspanyol üniversitesine convalidación başvurusu yap; üniversitenin karar süresi kayıt tarihinden itibaren en çok 2 aydır.</t>
        </is>
      </c>
      <c r="P95" s="29" t="inlineStr">
        <is>
          <t>Kimlik ve uyruk belgesi
Diploma ya da düzenlenme belgesi
Ders, saat ve ECTS kredilerini gösteren akademik not belgesi
Diplomatik onay ya da Lahey apostili; gerekiyorsa resmî İspanyolca çeviri
Harç ödeme belgesi
Dil yeterliliği belgesi (homologación başvurusunda)</t>
        </is>
      </c>
      <c r="Q95" s="29" t="inlineStr">
        <is>
          <t>Üniversite convalidación kararı: başvuru kaydından itibaren en çok 2 ay</t>
        </is>
      </c>
      <c r="R95" s="29" t="n"/>
      <c r="S95" s="29" t="inlineStr">
        <is>
          <t>Üniversite düzeyinde, İspanya'da düzenlenmiş (regulada) bir mesleğe erişim sağlayan yabancı diplomada homologación ya da convalidación seçeneklerinden birini seçersin; ikisi aynı anda istenemez. Üniversite dışı eğitimde tek tek dersler, İspanya'da zaten alınmış diplomalar ve İspanya'da yetkisiz yabancı okullarda alınan eğitimler denklenmez. Üniversite diplomalarında AB vatandaşlarının mesleki tanıması bu düzenin dışında, AB mevzuatına tabidir; AB serbest dolaşım rejimi Türk vatandaşlarına uygulanmaz.</t>
        </is>
      </c>
      <c r="T95" s="29" t="n"/>
    </row>
    <row r="96" ht="54" customHeight="1">
      <c r="A96" s="29" t="inlineStr">
        <is>
          <t>sevilla:endulus-sae-is-arayan-kaydi-demandante-de-empleo</t>
        </is>
      </c>
      <c r="B96" s="29" t="inlineStr">
        <is>
          <t>sevilla</t>
        </is>
      </c>
      <c r="C96" s="29" t="inlineStr">
        <is>
          <t>endulus-sae-is-arayan-kaydi-demandante-de-empleo</t>
        </is>
      </c>
      <c r="D96" s="29" t="inlineStr">
        <is>
          <t>Endülüs'te iş arayan olarak (SAE'ye) nasıl kayıt olunur, AB dışı yabancı için izin şartı nedir?</t>
        </is>
      </c>
      <c r="E96" s="29" t="inlineStr">
        <is>
          <t>Kayıt web sitesi ya da AppSAE'deki formla yapılır; AB dışı yabancı için iş arayan kaydına izin veren idari izin aranır</t>
        </is>
      </c>
      <c r="F96" s="29" t="inlineStr">
        <is>
          <t>SAE'de iş arayan (demandante de empleo) kaydını SAE web sitesindeki ya da AppSAE'deki formu doldurarak yaparsın. Cl@ve veya dijital sertifikayla gönderirsen kaydın geçerli olur; kullanıcı adı ve şifreyle gönderirsen kimliğini doğrulamak için randevu alıp iş bürosunda (oficina de empleo) kaydı tamamlarsın. Şartlar: 16 yaşını doldurmuş olmak, Endülüs'te oturmak ve İspanyol ya da AB üyesi ülke vatandaşı olmak; AB dışı vatandaşsan, bir kamu istihdam servisine kayda izin veren idari izin (autorización administrativa) gerekir.</t>
        </is>
      </c>
      <c r="G96" s="29" t="inlineStr">
        <is>
          <t>SAE, Servicio Andaluz de Empleo, demandante de empleo, iş arayan kaydı, autorización administrativa, AppSAE, paro</t>
        </is>
      </c>
      <c r="H96" s="29" t="inlineStr">
        <is>
          <t>new;settled</t>
        </is>
      </c>
      <c r="I96" s="29" t="inlineStr">
        <is>
          <t>sevilla:kaynak:134;sevilla:kaynak:135</t>
        </is>
      </c>
      <c r="J96" s="49" t="n">
        <v>46319</v>
      </c>
      <c r="K96" s="51" t="n">
        <v>9100</v>
      </c>
      <c r="L96" s="29" t="inlineStr">
        <is>
          <t>Hayır</t>
        </is>
      </c>
      <c r="M96" s="29" t="inlineStr">
        <is>
          <t>Taslak</t>
        </is>
      </c>
      <c r="N96" s="29" t="inlineStr">
        <is>
          <t>sevilla:is</t>
        </is>
      </c>
      <c r="O96" s="29" t="inlineStr">
        <is>
          <t>Şartları sağladığından emin ol: 16 yaş, Endülüs'te ikamet, AB dışı vatandaşsan kayda izin veren idari izin.
Formda istenen bilgileri hazırla: ad soyad, DNI, NIE veya pasaport, uyruk, adres, telefon, e-posta ve eğitim düzeyi.
SAE web sitesindeki ya da AppSAE'deki kayıt formunu doldur ve gönder.
Cl@ve veya dijital sertifikayla gönderdiysen kaydın geçerlidir. Kullanıcı adı ve şifreyle gönderdiysen AppSAE'den, SAE web sitesinden ya da 955 625 695 numarasından (08:00–20:00, Pazartesi–Cuma, resmî tatil hariç) randevu al ve iş bürosunda demandanı tamamla.
İşsizlik ödeneği için SEPE'ye başvuracaksan kaydı bundan önce yaptır.</t>
        </is>
      </c>
      <c r="P96" s="29" t="inlineStr">
        <is>
          <t>Ad soyad
DNI, NIE veya pasaport numarası
Uyruk
Adres
Telefon ve e-posta
En yüksek eğitim düzeyi
İsteğe bağlı: eğitim ve iş deneyimi belgeleri</t>
        </is>
      </c>
      <c r="Q96" s="29" t="inlineStr">
        <is>
          <t>Cl@ve veya dijital sertifikayla kayıt hemen geçerli olur; kullanıcı adı ve şifreyle yapılırsa randevuda tamamlanır.</t>
        </is>
      </c>
      <c r="R96" s="29" t="n"/>
      <c r="S96" s="29" t="inlineStr">
        <is>
          <t>Yurt dışından gelip İspanya'da çalışmak isteyen AB dışı kişi için sıra şöyledir: Ministerio de Inclusión, Seguridad Social y Migraciones'e çalışma için idari izin (autorización administrativa) başvurulur, vize yurt dışındaki konsolosluktan alınır; izin alındıktan sonra SAE'ye demanda (iş arayan kaydı) başvurusu yapılır. AB dışı vatandaş için SAE kayıt sayfası, kamu istihdam servisine kayda izin veren bir idari izin arar; hangi iznin yeterli olduğu sayfada belirtilmez. Belge yüklemek zorunlu değildir; yüklemezsen bilgi "declarativa" olarak kaydedilir ve bazı ilanlara başvurmanı engelleyebilir. SAE sayfaları 2025 tarihlidir (06/03/2025 ve 24/03/2025).</t>
        </is>
      </c>
      <c r="T96" s="29" t="n"/>
    </row>
    <row r="97" ht="54" customHeight="1">
      <c r="A97" s="29" t="inlineStr">
        <is>
          <t>sevilla:sevilla-sehrinde-is-ofisleri-adresleri</t>
        </is>
      </c>
      <c r="B97" s="29" t="inlineStr">
        <is>
          <t>sevilla</t>
        </is>
      </c>
      <c r="C97" s="29" t="inlineStr">
        <is>
          <t>sevilla-sehrinde-is-ofisleri-adresleri</t>
        </is>
      </c>
      <c r="D97" s="29" t="inlineStr">
        <is>
          <t>Sevilla şehrinde iş ofisleri (oficina de empleo) hangi semtte, hangi adreste?</t>
        </is>
      </c>
      <c r="E97" s="29" t="inlineStr">
        <is>
          <t>SEPE listesinde Sevilla şehri için sekiz iş ofisi var; randevuda ofisi sen seçersin</t>
        </is>
      </c>
      <c r="F97" s="29" t="inlineStr">
        <is>
          <t>SEPE'nin Sevilla il listesinde şehir içi sekiz iş ofisi görünür: Amate, Centro, Cruz Roja, Este, Huerta de la Salud, Luis Montoto, Macarena ve Triana. SAE'nin randevu sayfasına göre yüz yüze ya da telefonla randevu alırken ofisi sen seçersin, yani oturduğun semtteki ofisle sınırlı değilsin. Kayıt, yenileme ve değişiklik gibi işlerin çoğunu internetten ya da uygulamadan da yapabilirsin.</t>
        </is>
      </c>
      <c r="G97" s="29" t="inlineStr">
        <is>
          <t>oficina de empleo, SAE ofisi, Sevilla iş ofisi, Amate, Macarena, Triana, iş arayan kaydı</t>
        </is>
      </c>
      <c r="H97" s="29" t="inlineStr">
        <is>
          <t>new;settled</t>
        </is>
      </c>
      <c r="I97" s="29" t="inlineStr">
        <is>
          <t>sevilla:kaynak:238;sevilla:kaynak:235</t>
        </is>
      </c>
      <c r="J97" s="49" t="n">
        <v>46319</v>
      </c>
      <c r="K97" s="51" t="n">
        <v>800</v>
      </c>
      <c r="L97" s="29" t="inlineStr">
        <is>
          <t>Evet</t>
        </is>
      </c>
      <c r="M97" s="29" t="inlineStr">
        <is>
          <t>Taslak</t>
        </is>
      </c>
      <c r="N97" s="29" t="inlineStr">
        <is>
          <t>sevilla:is</t>
        </is>
      </c>
      <c r="O97" s="29" t="inlineStr">
        <is>
          <t>Aşağıdaki listeden sana en uygun semttekini seç.
SAE'nin randevu sayfasından ya da AppSAE'den o ofis için yüz yüze veya telefonla randevu al.
İnternetten yapılabilen işler için (kayıt, yenileme, değişiklik) ofise gitmeden Cl@ve, dijital sertifika ya da kullanıcı adı ve şifreyle devam et.</t>
        </is>
      </c>
      <c r="P97" s="29" t="inlineStr">
        <is>
          <t>Kimlik belgen (DNI, NIE veya pasaport)</t>
        </is>
      </c>
      <c r="Q97" s="29" t="n"/>
      <c r="R97" s="29" t="n"/>
      <c r="S97" s="29" t="inlineStr">
        <is>
          <t>Adresler: Sevilla-Amate, Avda. San Juan de la Cruz 42. Sevilla-Centro, C/ Alfonso XII 50. Sevilla-Cruz Roja, C/ José María de Mena 2. Sevilla-Este, C/ Augusto Peiré (Edif. Olalla). Sevilla-Huerta de la Salud, C/ Doctor José María Bedoya s/n. Sevilla-Luis Montoto, C/ Benito Mas y Prat 5-7. Sevilla-Macarena, C/ Macarena 46-48. Sevilla-Triana, C/ Febo 7-9.</t>
        </is>
      </c>
      <c r="T97" s="29" t="n"/>
    </row>
    <row r="98" ht="54" customHeight="1">
      <c r="A98" s="29" t="inlineStr">
        <is>
          <t>sevilla:sae-randevusu-ve-demanda-yenileme-sevilla</t>
        </is>
      </c>
      <c r="B98" s="29" t="inlineStr">
        <is>
          <t>sevilla</t>
        </is>
      </c>
      <c r="C98" s="29" t="inlineStr">
        <is>
          <t>sae-randevusu-ve-demanda-yenileme-sevilla</t>
        </is>
      </c>
      <c r="D98" s="29" t="inlineStr">
        <is>
          <t>Sevilla'da SAE randevusu nasıl alınır, iş arayan kaydı (demanda) nasıl yenilenir?</t>
        </is>
      </c>
      <c r="E98" s="29" t="inlineStr">
        <is>
          <t>Randevu AppSAE, SAE sitesi ya da çağrı merkezinden; yenileme genellikle 90 günde bir</t>
        </is>
      </c>
      <c r="F98" s="29" t="inlineStr">
        <is>
          <t>SAE'de randevuyu AppSAE'den, SAE web sitesinden ya da 955 625 695 numaralı çağrı merkezinden alırsın; çağrı merkezi pazartesi–cuma 08:00–20:00 arası açık. İş arayan kaydını (demanda de empleo) genellikle her 90 günde bir yenilemen gerekir ('sellar el paro'); tarihler iş kartında (tarjeta de empleo) yazar. Yenilemeyi kaçırırsan kayıt düşer ve işsizlik ödeneği askıya alınabilir.</t>
        </is>
      </c>
      <c r="G98" s="29" t="inlineStr">
        <is>
          <t>SAE randevu, cita previa, sellar el paro, demanda yenileme, tarjeta de empleo, AppSAE, mejora de empleo</t>
        </is>
      </c>
      <c r="H98" s="29" t="inlineStr">
        <is>
          <t>settled</t>
        </is>
      </c>
      <c r="I98" s="29" t="inlineStr">
        <is>
          <t>sevilla:kaynak:235;sevilla:kaynak:237</t>
        </is>
      </c>
      <c r="J98" s="49" t="n">
        <v>46319</v>
      </c>
      <c r="K98" s="51" t="n">
        <v>801</v>
      </c>
      <c r="L98" s="29" t="inlineStr">
        <is>
          <t>Hayır</t>
        </is>
      </c>
      <c r="M98" s="29" t="inlineStr">
        <is>
          <t>Taslak</t>
        </is>
      </c>
      <c r="N98" s="29" t="inlineStr">
        <is>
          <t>sevilla:is</t>
        </is>
      </c>
      <c r="O98" s="29" t="inlineStr">
        <is>
          <t>AppSAE'yi, SAE web sitesini ya da 955 625 695 numaralı çağrı merkezini kullanarak randevu al.
İş kartındaki (tarjeta de empleo) yenileme tarihini not et.
Yenilemeyi internetten Oficina Virtual del SAE üzerinden yap ya da herhangi bir iş ofisine git (SAE'nin sayfası ofiste yenileme için DNI'yi sayar; DNI'n yoksa hangi kimlikle gidebileceğini 955 625 695 çağrı merkezinden sor); çıktısını alabileceğin yenileme belgesini sakla.
Çalışmaya başladıysan ve SAE'den ilan almaya devam etmek istiyorsan iş ofisinden randevu alıp 'mejora de empleo' işlemini yüz yüze yaptır.</t>
        </is>
      </c>
      <c r="P98" s="29" t="inlineStr">
        <is>
          <t>DNI (SAE'nin sayfasında ofiste yenileme için sayılan kimlik; DNI'n yoksa 955 625 695'i ara)
Dijital sertifika, elektronik DNI ya da iş ofisinden alınan kullanıcı adı ve şifre (internetten yenileme için)</t>
        </is>
      </c>
      <c r="Q98" s="29" t="inlineStr">
        <is>
          <t>Yenileme genellikle her 90 günde bir; tarihler iş kartında yazar.</t>
        </is>
      </c>
      <c r="R98" s="29" t="n"/>
      <c r="S98" s="29" t="inlineStr">
        <is>
          <t>Yenilemeyi çoğunlukla iş ofislerine uzak yerlerde bulunan 'punto de empleo' çok amaçlı kiosklarından da yapabilirsin; bunlara altı haneli tek bir SAE anahtarıyla girilir. İş ofislerindeki TIC bölgelerinde de yenileme yapılabilir.</t>
        </is>
      </c>
      <c r="T98" s="29" t="n"/>
    </row>
    <row r="99" ht="54" customHeight="1">
      <c r="A99" s="29" t="inlineStr">
        <is>
          <t>sevilla:sevilla-sepe-il-mudurlugu-adresi</t>
        </is>
      </c>
      <c r="B99" s="29" t="inlineStr">
        <is>
          <t>sevilla</t>
        </is>
      </c>
      <c r="C99" s="29" t="inlineStr">
        <is>
          <t>sevilla-sepe-il-mudurlugu-adresi</t>
        </is>
      </c>
      <c r="D99" s="29" t="inlineStr">
        <is>
          <t>Sevilla'da SEPE il müdürlüğü (Dirección Provincial) nerede, ödenek başvurusundan önce SAE kaydı neden önemli?</t>
        </is>
      </c>
      <c r="E99" s="29" t="inlineStr">
        <is>
          <t>SEPE Sevilla: C/ Botánica s/n, Polígono Empresarial Nueva Torneo, 41015</t>
        </is>
      </c>
      <c r="F99" s="29" t="inlineStr">
        <is>
          <t>SEPE'nin Sevilla il müdürlüğü C/ Botánica s/n, Polígono Empresarial Nueva Torneo adresinde, 41015 Sevilla'dadır; sayfada telefon hizmeti ve erişilebilirlik önlemleri olan bir ofis olarak geçer. İşsizlik ödeneğini tanıma ve ödeme işini SEPE yapar. SAE'ye göre ödenek başvurusundan önce iş arayan kaydının (demanda) aktif olduğundan emin olmalısın.</t>
        </is>
      </c>
      <c r="G99" s="29" t="inlineStr">
        <is>
          <t>SEPE Sevilla, Dirección Provincial, Nueva Torneo, prestación por desempleo, demanda activa</t>
        </is>
      </c>
      <c r="H99" s="29" t="inlineStr">
        <is>
          <t>settled;new</t>
        </is>
      </c>
      <c r="I99" s="29" t="inlineStr">
        <is>
          <t>sevilla:kaynak:238;sevilla:kaynak:236</t>
        </is>
      </c>
      <c r="J99" s="49" t="n">
        <v>46319</v>
      </c>
      <c r="K99" s="51" t="n">
        <v>802</v>
      </c>
      <c r="L99" s="29" t="inlineStr">
        <is>
          <t>Hayır</t>
        </is>
      </c>
      <c r="M99" s="29" t="inlineStr">
        <is>
          <t>Taslak</t>
        </is>
      </c>
      <c r="N99" s="29" t="inlineStr">
        <is>
          <t>sevilla:is</t>
        </is>
      </c>
      <c r="O99" s="29" t="inlineStr">
        <is>
          <t>SAE'deki iş arayan kaydının (demanda) aktif olduğunu kontrol et; gerekirse kaydı yenile ya da yeniden kaydol.
SEPE'nin Sevilla il müdürlüğü adresini not et: C/ Botánica s/n, Polígono Empresarial Nueva Torneo, 41015 Sevilla.
Ödenek başvurusunu SEPE'ye yap.</t>
        </is>
      </c>
      <c r="P99" s="29" t="n"/>
      <c r="Q99" s="29" t="n"/>
      <c r="R99" s="29" t="n"/>
      <c r="S99" s="29" t="inlineStr">
        <is>
          <t>SEPE'nin ofis arama sayfasında Sevilla için, ilçelerdeki iş ofisleri de listelenir.</t>
        </is>
      </c>
      <c r="T99" s="29" t="n"/>
    </row>
    <row r="100" ht="54" customHeight="1">
      <c r="A100" s="29" t="inlineStr">
        <is>
          <t>sevilla:sevilla-emprendedora-belediye-girisimcilik-programi</t>
        </is>
      </c>
      <c r="B100" s="29" t="inlineStr">
        <is>
          <t>sevilla</t>
        </is>
      </c>
      <c r="C100" s="29" t="inlineStr">
        <is>
          <t>sevilla-emprendedora-belediye-girisimcilik-programi</t>
        </is>
      </c>
      <c r="D100" s="29" t="inlineStr">
        <is>
          <t>Sevilla Belediyesi'nin ücretsiz girişimcilik programı Sevilla Emprendedora'dan nasıl yararlanırsın?</t>
        </is>
      </c>
      <c r="E100" s="29" t="inlineStr">
        <is>
          <t>San Jerónimo'daki merkezde eğitim ve danışmanlık; ilk adım telefon ya da e-postayla randevu</t>
        </is>
      </c>
      <c r="F100" s="29" t="inlineStr">
        <is>
          <t>Sevilla Emprendedora, Sevilla Belediyesi'nin (Ayuntamiento de Sevilla) iş kurmak isteyenlere ve işini toparlamak isteyen şirketlere ücretsiz destek veren programıdır. İki ayağı eğitim (Formación) ve danışmanlıktır (Consultoría); ikisi de yüz yüze ya da çevrimiçi olabilir. Önce 955470722 numarasından ya da sevillaemprendedora@sevilla.org adresinden ilk randevu alırsın; teknik ekip girişimin olgunluğunu değerlendirip sana uygun yolu belirler.</t>
        </is>
      </c>
      <c r="G100" s="29" t="inlineStr">
        <is>
          <t>Sevilla Emprendedora, girişimcilik, iş kurma, danışmanlık, mentör, Ayuntamiento de Sevilla, San Jerónimo</t>
        </is>
      </c>
      <c r="H100" s="29" t="inlineStr">
        <is>
          <t>planning;new;settled</t>
        </is>
      </c>
      <c r="I100" s="29" t="inlineStr">
        <is>
          <t>sevilla:kaynak:239</t>
        </is>
      </c>
      <c r="J100" s="49" t="n">
        <v>46319</v>
      </c>
      <c r="K100" s="51" t="n">
        <v>803</v>
      </c>
      <c r="L100" s="29" t="inlineStr">
        <is>
          <t>Hayır</t>
        </is>
      </c>
      <c r="M100" s="29" t="inlineStr">
        <is>
          <t>Taslak</t>
        </is>
      </c>
      <c r="N100" s="29" t="inlineStr">
        <is>
          <t>sevilla:is</t>
        </is>
      </c>
      <c r="O100" s="29" t="inlineStr">
        <is>
          <t>955470722 numarasını ara ya da sevillaemprendedora@sevilla.org adresine yaz ve ilk randevuyu iste.
İlk görüşmede teknik ekip girişiminin olgunluk düzeyini değerlendirir.
Sana önerilen yolu izle: eğitim atölyeleri ya da kişiye özel danışmanlık.
Danışmanlık seçildiysa sana bir mentör atanır; mentör projenin durumunu inceler ve kişisel bir yol haritası çıkarır.</t>
        </is>
      </c>
      <c r="P100" s="29" t="inlineStr">
        <is>
          <t>İş fikrin ya da mevcut işinle ilgili bilgiler</t>
        </is>
      </c>
      <c r="Q100" s="29" t="n"/>
      <c r="R100" s="29" t="inlineStr">
        <is>
          <t>Ücretsiz</t>
        </is>
      </c>
      <c r="S100" s="29" t="inlineStr">
        <is>
          <t>Destek iş planı, iş modeli, mali planlama, pazarlama, vergi, finansman, insan kaynakları, ticaret hukuku, marka ve patent, dijital dönüşüm ve veri koruma gibi konuları kapsar. Merkez, San Jerónimo semtinde, eski Renfe atölye binalarının içinde yapılmış modern bir binadadır.</t>
        </is>
      </c>
      <c r="T100" s="29" t="n"/>
    </row>
    <row r="101" ht="54" customHeight="1">
      <c r="A101" s="29" t="inlineStr">
        <is>
          <t>sevilla:sevilla-serbest-calisma-vergi-dairesi-ofisleri-ve-cade</t>
        </is>
      </c>
      <c r="B101" s="29" t="inlineStr">
        <is>
          <t>sevilla</t>
        </is>
      </c>
      <c r="C101" s="29" t="inlineStr">
        <is>
          <t>sevilla-serbest-calisma-vergi-dairesi-ofisleri-ve-cade</t>
        </is>
      </c>
      <c r="D101" s="29" t="inlineStr">
        <is>
          <t>Sevilla'da serbest çalışmaya başlarken AEAT vergi idaresi ofisleri nerede, CADE'den nasıl yardım alırsın?</t>
        </is>
      </c>
      <c r="E101" s="29" t="inlineStr">
        <is>
          <t>Alta için AEAT'ın Sevilla ofisleri ve Andalucía Emprende CADE noktaları</t>
        </is>
      </c>
      <c r="F101" s="29" t="inlineStr">
        <is>
          <t>Serbest çalışan (autónomo) olarak işe başlamadan önce hem Seguridad Social'a hem de vergi idaresine (Agencia Tributaria) kayıt yaptırman gerekir. Sevilla şehrinde AEAT'ın Sevilla Centro (Plaza Ministro Indalecio Prieto 1), Heliópolis (Avenida de las Razas 6) ve Nervión (Calle Monte Tabor 4) idareleri var; ofis saatleri hafta içi 09:00–14:00. Süreçte yardım için Andalucía Emprende'nin CADE noktalarına başvurabilirsin.</t>
        </is>
      </c>
      <c r="G101" s="29" t="inlineStr">
        <is>
          <t>autónomo, AEAT Sevilla, Hacienda, modelo 036, modelo 037, declaración censal, CADE, Andalucía Emprende</t>
        </is>
      </c>
      <c r="H101" s="29" t="inlineStr">
        <is>
          <t>planning;new</t>
        </is>
      </c>
      <c r="I101" s="29" t="inlineStr">
        <is>
          <t>sevilla:kaynak:168;sevilla:kaynak:244</t>
        </is>
      </c>
      <c r="J101" s="49" t="n">
        <v>46319</v>
      </c>
      <c r="K101" s="51" t="n">
        <v>804</v>
      </c>
      <c r="L101" s="29" t="inlineStr">
        <is>
          <t>Hayır</t>
        </is>
      </c>
      <c r="M101" s="29" t="inlineStr">
        <is>
          <t>Taslak</t>
        </is>
      </c>
      <c r="N101" s="29" t="inlineStr">
        <is>
          <t>sevilla:is</t>
        </is>
      </c>
      <c r="O101" s="29" t="inlineStr">
        <is>
          <t>Seguridad Social'da serbest çalışan rejimine (RETA) kayıt başvurusunu işe başlamadan önce yap; en erken 60 gün önceden yapabilirsin.
Vergi idaresinde işe başlamadan önce, kişisel bilgilerini, faaliyetini, işyeri yerini ve ödeyeceğin vergileri bildirdiğin 036 veya 037 sayım beyannamesini ver.
Yardım ve kayıt desteği için Andalucía Emprende'nin yakınındaki CADE noktasına git.
AEAT ofisine gitmen gerekirse hafta içi 09:00–14:00 arası git ve AEAT'ın yardım ve randevu hizmetinden randevu al.</t>
        </is>
      </c>
      <c r="P101" s="29" t="inlineStr">
        <is>
          <t>036 veya 037 sayım beyannamesinde bildireceğin bilgiler: kişisel bilgilerin, faaliyet türü, işyerinin yeri ve ödeyeceğin vergiler</t>
        </is>
      </c>
      <c r="Q101" s="29" t="inlineStr">
        <is>
          <t>Seguridad Social kaydı işe başlamadan önce; en erken 60 gün önceden yapılabilir.</t>
        </is>
      </c>
      <c r="R101" s="29" t="n"/>
      <c r="S101" s="29" t="inlineStr">
        <is>
          <t>Bu kart vergi ve Seguridad Social kaydını anlatır; AB dışı bir ülkenin vatandaşıysan (Türk vatandaşı dahil) kendi hesabına çalışma izni oturum işlemlerinin ayrı konusudur. Seguridad Social'a kayıtta aylık prim ödenir ve prim gelire göre hesaplanır. Çalışanın olması ya da belirli sektörlerde çalışman gibi durumlarda faaliyet ruhsatı, marka tescili veya işyeri açılış bildirimi gibi ek işlemler gerekebilir.</t>
        </is>
      </c>
      <c r="T101" s="29" t="n"/>
    </row>
    <row r="102" ht="54" customHeight="1">
      <c r="A102" s="29" t="inlineStr">
        <is>
          <t>sevilla:endulus-ucretsiz-meslek-kurslari-fpe-ve-burslar</t>
        </is>
      </c>
      <c r="B102" s="29" t="inlineStr">
        <is>
          <t>sevilla</t>
        </is>
      </c>
      <c r="C102" s="29" t="inlineStr">
        <is>
          <t>endulus-ucretsiz-meslek-kurslari-fpe-ve-burslar</t>
        </is>
      </c>
      <c r="D102" s="29" t="inlineStr">
        <is>
          <t>Sevilla'da ücretsiz meslek kursu var mı? Junta de Andalucía'nın FPE kursları ve işsizlere burs</t>
        </is>
      </c>
      <c r="E102" s="29" t="inlineStr">
        <is>
          <t>İşsiz ve çalışanlara kurs arama motoru; işsiz kursiyerler ulaşım, konaklama ve yemek bursu alabilir</t>
        </is>
      </c>
      <c r="F102" s="29" t="inlineStr">
        <is>
          <t>Junta de Andalucía, Formación Profesional para el Empleo (FPE) kapsamında işsizlere ve çalışanlara kurs finanse eder; kursları Oficina Virtual de FPE'deki kurs arama motorundan bulursun. SEPE'nin Fórmate sayfasında da hem çalışanlar hem işsizler için kurslar ve ücretsiz kurs listesi var. İşsizsen FPE kursuna katılırken ulaşım, konaklama, yemek ve bakım (conciliación) giderleri için burs ve yardımlara başvurabilirsin.</t>
        </is>
      </c>
      <c r="G102" s="29" t="inlineStr">
        <is>
          <t>FPE, Formación Profesional para el Empleo, ücretsiz kurs, SEPE Fórmate, burs, işsizlere kurs, Junta de Andalucía</t>
        </is>
      </c>
      <c r="H102" s="29" t="inlineStr">
        <is>
          <t>new;settled</t>
        </is>
      </c>
      <c r="I102" s="29" t="inlineStr">
        <is>
          <t>sevilla:kaynak:245</t>
        </is>
      </c>
      <c r="J102" s="49" t="n">
        <v>46319</v>
      </c>
      <c r="K102" s="51" t="n">
        <v>805</v>
      </c>
      <c r="L102" s="29" t="inlineStr">
        <is>
          <t>Hayır</t>
        </is>
      </c>
      <c r="M102" s="29" t="inlineStr">
        <is>
          <t>Taslak</t>
        </is>
      </c>
      <c r="N102" s="29" t="inlineStr">
        <is>
          <t>sevilla:is</t>
        </is>
      </c>
      <c r="O102" s="29" t="inlineStr">
        <is>
          <t>Junta de Andalucía'nın FPE kurs arama motorundan sana uygun kursu bul; hem işsizlere hem çalışanlara yönelik kurslar listelenir.
Bir de SEPE'nin Fórmate sayfasındaki kurs ve ücretsiz kurs listesine bak.
Katılım başvurusunu kursu veren kuruma (entidad) ilet; başvurular her kursun sorumlu kuruluşuna verilir.
İşsizsen ulaşım, konaklama, yemek ve bakım için burs ve yardım seçeneklerine bak.</t>
        </is>
      </c>
      <c r="P102" s="29" t="n"/>
      <c r="Q102" s="29" t="inlineStr">
        <is>
          <t>Kurslar yüz yüze, yarı yüz yüze, uzaktan (teleformación) ya da karma olabilir.</t>
        </is>
      </c>
      <c r="R102" s="29" t="inlineStr">
        <is>
          <t>Junta tarafından finanse edilen kurslar; burs ve yardımlar işsiz kursiyerler içindir.</t>
        </is>
      </c>
      <c r="S102" s="29" t="inlineStr">
        <is>
          <t>Bursta engelli kişiler ve toplumsal cinsiyete dayalı şiddet mağduru kadınlar için ayrı yardımlar vardır. Kurslar, her duyuruda belirlenen akredite kurum ve merkezlerce verilir; bunlar kâr amacı gütmeyen kuruluşlar, yerel yönetimler ve kamu veya özel kurumlar olabilir. Sorular için 012 veya 955 012 012 aranabilir.</t>
        </is>
      </c>
      <c r="T102" s="29" t="n"/>
    </row>
    <row r="103" ht="54" customHeight="1">
      <c r="A103" s="29" t="inlineStr">
        <is>
          <t>sevilla:sevilla-is-ve-sosyal-guvenlik-mufettisligi-itss-iletisim</t>
        </is>
      </c>
      <c r="B103" s="29" t="inlineStr">
        <is>
          <t>sevilla</t>
        </is>
      </c>
      <c r="C103" s="29" t="inlineStr">
        <is>
          <t>sevilla-is-ve-sosyal-guvenlik-mufettisligi-itss-iletisim</t>
        </is>
      </c>
      <c r="D103" s="29" t="inlineStr">
        <is>
          <t>Sevilla'da İş ve Sosyal Güvenlik Müfettişliği (ITSS) adresi ve telefonu nedir?</t>
        </is>
      </c>
      <c r="E103" s="29" t="inlineStr">
        <is>
          <t>Plaza de España (Puerta de Aragón), 41013; telefon 954 23 61 20</t>
        </is>
      </c>
      <c r="F103" s="29" t="inlineStr">
        <is>
          <t>Inspección de Trabajo y Seguridad Social'in (İş ve Sosyal Güvenlik Müfettişliği) Sevilla il müfettişliği Plaza de España'daki Puerta de Aragón binasında, 41013 Sevilla'dadır. Telefon numaraları 954 23 61 20/26/27, e-postası itsevilla@mites.gob.es. Aynı binada Endülüs bölge müdürlüğü de (Torre Norte) bulunur; Sevilla'da C/ Pablo Picasso s/n adresinde ek bir sede daha var.</t>
        </is>
      </c>
      <c r="G103" s="29" t="inlineStr">
        <is>
          <t>ITSS, Inspección de Trabajo, iş müfettişliği, Sevilla, Plaza de España, iş hakları, MITES</t>
        </is>
      </c>
      <c r="H103" s="29" t="inlineStr">
        <is>
          <t>settled</t>
        </is>
      </c>
      <c r="I103" s="29" t="inlineStr">
        <is>
          <t>sevilla:kaynak:240</t>
        </is>
      </c>
      <c r="J103" s="49" t="n">
        <v>46319</v>
      </c>
      <c r="K103" s="51" t="n">
        <v>806</v>
      </c>
      <c r="L103" s="29" t="inlineStr">
        <is>
          <t>Hayır</t>
        </is>
      </c>
      <c r="M103" s="29" t="inlineStr">
        <is>
          <t>Taslak</t>
        </is>
      </c>
      <c r="N103" s="29" t="inlineStr">
        <is>
          <t>sevilla:is</t>
        </is>
      </c>
      <c r="O103" s="29" t="inlineStr">
        <is>
          <t>Başvuracağın müfettişliği belirle: Sevilla il müfettişliği Plaza de España (Puerta de Aragón), 41013.
954 23 61 20 numarasını ara ya da itsevilla@mites.gob.es adresine yaz.</t>
        </is>
      </c>
      <c r="P103" s="29" t="n"/>
      <c r="Q103" s="29" t="n"/>
      <c r="R103" s="29" t="n"/>
      <c r="S103" s="29" t="inlineStr">
        <is>
          <t>Sevilla'daki ek sedenin adresi C/ Pablo Picasso s/n, 41018; telefonu 954 59 17 29. Endülüs bölge müdürlüğünün (Dirección territorial) e-postası dtandalucia@mites.gob.es.</t>
        </is>
      </c>
      <c r="T103" s="29" t="n"/>
    </row>
    <row r="104" ht="54" customHeight="1">
      <c r="A104" s="29" t="inlineStr">
        <is>
          <t>sevilla:sevilla-cmac-zorunlu-uzlastirma-ve-sercla</t>
        </is>
      </c>
      <c r="B104" s="29" t="inlineStr">
        <is>
          <t>sevilla</t>
        </is>
      </c>
      <c r="C104" s="29" t="inlineStr">
        <is>
          <t>sevilla-cmac-zorunlu-uzlastirma-ve-sercla</t>
        </is>
      </c>
      <c r="D104" s="29" t="inlineStr">
        <is>
          <t>Sevilla'da işten çıkarılma ya da alacak davası öncesi zorunlu uzlaştırma (CMAC) nasıl yapılır, adresi nerede?</t>
        </is>
      </c>
      <c r="E104" s="29" t="inlineStr">
        <is>
          <t>Dava açmadan önce CMAC'a başvuru; Sevilla CMAC: Avenida de Grecia s/n, Los Bermejales</t>
        </is>
      </c>
      <c r="F104" s="29" t="inlineStr">
        <is>
          <t>İşten çıkarılma, sözleşmenin sona ermesi, alacak talebi, hak tespiti ve işten çıkarmayla sonuçlanan cezalarda, iş mahkemesine dava açmadan önce CMAC'ta (Centro de Mediación, Arbitraje y Conciliación) uzlaştırma denemesi yapmış olmak gerekir. Başvuru 'papeleta de conciliación' dilekçesiyle yapılır; internetten Consejería de Empleo, Empresa y Trabajo Autónomo'nun sanal ofisi üzerinden verilir. Sevilla CMAC'ı Avenida de Grecia s/n, Los Bermejales, 41012 adresinde; telefonu 955 063 910.</t>
        </is>
      </c>
      <c r="G104" s="29" t="inlineStr">
        <is>
          <t>CMAC, conciliación previa, papeleta, despido, SERCLA, iş uyuşmazlığı, Sevilla</t>
        </is>
      </c>
      <c r="H104" s="29" t="inlineStr">
        <is>
          <t>settled</t>
        </is>
      </c>
      <c r="I104" s="29" t="inlineStr">
        <is>
          <t>sevilla:kaynak:241;sevilla:kaynak:242</t>
        </is>
      </c>
      <c r="J104" s="49" t="n">
        <v>46319</v>
      </c>
      <c r="K104" s="51" t="n">
        <v>807</v>
      </c>
      <c r="L104" s="29" t="inlineStr">
        <is>
          <t>Evet</t>
        </is>
      </c>
      <c r="M104" s="29" t="inlineStr">
        <is>
          <t>Taslak</t>
        </is>
      </c>
      <c r="N104" s="29" t="inlineStr">
        <is>
          <t>sevilla:is</t>
        </is>
      </c>
      <c r="O104" s="29" t="inlineStr">
        <is>
          <t>Uyuşmazlığının zorunlu uzlaştırma kapsamına girip girmediğine bak (işten çıkarma, sözleşme feshi, alacak, hak tespiti, çıkarmalı ceza).
Papeleta de conciliación dilekçesini Consejería de Empleo, Empresa y Trabajo Autónomo'nun sanal ofisinden ver.
İnternetten başvurmak zorunda değilsen dilekçeyi Sevilla CMAC'ına (Avenida de Grecia s/n, Los Bermejales) yüz yüze verebilirsin; ardından uzlaştırma oturumu için yüz yüze randevu verilir.
Temsilci aracılığıyla başvuruyorsan temsil belgesini ekle; apud acta ya da @podera ile yetkilendirme yaptıysan gerekmez.</t>
        </is>
      </c>
      <c r="P104" s="29" t="inlineStr">
        <is>
          <t>Papeleta de conciliación dilekçesi
Temsilci varsa temsil belgesi (apud acta veya @podera ile yetkilendirme varsa gerekmez)</t>
        </is>
      </c>
      <c r="Q104" s="29" t="n"/>
      <c r="R104" s="29" t="n"/>
      <c r="S104" s="29" t="inlineStr">
        <is>
          <t>Disiplin cezası (çıkarma içermeyen), meslek sınıflandırması, çalışma koşullarında esaslı değişiklik, görev hareketliliği, nakil ve yer değiştirme, izinler ve çalışma süresi indirimi gibi bireysel konularda SERCLA yetkilidir (telefon 955 066 200, e-posta sercla.ceeta@juntadeandalucia.es); bunun dışındaki konular CMAC'a gider. CMAC e-postaları: conciliacionescmac.se.ceeta@juntadeandalucia.es ve cmac.se.ceeta@juntadeandalucia.es.</t>
        </is>
      </c>
      <c r="T104" s="29" t="n"/>
    </row>
    <row r="105" ht="54" customHeight="1">
      <c r="A105" s="29" t="inlineStr">
        <is>
          <t>sevilla:sevilla-gorulmesi-gereken-anitlar</t>
        </is>
      </c>
      <c r="B105" s="29" t="inlineStr">
        <is>
          <t>sevilla</t>
        </is>
      </c>
      <c r="C105" s="29" t="inlineStr">
        <is>
          <t>sevilla-gorulmesi-gereken-anitlar</t>
        </is>
      </c>
      <c r="D105" s="29" t="inlineStr">
        <is>
          <t>Sevilla'da ilk kez gelen biri hangi anıtları ve yerleri görmeli?</t>
        </is>
      </c>
      <c r="E105" s="29" t="inlineStr">
        <is>
          <t>Alcázar, Katedral, Nao Victoria, María Luisa Parkı ve CAAC: tarihî merkezi ve nehrin iki yakasını kapsayan kısa bir liste</t>
        </is>
      </c>
      <c r="F105" s="29" t="inlineStr">
        <is>
          <t>Turizm kurumunun aile planları sayfasında şu yerler öneriliyor: Avrupa'nın kullanımdaki en eski kraliyet sarayı Real Alcázar; Katedral (Kristof Kolomb'un mezarı, Patio de los Naranjos avlusu ve Giralda kulesi); Torre del Oro'nun yanında nehir seviyesindeki Nao Victoria gemisi; Parque de María Luisa içindeki Plaza de España ve 1929 Iberoamerikan Fuarı pavilyonları; nehrin karşı yakasında Monasterio de la Cartuja'daki çağdaş sanat merkezi CAAC.</t>
        </is>
      </c>
      <c r="G105" s="29" t="inlineStr">
        <is>
          <t>sevilla gezilecek yerler, real alcázar, katedral, giralda, plaza de españa, torre del oro, nao victoria, CAAC</t>
        </is>
      </c>
      <c r="H105" s="29" t="inlineStr">
        <is>
          <t>before;planning;new;settled</t>
        </is>
      </c>
      <c r="I105" s="29" t="inlineStr">
        <is>
          <t>sevilla:kaynak:215;sevilla:kaynak:216</t>
        </is>
      </c>
      <c r="J105" s="49" t="n">
        <v>46319</v>
      </c>
      <c r="K105" s="51" t="n">
        <v>1200</v>
      </c>
      <c r="L105" s="29" t="inlineStr">
        <is>
          <t>Evet</t>
        </is>
      </c>
      <c r="M105" s="29" t="inlineStr">
        <is>
          <t>Taslak</t>
        </is>
      </c>
      <c r="N105" s="29" t="inlineStr">
        <is>
          <t>sevilla:kesif</t>
        </is>
      </c>
      <c r="O105" s="29" t="inlineStr">
        <is>
          <t>Tarihî merkezde Real Alcázar ile Katedral ve Giralda'yı gezi planına ekle.
Torre del Oro'nun yanında, nehir seviyesindeki Nao Victoria gemisini (Espacio Exploraterra) gezi planına ekle.
Parque de María Luisa'da Plaza de España'yı ve 1929 fuarının pavyonlarını yürüyerek gez.
Nehrin karşı yakasında Monasterio de la Cartuja'daki CAAC'a (Centro Andaluz de Arte Contemporáneo) git.</t>
        </is>
      </c>
      <c r="P105" s="29" t="n"/>
      <c r="Q105" s="29" t="n"/>
      <c r="R105" s="29" t="n"/>
      <c r="S105" s="29" t="n"/>
      <c r="T105" s="29" t="n"/>
    </row>
    <row r="106" ht="54" customHeight="1">
      <c r="A106" s="29" t="inlineStr">
        <is>
          <t>sevilla:real-alcazar-saatler-bilet-ve-giris-kurallari</t>
        </is>
      </c>
      <c r="B106" s="29" t="inlineStr">
        <is>
          <t>sevilla</t>
        </is>
      </c>
      <c r="C106" s="29" t="inlineStr">
        <is>
          <t>real-alcazar-saatler-bilet-ve-giris-kurallari</t>
        </is>
      </c>
      <c r="D106" s="29" t="inlineStr">
        <is>
          <t>Real Alcázar'a ne zaman gidilir, bilet nereden ve ne kadara alınır?</t>
        </is>
      </c>
      <c r="E106" s="29" t="inlineStr">
        <is>
          <t>Ekim-mart ve nisan-eylül saatleri farklı; gişede yalnız kartla ödeme var; genel bilet 15,50 euro</t>
        </is>
      </c>
      <c r="F106" s="29" t="inlineStr">
        <is>
          <t>Real Alcázar, 1 Ekim-31 Mart arasında 09:30-17:00, 1 Nisan-30 Eylül arasında 09:30-19:00 açık; kışın boşaltma 17:45'te, yazın 19:45'te başlıyor. Genel giriş 15,50 euro, Cuarto Real Alto bölümü 5,50 euro. Bilet internetten ya da Patio de Banderas'taki gişeden alınır; gişe 09:00'da açılır ve yalnız kredi kartı kabul eder. Saray 1 Ocak, 6 Ocak, Kutsal Cuma ve 25 Aralık'ta kapalı. Alınan bilet genel olarak iade edilmez; ziyaretin Patronato'dan kaynaklanan bir nedenle yapılamaması, fazla ödeme ya da mevzuat gereği gidişin yasaklanması gibi istisnalar var. Online satışta işlem ücreti hiçbir durumda iade edilmez. Bakım, acil durum ya da hava uyarısı nedeniyle bazı bölümlerin geçici kapanması indirim ya da iade getirmez.</t>
        </is>
      </c>
      <c r="G106" s="29" t="inlineStr">
        <is>
          <t>real alcázar bilet, alcázar saatleri, alcázar fiyat, sevilla saray, patio de banderas</t>
        </is>
      </c>
      <c r="H106" s="29" t="inlineStr">
        <is>
          <t>before;planning;new;settled</t>
        </is>
      </c>
      <c r="I106" s="29" t="inlineStr">
        <is>
          <t>sevilla:kaynak:205</t>
        </is>
      </c>
      <c r="J106" s="49" t="n">
        <v>46319</v>
      </c>
      <c r="K106" s="51" t="n">
        <v>1201</v>
      </c>
      <c r="L106" s="29" t="inlineStr">
        <is>
          <t>Hayır</t>
        </is>
      </c>
      <c r="M106" s="29" t="inlineStr">
        <is>
          <t>Taslak</t>
        </is>
      </c>
      <c r="N106" s="29" t="inlineStr">
        <is>
          <t>sevilla:kesif</t>
        </is>
      </c>
      <c r="O106" s="29" t="inlineStr">
        <is>
          <t>Gideceğin tarihe göre saatlere bak: 1 Ekim-31 Mart 09:30-17:00, 1 Nisan-30 Eylül 09:30-19:00.
Bileti internetten al ya da Patio de Banderas'taki gişeye git; gişe 09:00'da açılır ve yalnız kartla ödeme alır.
Sesli rehber için Alcázar'ın ziyaret hazırlığı sayfasındaki QR kodu telefonunla okut (telefondan açıyorsan 'Desde el móvil' düğmesine dokun); planı PDF olarak indirip yazdırabilirsin.
İndirimli ya da ücretsiz giriş hakkın varsa belgeni giriş kontrolünde bilete ekleyerek göster.</t>
        </is>
      </c>
      <c r="P106" s="29" t="n"/>
      <c r="Q106" s="29" t="inlineStr">
        <is>
          <t>1 Ekim-31 Mart: 09:30-17:00; 1 Nisan-30 Eylül: 09:30-19:00</t>
        </is>
      </c>
      <c r="R106" s="29" t="inlineStr">
        <is>
          <t>Genel giriş 15,50 euro; Cuarto Real Alto 5,50 euro</t>
        </is>
      </c>
      <c r="S106" s="29" t="inlineStr">
        <is>
          <t>Alcázar'ın bahçelerinde konserler ve gece ziyaretleri de yapılıyor; fiyatları ayrı bir tarifede.</t>
        </is>
      </c>
      <c r="T106" s="29" t="n"/>
    </row>
    <row r="107" ht="54" customHeight="1">
      <c r="A107" s="29" t="inlineStr">
        <is>
          <t>sevilla:katedral-ve-giralda-saatler-bilet-ve-rehberli-tur</t>
        </is>
      </c>
      <c r="B107" s="29" t="inlineStr">
        <is>
          <t>sevilla</t>
        </is>
      </c>
      <c r="C107" s="29" t="inlineStr">
        <is>
          <t>katedral-ve-giralda-saatler-bilet-ve-rehberli-tur</t>
        </is>
      </c>
      <c r="D107" s="29" t="inlineStr">
        <is>
          <t>Sevilla Katedrali ve Giralda'ya nasıl girilir, saatler ve bilet fiyatları nedir?</t>
        </is>
      </c>
      <c r="E107" s="29" t="inlineStr">
        <is>
          <t>Pazartesi-cumartesi 10:45-19:00, pazar 14:30-19:00; 2026 tarifesiyle internetten 13 euro, gişeden 14 euro</t>
        </is>
      </c>
      <c r="F107" s="29" t="inlineStr">
        <is>
          <t>Katedral ve Giralda ziyareti pazartesiden cumartesiye 10:45-19:00, pazar günleri 14:30-19:00 arasında; gişeler 18:00'de kapanır. 1 Ocak 2026'dan geçerli tarifede genel giriş internetten 13,00 euro, gişeden 14,00 euro; sesli rehber 5,00 euro, uygulamalı sürümü 4,00 euro. Ziyaret Giralda'dan başlar, biletindeki saat giriş saatidir ve yaklaşık 75 dakika sürer; bilet El Salvador Kilisesi'ne ücretsiz giriş de içerir. Online giriş Puerta del Lagarto'dan, gişe girişi Puerta del Príncipe'den yapılır. Rehberli turlar yaklaşık 90 dakika sürer ve 20,00 euro (online) ya da 21,00 euro (gişe) tutar; rehberli tur tarifesinin altında online biletlere bilet başına 1,00 euro işlem ücreti yazıyor.</t>
        </is>
      </c>
      <c r="G107" s="29" t="inlineStr">
        <is>
          <t>sevilla katedrali bilet, giralda, catedral de sevilla saatleri, puerta del lagarto, rehberli tur</t>
        </is>
      </c>
      <c r="H107" s="29" t="inlineStr">
        <is>
          <t>before;planning;new;settled</t>
        </is>
      </c>
      <c r="I107" s="29" t="inlineStr">
        <is>
          <t>sevilla:kaynak:206</t>
        </is>
      </c>
      <c r="J107" s="49" t="n">
        <v>46319</v>
      </c>
      <c r="K107" s="51" t="n">
        <v>1202</v>
      </c>
      <c r="L107" s="29" t="inlineStr">
        <is>
          <t>Hayır</t>
        </is>
      </c>
      <c r="M107" s="29" t="inlineStr">
        <is>
          <t>Taslak</t>
        </is>
      </c>
      <c r="N107" s="29" t="inlineStr">
        <is>
          <t>sevilla:kesif</t>
        </is>
      </c>
      <c r="O107" s="29" t="inlineStr">
        <is>
          <t>Bileti internetten al: genel giriş online 13,00 euro, gişede 14,00 euro.
Online biletle Puerta del Lagarto'dan, gişeden aldığın biletle Puerta del Príncipe'den gir.
Biletteki saatte Giralda'nın kendi giriş kontrolüne git; ziyaret kuleyle başlar.
Katedral'i gezerken yaklaşık 75 dakika ayır; sesli rehber istersen 5,00 euro (uygulama 4,00 euro).</t>
        </is>
      </c>
      <c r="P107" s="29" t="n"/>
      <c r="Q107" s="29" t="inlineStr">
        <is>
          <t>Pazartesi-cumartesi 10:45-19:00; pazar 14:30-19:00; gişeler 18:00'de kapanır; ziyaret yaklaşık 75 dakika</t>
        </is>
      </c>
      <c r="R107" s="29" t="inlineStr">
        <is>
          <t>Genel giriş: online 13,00 euro, gişe 14,00 euro (1 Ocak 2026'dan); rehberli tur: online 20,00 euro (+ bilet başına 1,00 euro online işlem ücreti), gişe 21,00 euro</t>
        </is>
      </c>
      <c r="S107" s="29" t="inlineStr">
        <is>
          <t>Katedral sayfasındaki duyuruya göre Uluslararası Hermandades ve Piedad Popular Kongresi nedeniyle 4-7 Aralık'ta ziyaret yalnız Giralda'ya çıkışı ve Fons Pietatis sergisini kapsıyor, Bu günlerde online giriş Puerta del Perdón'dan, gişe Puerta del Lagarto'dan yapılıyor. 8 Aralık'ta ziyaret yapılmıyor. Dini törenler nedeniyle saatler önceden haber verilmeden değişebiliyor.</t>
        </is>
      </c>
      <c r="T107" s="29" t="n"/>
    </row>
    <row r="108" ht="54" customHeight="1">
      <c r="A108" s="29" t="inlineStr">
        <is>
          <t>sevilla:anitlarda-ucretsiz-ve-indirimli-giris-hakki</t>
        </is>
      </c>
      <c r="B108" s="29" t="inlineStr">
        <is>
          <t>sevilla</t>
        </is>
      </c>
      <c r="C108" s="29" t="inlineStr">
        <is>
          <t>anitlarda-ucretsiz-ve-indirimli-giris-hakki</t>
        </is>
      </c>
      <c r="D108" s="29" t="inlineStr">
        <is>
          <t>Alcázar ve Katedral'de kimler ücretsiz ya da indirimli girebilir?</t>
        </is>
      </c>
      <c r="E108" s="29" t="inlineStr">
        <is>
          <t>Sevilla'da doğan ya da oturanlar, 13 yaşa kadar çocuklar, işsizler ve engelliler için ücretsiz giriş; Katedral'de pazar günü ücretsiz ziyaret var</t>
        </is>
      </c>
      <c r="F108" s="29" t="inlineStr">
        <is>
          <t>Real Alcázar'da Sevilla belediyesinde doğanlar ya da oturanlar, yanında yetişkin olan 13 yaşa kadar çocuklar, %33'ten fazla engeli olanlar ve eşlikçisi, Sevilla ilindeki kayıtlı işsizler ücretsiz girer; yine de ücretsiz bilet almaları gerekir. İndirimli 8,00 euro bilet 65 yaş üstüne, 14-30 yaş (dahil) öğrencilere ve aynı yaşta Avrupa Gençlik Kartı sahiplerine verilir ve artık yalnız AB vatandaşlarına değil herkese açıktır. Katedral'de Sevilla piskoposluk bölgesinde doğanlar ya da oturanlar, yanında yetişkin olan 13 yaşa kadar çocuklar, %65 ve üzeri engelliler ile Katedral sayfasında "desempleados nacionales" (ulusal işsizler) diye geçen işsizler ücretsiz girer; yabancı işsizlerin bu kapsamda olup olmadığı belirtilmiyor. Katedral'de indirimli bilet (online 7,00, gişede 8,00 euro) 65 yaş üstüne, 25 yaşına kadar öğrencilere, %33-65 arası engellilere ve çok çocuklu aile yetişkinine veriliyor. Katedral'in ücretsiz halk ziyareti pazar günleri, Puerta del Príncipe gişesinden 17:00'den kapanışa kadar alınan biletle yapılır.</t>
        </is>
      </c>
      <c r="G108" s="29" t="inlineStr">
        <is>
          <t>alcázar ücretsiz giriş, katedral ücretsiz, indirimli bilet, öğrenci indirimi, işsiz, pazar ücretsiz katedral</t>
        </is>
      </c>
      <c r="H108" s="29" t="inlineStr">
        <is>
          <t>planning;new;settled</t>
        </is>
      </c>
      <c r="I108" s="29" t="inlineStr">
        <is>
          <t>sevilla:kaynak:205;sevilla:kaynak:206</t>
        </is>
      </c>
      <c r="J108" s="49" t="n">
        <v>46319</v>
      </c>
      <c r="K108" s="51" t="n">
        <v>1203</v>
      </c>
      <c r="L108" s="29" t="inlineStr">
        <is>
          <t>Hayır</t>
        </is>
      </c>
      <c r="M108" s="29" t="inlineStr">
        <is>
          <t>Taslak</t>
        </is>
      </c>
      <c r="N108" s="29" t="inlineStr">
        <is>
          <t>sevilla:kesif</t>
        </is>
      </c>
      <c r="O108" s="29" t="inlineStr">
        <is>
          <t>Hakkın olan kategoriyi seç; Alcázar'da ücretsiz girişte de gişeden ya da internetten ücretsiz bilet almalısın.
Alcázar'da indirimli bilet için yaşını ya da öğrenci durumunu kanıtlayan belgeni bilete ekleyerek giriş kontrolünde göster.
Katedral'de ücretsiz ya da indirimli girişte hakkını resmî belgeyle kanıtla.
Katedral'in pazar ücretsiz ziyareti için 17:00'den sonra Puerta del Príncipe gişesine git; kontenjan sınırlı.</t>
        </is>
      </c>
      <c r="P108" s="29" t="inlineStr">
        <is>
          <t>Yaş, öğrencilik, engel, işsizlik ya da ikamet durumunu gösteren resmî belge</t>
        </is>
      </c>
      <c r="Q108" s="29" t="inlineStr">
        <is>
          <t>Katedral'de ücretsiz halk ziyareti: pazar günleri 17:00'den kapanışa kadar (liturji takvimine göre)</t>
        </is>
      </c>
      <c r="R108" s="29" t="inlineStr">
        <is>
          <t>Alcázar indirimli bilet 8,00 euro; Katedral indirimli bilet online 7,00 euro, gişe 8,00 euro</t>
        </is>
      </c>
      <c r="S108" s="29" t="inlineStr">
        <is>
          <t>Katedral'de ücretsiz halk ziyareti için biletler yalnız gişeden ve kontenjan dahilinde verilir.</t>
        </is>
      </c>
      <c r="T108" s="29" t="n"/>
    </row>
    <row r="109" ht="54" customHeight="1">
      <c r="A109" s="29" t="inlineStr">
        <is>
          <t>sevilla:bellas-artes-muzesi-pazartesi-agustos-ve-son-giris</t>
        </is>
      </c>
      <c r="B109" s="29" t="inlineStr">
        <is>
          <t>sevilla</t>
        </is>
      </c>
      <c r="C109" s="29" t="inlineStr">
        <is>
          <t>bellas-artes-muzesi-pazartesi-agustos-ve-son-giris</t>
        </is>
      </c>
      <c r="D109" s="29" t="inlineStr">
        <is>
          <t>Museo de Bellas Artes pazartesi açık mı, ağustosta ve kapanışa yakın nasıl işler?</t>
        </is>
      </c>
      <c r="E109" s="29" t="inlineStr">
        <is>
          <t>Eylül-temmuz arası salı-cumartesi 09:00-21:00; ağustosta 09:00-15:00; pazartesi kapalı, son 25 bilet kapanıştan 45 dakika önce</t>
        </is>
      </c>
      <c r="F109" s="29" t="inlineStr">
        <is>
          <t>Sevilla'daki Güzel Sanatlar Müzesi (Museo de Bellas Artes, Plaza del Museo 9) 1 Eylül-31 Temmuz arasında salıdan cumartesiye 09:00-21:00, pazar ve resmî tatillerde 09:00-15:00 açıktır. Ağustosta salıdan pazara ve tatil günlerinde yalnız 09:00-15:00 açıktır. Pazartesi kapalıdır; yalnız tatil arifesine denk gelen pazartesiler tatil saatleriyle açılır. 1 ve 6 Ocak, 1 Mayıs ile 24, 25 ve 31 Aralık kapalıdır. Kapanıştan 45 dakika önce ve kontenjan varsa son 25 bilet satılır, 30 dakika önce salon girişleri kapanır. Müzenin telefonları 954 786 498 ve 954 786 501.</t>
        </is>
      </c>
      <c r="G109" s="29" t="inlineStr">
        <is>
          <t>museo de bellas artes sevilla, müze saatleri, pazartesi kapalı, sevilla müzeleri, ağustos saatleri</t>
        </is>
      </c>
      <c r="H109" s="29" t="inlineStr">
        <is>
          <t>planning;new;settled</t>
        </is>
      </c>
      <c r="I109" s="29" t="inlineStr">
        <is>
          <t>sevilla:kaynak:207</t>
        </is>
      </c>
      <c r="J109" s="49" t="n">
        <v>46319</v>
      </c>
      <c r="K109" s="51" t="n">
        <v>1204</v>
      </c>
      <c r="L109" s="29" t="inlineStr">
        <is>
          <t>Hayır</t>
        </is>
      </c>
      <c r="M109" s="29" t="inlineStr">
        <is>
          <t>Taslak</t>
        </is>
      </c>
      <c r="N109" s="29" t="inlineStr">
        <is>
          <t>sevilla:kesif</t>
        </is>
      </c>
      <c r="O109" s="29" t="inlineStr">
        <is>
          <t>Gideceğin ayı kontrol et: ağustosta müze yalnız 09:00-15:00 açık, diğer aylarda salı-cumartesi akşam 21:00'e kadar.
Pazartesiye plan yapma; müze o gün kapalı, tatil arifesi pazartesileri hariç.
Kapanıştan en az 45 dakika önce gel; son 25 bilet o saatte ve kontenjan varsa satılır.
Sorun olursa 954 786 498 ya da 954 786 501'i ara.</t>
        </is>
      </c>
      <c r="P109" s="29" t="n"/>
      <c r="Q109" s="29" t="inlineStr">
        <is>
          <t>1 Eylül-31 Temmuz: salı-cumartesi 09:00-21:00, pazar ve tatiller 09:00-15:00; Ağustos: salı-pazar 09:00-15:00</t>
        </is>
      </c>
      <c r="R109" s="29" t="n"/>
      <c r="S109" s="29" t="inlineStr">
        <is>
          <t>Salon girişleri kapanıştan 30 dakika önce kapanır; kapanıştan çeyrek saat önce salonlar boşaltılır.</t>
        </is>
      </c>
      <c r="T109" s="29" t="n"/>
    </row>
    <row r="110" ht="54" customHeight="1">
      <c r="A110" s="29" t="inlineStr">
        <is>
          <t>sevilla:italica-roma-kenti-yarim-gunluk-gezi</t>
        </is>
      </c>
      <c r="B110" s="29" t="inlineStr">
        <is>
          <t>sevilla</t>
        </is>
      </c>
      <c r="C110" s="29" t="inlineStr">
        <is>
          <t>italica-roma-kenti-yarim-gunluk-gezi</t>
        </is>
      </c>
      <c r="D110" s="29" t="inlineStr">
        <is>
          <t>Sevilla yakınındaki Roma kenti Itálica'yı gezmek için neyi bilmek gerekir?</t>
        </is>
      </c>
      <c r="E110" s="29" t="inlineStr">
        <is>
          <t>Santiponce'deki Itálica açık hava alanı salı-cumartesi 09:00-18:00, pazar 09:00-15:00; telefon 600 141 767</t>
        </is>
      </c>
      <c r="F110" s="29" t="inlineStr">
        <is>
          <t>Itálica, Sevilla yakınındaki Santiponce'de (Avenida de Extremadura 2) bulunan Roma kenti ve arkeoloji alanıdır. MÖ 206'da kuruldu, yaklaşık 52 hektara ulaştı; Trajan ve Hadrian ailelerinin buradan geldiği belirtilir. Tiyatrosu yaklaşık 3.000 seyirci alıyordu, amfitiyatrosu imparatorluğun ilk büyüklerindendi. 21 Eylül'den itibaren salıdan cumartesiye 09:00-18:00, pazar ve tatil günleri ile tatil arifesinde 09:00-15:00 açıktır; 20 Eylül'e kadar salı-pazar 09:00-15:00'ti. Pazartesi açık günler arasında değil; kapalı günler listesinde 24, 25 ve 31 Aralık yer alıyor (listede 2025 yılı yazılı). Bilgi için 600 141 767 numaralı telefon ve info.italica.ccul@juntadeandalucia.es adresi var.</t>
        </is>
      </c>
      <c r="G110" s="29" t="inlineStr">
        <is>
          <t>itálica, santiponce, roma kenti, sevilla gezi, arkeolojik alan, hadrian</t>
        </is>
      </c>
      <c r="H110" s="29" t="inlineStr">
        <is>
          <t>planning;new;settled</t>
        </is>
      </c>
      <c r="I110" s="29" t="inlineStr">
        <is>
          <t>sevilla:kaynak:209</t>
        </is>
      </c>
      <c r="J110" s="49" t="n">
        <v>46319</v>
      </c>
      <c r="K110" s="51" t="n">
        <v>1205</v>
      </c>
      <c r="L110" s="29" t="inlineStr">
        <is>
          <t>Hayır</t>
        </is>
      </c>
      <c r="M110" s="29" t="inlineStr">
        <is>
          <t>Taslak</t>
        </is>
      </c>
      <c r="N110" s="29" t="inlineStr">
        <is>
          <t>sevilla:kesif</t>
        </is>
      </c>
      <c r="O110" s="29" t="inlineStr">
        <is>
          <t>Gezi gününü salı-cumartesi seç ya da pazar günü öğleden önce git; pazar, tatil ve tatil arifesi günlerinde alan 15:00'te kapanır.
Avenida de Extremadura 2, Santiponce adresine git.
Soruların için 600 141 767'yi ara ya da info.italica.ccul@juntadeandalucia.es adresine yaz.</t>
        </is>
      </c>
      <c r="P110" s="29" t="n"/>
      <c r="Q110" s="29" t="inlineStr">
        <is>
          <t>21 Eylül'den itibaren salı-cumartesi 09:00-18:00; pazar, tatil ve tatil arifesi 09:00-15:00</t>
        </is>
      </c>
      <c r="R110" s="29" t="n"/>
      <c r="S110" s="29" t="n"/>
      <c r="T110" s="29" t="n"/>
    </row>
    <row r="111" ht="54" customHeight="1">
      <c r="A111" s="29" t="inlineStr">
        <is>
          <t>sevilla:sevilla-muzelerde-ucretsiz-etkinlik-gunleri</t>
        </is>
      </c>
      <c r="B111" s="29" t="inlineStr">
        <is>
          <t>sevilla</t>
        </is>
      </c>
      <c r="C111" s="29" t="inlineStr">
        <is>
          <t>sevilla-muzelerde-ucretsiz-etkinlik-gunleri</t>
        </is>
      </c>
      <c r="D111" s="29" t="inlineStr">
        <is>
          <t>Sevilla'da müzelere ücretsiz giriş günleri var mı?</t>
        </is>
      </c>
      <c r="E111" s="29" t="inlineStr">
        <is>
          <t>Mayıs'taki Uluslararası Müzeler Günü haftası (2026: 16-24 Mayıs) ve 28 Şubat Endülüs Günü'nde (2025 programı) ücretsiz etkinlikler yapıldı</t>
        </is>
      </c>
      <c r="F111" s="29" t="inlineStr">
        <is>
          <t>Sevilla'da sabit bir haftalık ücretsiz müze günü kaynaklarda yer almıyor; ücretsiz fırsatlar belirli günlerde çıkıyor. Junta de Andalucía'nın programına göre 2026'da Uluslararası Müzeler Günü etkinlikleri 16-24 Mayıs arasında Sevilla'daki birçok mekânda ücretsizdi (CAAC rehberli sergi gezisi, Museo de Artes y Costumbres Populares konseri, Itálica atölyesi, Museo de Bellas Artes konferansı). 28 Şubat Endülüs Günü'nde ise 2025 programında CAAC'ın etkinlikleri ve sergi girişi ücretsizdi; Junta'nın Agencia Andaluza de Instituciones Culturales'e bağlı tüm alanları halka açıktı. Müzeler Günü'nde bazı etkinlikler kontenjanlıydı: Itálica atölyesi 15, Carmona'daki (Sevilla şehri dışında, il içinde) tiyatrolu gezi 60 kişiyle sınırlıydı. 28 Şubat 2025'te CAAC etkinliklerine katılmak için önceden rezervasyon gerekiyordu.</t>
        </is>
      </c>
      <c r="G111" s="29" t="inlineStr">
        <is>
          <t>ücretsiz müze, müzeler günü, 28 şubat endülüs günü, CAAC ücretsiz, sevilla müze</t>
        </is>
      </c>
      <c r="H111" s="29" t="inlineStr">
        <is>
          <t>planning;new;settled</t>
        </is>
      </c>
      <c r="I111" s="29" t="inlineStr">
        <is>
          <t>sevilla:kaynak:210;sevilla:kaynak:211</t>
        </is>
      </c>
      <c r="J111" s="49" t="n">
        <v>46319</v>
      </c>
      <c r="K111" s="51" t="n">
        <v>1206</v>
      </c>
      <c r="L111" s="29" t="inlineStr">
        <is>
          <t>Hayır</t>
        </is>
      </c>
      <c r="M111" s="29" t="inlineStr">
        <is>
          <t>Taslak</t>
        </is>
      </c>
      <c r="N111" s="29" t="inlineStr">
        <is>
          <t>sevilla:kesif</t>
        </is>
      </c>
      <c r="O111" s="29" t="inlineStr">
        <is>
          <t>Mayıs ayında Junta de Andalucía kültür ajandasında Müzeler Günü programına bak; 2026'da program 16-24 Mayıs'taydı.
28 Şubat'ta Endülüs Günü programını incele; 2025 programında CAAC etkinlikleri ve sergi girişi ücretsizdi.
Kontenjanlı etkinliklerde programdaki kontenjana bak (2026'da Itálica atölyesi 15 kişi, Carmona gezisi 60 kişi).
CAAC'ın 28 Şubat etkinliklerine katılmak için 2025'te educ.caac@juntadeandalucia.es adresine yazarak önceden yer ayırtmak gerekiyordu.</t>
        </is>
      </c>
      <c r="P111" s="29" t="n"/>
      <c r="Q111" s="29" t="inlineStr">
        <is>
          <t>Müzeler Günü 2026: 16-24 Mayıs; Endülüs Günü: 28 Şubat</t>
        </is>
      </c>
      <c r="R111" s="29" t="inlineStr">
        <is>
          <t>Programdaki etkinlikler ücretsiz</t>
        </is>
      </c>
      <c r="S111" s="29" t="n"/>
      <c r="T111" s="29" t="n"/>
    </row>
    <row r="112" ht="54" customHeight="1">
      <c r="A112" s="29" t="inlineStr">
        <is>
          <t>sevilla:flamenko-sevilla-da-nerede-izlenir</t>
        </is>
      </c>
      <c r="B112" s="29" t="inlineStr">
        <is>
          <t>sevilla</t>
        </is>
      </c>
      <c r="C112" s="29" t="inlineStr">
        <is>
          <t>flamenko-sevilla-da-nerede-izlenir</t>
        </is>
      </c>
      <c r="D112" s="29" t="inlineStr">
        <is>
          <t>Sevilla'da flamenko nerede izlenir, nerede öğrenilir?</t>
        </is>
      </c>
      <c r="E112" s="29" t="inlineStr">
        <is>
          <t>Tablao'lar, mahalle peña'ları, tematik mekânlar, bazı barlar, Flamenko Dansı Müzesi ve flamenko akademileri</t>
        </is>
      </c>
      <c r="F112" s="29" t="inlineStr">
        <is>
          <t>Turizm kurumuna göre Sevilla'da flamenko günlük olarak izlenebiliyor: tablao'larda (eski café cantante'lerin doğrudan mirasçıları), mahalle peña'larında (flamenko dernekleri), tematik mekânlarda, bazı barlarda ve Bienal gibi festivallerde. Dansın hareketini Museo del Baile Flamenco'da görebilirsin. Ziyaretçilere ve Sevillalılara flamenko öğreten çok sayıda akademi bulunuyor. İlk café cantante 1885 dolaylarında Sevilla'da açıldı; flamenko UNESCO tarafından İnsanlığın Somut Olmayan Kültürel Mirası ilan edildi. Triana'daki Altozano'da flamenkonun üç koluna adanmış bir heykel var.</t>
        </is>
      </c>
      <c r="G112" s="29" t="inlineStr">
        <is>
          <t>flamenko sevilla, tablao, peña flamenca, museo del baile flamenco, flamenko akademisi, triana</t>
        </is>
      </c>
      <c r="H112" s="29" t="inlineStr">
        <is>
          <t>before;planning;new;settled</t>
        </is>
      </c>
      <c r="I112" s="29" t="inlineStr">
        <is>
          <t>sevilla:kaynak:212</t>
        </is>
      </c>
      <c r="J112" s="49" t="n">
        <v>46319</v>
      </c>
      <c r="K112" s="51" t="n">
        <v>1207</v>
      </c>
      <c r="L112" s="29" t="inlineStr">
        <is>
          <t>Evet</t>
        </is>
      </c>
      <c r="M112" s="29" t="inlineStr">
        <is>
          <t>Taslak</t>
        </is>
      </c>
      <c r="N112" s="29" t="inlineStr">
        <is>
          <t>sevilla:kesif</t>
        </is>
      </c>
      <c r="O112" s="29" t="inlineStr">
        <is>
          <t>Akşam için bir tablao seç (eski café cantante'lerin mirasçıları).
Daha yerel bir deneyim için mahallendeki peña'ların (flamenko derneklerinin) programını sor.
Dansın hareketini görmek için Museo del Baile Flamenco'ya git.
Öğrenmek istersen ziyaretçilere ve Sevillalılara ders veren flamenko akademilerinden birine yazıl.</t>
        </is>
      </c>
      <c r="P112" s="29" t="n"/>
      <c r="Q112" s="29" t="inlineStr">
        <is>
          <t>Flamenko Sevilla'da günlük olarak izlenebiliyor (tablao, peña, tematik mekân, bazı barlar)</t>
        </is>
      </c>
      <c r="R112" s="29" t="n"/>
      <c r="S112" s="29" t="n"/>
      <c r="T112" s="29" t="n"/>
    </row>
    <row r="113" ht="54" customHeight="1">
      <c r="A113" s="29" t="inlineStr">
        <is>
          <t>sevilla:flamenko-bienali-ne-zaman-nasil-izlenir</t>
        </is>
      </c>
      <c r="B113" s="29" t="inlineStr">
        <is>
          <t>sevilla</t>
        </is>
      </c>
      <c r="C113" s="29" t="inlineStr">
        <is>
          <t>flamenko-bienali-ne-zaman-nasil-izlenir</t>
        </is>
      </c>
      <c r="D113" s="29" t="inlineStr">
        <is>
          <t>Sevilla Flamenko Bienali (Bienal de Flamenco) ne zaman, kaç yılda bir yapılır?</t>
        </is>
      </c>
      <c r="E113" s="29" t="inlineStr">
        <is>
          <t>İki yılda bir, çift yıllarda; 2026'daki 24. Bienal 9 Eylül-3 Ekim arasında yapıldı ve bitti</t>
        </is>
      </c>
      <c r="F113" s="29" t="inlineStr">
        <is>
          <t>Bienal de Flamenco çift yıllarda yapılır ve flamenkonun en büyük adlarını Sevilla'ya toplar. 24. Bienal 9 Eylül-3 Ekim 2026 arasında sürdü: on bir mekânda 72 gösteri, 52 Bienal prömiyeri (22'si dünya prömiyeri). Teatro Central'daki gösterilerin hepsi 22:30'da başladı ve bilet 30 euroydu; erken alım indirimleri vardı (11 Şubat-10 Mart arası %10, 11 Mart-11 Nisan arası %5). Festival bitti; kaynağın çift yıl kuralına göre sıradaki Bienal 2028'e denk gelir, tarihleri kaynaklarda henüz yok.</t>
        </is>
      </c>
      <c r="G113" s="29" t="inlineStr">
        <is>
          <t>bienal de flamenco, sevilla flamenko festivali, teatro central, flamenko bileti, 2026 bienal</t>
        </is>
      </c>
      <c r="H113" s="29" t="inlineStr">
        <is>
          <t>before;planning;new;settled</t>
        </is>
      </c>
      <c r="I113" s="29" t="inlineStr">
        <is>
          <t>sevilla:kaynak:214;sevilla:kaynak:212</t>
        </is>
      </c>
      <c r="J113" s="49" t="n">
        <v>46319</v>
      </c>
      <c r="K113" s="51" t="n">
        <v>1208</v>
      </c>
      <c r="L113" s="29" t="inlineStr">
        <is>
          <t>Hayır</t>
        </is>
      </c>
      <c r="M113" s="29" t="inlineStr">
        <is>
          <t>Taslak</t>
        </is>
      </c>
      <c r="N113" s="29" t="inlineStr">
        <is>
          <t>sevilla:kesif</t>
        </is>
      </c>
      <c r="O113" s="29" t="inlineStr">
        <is>
          <t>Bir sonraki Bienal için çift yıl olan 2028'i takvimine al.
Festival yaklaşırken programı ve bilet satışını Junta'nın kültür ajandasından ve Bienal'in programından izle.
Erken alım indirimi için bilet satışı başladığı ilk haftalara bak; 2026'da erken dönemde %10 ve %5 indirim vardı.</t>
        </is>
      </c>
      <c r="P113" s="29" t="n"/>
      <c r="Q113" s="29" t="inlineStr">
        <is>
          <t>2026'daki 24. Bienal: 9 Eylül-3 Ekim; Teatro Central gösterileri 22:30</t>
        </is>
      </c>
      <c r="R113" s="29" t="inlineStr">
        <is>
          <t>Teatro Central'da bilet 30 euro (2026); erken alımda %10 ve %5 indirim</t>
        </is>
      </c>
      <c r="S113" s="29" t="n"/>
      <c r="T113" s="29" t="n"/>
    </row>
    <row r="114" ht="54" customHeight="1">
      <c r="A114" s="29" t="inlineStr">
        <is>
          <t>sevilla:andalucia-flamenco-programi-ve-teatro-central</t>
        </is>
      </c>
      <c r="B114" s="29" t="inlineStr">
        <is>
          <t>sevilla</t>
        </is>
      </c>
      <c r="C114" s="29" t="inlineStr">
        <is>
          <t>andalucia-flamenco-programi-ve-teatro-central</t>
        </is>
      </c>
      <c r="D114" s="29" t="inlineStr">
        <is>
          <t>Bienal dışında flamenko izlemek için Andalucía·Flamenco programı ve Teatro Central</t>
        </is>
      </c>
      <c r="E114" s="29" t="inlineStr">
        <is>
          <t>Junta'nın Flamenko Enstitüsü, Sevilla'daki Teatro Central'ın da aralarında olduğu üç tiyatroda flamenko programı yürütüyor (2026: 20 Mayıs-6 Haziran)</t>
        </is>
      </c>
      <c r="F114" s="29" t="inlineStr">
        <is>
          <t>Andalucía·Flamenco, Junta de Andalucía'nın Instituto Andaluz del Flamenco eliyle yürüttüğü programdır: kendi tiyatrolarında ve belediyelerle ortak programlarda flamenko sunar, peña'lardaki ve festivallerdeki etkinliklerde de yer alır. Programı yürüten tiyatrolar Sevilla'daki Teatro Central, Granada'daki Teatro Alhambra ve Málaga'daki Teatro Cánovas'tır. Teatro Central'ın 2026 programı 20 Mayıs-6 Haziran arasındaydı. Teatro Central'ın adresi Avenida José de Gálvez s/n; Bienal'de de ev sahipliği yapıyor.</t>
        </is>
      </c>
      <c r="G114" s="29" t="inlineStr">
        <is>
          <t>andalucía flamenco, teatro central, instituto andaluz del flamenco, flamenko programı, sevilla tiyatro</t>
        </is>
      </c>
      <c r="H114" s="29" t="inlineStr">
        <is>
          <t>planning;new;settled</t>
        </is>
      </c>
      <c r="I114" s="29" t="inlineStr">
        <is>
          <t>sevilla:kaynak:213;sevilla:kaynak:214</t>
        </is>
      </c>
      <c r="J114" s="49" t="n">
        <v>46319</v>
      </c>
      <c r="K114" s="51" t="n">
        <v>1209</v>
      </c>
      <c r="L114" s="29" t="inlineStr">
        <is>
          <t>Hayır</t>
        </is>
      </c>
      <c r="M114" s="29" t="inlineStr">
        <is>
          <t>Taslak</t>
        </is>
      </c>
      <c r="N114" s="29" t="inlineStr">
        <is>
          <t>sevilla:kesif</t>
        </is>
      </c>
      <c r="O114" s="29" t="inlineStr">
        <is>
          <t>Teatro Central'ın flamenko programını Junta'nın Andalucía·Flamenco sayfasından izle.
Programı yürüten öteki iki tiyatronun (Granada'daki Teatro Alhambra, Málaga'daki Teatro Cánovas) 2026 tarihlerine aynı sayfadan bak.
Teatro Central'a Avenida José de Gálvez s/n adresinden git.</t>
        </is>
      </c>
      <c r="P114" s="29" t="n"/>
      <c r="Q114" s="29" t="inlineStr">
        <is>
          <t>Teatro Central 2026 programı: 20 Mayıs-6 Haziran</t>
        </is>
      </c>
      <c r="R114" s="29" t="n"/>
      <c r="S114" s="29" t="n"/>
      <c r="T114" s="29" t="n"/>
    </row>
    <row r="115" ht="54" customHeight="1">
      <c r="A115" s="29" t="inlineStr">
        <is>
          <t>sevilla:sevilla-cocuklarla-acik-hava-ve-eglence</t>
        </is>
      </c>
      <c r="B115" s="29" t="inlineStr">
        <is>
          <t>sevilla</t>
        </is>
      </c>
      <c r="C115" s="29" t="inlineStr">
        <is>
          <t>sevilla-cocuklarla-acik-hava-ve-eglence</t>
        </is>
      </c>
      <c r="D115" s="29" t="inlineStr">
        <is>
          <t>Sevilla'da çocuklarla açık havada ve eğlenmek için nereye gidilir?</t>
        </is>
      </c>
      <c r="E115" s="29" t="inlineStr">
        <is>
          <t>Isla Mágica, su parkları, Akvaryum, Alamillo'da macera parkı, atlı arabalar, pedallı kart ve kışın buz pisti</t>
        </is>
      </c>
      <c r="F115" s="29" t="inlineStr">
        <is>
          <t>Turizm kurumunun aile listesinde şunlar var: şehir merkezinden yürüyerek gidilebilen Isla Mágica tema parkı (yedi tema bölgesi); yazın Guadalpark Sevilla ve Agua Mágica su parkları; Akvaryum (Yarımada'nın en derin tuzlu su tankı); Parque de María Luisa'da atlı araba ve pedallı bisiklet, Plaza de América'den kalkan pedallı kart; Parque del Alamillo'da çok maceralı parkur ve kablolu kayak; Guadalquivir'de kayak, Plaza de España'da kayıklar; kış aylarında Prado de San Sebastián'da kurulan buz pisti.</t>
        </is>
      </c>
      <c r="G115" s="29" t="inlineStr">
        <is>
          <t>çocuklarla sevilla, isla mágica, akvaryum, alamillo, su parkı, buz pateni, plaza de españa kayık</t>
        </is>
      </c>
      <c r="H115" s="29" t="inlineStr">
        <is>
          <t>planning;new;settled</t>
        </is>
      </c>
      <c r="I115" s="29" t="inlineStr">
        <is>
          <t>sevilla:kaynak:215</t>
        </is>
      </c>
      <c r="J115" s="49" t="n">
        <v>46319</v>
      </c>
      <c r="K115" s="51" t="n">
        <v>1210</v>
      </c>
      <c r="L115" s="29" t="inlineStr">
        <is>
          <t>Hayır</t>
        </is>
      </c>
      <c r="M115" s="29" t="inlineStr">
        <is>
          <t>Taslak</t>
        </is>
      </c>
      <c r="N115" s="29" t="inlineStr">
        <is>
          <t>sevilla:kesif</t>
        </is>
      </c>
      <c r="O115" s="29" t="inlineStr">
        <is>
          <t>Bir tam günlük program için Isla Mágica'yı seç; şehir merkezinden yürünebilir.
Yaz sıcağında su parklarından birini (Guadalpark Sevilla ya da Agua Mágica) düşün.
Parque de María Luisa'da atlı araba, pedallı bisiklet ya da Plaza de América'den pedallı kart kirala.
Kışın Prado de San Sebastián'daki buz pistine git.</t>
        </is>
      </c>
      <c r="P115" s="29" t="n"/>
      <c r="Q115" s="29" t="inlineStr">
        <is>
          <t>Buz pisti yalnız kış aylarında kuruluyor</t>
        </is>
      </c>
      <c r="R115" s="29" t="n"/>
      <c r="S115" s="29" t="n"/>
      <c r="T115" s="29" t="n"/>
    </row>
    <row r="116" ht="54" customHeight="1">
      <c r="A116" s="29" t="inlineStr">
        <is>
          <t>sevilla:sevilla-cocuklarla-muze-tiyatro-ve-bilim</t>
        </is>
      </c>
      <c r="B116" s="29" t="inlineStr">
        <is>
          <t>sevilla</t>
        </is>
      </c>
      <c r="C116" s="29" t="inlineStr">
        <is>
          <t>sevilla-cocuklarla-muze-tiyatro-ve-bilim</t>
        </is>
      </c>
      <c r="D116" s="29" t="inlineStr">
        <is>
          <t>Sevilla'da çocuklarla müzeye, tiyatroya ve bilim merkezine nasıl gidilir?</t>
        </is>
      </c>
      <c r="E116" s="29" t="inlineStr">
        <is>
          <t>Bellas Artes'te ücretsiz oyun broşürü, Alcázar'da çocuk sesli rehberi, Casa de la Ciencia ve Pazar günleri aile tiyatrosu</t>
        </is>
      </c>
      <c r="F116" s="29" t="inlineStr">
        <is>
          <t>Museo de Bellas Artes'te girişte ücretsiz verilen broşürle çocuklar "Veo, veo" oyunu oynayabilir. Real Alcázar çocuklara özel sesli rehber sunuyor ve yanında yetişkin olan 13 yaşa kadar çocuklar ücretsiz girer. Casa de la Ciencia y Planetario ailelere dönük etkinlik ajandası yayımlar. Teatro Alameda'da ekimde "El Teatro y la Familia" programı başlar ve altı ay boyunca her pazar aile oyunu sahneler. Teatro de la Maestranza'da rehberli bina turu yapılabilir; Torre del Oro'nun yanındaki Nao Victoria çocuklara ilk dünya turunu anlatır.</t>
        </is>
      </c>
      <c r="G116" s="29" t="inlineStr">
        <is>
          <t>çocuklarla müze, casa de la ciencia, planetario, teatro alameda, bellas artes çocuk, alcázar çocuk</t>
        </is>
      </c>
      <c r="H116" s="29" t="inlineStr">
        <is>
          <t>planning;new;settled</t>
        </is>
      </c>
      <c r="I116" s="29" t="inlineStr">
        <is>
          <t>sevilla:kaynak:215;sevilla:kaynak:205</t>
        </is>
      </c>
      <c r="J116" s="49" t="n">
        <v>46319</v>
      </c>
      <c r="K116" s="51" t="n">
        <v>1211</v>
      </c>
      <c r="L116" s="29" t="inlineStr">
        <is>
          <t>Hayır</t>
        </is>
      </c>
      <c r="M116" s="29" t="inlineStr">
        <is>
          <t>Taslak</t>
        </is>
      </c>
      <c r="N116" s="29" t="inlineStr">
        <is>
          <t>sevilla:kesif</t>
        </is>
      </c>
      <c r="O116" s="29" t="inlineStr">
        <is>
          <t>Museo de Bellas Artes'in girişinde ücretsiz oyun broşürünü iste.
Real Alcázar'a çocuk sesli rehberiyle git; 13 yaşa kadar çocuklar yetişkinle ücretsiz girer.
Hafta sonu etkinlikleri için Casa de la Ciencia y Planetario'nun ajandasına bak.
Ekimden itibaren pazar günleri Teatro Alameda'daki aile oyunlarını izle.</t>
        </is>
      </c>
      <c r="P116" s="29" t="n"/>
      <c r="Q116" s="29" t="inlineStr">
        <is>
          <t>Teatro Alameda aile programı ekimde başlar ve altı ay sürer, her pazar</t>
        </is>
      </c>
      <c r="R116" s="29" t="inlineStr">
        <is>
          <t>13 yaşa kadar çocuklar Alcázar'a yetişkinle ücretsiz</t>
        </is>
      </c>
      <c r="S116" s="29" t="n"/>
      <c r="T116" s="29" t="n"/>
    </row>
    <row r="117" ht="54" customHeight="1">
      <c r="A117" s="29" t="inlineStr">
        <is>
          <t>sevilla:sevilla-parklari-ve-bahceleri</t>
        </is>
      </c>
      <c r="B117" s="29" t="inlineStr">
        <is>
          <t>sevilla</t>
        </is>
      </c>
      <c r="C117" s="29" t="inlineStr">
        <is>
          <t>sevilla-parklari-ve-bahceleri</t>
        </is>
      </c>
      <c r="D117" s="29" t="inlineStr">
        <is>
          <t>Sevilla'da yürüyüş ve dinlenme için hangi parklar ve bahçeler var?</t>
        </is>
      </c>
      <c r="E117" s="29" t="inlineStr">
        <is>
          <t>28 park ve bahçe, 11 ağaçlı yürüyüş yolu; María Luisa, Magallanes, Príncipes, Prado, Murillo, Buhaira ve Alamillo</t>
        </is>
      </c>
      <c r="F117" s="29" t="inlineStr">
        <is>
          <t>Sevilla'da yaklaşık bin hektar yeşil alan var; kişi başına 14 metrekare düşüyor ve 115.000 ağaç sokaklara ve meydanlara dağılmış durumda. Şehirde 28 park ve bahçe ile 11 ağaçlı yürüyüş yolu sayılıyor. Parque de María Luisa en tanınan olanı; Plaza de España ve 1929 pavyonları içinde. Nehir kıyısında yeni Parque Magallanes var. Los Remedios'ta Feria alanına yakın Parque de los Príncipes, Prado Bahçeleri, Alcázar surunun yanındaki Paseo de Catalina de Ribera, yüzyıllık ağaçlarıyla Murillo Bahçeleri ve eski Arap bahçelerini yaşatan Buhaira Bahçeleri öne çıkıyor. Alameda de Hércules 1574'te Avrupa'nın ilk kamusal bahçesi oldu.</t>
        </is>
      </c>
      <c r="G117" s="29" t="inlineStr">
        <is>
          <t>sevilla parkları, parque de maría luisa, alamillo, jardines de murillo, buhaira, alameda de hércules</t>
        </is>
      </c>
      <c r="H117" s="29" t="inlineStr">
        <is>
          <t>planning;new;settled</t>
        </is>
      </c>
      <c r="I117" s="29" t="inlineStr">
        <is>
          <t>sevilla:kaynak:216;sevilla:kaynak:217</t>
        </is>
      </c>
      <c r="J117" s="49" t="n">
        <v>46319</v>
      </c>
      <c r="K117" s="51" t="n">
        <v>1212</v>
      </c>
      <c r="L117" s="29" t="inlineStr">
        <is>
          <t>Hayır</t>
        </is>
      </c>
      <c r="M117" s="29" t="inlineStr">
        <is>
          <t>Taslak</t>
        </is>
      </c>
      <c r="N117" s="29" t="inlineStr">
        <is>
          <t>sevilla:kesif</t>
        </is>
      </c>
      <c r="O117" s="29" t="inlineStr">
        <is>
          <t>Parque de María Luisa'yı ayır; Plaza de España ve 1929 pavyonları bu parkın içinde.
Nehir kıyısı için Parque Magallanes'e git.
Alcázar surunun yanında Paseo de Catalina de Ribera'dan Murillo Bahçeleri'ne yürü.
San Bernardo yakınındaki Buhaira Bahçeleri'ni ve Los Remedios'taki Parque de los Príncipes'i gez.</t>
        </is>
      </c>
      <c r="P117" s="29" t="n"/>
      <c r="Q117" s="29" t="n"/>
      <c r="R117" s="29" t="n"/>
      <c r="S117" s="29" t="n"/>
      <c r="T117" s="29" t="n"/>
    </row>
    <row r="118" ht="54" customHeight="1">
      <c r="A118" s="29" t="inlineStr">
        <is>
          <t>sevilla:guadalquivir-nehir-kiyisinda-yuruyus-ve-su-sporlari</t>
        </is>
      </c>
      <c r="B118" s="29" t="inlineStr">
        <is>
          <t>sevilla</t>
        </is>
      </c>
      <c r="C118" s="29" t="inlineStr">
        <is>
          <t>guadalquivir-nehir-kiyisinda-yuruyus-ve-su-sporlari</t>
        </is>
      </c>
      <c r="D118" s="29" t="inlineStr">
        <is>
          <t>Sevilla'da Guadalquivir kıyısında yürüyüş ve su sporları için nereler var?</t>
        </is>
      </c>
      <c r="E118" s="29" t="inlineStr">
        <is>
          <t>Paseo de la Virgen de la O, Jardines de Chapina, calle Betis; kürek, kano ve paddle surf</t>
        </is>
      </c>
      <c r="F118" s="29" t="inlineStr">
        <is>
          <t>Turizm kurumu nehir kıyısında dinlenmek için Paseo de la Virgen de la O'yu, Jardines de Chapina'yı ve calle Betis'teki banklardan birini öneriyor. San Telmo Köprüsü'nden geçerken, Magellan'ın 1519'daki dünya turu yolculuğunun başlangıcını anan armillary küresi görülür. Guadalquivir'in sakin suları kürek, kano ve paddle surf için dünyanın en iyi yerlerinden sayılıyor; ekipmanın yoksa bunu sağlayan şirketler var ve yeni başlayanlar için ders de veriliyor.</t>
        </is>
      </c>
      <c r="G118" s="29" t="inlineStr">
        <is>
          <t>guadalquivir, nehir yürüyüşü, calle betis, kürek, kano, paddle surf, san telmo köprüsü</t>
        </is>
      </c>
      <c r="H118" s="29" t="inlineStr">
        <is>
          <t>planning;new;settled</t>
        </is>
      </c>
      <c r="I118" s="29" t="inlineStr">
        <is>
          <t>sevilla:kaynak:218;sevilla:kaynak:280</t>
        </is>
      </c>
      <c r="J118" s="49" t="n">
        <v>46319</v>
      </c>
      <c r="K118" s="51" t="n">
        <v>1213</v>
      </c>
      <c r="L118" s="29" t="inlineStr">
        <is>
          <t>Hayır</t>
        </is>
      </c>
      <c r="M118" s="29" t="inlineStr">
        <is>
          <t>Taslak</t>
        </is>
      </c>
      <c r="N118" s="29" t="inlineStr">
        <is>
          <t>sevilla:kesif</t>
        </is>
      </c>
      <c r="O118" s="29" t="inlineStr">
        <is>
          <t>Calle Betis boyunca ya da Paseo de la Virgen de la O'da nehir kıyısında yürü.
Jardines de Chapina'da nehir manzarasıyla dinlen.
San Telmo Köprüsü'nü geçerken Magellan yolculuğunu anan armillary küresine bak.
Su sporu denemek istersen nehirde ekipman kiralayan ve ders veren şirketlerden birine başvur.</t>
        </is>
      </c>
      <c r="P118" s="29" t="n"/>
      <c r="Q118" s="29" t="n"/>
      <c r="R118" s="29" t="n"/>
      <c r="S118" s="29" t="n"/>
      <c r="T118" s="29" t="n"/>
    </row>
    <row r="119" ht="54" customHeight="1">
      <c r="A119" s="29" t="inlineStr">
        <is>
          <t>sevilla:bisikletle-sevilla-sevici-ve-tematik-rotalar</t>
        </is>
      </c>
      <c r="B119" s="29" t="inlineStr">
        <is>
          <t>sevilla</t>
        </is>
      </c>
      <c r="C119" s="29" t="inlineStr">
        <is>
          <t>bisikletle-sevilla-sevici-ve-tematik-rotalar</t>
        </is>
      </c>
      <c r="D119" s="29" t="inlineStr">
        <is>
          <t>Sevilla'yı bisikletle keşfetmek: Sevici ve dört tematik rota</t>
        </is>
      </c>
      <c r="E119" s="29" t="inlineStr">
        <is>
          <t>265 istasyonlu kamu bisikleti Sevici'de ilk 30 dakika ücretsiz; parklar, tarih, çağdaş mimari ve 1929 fuarı rotaları</t>
        </is>
      </c>
      <c r="F119" s="29" t="inlineStr">
        <is>
          <t>Sevilla'nın kamu bisikleti Sevici'nin 265 istasyonu günün 24 saati açık ve istasyonlara dağılmış 2.600 bisiklet var; kiralamanın ilk 30 dakikası ücretsiz. Hem uzun süreli hem kısa süreli abonelik seçeneği bulunuyor. Turizm kurumuna göre bisiklet yolları ağı yaklaşık 200 km'ye yakın ve tüm mahallelere ulaşıyor. Keşif için dört tematik rota hazırlanmış: Parklar, bahçeler ve nehir; Tarihî miras; Çağdaş mimari; 1929 Fuarı. San Bernardo-Viapol'daki güvenli bisiklet istasyonu 212 yerli, kapalı ve çatılı; PVerde uygulamasıyla ya da secure.parkingverde.com'dan kullanılır.</t>
        </is>
      </c>
      <c r="G119" s="29" t="inlineStr">
        <is>
          <t>sevici, sevilla bisiklet, bisiklet yolu, kamu bisikleti, biciestación, pverde</t>
        </is>
      </c>
      <c r="H119" s="29" t="inlineStr">
        <is>
          <t>planning;new;settled</t>
        </is>
      </c>
      <c r="I119" s="29" t="inlineStr">
        <is>
          <t>sevilla:kaynak:185</t>
        </is>
      </c>
      <c r="J119" s="49" t="n">
        <v>46319</v>
      </c>
      <c r="K119" s="51" t="n">
        <v>1214</v>
      </c>
      <c r="L119" s="29" t="inlineStr">
        <is>
          <t>Hayır</t>
        </is>
      </c>
      <c r="M119" s="29" t="inlineStr">
        <is>
          <t>Taslak</t>
        </is>
      </c>
      <c r="N119" s="29" t="inlineStr">
        <is>
          <t>sevilla:kesif</t>
        </is>
      </c>
      <c r="O119" s="29" t="inlineStr">
        <is>
          <t>Sevici'nin uzun ya da kısa süreli aboneliklerinden birini seç.
Kısa gezilerde ilk 30 dakikalık ücretsiz süreyi kullan; istasyonlar günün 24 saati açık.
Dört tematik rotadan birini seç: Parklar, bahçeler ve nehir; Tarihî miras; Çağdaş mimari; 1929 Fuarı.
Bisikletini San Bernardo-Viapol'daki güvenli istasyona bırakacaksan PVerde uygulamasından ya da secure.parkingverde.com'dan kullan.</t>
        </is>
      </c>
      <c r="P119" s="29" t="n"/>
      <c r="Q119" s="29" t="inlineStr">
        <is>
          <t>Sevici istasyonları günün 24 saati açık; ilk 30 dakika ücretsiz</t>
        </is>
      </c>
      <c r="R119" s="29" t="inlineStr">
        <is>
          <t>Sevici'de ilk 30 dakika ücretsiz</t>
        </is>
      </c>
      <c r="S119" s="29" t="inlineStr">
        <is>
          <t>Sevici'nin 30 dakikadan sonraki tarifesi ve abonelik ücretleri kaynakta yer almıyor.</t>
        </is>
      </c>
      <c r="T119" s="29" t="n"/>
    </row>
    <row r="120" ht="54" customHeight="1">
      <c r="A120" s="29" t="inlineStr">
        <is>
          <t>sevilla:sevilla-acik-havada-spor-secenekleri</t>
        </is>
      </c>
      <c r="B120" s="29" t="inlineStr">
        <is>
          <t>sevilla</t>
        </is>
      </c>
      <c r="C120" s="29" t="inlineStr">
        <is>
          <t>sevilla-acik-havada-spor-secenekleri</t>
        </is>
      </c>
      <c r="D120" s="29" t="inlineStr">
        <is>
          <t>Sevilla'da açık havada hangi sporlar yapılır, nerede?</t>
        </is>
      </c>
      <c r="E120" s="29" t="inlineStr">
        <is>
          <t>Skatepark, kano ve kürek, Alamillo'da wakeboard, La Cartuja golf sahası, calistenia alanları ve futbol stadyum turları</t>
        </is>
      </c>
      <c r="F120" s="29" t="inlineStr">
        <is>
          <t>Turizm kurumu Sevilla'da koşunun yanında yedi seçenek sayıyor: bisiklet ve paten; nehir kıyısındaki Plaza de Armas skatepark'ı (bir bölümü geceleri aydınlatılıyor); Guadalquivir'de kürek, kano ve paddle surf; Triana Köprüsü'nün bir kemerinde kentsel tırmanış (güvenlik önlemi olmadığı için uzmanlara yönelik); Parque del Alamillo'da wakeboard (beş yaşından itibaren çocuklar katılabiliyor); La Cartuja'da 18 delikli golf sahası; Alamillo, Miraflores ve Vega de Triana parklarında calistenia ve street workout alanları. İki futbol stadyumu, Ramón Sánchez-Pizjuán ve Benito Villamarín, tur ile gezilebiliyor; turizm kurumunun sayfasına göre Benito Villamarín şu sıralar tadilatta.</t>
        </is>
      </c>
      <c r="G120" s="29" t="inlineStr">
        <is>
          <t>sevilla spor, skatepark plaza de armas, wakeboard alamillo, golf la cartuja, calistenia, stadyum turu, kentsel tırmanış</t>
        </is>
      </c>
      <c r="H120" s="29" t="inlineStr">
        <is>
          <t>planning;new;settled</t>
        </is>
      </c>
      <c r="I120" s="29" t="inlineStr">
        <is>
          <t>sevilla:kaynak:280;sevilla:kaynak:215</t>
        </is>
      </c>
      <c r="J120" s="49" t="n">
        <v>46319</v>
      </c>
      <c r="K120" s="51" t="n">
        <v>1215</v>
      </c>
      <c r="L120" s="29" t="inlineStr">
        <is>
          <t>Hayır</t>
        </is>
      </c>
      <c r="M120" s="29" t="inlineStr">
        <is>
          <t>Taslak</t>
        </is>
      </c>
      <c r="N120" s="29" t="inlineStr">
        <is>
          <t>sevilla:kesif</t>
        </is>
      </c>
      <c r="O120" s="29" t="inlineStr">
        <is>
          <t>Koşu için spor ayakkabı ve rahat kıyafet yeter; birçok parkta koşu için devreler var.
Kaykay için nehir kıyısındaki Plaza de Armas skatepark'ına git; orta-ileri seviyeye uygun, başlangıç için okullar var.
Wakeboard denemek için Parque del Alamillo'ya git; beş yaşından itibaren çocuklar da katılabiliyor.
Calistenia için Alamillo, Miraflores ya da Vega de Triana'daki donanımlı alanları kullan.
Triana Köprüsü'ndeki tırmanış alanını yalnız deneyimliysen kullan; orada güvenlik önlemi yok.</t>
        </is>
      </c>
      <c r="P120" s="29" t="n"/>
      <c r="Q120" s="29" t="n"/>
      <c r="R120" s="29" t="n"/>
      <c r="S120" s="29" t="n"/>
      <c r="T120" s="29" t="n"/>
    </row>
    <row r="121" ht="54" customHeight="1">
      <c r="A121" s="29" t="inlineStr">
        <is>
          <t>sevilla:sevilla-ziyaretci-davranis-kurallari-ve-geri-donusum</t>
        </is>
      </c>
      <c r="B121" s="29" t="inlineStr">
        <is>
          <t>sevilla</t>
        </is>
      </c>
      <c r="C121" s="29" t="inlineStr">
        <is>
          <t>sevilla-ziyaretci-davranis-kurallari-ve-geri-donusum</t>
        </is>
      </c>
      <c r="D121" s="29" t="inlineStr">
        <is>
          <t>Sevilla'da turistik bölgelerde ve mahallelerde nasıl davranılır?</t>
        </is>
      </c>
      <c r="E121" s="29" t="inlineStr">
        <is>
          <t>Turizm kurumunun on maddelik rehberi: sessizlik, temizlik, çöp ayrıştırma, trafik ve sigara yasağı olan alanlar</t>
        </is>
      </c>
      <c r="F121" s="29" t="inlineStr">
        <is>
          <t>Turizm kurumunun rehberi, sokakları ziyaretçilerle birlikte kullanan yerlilere saygı için on madde sayıyor: geceleri komşuların dinlenmesine saygı, park ve bahçeleri koruma, yerel geleneklere saygı, ziyaret ettiğin yerlere özen, anıtların ötesinde mahalleleri keşfetme, çöp için doğru konteyner ve toplama saatleri, sokakları temiz tutma, bisiklet-araba-scooter kullanırken trafik kuralları ve sigara içilmeyen alanlara uyma. Barrio de Santa Cruz en çok ziyaret edilen yerlerden biri ve yıl boyu komşuların yaşadığı bir mahalle; bu yüzden orası için ayrıca bir rehber var. Atıklar organik, ambalaj (plastik, teneke, brik), kâğıt-karton ve cam konteynerlerine ayrılır.</t>
        </is>
      </c>
      <c r="G121" s="29" t="inlineStr">
        <is>
          <t>sevilla davranış kuralları, santa cruz mahallesi, geri dönüşüm, çöp konteyneri, sessizlik, sigara yasağı</t>
        </is>
      </c>
      <c r="H121" s="29" t="inlineStr">
        <is>
          <t>new;settled</t>
        </is>
      </c>
      <c r="I121" s="29" t="inlineStr">
        <is>
          <t>sevilla:kaynak:204</t>
        </is>
      </c>
      <c r="J121" s="49" t="n">
        <v>46319</v>
      </c>
      <c r="K121" s="51" t="n">
        <v>1216</v>
      </c>
      <c r="L121" s="29" t="inlineStr">
        <is>
          <t>Hayır</t>
        </is>
      </c>
      <c r="M121" s="29" t="inlineStr">
        <is>
          <t>Taslak</t>
        </is>
      </c>
      <c r="N121" s="29" t="inlineStr">
        <is>
          <t>sevilla:kesif</t>
        </is>
      </c>
      <c r="O121" s="29" t="inlineStr">
        <is>
          <t>Geceleri sokakta ve konaklama yerlerinde komşuların dinlenmesine saygı göster.
Çöpünü organik, ambalaj, kâğıt-karton ve cam konteynerlerinden doğru olana at ve toplama saatlerine uy.
Bisiklet, araba ya da scooter kullanırken trafik kurallarına uy.
Barrio de Santa Cruz'a gidiyorsan oraya özel rehberi oku.</t>
        </is>
      </c>
      <c r="P121" s="29" t="n"/>
      <c r="Q121" s="29" t="n"/>
      <c r="R121" s="29" t="n"/>
      <c r="S121" s="29" t="n"/>
      <c r="T121" s="29" t="n"/>
    </row>
    <row r="122" ht="54" customHeight="1">
      <c r="A122" s="29" t="inlineStr">
        <is>
          <t>sevilla:turizm-bilgi-ofisleri-adres-ve-saatler</t>
        </is>
      </c>
      <c r="B122" s="29" t="inlineStr">
        <is>
          <t>sevilla</t>
        </is>
      </c>
      <c r="C122" s="29" t="inlineStr">
        <is>
          <t>turizm-bilgi-ofisleri-adres-ve-saatler</t>
        </is>
      </c>
      <c r="D122" s="29" t="inlineStr">
        <is>
          <t>Sevilla'da turizm bilgi ofisleri nerede, ne zaman açık?</t>
        </is>
      </c>
      <c r="E122" s="29" t="inlineStr">
        <is>
          <t>Marqués del Contadero, Plaza de San Francisco, Paseo Colón, Triana, havalimanı ve Santa Justa istasyonu</t>
        </is>
      </c>
      <c r="F122" s="29" t="inlineStr">
        <is>
          <t>Sevilla'da altı turizm bilgi noktası var. Oficina Turismo Marqués del Contadero (Paseo Marqués del Contadero s/n) her gün 09:30-19:00, kasım-mart ve yaz aylarında 09:30-18:30 açık. Plaza de San Francisco 19'daki ofis her gün 09:30-14:30 ve 15:30-18:30, Kutsal Hafta'da 09:30-15:00. Paseo de Cristóbal Colón s/n'deki kiosk her gün 09:30-18:30, kasım-mart ve yaz aylarında 09:30-14:30 ve 15:30-18:00 (öğle arasıyla) açık. Triana'da Plaza del Altozano s/n'deki nokta her gün 09:30-14:30 açık; Feria de Abril'de, 25 Aralık, 1 ve 6 Ocak'ta kapalı. Havalimanında (varış terminali) ve Santa Justa'da (Avenida Kansas City s/n) hafta içi 09:00-19:30, hafta sonu ve tatilde 09:30-15:00.</t>
        </is>
      </c>
      <c r="G122" s="29" t="inlineStr">
        <is>
          <t>turizm bilgi ofisi, sevilla turist ofisi, havalimanı bilgi, santa justa, marqués del contadero, altozano</t>
        </is>
      </c>
      <c r="H122" s="29" t="inlineStr">
        <is>
          <t>before;planning;new</t>
        </is>
      </c>
      <c r="I122" s="29" t="inlineStr">
        <is>
          <t>sevilla:kaynak:220</t>
        </is>
      </c>
      <c r="J122" s="49" t="n">
        <v>46319</v>
      </c>
      <c r="K122" s="51" t="n">
        <v>1217</v>
      </c>
      <c r="L122" s="29" t="inlineStr">
        <is>
          <t>Hayır</t>
        </is>
      </c>
      <c r="M122" s="29" t="inlineStr">
        <is>
          <t>Taslak</t>
        </is>
      </c>
      <c r="N122" s="29" t="inlineStr">
        <is>
          <t>sevilla:kesif</t>
        </is>
      </c>
      <c r="O122" s="29" t="inlineStr">
        <is>
          <t>Haritayı ve broşürü almak için merkezde Marqués del Contadero ya da Plaza de San Francisco ofisine uğra.
Havalimanına varınca varış terminalindeki OIT-Andalucía noktasını kullan.
Trenle gelirsen Santa Justa istasyonunda Avenida Kansas City s/n'deki noktaya git.
Triana'da Plaza del Altozano'daki noktayı öğleden önce ziyaret et; öğleden sonra kapalı.</t>
        </is>
      </c>
      <c r="P122" s="29" t="n"/>
      <c r="Q122" s="29" t="inlineStr">
        <is>
          <t>Çoğu nokta her gün 09:30'dan itibaren açık; havalimanı ve Santa Justa hafta içi 09:00-19:30</t>
        </is>
      </c>
      <c r="R122" s="29" t="n"/>
      <c r="S122" s="29" t="n"/>
      <c r="T122" s="29" t="n"/>
    </row>
    <row r="123" ht="54" customHeight="1">
      <c r="A123" s="29" t="inlineStr">
        <is>
          <t>sevilla:erisilebilir-sevilla-rotalari-ve-dokunsal-maketler</t>
        </is>
      </c>
      <c r="B123" s="29" t="inlineStr">
        <is>
          <t>sevilla</t>
        </is>
      </c>
      <c r="C123" s="29" t="inlineStr">
        <is>
          <t>erisilebilir-sevilla-rotalari-ve-dokunsal-maketler</t>
        </is>
      </c>
      <c r="D123" s="29" t="inlineStr">
        <is>
          <t>Sevilla'yı hareket kısıtı ya da görme engeliyle gezmek için hangi olanaklar var?</t>
        </is>
      </c>
      <c r="E123" s="29" t="inlineStr">
        <is>
          <t>Dört erişilebilir rota ve Katedral ile Alcázar'ın iki dokunsal bronz maketi</t>
        </is>
      </c>
      <c r="F123" s="29" t="inlineStr">
        <is>
          <t>Sevilla turizm kurumu, hareket kısıtı olanlar için tarihî merkezde dört erişilebilir rota sunuyor; her durakta zemin, dinlenme alanları ve basamaksız erişim bilgisi veriliyor. Rotalar: Eiffel'in işlevselciliğinden Sevilla barokuna; Hazinelerle dolu bir cadde; Dünün, bugünün ve her zamanın dükkânları; Anıtsal bir nehir. Görme engelliler için Katedral ve Real Alcázar'ın ölçekli bronz dokunsal maketleri var: Katedral'inki Compás de la Puerta de San Cristóbal'de, Alcázar'ınki Puerta del León'un yanında. Ayrıca erişilebilir oteller, restoranlar ve turistik mekânlar listelenmiş ve kolay okuma materyalleri sunuluyor.</t>
        </is>
      </c>
      <c r="G123" s="29" t="inlineStr">
        <is>
          <t>erişilebilir turizm, engelli sevilla, tekerlekli sandalye, dokunsal maket, görme engelli, kolay okuma</t>
        </is>
      </c>
      <c r="H123" s="29" t="inlineStr">
        <is>
          <t>before;planning;new;settled</t>
        </is>
      </c>
      <c r="I123" s="29" t="inlineStr">
        <is>
          <t>sevilla:kaynak:281</t>
        </is>
      </c>
      <c r="J123" s="49" t="n">
        <v>46319</v>
      </c>
      <c r="K123" s="51" t="n">
        <v>1218</v>
      </c>
      <c r="L123" s="29" t="inlineStr">
        <is>
          <t>Hayır</t>
        </is>
      </c>
      <c r="M123" s="29" t="inlineStr">
        <is>
          <t>Taslak</t>
        </is>
      </c>
      <c r="N123" s="29" t="inlineStr">
        <is>
          <t>sevilla:kesif</t>
        </is>
      </c>
      <c r="O123" s="29" t="inlineStr">
        <is>
          <t>Hareket kısıtın varsa dört erişilebilir rotadan birini seç.
Görme engelliysen Katedral'in Compás de la Puerta de San Cristóbal'deki maketine dokunarak mimariyi tanı.
Alcázar'ın maketini Puerta del León'un yanında bul.
Otel ve restoran seçerken turizm kurumunun erişilebilir kaynaklar listesine bak.</t>
        </is>
      </c>
      <c r="P123" s="29" t="n"/>
      <c r="Q123" s="29" t="n"/>
      <c r="R123" s="29" t="n"/>
      <c r="S123" s="29" t="n"/>
      <c r="T123" s="29" t="n"/>
    </row>
    <row r="124" ht="54" customHeight="1">
      <c r="A124" s="29" t="inlineStr">
        <is>
          <t>sevilla:real-alcazar-konserler-gece-ziyaretleri-ve-sergiler</t>
        </is>
      </c>
      <c r="B124" s="29" t="inlineStr">
        <is>
          <t>sevilla</t>
        </is>
      </c>
      <c r="C124" s="29" t="inlineStr">
        <is>
          <t>real-alcazar-konserler-gece-ziyaretleri-ve-sergiler</t>
        </is>
      </c>
      <c r="D124" s="29" t="inlineStr">
        <is>
          <t>Real Alcázar'da bahçe konserleri, gece ziyaretleri ve sergilerin fiyatları nedir?</t>
        </is>
      </c>
      <c r="E124" s="29" t="inlineStr">
        <is>
          <t>Bahçe konserleri 7 euro, tiyatrolu gece ziyareti 15 euro, özel mekân gezisi 10 euro; temalı ziyaretler ücretsiz</t>
        </is>
      </c>
      <c r="F124" s="29" t="inlineStr">
        <is>
          <t>Real Alcázar'ın normal gezisinden ayrı bir etkinlik tarifesi var: "Noches en los Jardines del Real Alcázar" konser dizisi 7,00 euro, tiyatrolu gece ziyaretleri 15,00 euro, "Real Alcázar abierto a Sevilla" temalı ziyaretleri ücretsiz, tekil mekânlara ziyaretler 10,00 euro. Geçici sergiler Patronato'ya maliyetine göre 3,00 ya da 6,00 euro; Patronato'ya maliyeti olmayan sergiler ücretsiz.</t>
        </is>
      </c>
      <c r="G124" s="29" t="inlineStr">
        <is>
          <t>alcázar konser, noches en los jardines, gece ziyareti, tiyatrolu ziyaret, geçici sergi, alcázar etkinlik</t>
        </is>
      </c>
      <c r="H124" s="29" t="inlineStr">
        <is>
          <t>planning;new;settled</t>
        </is>
      </c>
      <c r="I124" s="29" t="inlineStr">
        <is>
          <t>sevilla:kaynak:205</t>
        </is>
      </c>
      <c r="J124" s="49" t="n">
        <v>46319</v>
      </c>
      <c r="K124" s="51" t="n">
        <v>1219</v>
      </c>
      <c r="L124" s="29" t="inlineStr">
        <is>
          <t>Hayır</t>
        </is>
      </c>
      <c r="M124" s="29" t="inlineStr">
        <is>
          <t>Taslak</t>
        </is>
      </c>
      <c r="N124" s="29" t="inlineStr">
        <is>
          <t>sevilla:kesif</t>
        </is>
      </c>
      <c r="O124" s="29" t="inlineStr">
        <is>
          <t>Etkinlik türünü seç: bahçe konseri, tiyatrolu gece ziyareti, tekil mekân gezisi ya da sergi.
Konser, gece ziyareti ve sergi tarihlerini Alcázar'ın resmî sitesinde ara.
Sergi ücretsiz mi diye bak: Patronato'ya maliyeti olmayan sergiler ücretsizdir.</t>
        </is>
      </c>
      <c r="P124" s="29" t="n"/>
      <c r="Q124" s="29" t="n"/>
      <c r="R124" s="29" t="inlineStr">
        <is>
          <t>Konser 7,00 euro; tiyatrolu gece ziyareti 15,00 euro; tekil mekân ziyareti 10,00 euro; geçici sergi 3,00 ya da 6,00 euro</t>
        </is>
      </c>
      <c r="S124" s="29" t="n"/>
      <c r="T124" s="29" t="n"/>
    </row>
    <row r="125" ht="54" customHeight="1">
      <c r="A125" s="29" t="inlineStr">
        <is>
          <t>sevilla:nie-nedir-ne-ise-yarar</t>
        </is>
      </c>
      <c r="B125" s="29" t="inlineStr">
        <is>
          <t>sevilla</t>
        </is>
      </c>
      <c r="C125" s="29" t="inlineStr">
        <is>
          <t>nie-nedir-ne-ise-yarar</t>
        </is>
      </c>
      <c r="D125" s="29" t="inlineStr">
        <is>
          <t>NIE nedir, ne işe yarar ve nasıl istenir?</t>
        </is>
      </c>
      <c r="E125" s="29" t="inlineStr">
        <is>
          <t>NIE, yabancılara verilen kimlik numarasıdır; harcı 9,84 euro</t>
        </is>
      </c>
      <c r="F125" s="29" t="inlineStr">
        <is>
          <t>NIE (Número de Identidad de Extranjero, yabancı kimlik numarası), İspanya ile ekonomik, mesleki ya da sosyal bağı olan yabancıların Polis Genel Müdürlüğü'nden istemesi gereken numaradır. Başvuru için İspanya'da düzensiz durumda olmaman ve numarayı neden istediğini bildirmen gerekir. Dilekçe EX15 formu ve 790 kodu 012 harç belgesiyle verilir; NIE harcı 9,84 euro'dur. Yönetmelik süresi en çok beş gündür ve bu sürede cevap gelmezse başvuru reddedilmiş sayılır.</t>
        </is>
      </c>
      <c r="G125" s="29" t="inlineStr">
        <is>
          <t>NIE, número de identidad de extranjero, EX15, tasa 790 012, yabancı kimlik numarası, NIE harcı</t>
        </is>
      </c>
      <c r="H125" s="29" t="inlineStr">
        <is>
          <t>planning;new</t>
        </is>
      </c>
      <c r="I125" s="29" t="inlineStr">
        <is>
          <t>sevilla:kaynak:001;sevilla:kaynak:002</t>
        </is>
      </c>
      <c r="J125" s="49" t="n">
        <v>46319</v>
      </c>
      <c r="K125" s="51" t="n">
        <v>9000</v>
      </c>
      <c r="L125" s="29" t="inlineStr">
        <is>
          <t>Hayır</t>
        </is>
      </c>
      <c r="M125" s="29" t="inlineStr">
        <is>
          <t>Taslak</t>
        </is>
      </c>
      <c r="N125" s="29" t="inlineStr">
        <is>
          <t>sevilla:oturum</t>
        </is>
      </c>
      <c r="O125" s="29" t="inlineStr">
        <is>
          <t>Numarayı neden istediğini (ekonomik, mesleki ya da sosyal bağını) yazılı olarak bildirmeye hazırlan; İspanya'da düzensiz durumda olmaman gerekir.
EX15 formunu (NIE ve sertifika talebi) doldur.
790 kodu 012 harç belgesini al ve 9,84 euro harcı öde; harç, hesabın olmasa da bankalarda ve tasarruf kasalarında ödenir.
Dilekçeyi Polis Genel Müdürlüğü'ne yabancılar ofisi (Oficina de Extranjería) ya da polis karakolu (Comisaría) aracılığıyla ver; İspanya dışındaysan İspanya konsoloslukları üzerinden başvur.</t>
        </is>
      </c>
      <c r="P125" s="29" t="inlineStr">
        <is>
          <t>EX15 formu (NIE ve sertifika talebi)
790 kodu 012 harç ödeme belgesi</t>
        </is>
      </c>
      <c r="Q125" s="29" t="inlineStr">
        <is>
          <t>Yönetmeliğe göre en çok beş gün; bu sürede cevap gelmezse başvuru reddedilmiş sayılır.</t>
        </is>
      </c>
      <c r="R125" s="29" t="inlineStr">
        <is>
          <t>NIE harcı 9,84 euro (Orden PJC/617/2025 tarifesi).</t>
        </is>
      </c>
      <c r="S125" s="29" t="inlineStr">
        <is>
          <t>Ret ya da cevapsızlık durumunda karara karşı 1 ay içinde aynı makama itiraz (reposición), 2 ay içinde idare mahkemesine dava yolu açıktır.</t>
        </is>
      </c>
      <c r="T125" s="29" t="n"/>
    </row>
    <row r="126" ht="54" customHeight="1">
      <c r="A126" s="29" t="inlineStr">
        <is>
          <t>sevilla:ab-vatandasi-kayit-sertifikasi</t>
        </is>
      </c>
      <c r="B126" s="29" t="inlineStr">
        <is>
          <t>sevilla</t>
        </is>
      </c>
      <c r="C126" s="29" t="inlineStr">
        <is>
          <t>ab-vatandasi-kayit-sertifikasi</t>
        </is>
      </c>
      <c r="D126" s="29" t="inlineStr">
        <is>
          <t>AB vatandaşı kayıt sertifikası (Certificado de Registro de Ciudadano de la UE) nasıl alınır?</t>
        </is>
      </c>
      <c r="E126" s="29" t="inlineStr">
        <is>
          <t>Üç aydan uzun kalacak AB/AEA/İsviçre vatandaşları için; başvuru üç ay içinde, belge hemen verilir</t>
        </is>
      </c>
      <c r="F126" s="29" t="inlineStr">
        <is>
          <t>Başka bir AB ya da AEA ülkesinin (ya da İsviçre'nin) vatandaşıysan ve İspanya'da üç aydan uzun kalacaksan, kalacağın ilin yabancılar ofisine ya da yetkili polis karakoluna kendin gidip Merkez Yabancılar Kaydı'na (Registro Central de Extranjeros) yazılmak zorundasın. Başvuruyu İspanya'ya girişinden itibaren üç ay içinde yaparsın; kayıt sertifikası hemen verilir ve üzerinde adın, uyruğun, adresin, NIE numaran ve kayıt tarihin yazar. Güncel resmî tarifeye göre bu belgenin harcı 12,00 euro.</t>
        </is>
      </c>
      <c r="G126" s="29" t="inlineStr">
        <is>
          <t>AB kayıt sertifikası, certificado de registro, EX18, Registro Central de Extranjeros, tasa 790 012, AB vatandaşı</t>
        </is>
      </c>
      <c r="H126" s="29" t="inlineStr">
        <is>
          <t>new</t>
        </is>
      </c>
      <c r="I126" s="29" t="inlineStr">
        <is>
          <t>sevilla:kaynak:003;sevilla:kaynak:004</t>
        </is>
      </c>
      <c r="J126" s="49" t="n">
        <v>46319</v>
      </c>
      <c r="K126" s="51" t="n">
        <v>9001</v>
      </c>
      <c r="L126" s="29" t="inlineStr">
        <is>
          <t>Hayır</t>
        </is>
      </c>
      <c r="M126" s="29" t="inlineStr">
        <is>
          <t>Taslak</t>
        </is>
      </c>
      <c r="N126" s="29" t="inlineStr">
        <is>
          <t>sevilla:oturum</t>
        </is>
      </c>
      <c r="O126" s="29" t="inlineStr">
        <is>
          <t>Geçerli pasaportunu ya da ulusal kimlik kartını hazırla; süresi dolmuşsa onun kopyasını ve yenileme başvurusunun kopyasını götür.
Kalma hakkını gösteren belgeleri ekle; hangi belgelerin gerektiği Real Decreto 240/2007'nin 7. maddesindeki şartlara bağlı.
EX18 formunu (AB vatandaşı kaydı) doldur.
790 kodu 012 harç belgesini al ve harcı öde.
İspanya'ya girişinden sonraki üç ay içinde kalacağın ilin yabancılar ofisine ya da yetkili polis karakoluna şahsen git; kayıt sertifikanı hemen alırsın.
Beş yıl kesintisiz yasal ikametten sonra istersen kalıcı oturum hakkını gösteren sertifika talep et.</t>
        </is>
      </c>
      <c r="P126" s="29" t="inlineStr">
        <is>
          <t>Geçerli pasaport ya da ulusal kimlik kartı
EX18 formu
790 kodu 012 harç ödeme belgesi
Real Decreto 240/2007 madde 7 şartlarını karşıladığını gösteren belgeler</t>
        </is>
      </c>
      <c r="Q126" s="29" t="inlineStr">
        <is>
          <t>Başvuru İspanya'ya girişten itibaren üç ay içinde yapılır; sertifika hemen verilir.</t>
        </is>
      </c>
      <c r="R126" s="29" t="inlineStr">
        <is>
          <t>Güncel resmî tarifeye göre 12,00 euro (kayıt sertifikası harcı).</t>
        </is>
      </c>
      <c r="S126" s="29" t="inlineStr">
        <is>
          <t>Beş yıl kesintisiz yasal ikametin ardından istek üzerine kalıcı oturum hakkı sertifikası (certificado del derecho a residir con carácter permanente) verilir. Bu belge AB/AEA/İsviçre vatandaşları içindir; Türk vatandaşı bu rejimin dışındadır. AB vatandaşının aile üyesi olarak gelen yabancılar için ayrı bir kart vardır: AB vatandaşının aile üyesi oturum kartı (tarjeta de residencia de familiar de un ciudadano de la Unión); harcı bu belgeyle aynı kalemdedir, 12,00 euro.</t>
        </is>
      </c>
      <c r="T126" s="29" t="n"/>
    </row>
    <row r="127" ht="54" customHeight="1">
      <c r="A127" s="29" t="inlineStr">
        <is>
          <t>sevilla:tie-yabanci-kimlik-karti</t>
        </is>
      </c>
      <c r="B127" s="29" t="inlineStr">
        <is>
          <t>sevilla</t>
        </is>
      </c>
      <c r="C127" s="29" t="inlineStr">
        <is>
          <t>tie-yabanci-kimlik-karti</t>
        </is>
      </c>
      <c r="D127" s="29" t="inlineStr">
        <is>
          <t>TIE (yabancı kimlik kartı) nasıl alınır, ne zamana kadar başvurulur?</t>
        </is>
      </c>
      <c r="E127" s="29" t="inlineStr">
        <is>
          <t>Altı aydan uzun izin ya da vize için hak ve yükümlülük; başvuru bir ay içinde şahsen yapılır</t>
        </is>
      </c>
      <c r="F127" s="29" t="inlineStr">
        <is>
          <t>Altı aydan uzun süreli bir vizen ya da izninin olması halinde TIE (Tarjeta de Identidad de Extranjero, yabancı kimlik kartı) hem hakkın hem yükümlülüğündür. Kartı kendin, şahsen istemelisin: süre, İspanya'ya girişinden ya da iznin verildiği veya yürürlüğe girdiği günden (Sosyal Güvenlik kaydına göre) itibaren bir aydır. İzin yenilendiyse yenileme kararının bildirilmesinden itibaren bir ay içinde yetkili polis karakoluna başvurursun. Güncel resmî tarifeye göre harç: ilk TIE 16,08 euro, yenileme TIE'si 19,30 euro, uzun süreli ikamet TIE'si 21,87 euro.</t>
        </is>
      </c>
      <c r="G127" s="29" t="inlineStr">
        <is>
          <t>TIE, tarjeta de identidad de extranjero, yabancı kimlik kartı, oturum kartı, tasa TIE, kart yenileme</t>
        </is>
      </c>
      <c r="H127" s="29" t="inlineStr">
        <is>
          <t>new;settled</t>
        </is>
      </c>
      <c r="I127" s="29" t="inlineStr">
        <is>
          <t>sevilla:kaynak:004;sevilla:kaynak:005</t>
        </is>
      </c>
      <c r="J127" s="49" t="n">
        <v>46319</v>
      </c>
      <c r="K127" s="51" t="n">
        <v>9002</v>
      </c>
      <c r="L127" s="29" t="inlineStr">
        <is>
          <t>Hayır</t>
        </is>
      </c>
      <c r="M127" s="29" t="inlineStr">
        <is>
          <t>Taslak</t>
        </is>
      </c>
      <c r="N127" s="29" t="inlineStr">
        <is>
          <t>sevilla:oturum</t>
        </is>
      </c>
      <c r="O127" s="29" t="inlineStr">
        <is>
          <t>Vizenin ya da izninin altı aydan uzun olup olmadığına bak; uzunsa TIE'yi almak hem hakkın hem yükümlülüğündür.
TIE'yi kendin, şahsen iste: süre İspanya'ya girişinden ya da iznin verildiği/yürürlüğe girdiği günden itibaren bir aydır.
İznin yenilendiyse, yenileme kararının bildirilmesinden sonraki bir ay içinde yetkili polis karakoluna şahsen başvur.
Harcı güncel resmî tarifeye göre öde: ilk TIE 16,08 euro, yenileme TIE'si 19,30 euro, uzun süreli ikamet TIE'si 21,87 euro.
Kartı kimseye devretme; başvuru ve teslim işlemlerini kendin yürüt ve kartı özenle sakla.</t>
        </is>
      </c>
      <c r="P127" s="29" t="n"/>
      <c r="Q127" s="29" t="inlineStr">
        <is>
          <t>İspanya'ya girişten ya da iznin verildiği veya yürürlüğe girdiği günden itibaren bir ay; yenilemede karar bildiriminden itibaren bir ay.</t>
        </is>
      </c>
      <c r="R127" s="29" t="inlineStr">
        <is>
          <t>Güncel resmî tarifeye göre ilk TIE 16,08 euro, yenileme TIE'si 19,30 euro, uzun süreli ikamet TIE'si 21,87 euro; İspanyol vatandaşlarının aile üyeleri için geçici ikamet TIE'si 12 euro.</t>
        </is>
      </c>
      <c r="S127" s="29" t="inlineStr">
        <is>
          <t>TIE'nin süresi dayandığı iznin süresiyle aynıdır. Kartla ilgili yükümlülüklere uyulmaması Ley Orgánica 4/2000'deki yaptırım rejimine tabidir.</t>
        </is>
      </c>
      <c r="T127" s="29" t="n"/>
    </row>
    <row r="128" ht="54" customHeight="1">
      <c r="A128" s="29" t="inlineStr">
        <is>
          <t>sevilla:ab-vatandasi-calisma-izni-gerekli-mi</t>
        </is>
      </c>
      <c r="B128" s="29" t="inlineStr">
        <is>
          <t>sevilla</t>
        </is>
      </c>
      <c r="C128" s="29" t="inlineStr">
        <is>
          <t>ab-vatandasi-calisma-izni-gerekli-mi</t>
        </is>
      </c>
      <c r="D128" s="29" t="inlineStr">
        <is>
          <t>AB vatandaşı olarak İspanya'da çalışmak için çalışma izni gerekir mi?</t>
        </is>
      </c>
      <c r="E128" s="29" t="inlineStr">
        <is>
          <t>Hayır: AB/AEA vatandaşları İspanyollarla aynı koşullarda çalışır; Türk vatandaşı bu rejimin dışındadır</t>
        </is>
      </c>
      <c r="F128" s="29" t="inlineStr">
        <is>
          <t>Hayır, AB/AEA vatandaşı olarak İspanya'da çalışmak için ayrı bir çalışma izni gerekmez: Real Decreto 240/2007 kapsamındaki AB/AEA vatandaşları ve aile üyeleri, İspanyollarla aynı koşullarda ücretli ya da serbest çalışma, hizmet sunma veya öğrenim hakkına sahiptir. Üç aydan kısa kalacaksan geçerli pasaport ya da kimlik belgesi yeterlidir. Üç aydan uzun kalmak için ücretli ya da serbest çalışan olman bir kalma dayanağıdır; yeterli gelir ve sağlık sigortası ya da öğrenci olmak da dayanak olur. Türk vatandaşı bu rejimin dışındadır; yalnız AB/AEA vatandaşının eşi, kayıtlı partneri ya da yakını olarak onunla birlikte gelirse ya da ona katılırsa kapsama girebilir.</t>
        </is>
      </c>
      <c r="G128" s="29" t="inlineStr">
        <is>
          <t>AB vatandaşı, çalışma izni, AEA, Real Decreto 240/2007, serbest çalışma, trabajador por cuenta ajena, libre circulación</t>
        </is>
      </c>
      <c r="H128" s="29" t="inlineStr">
        <is>
          <t>planning;new</t>
        </is>
      </c>
      <c r="I128" s="29" t="inlineStr">
        <is>
          <t>sevilla:kaynak:006</t>
        </is>
      </c>
      <c r="J128" s="49" t="n">
        <v>46319</v>
      </c>
      <c r="K128" s="51" t="n">
        <v>9003</v>
      </c>
      <c r="L128" s="29" t="inlineStr">
        <is>
          <t>Hayır</t>
        </is>
      </c>
      <c r="M128" s="29" t="inlineStr">
        <is>
          <t>Taslak</t>
        </is>
      </c>
      <c r="N128" s="29" t="inlineStr">
        <is>
          <t>sevilla:oturum</t>
        </is>
      </c>
      <c r="O128" s="29" t="inlineStr">
        <is>
          <t>Üç aydan kısa kalacaksan geçerli pasaport ya da kimlik belgenle girişin yeterlidir.
Üç aydan uzun kalacaksan kalma dayanağını belirle: ücretli ya da serbest çalışan olmak, yeterli gelir ve tüm riskleri kapsayan sağlık sigortası, tanınmış bir okula kayıtlı öğrenci olmak ya da şartları taşıyan bir AB vatandaşının aile üyesi olmak.
Çalışırken her türlü ücretli ya da serbest faaliyette İspanyollarla aynı koşullarda olduğunu bil.
Aile üyelerin AB/AEA vatandaşı değilse onlar da seninle gelirken ya da sana katılırken aynı dayanaklara bağlı olarak kalma hakkı kazanır.</t>
        </is>
      </c>
      <c r="P128" s="29" t="n"/>
      <c r="Q128" s="29" t="n"/>
      <c r="R128" s="29" t="n"/>
      <c r="S128" s="29" t="n"/>
      <c r="T128" s="29" t="n"/>
    </row>
    <row r="129" ht="54" customHeight="1">
      <c r="A129" s="29" t="inlineStr">
        <is>
          <t>sevilla:oturum-izni-yenileme</t>
        </is>
      </c>
      <c r="B129" s="29" t="inlineStr">
        <is>
          <t>sevilla</t>
        </is>
      </c>
      <c r="C129" s="29" t="inlineStr">
        <is>
          <t>oturum-izni-yenileme</t>
        </is>
      </c>
      <c r="D129" s="29" t="inlineStr">
        <is>
          <t>İspanya'da geçici oturum izni nasıl yenilenir? Başvuru süresi ve harç</t>
        </is>
      </c>
      <c r="E129" s="29" t="inlineStr">
        <is>
          <t>İzin bitmeden önceki iki ay içinde başvur; harçlar 16,40 + 19,30 euro, çalışma izninde ek 81,54 euro</t>
        </is>
      </c>
      <c r="F129" s="29" t="inlineStr">
        <is>
          <t>Geçici oturum, ücretli ya da serbest çalışma iznini yenilemek için resmî formla, iznin bitiş tarihinden önceki iki ay içinde başvurman gerekir. Bu sürede başvurursan eski iznin geçerliliği karar çıkana kadar uzar; bitişten sonraki üç ay içinde başvursan da uzar, ama bu durumda yaptırım süreci açılabilir. Çalışmasız oturum (residencia no lucrativa) yenilemesi yetkili yabancılar ofisine yapılır; yenilenen çalışmasız oturum izni iki yıl, yenilenen ücretli ya da serbest çalışma izni dört yıl geçerlidir. Karar üç ay içinde verilir. Yenileme başvurusu için 16,40 euro ve yenilenen kartın (TIE) basımı için 19,30 euro harç ödersin; çalışma iznini yeniliyorsan ayrıca 81,54 euro çalışma izni harcı vardır: ücretli çalışmada bunu işveren, serbest çalışmada sen ödersin.</t>
        </is>
      </c>
      <c r="G129" s="29" t="inlineStr">
        <is>
          <t>oturum izni yenileme, renovación, residencia temporal, trabajo por cuenta ajena, no lucrativa, TIE yenileme, oficina de extranjería</t>
        </is>
      </c>
      <c r="H129" s="29" t="inlineStr">
        <is>
          <t>settled</t>
        </is>
      </c>
      <c r="I129" s="29" t="inlineStr">
        <is>
          <t>sevilla:kaynak:005;sevilla:kaynak:002</t>
        </is>
      </c>
      <c r="J129" s="49" t="n">
        <v>46319</v>
      </c>
      <c r="K129" s="51" t="n">
        <v>9004</v>
      </c>
      <c r="L129" s="29" t="inlineStr">
        <is>
          <t>Hayır</t>
        </is>
      </c>
      <c r="M129" s="29" t="inlineStr">
        <is>
          <t>Taslak</t>
        </is>
      </c>
      <c r="N129" s="29" t="inlineStr">
        <is>
          <t>sevilla:oturum</t>
        </is>
      </c>
      <c r="O129" s="29" t="inlineStr">
        <is>
          <t>İznin türüne bak: ücretli çalışma, serbest çalışma ya da çalışmasız geçici oturum iznin olabilir; üçünde de yenileme başvuru süresi aynıdır.
İznin bitiş tarihinden önceki iki ay içinde, resmî yenileme formuyla başvur.
Bitiş tarihini kaçırdıysan bitişten sonraki üç ay içinde başvur; başvuru yine karar çıkana kadar eski izni uzatır ama yaptırım süreci açılabilir.
Çalışmasız oturumu yeniliyorsan başvuruyu yetkili yabancılar ofisine yap.
Karar üç ay içinde bildirilir; süre dolarsa başvuru kabul edilmiş sayılır. Yenilenen izin çalışmasız oturumda iki yıl, ücretli ya da serbest çalışma izninde dört yıl geçerlidir.
Yenileme kararı bildirilince bir ay içinde yetkili polis karakoluna şahsen gidip yenilenen kartını (TIE) iste.
Harçları ayrı öde: yenileme başvurusu için 16,40 euro, yenilenen kart (TIE) için 19,30 euro. Çalışma iznini yeniliyorsan ek olarak 81,54 euro çalışma izni harcı vardır; ücretli çalışmada bunu işveren, serbest çalışmada sen ödersin.</t>
        </is>
      </c>
      <c r="P129" s="29" t="n"/>
      <c r="Q129" s="29" t="inlineStr">
        <is>
          <t>Başvuru iznin bitişinden önceki iki ay içinde; karar üç ay içinde; yenilenen izin çalışmasız oturumda iki yıl, ücretli ya da serbest çalışma izninde dört yıl geçerli.</t>
        </is>
      </c>
      <c r="R129" s="29" t="inlineStr">
        <is>
          <t>Yenileme başvurusu harcı 16,40 euro; yenilenen kart (TIE) harcı 19,30 euro; çalışma izni yenilemesinde ayrıca 81,54 euro çalışma izni harcı (ücretli çalışmada işveren, serbest çalışmada başvuran öder). Kaynak: Orden PJC/617/2025 tarifesi.</t>
        </is>
      </c>
      <c r="S129" s="29" t="inlineStr">
        <is>
          <t>Bitiş tarihinden sonraki üç ay içindeki başvuru da izni karar çıkana kadar uzatır, ancak ilgili ihlal nedeniyle yaptırım süreci açılabilir.</t>
        </is>
      </c>
      <c r="T129" s="29" t="n"/>
    </row>
    <row r="130" ht="54" customHeight="1">
      <c r="A130" s="29" t="inlineStr">
        <is>
          <t>sevilla:aile-birlesimi-ile-oturum</t>
        </is>
      </c>
      <c r="B130" s="29" t="inlineStr">
        <is>
          <t>sevilla</t>
        </is>
      </c>
      <c r="C130" s="29" t="inlineStr">
        <is>
          <t>aile-birlesimi-ile-oturum</t>
        </is>
      </c>
      <c r="D130" s="29" t="inlineStr">
        <is>
          <t>Aile birleşimi (reagrupación familiar) ile İspanya'ya nasıl gelinir?</t>
        </is>
      </c>
      <c r="E130" s="29" t="inlineStr">
        <is>
          <t>Reagrupante en az bir yıl oturmuş olmalı; gelir şartı IPREM'in yüzde 150'si, ek kişi başına yüzde 50</t>
        </is>
      </c>
      <c r="F130" s="29" t="inlineStr">
        <is>
          <t>İspanya'da yasal yaşayan bir yabancı, eşini ya da evlilik benzeri ilişkideki partnerini, çocuklarını ve belirli koşullarda bakmakla yükümlü olduğu birinci derece üstsoyunu yanına getirebilir. Başvuru, yakınlarını getirecek kişi (reagrupante) İspanya'da en az bir yıl oturmuş ve en az bir yıl daha oturum izni istemişse yapılabilir. Gelir şartı: bir yakınla iki kişilik aile birimi için IPREM'in yüzde 150'si, her ek kişi için IPREM'in yüzde 50'si; Güncel resmî tarifeye göre ilk izin harcı 10,94 euro.</t>
        </is>
      </c>
      <c r="G130" s="29" t="inlineStr">
        <is>
          <t>aile birleşimi, reagrupación familiar, IPREM, reagrupante, eş, çocuk, oturum izni, tasa 10,94</t>
        </is>
      </c>
      <c r="H130" s="29" t="inlineStr">
        <is>
          <t>planning</t>
        </is>
      </c>
      <c r="I130" s="29" t="inlineStr">
        <is>
          <t>sevilla:kaynak:005;sevilla:kaynak:002</t>
        </is>
      </c>
      <c r="J130" s="49" t="n">
        <v>46319</v>
      </c>
      <c r="K130" s="51" t="n">
        <v>9005</v>
      </c>
      <c r="L130" s="29" t="inlineStr">
        <is>
          <t>Hayır</t>
        </is>
      </c>
      <c r="M130" s="29" t="inlineStr">
        <is>
          <t>Taslak</t>
        </is>
      </c>
      <c r="N130" s="29" t="inlineStr">
        <is>
          <t>sevilla:oturum</t>
        </is>
      </c>
      <c r="O130" s="29" t="inlineStr">
        <is>
          <t>Reagrupante olarak İspanya'da en az bir yıl oturduğunu ve bir yıl daha oturum izni istediğini kontrol et.
Getireceğin kişinin listede olduğundan emin ol: 18 yaşından büyük eş (ayrı yaşamıyor), evlilik benzeri ilişkideki partner, çocuklar, 65 yaş üstü bakmakla yükümlü olduğun birinci derece üstsoy.
Düzenli ve yeterli geliri göster: iki kişilik aile birimi için IPREM'in yüzde 150'si, her ek kişi için yüzde 50'si.
Başvuru harcını öde; ilk izin için güncel resmî tarifeye göre 10,94 euro.
İzin çıkınca eş, partner ve çocuklar ayrıca bir işlem yapmadan çalışabilir (çalışma yaşı sınırını geçmeleri şartıyla).</t>
        </is>
      </c>
      <c r="P130" s="29" t="n"/>
      <c r="Q130" s="29" t="n"/>
      <c r="R130" s="29" t="inlineStr">
        <is>
          <t>Güncel resmî tarifeye göre aile birleşimi yoluyla ilk geçici ikamet izni harcı 10,94 euro.</t>
        </is>
      </c>
      <c r="S130" s="29" t="inlineStr">
        <is>
          <t>Birden fazla eş getirilemez. Harç tutarı 13 Haziran 2025 tarihli Orden PJC/617/2025'e dayanır.</t>
        </is>
      </c>
      <c r="T130" s="29" t="n"/>
    </row>
    <row r="131" ht="54" customHeight="1">
      <c r="A131" s="29" t="inlineStr">
        <is>
          <t>sevilla:kalici-oturum-bes-yil</t>
        </is>
      </c>
      <c r="B131" s="29" t="inlineStr">
        <is>
          <t>sevilla</t>
        </is>
      </c>
      <c r="C131" s="29" t="inlineStr">
        <is>
          <t>kalici-oturum-bes-yil</t>
        </is>
      </c>
      <c r="D131" s="29" t="inlineStr">
        <is>
          <t>Kalıcı oturum (AB uzun süreli ikamet, residencia de larga duración-UE) beş yılda nasıl alınır?</t>
        </is>
      </c>
      <c r="E131" s="29" t="inlineStr">
        <is>
          <t>Önce izin için yabancılar ofisine başvurulur, kimlik kartı (TIE) izin verildikten sonra ayrıca alınır</t>
        </is>
      </c>
      <c r="F131" s="29" t="inlineStr">
        <is>
          <t>Son beş yıl boyunca İspanya'da yasal ve kesintisiz oturduysan AB uzun süreli ikamet izni (residencia de larga duración-UE) hakkın doğar; bu izin İspanyollarla aynı koşullarda süresiz oturma ve çalışma hakkı verir. İzin başvurusunu oturduğun ilin yabancılar ofisine (oficina de extranjería) yaparsın. Kesintisiz 6 aya kadar ve toplam 10 aya kadar İspanya dışında kalmak süreyi bozmaz; çalışma nedeniyle ayrılıklarda toplam sınır 18 aydır. Yeterli ve düzenli gelir ile sağlık sigortası da gerekir. İzin verildikten sonra kimlik kartını (TIE) ayrıca polis karakolundan ya da yabancılar ofisinden istersin.</t>
        </is>
      </c>
      <c r="G131" s="29" t="inlineStr">
        <is>
          <t>kalıcı oturum, residencia de larga duración-UE, uzun süreli ikamet, beş yıl, oficina de extranjería, TIE yenileme, süresiz oturum</t>
        </is>
      </c>
      <c r="H131" s="29" t="inlineStr">
        <is>
          <t>settled</t>
        </is>
      </c>
      <c r="I131" s="29" t="inlineStr">
        <is>
          <t>sevilla:kaynak:005;sevilla:kaynak:002</t>
        </is>
      </c>
      <c r="J131" s="49" t="n">
        <v>46319</v>
      </c>
      <c r="K131" s="51" t="n">
        <v>9006</v>
      </c>
      <c r="L131" s="29" t="inlineStr">
        <is>
          <t>Hayır</t>
        </is>
      </c>
      <c r="M131" s="29" t="inlineStr">
        <is>
          <t>Taslak</t>
        </is>
      </c>
      <c r="N131" s="29" t="inlineStr">
        <is>
          <t>sevilla:oturum</t>
        </is>
      </c>
      <c r="O131" s="29" t="inlineStr">
        <is>
          <t>Son beş yılın yasal ve kesintisiz oturum olduğunu kontrol et: kesintisiz 6 aya kadar ve toplam 10 aya kadar İspanya dışında kalmak süreyi bozmaz (usulsüz çıkışlar bu hoşgörüden yararlanmaz); çalışma nedeniyle ayrılıklarda toplam sınır 18 aydır. Öğrenci olarak kalınan dönemler, başvuruda oturum iznin varsa, yüzde 50 sayılır.
Yeterli ve düzenli gelirin ve sağlık sigortanın olduğunu belgeleyecek şekilde hazırlan. Gelir ölçüsü yönetmelikte aile birleşimi kurallarına bağlanmıştır; orada hane iki kişiyse IPREM'in yüzde 150'si, her ek kişi için yüzde 50'si aranır.
Başvuruyu resmî formla yap; dosyaya pasaportunun tam kopyasını (ya da seyahat belgeni ya da cédula de inscripción'unu), harç ödeme belgesini, gelir ve sağlık sigortası belgelerini, gerekiyorsa sabıka kaydını ekle.
Başvuruyu oturduğun ilin yabancılar ofisine ver; İspanya'da değilsen oturacağın bölgenin konsolosluğuna şahsen ver, konsolosluk dosyayı ofise iletir.
Başvuruyu mevcut iznin bitişinden önceki iki ay içinde yaparsan izin karar çıkana kadar uzar; bitişten sonraki üç ay içinde yapsan da uzar, ama yaptırım süreci açılabilir. Geçerli oturum iznin varsa ve beş yıl dahil bütün şartları zaten karşılıyorsan bu iki aylık süre uygulanmaz.
Karar üç ay içinde verilir; bu sürede cevap gelmezse başvuru kabul edilmiş sayılır. İzin verilince bir ay içinde şahsen polis karakolundan ya da yabancılar ofisinden kimlik kartını (TIE) iste.
Kartı ilk kez beş yıl sonra, sonra 30 yaşına kadar her beş yılda bir, 30 yaşından sonra on yılda bir yenilet.</t>
        </is>
      </c>
      <c r="P131" s="29" t="inlineStr">
        <is>
          <t>Pasaportun tam kopyası, seyahat belgesi ya da cédula de inscripción
Harç ödeme belgesi
Yeterli ve düzenli gelir belgesi
Sağlık sigortası belgesi
Gerekiyorsa sabıka kaydı (son beş yıl yaşadığın ülkelerden)</t>
        </is>
      </c>
      <c r="Q131" s="29" t="inlineStr">
        <is>
          <t>Başvuru mevcut iznin bitişinden önceki iki ay içinde; geçerli oturum iznin varsa ve beş yıl dahil şartları zaten karşılıyorsan bu iki aylık süre uygulanmaz; karar üç ay içinde (cevap gelmezse kabul); TIE kararın bildiriminden sonra bir ay içinde istenir; TIE ilk kez beş yıl sonra, sonra 30 yaşına kadar beş yılda bir, 30 yaşından sonra on yılda bir yenilenir.</t>
        </is>
      </c>
      <c r="R131" s="29" t="inlineStr">
        <is>
          <t>İzin başvurusu harcı 21,87 euro; kimlik kartı (TIE) harcı 21,87 euro (Orden PJC/617/2025 tarifesi).</t>
        </is>
      </c>
      <c r="S131" s="29" t="inlineStr">
        <is>
          <t>Başvuruyu alan ofis önceki ikamet sürelerini kendisi kontrol eder, İspanya'daki sabıka kaydını ve polis raporunu resen ister. Kamu düzeni ya da güvenlik için tehdit görülürse AB uzun süreli ikamet statüsü verilmeyebilir.</t>
        </is>
      </c>
      <c r="T131" s="29" t="n"/>
    </row>
    <row r="132" ht="54" customHeight="1">
      <c r="A132" s="29" t="inlineStr">
        <is>
          <t>sevilla:arraigo-kok-salma-oturumu</t>
        </is>
      </c>
      <c r="B132" s="29" t="inlineStr">
        <is>
          <t>sevilla</t>
        </is>
      </c>
      <c r="C132" s="29" t="inlineStr">
        <is>
          <t>arraigo-kok-salma-oturumu</t>
        </is>
      </c>
      <c r="D132" s="29" t="inlineStr">
        <is>
          <t>Arraigo (kök salma) ile oturum izni almak mümkün mü?</t>
        </is>
      </c>
      <c r="E132" s="29" t="inlineStr">
        <is>
          <t>Beş tür arraigo var; çoğunda iki yıl kesintisiz İspanya'da bulunmuş olmak gerekir</t>
        </is>
      </c>
      <c r="F132" s="29" t="inlineStr">
        <is>
          <t>Arraigo, İspanya'da yaşayan ve ekonomik, sosyal, ailevi, çalışma ya da eğitim bağı olan yabancılara verilen geçici oturum izni türüdür. Beş türü var: ikinci fırsat, sosyal-çalışma (sociolaboral), sosyal, sosyal-eğitim (socioformativo) ve aile (familiar) arraigosu. İzin bir yıl geçerlidir; aile arraigosunda beş yıl. Aile arraigosu yalnız başka bir AB, AEA ya da İsviçre üyesi devletin vatandaşı olan küçük çocuğun anne, baba ya da vasisi (ya da böyle bir engelli kişiye destek veren yakını) içindir; çocuk Türk vatandaşıysa bu yol açık değildir. Diğer dört türde başvurudan önceki en az iki yıl kesintisiz İspanya'da bulunmuş olmalısın; aile arraigosunda asgari kalış süresi aranmaz. Başvuru, polis sayfasındaki olağanüstü durumlar (circunstancias excepcionales) başvurusunda kullanılan EX10 formu ve 790 kodu 012 harç belgesiyle yapılır. Real Decreto 316/2026 ile getirilen olağanüstü arraigo düzenlemesi (arraigo extraordinario) 30 Haziran 2026'da başvuruya kapandı.</t>
        </is>
      </c>
      <c r="G132" s="29" t="inlineStr">
        <is>
          <t>arraigo, kök salma, arraigo social, arraigo sociolaboral, EX10, circunstancias excepcionales, iki yıl</t>
        </is>
      </c>
      <c r="H132" s="29" t="inlineStr">
        <is>
          <t>settled</t>
        </is>
      </c>
      <c r="I132" s="29" t="inlineStr">
        <is>
          <t>sevilla:kaynak:005;sevilla:kaynak:007</t>
        </is>
      </c>
      <c r="J132" s="49" t="n">
        <v>46319</v>
      </c>
      <c r="K132" s="51" t="n">
        <v>9007</v>
      </c>
      <c r="L132" s="29" t="inlineStr">
        <is>
          <t>Hayır</t>
        </is>
      </c>
      <c r="M132" s="29" t="inlineStr">
        <is>
          <t>Taslak</t>
        </is>
      </c>
      <c r="N132" s="29" t="inlineStr">
        <is>
          <t>sevilla:oturum</t>
        </is>
      </c>
      <c r="O132" s="29" t="inlineStr">
        <is>
          <t>Hangi arraigo türüne uyduğunu belirle: ikinci fırsat, sosyal-çalışma, sosyal, sosyal-eğitim ya da aile.
Genel şartları kontrol et: İspanya'dasın ve uluslararası koruma başvurusu sahibi değilsin, başvurudan önceki en az iki yıl kesintisiz İspanya'dasın (yalnız aile arraigosunda süre şartı yok), kamu düzeni için tehdit değilsin, İspanya'da ve İspanya'ya girişinden önceki beş yıl içinde yaşadığın ülkelerde sabıkan yok, harcı ödedin. İspanya'da son beş yıldır kesintisiz bulunuyorsan başka ülkelerdeki sabıka kaydı istenmez.
Türüne özel şartı sağla: sosyal-çalışmada haftada toplam en az yirmi saatlik ve en az asgari ücreti güvenceleyen iş sözleşmesi; sosyalde İspanya'da oturum izni olan eş/birinci derece yakınla bağ ve IPREM'in en az yüzde 100'ü kadar gelir, bağ yoksa uyum raporu.
İkinci fırsatta başvurudan önceki iki yıl içinde, olağanüstü durum dışında verilmiş bir oturum izninin sahibi olmuş olmalısın. Sosyal-eğitimde zorunlu eğitimden sonraki lise düzeyindeki eğitime (educación secundaria postobligatoria), tam bir mesleki sertifika programına ya da yetişkinler için zorunlu eğitim derslerine kayıtlı olmalı ve sosyal uyum raporu sunmalısın. Aile arraigosunda başka bir AB, AEA ya da İsviçre üyesi devletin vatandaşı küçük çocuğun anne, baba ya da vasisi olmalı, çocuğa bakmalı ve onunla birlikte yaşamalı ya da velayet yükümlülüklerini yerine getirmelisin.
EX10 formunu doldur ve 790 kodu 012 harç belgesini hazırla.
Başvuruyu şahsen yap; yasal temsilci yalnız küçükler ve yasal ehliyetini kullanmak için desteğe ihtiyaç duyan engelliler adına başvurabilir.</t>
        </is>
      </c>
      <c r="P132" s="29" t="inlineStr">
        <is>
          <t>EX10 formu (olağanüstü durumlar nedeniyle ikamet/ikamet ve çalışma izni)
790 kodu 012 harç ödeme belgesi</t>
        </is>
      </c>
      <c r="Q132" s="29" t="inlineStr">
        <is>
          <t>İzin bir yıl geçerlidir; aile arraigosunda (yalnız AB/AEA/İsviçre vatandaşı çocuğun anne, baba ya da vasisi için) beş yıl.</t>
        </is>
      </c>
      <c r="R132" s="29" t="n"/>
      <c r="S132" s="29" t="inlineStr">
        <is>
          <t>Real Decreto 316/2026 ile 16 Nisan 2026'dan itibaren geçerli bir şart daha eklendi: başvuru anında bir ikamet ya da kalış iznine sahip olmamalı ve bunların verilmesi, uzatılması, yenilenmesi ya da değiştirilmesi için süren bir işlemin tarafı olmamalısın.</t>
        </is>
      </c>
      <c r="T132" s="29" t="n"/>
    </row>
    <row r="133" ht="54" customHeight="1">
      <c r="A133" s="29" t="inlineStr">
        <is>
          <t>sevilla:dijital-gocebe-vizesi</t>
        </is>
      </c>
      <c r="B133" s="29" t="inlineStr">
        <is>
          <t>sevilla</t>
        </is>
      </c>
      <c r="C133" s="29" t="inlineStr">
        <is>
          <t>dijital-gocebe-vizesi</t>
        </is>
      </c>
      <c r="D133" s="29" t="inlineStr">
        <is>
          <t>Dijital göçebe (uzaktan çalışma, teletrabajo) vizesi nedir, şartları neler?</t>
        </is>
      </c>
      <c r="E133" s="29" t="inlineStr">
        <is>
          <t>Gelir şartı yıllık asgari ücretin yüzde 200'ü; İstanbul Başkonsolosluğu'nun Türkiye'ye özgü şartları da var</t>
        </is>
      </c>
      <c r="F133" s="29" t="inlineStr">
        <is>
          <t>Uzaktan çalışma (teletrabajo) vizesi, yabancı bir şirketle çalışanlar ya da kendi hesabına uzaktan çalışanlar içindir. İstanbul Başkonsolosluğu'nun sayfasına göre başvuruda şunlar aranıyor: yabancı bir şirketle en az üç aylık çalışma ya da mesleki ilişki, o şirketin gerçek ve sürekli faaliyeti, asgari ücretin (SMI) yüzde 200'ü kadar gelir (aile üyelerinden ilki için yüzde 75, diğerleri için yüzde 25), sabıka kaydı, İspanya'da yetkili bir sigortacıdan sağlık sigortası ve lisans/yüksek lisans diploması ya da en az üç yıllık mesleki deneyim. Asgari ücret (SMI) 2026'da ayda 1.221 euro, günlük 40,70 euro olarak belirlendi; aynı kararda asgari ücretin yıllık tutarı en az 17.094 euro. Yıllık tutarın yüzde 200'ü 34.188 euro eder. İstanbul Başkonsolosluğu sayfası yalnız yüzde oranını yazıyor; tutarı ya da hesap yöntemini göstermiyor.</t>
        </is>
      </c>
      <c r="G133" s="29" t="inlineStr">
        <is>
          <t>dijital göçebe, teletrabajo vizesi, nomad visa, uzaktan çalışma, Ley 14/2013, SMI, İstanbul Başkonsolosluğu</t>
        </is>
      </c>
      <c r="H133" s="29" t="inlineStr">
        <is>
          <t>planning</t>
        </is>
      </c>
      <c r="I133" s="29" t="inlineStr">
        <is>
          <t>sevilla:kaynak:008;sevilla:kaynak:009</t>
        </is>
      </c>
      <c r="J133" s="49" t="n">
        <v>46319</v>
      </c>
      <c r="K133" s="51" t="n">
        <v>9008</v>
      </c>
      <c r="L133" s="29" t="inlineStr">
        <is>
          <t>Hayır</t>
        </is>
      </c>
      <c r="M133" s="29" t="inlineStr">
        <is>
          <t>Taslak</t>
        </is>
      </c>
      <c r="N133" s="29" t="inlineStr">
        <is>
          <t>sevilla:oturum</t>
        </is>
      </c>
      <c r="O133" s="29" t="inlineStr">
        <is>
          <t>Yabancı şirketle (kendi hesabına çalışıyorsan faaliyetinle) ilişkinin en az üç aydır sürdüğünü gösteren belgeyi hazırla; şirketin uzaktan çalışma iznini ve şirketin gerçek, sürekli faaliyetini gösteren belgeleri ekle. Faaliyet için şirketin ticaret sicil belgesi ve önceki yıla ait gelir ya da kâr beyanı belgesi (Türkiye'deyse Türk vergi dairesinden) istenir.
Gelirini göster: başvuran için yıllık asgari ücretin (SMI; 2026'da yıllık 17.094 euro) yüzde 200'ü, yani yıllık 34.188 euro; aile üyelerinden ilki için yüzde 75, diğerleri için yüzde 25. 18 yaşından büyük altsoy ve üstsoy için ayrıca kendi hanesini kurmamış olmak ve ekonomik olarak sana bağımlı olduklarını göstermek gerekir.
İspanya'da faaliyet gösterme yetkisi olan bir sigortacıdan seyahat sigortası olmayan, Ulusal Sağlık Sistemi'ne denk kapsamlı sağlık sigortası yaptır.
Sabıka kaydını (son iki yılda yaşadığın ülkelerden, onaylı) ve son beş yılda sabıkan olmadığına dair beyanı hazırla.
Lisans ya da yüksek lisans diplomanı ya da en az üç yıllık denk mesleki deneyim belgeni hazırla; düzenlenmiş bir meslekse diploma denkliğini göster.
Türkiye'den başvuruyorsan ikametgâh belgeni (Ikametgah Tezkeresi) hazırla, vize ücretini (94 USD) nakit ve tam tutar getir; Türkiye'de yabancı olarak yaşıyorsan geçerli bir uzun süreli ikamet izni göster. Pasaportun planladığın kalıştan sonra en az üç ay geçerli olmalı.
Başvuru anında NIE'ye sahip ol; başka dillerdeki belgeler yeminli tercümeyle, yabancı resmî belgeler ise onaylı ya da apostilli olmalı.</t>
        </is>
      </c>
      <c r="P133" s="29" t="inlineStr">
        <is>
          <t>Geçerli pasaport (planlanan kalıştan sonra en az üç ay geçerli)
Ikametgâh belgesi (Ikametgah Tezkeresi)
Yabancı şirketle en az üç aylık çalışma ya da mesleki ilişki belgesi ve uzaktan çalışma izni
Şirketin gerçek ve sürekli faaliyetini gösteren belgeler
Gelir belgesi (yıllık asgari ücretin yüzde 200'ü)
Sabıka kaydı (son iki yıl) ve son beş yıla ilişkin beyan
Sağlık sigortası belgesi
Diploma ya da en az üç yıllık mesleki deneyim belgesi
Yeminli tercüme ve onay/apostil (yabancı belgeler için)</t>
        </is>
      </c>
      <c r="Q133" s="29" t="n"/>
      <c r="R133" s="29" t="inlineStr">
        <is>
          <t>Vize ücreti 94 USD, nakit ve tam tutar (İstanbul Başkonsolosluğu sayfası, 7 Ocak 2025 tarihli).</t>
        </is>
      </c>
      <c r="S133" s="29" t="inlineStr">
        <is>
          <t>Şart listesi İstanbul Başkonsolosluğu'nun 7 Ocak 2025 tarihli sayfasındandır; vize ücreti ve diğer şartlar sonradan değişmiş olabilir. Asgari ücret tutarı 2026 yılı içindir.</t>
        </is>
      </c>
      <c r="T133" s="29" t="n"/>
    </row>
    <row r="134" ht="54" customHeight="1">
      <c r="A134" s="29" t="inlineStr">
        <is>
          <t>sevilla:kar-amaci-gutmeyen-oturum-vizesi</t>
        </is>
      </c>
      <c r="B134" s="29" t="inlineStr">
        <is>
          <t>sevilla</t>
        </is>
      </c>
      <c r="C134" s="29" t="inlineStr">
        <is>
          <t>kar-amaci-gutmeyen-oturum-vizesi</t>
        </is>
      </c>
      <c r="D134" s="29" t="inlineStr">
        <is>
          <t>Kar amacı gütmeyen oturum vizesi (NLV, non-lucrative visa) nedir, şartları neler?</t>
        </is>
      </c>
      <c r="E134" s="29" t="inlineStr">
        <is>
          <t>Çalışmadan İspanya'da yaşamak için; gelir şartı IPREM'in yüzde 400'ü, 2026'da ayda 2.400 euro</t>
        </is>
      </c>
      <c r="F134" s="29" t="inlineStr">
        <is>
          <t>Kar amacı gütmeyen oturum vizesi (visado de residencia no lucrativa), çalışma ya da meslek faaliyeti yürütmeden İspanya'da yaşamak isteyenler içindir; geçimini sağlayacak yeterli ve garantili kaynağın olması gerekir. Bu vize çalışma izni vermez. Eş, kayıtlı partner ya da kanıtlanmış kalıcı partner ile reşit olmayan evlenmemiş çocuklar da vize alabilir; reşit çocuklar yalnız engelliyse ya da sağlık nedeniyle kendi geçimini sağlayamıyorsa kapsanır. İstanbul Başkonsolosluğu'nun sayfasına göre gelir şartı IPREM'in yüzde 400'üdür; bakmakla yükümlü olduğun her aile bireyi için IPREM'in yüzde 100'ü eklenir. 2026 için İspanyol dış temsilciliklerinden birinin sayfasında verilen tutar: başvuran için ayda 2.400 euro, her aile bireyi için ayda 600 euro. Aynı sayfa ilk yıl (12 ay) için yeterli maddi imkân ya da düzenli gelir ister; yani ilk yıl için başvuran 2.400 x 12 = 28.800 euro, her aile bireyi 600 x 12 = 7.200 euro belgelemelidir.</t>
        </is>
      </c>
      <c r="G134" s="29" t="inlineStr">
        <is>
          <t>NLV, non-lucrative visa, residencia no lucrativa, çalışmadan oturum, IPREM, 2.400 euro, sağlık sigortası</t>
        </is>
      </c>
      <c r="H134" s="29" t="inlineStr">
        <is>
          <t>planning</t>
        </is>
      </c>
      <c r="I134" s="29" t="inlineStr">
        <is>
          <t>sevilla:kaynak:010;sevilla:kaynak:011</t>
        </is>
      </c>
      <c r="J134" s="49" t="n">
        <v>46319</v>
      </c>
      <c r="K134" s="51" t="n">
        <v>9009</v>
      </c>
      <c r="L134" s="29" t="inlineStr">
        <is>
          <t>Hayır</t>
        </is>
      </c>
      <c r="M134" s="29" t="inlineStr">
        <is>
          <t>Taslak</t>
        </is>
      </c>
      <c r="N134" s="29" t="inlineStr">
        <is>
          <t>sevilla:oturum</t>
        </is>
      </c>
      <c r="O134" s="29" t="inlineStr">
        <is>
          <t>Gelirini göster: ilk yıl İspanya'daki giderlerini karşılayacak maddi imkânı ya da düzenli gelir kaynağını belgele; asgari tutar IPREM'in yüzde 400'ü, bakmakla yükümlü olduğun her aile bireyi için ayrıca yüzde 100'ü (2026'da ayda 2.400 euro ve aile bireyi başına 600 euro; ilk yıl için toplamda başvuran 28.800 euro, aile bireyi başına 7.200 euro).
İspanya'da faaliyet gösterme yetkisi olan bir sigortacıdan, İspanya kamu sağlık sisteminin kapsadığı tüm riskleri kapsayan sağlık sigortası yaptır.
Son 5 yıl için yaşadığın ülke ya da ülkelerden sabıka kaydı al; ayrıca halk sağlığı için ciddi sonuç doğuracak bir hastalığın olmadığını gösteren tıbbi rapor al.
Pasaportunun en az 1 yıl geçerli olduğundan ve iki boş sayfası bulunduğundan emin ol; 10 yıldan eski pasaport kabul edilmez.
Ulusal vize başvuru formunu ve EX-01 formunu doldur; oturum izni harcı için 790 kodu 052 formunu (2.1 başlıklı, ilk geçici oturum izni) iki nüsha doldurup imzala ya da internetten öde. Yabancı belgeler apostilli ya da onaylı, İspanyolca değilse tercümeli olmalı.
Başvuruyu, konsolosluk bölgesinde oturduğunu gösteren belgeyle birlikte BLS International ofisinde, internetten alacağın ön randevuyla şahsen ver.
Vize verildikten sonra İspanya'ya girişinden itibaren 1 ay içinde yabancılar ofisinde ya da polis karakolunda kimlik kartını (TIE) iste.</t>
        </is>
      </c>
      <c r="P134" s="29" t="inlineStr">
        <is>
          <t>Ulusal vize başvuru formu ve EX-01 formu
Yakın tarihli fotoğraf
En az 1 yıl geçerli, iki boş sayfalı pasaport (aslı ve biyometrik sayfa fotokopisi)
Gelir belgeleri
Sağlık sigortası belgesi
Sabıka kaydı (son 5 yıl)
Tıbbi rapor
Konsolosluk bölgesinde ikamet belgesi
790 kodu 052 harç formu (2.1 başlıklı)</t>
        </is>
      </c>
      <c r="Q134" s="29" t="inlineStr">
        <is>
          <t>Vize 365 gün geçerlidir; girişten sonra 1 ay içinde TIE istenir.</t>
        </is>
      </c>
      <c r="R134" s="29" t="n"/>
      <c r="S134" s="29" t="inlineStr">
        <is>
          <t>Şartlar İspanya'nın İstanbul Başkonsolosluğu sayfasından; 2026 tutarları (ayda 2.400 ve 600 euro) İspanya'nın Yeni Delhi Büyükelçiliği sayfasındaki 2026 değeridir. Tutar yıla bağlıdır: 2026 yılı içinde geçerlidir, 1 Ocak 2027'den sonra IPREM'in yüzde 400'üne göre yeniden hesaplanır.</t>
        </is>
      </c>
      <c r="T134" s="29" t="n"/>
    </row>
    <row r="135" ht="54" customHeight="1">
      <c r="A135" s="29" t="inlineStr">
        <is>
          <t>sevilla:altin-vize-sona-erdi</t>
        </is>
      </c>
      <c r="B135" s="29" t="inlineStr">
        <is>
          <t>sevilla</t>
        </is>
      </c>
      <c r="C135" s="29" t="inlineStr">
        <is>
          <t>altin-vize-sona-erdi</t>
        </is>
      </c>
      <c r="D135" s="29" t="inlineStr">
        <is>
          <t>Altın vize (golden visa) hâlâ geçerli mi?</t>
        </is>
      </c>
      <c r="E135" s="29" t="inlineStr">
        <is>
          <t>Hayır: yatırımcı oturum vizeleri 3 Nisan 2025'te kaldırıldı; eski başvuru ve izinler için geçiş kuralları var</t>
        </is>
      </c>
      <c r="F135" s="29" t="inlineStr">
        <is>
          <t>Hayır. Ley Orgánica 1/2025, 3 Nisan 2025'te yürürlüğe girdi ve yatırımcı oturum vizelerini tümüyle kaldırdı; 500.000 euroyu aşan gayrimenkul yatırımına bağlı oturumlar da bunun içinde. Yürürlük tarihinden önce başvuru yapmış yatırımcılar ve aileleri, başvuru tarihinde geçerli kurallara göre vize ya da izin alabiliyor. Geçerli yatırımcı vizesi ya da izni olanlar, verildikleri süre boyunca geçerliliklerini koruyor; yenileme başvuruları da ilk iznin verildiği tarihteki kurallara göre işleniyor.</t>
        </is>
      </c>
      <c r="G135" s="29" t="inlineStr">
        <is>
          <t>altın vize, golden visa, yatırımcı vizesi, Ley 14/2013, Ley Orgánica 1/2025, gayrimenkul yatırımı, 500.000 euro</t>
        </is>
      </c>
      <c r="H135" s="29" t="inlineStr">
        <is>
          <t>before;planning</t>
        </is>
      </c>
      <c r="I135" s="29" t="inlineStr">
        <is>
          <t>sevilla:kaynak:012;sevilla:kaynak:013</t>
        </is>
      </c>
      <c r="J135" s="49" t="n">
        <v>46319</v>
      </c>
      <c r="K135" s="51" t="n">
        <v>9010</v>
      </c>
      <c r="L135" s="29" t="inlineStr">
        <is>
          <t>Hayır</t>
        </is>
      </c>
      <c r="M135" s="29" t="inlineStr">
        <is>
          <t>Taslak</t>
        </is>
      </c>
      <c r="N135" s="29" t="inlineStr">
        <is>
          <t>sevilla:oturum</t>
        </is>
      </c>
      <c r="O135" s="29" t="inlineStr">
        <is>
          <t>Gayrimenkul ya da başka bir yatırım yoluyla oturum planlıyorsan 3 Nisan 2025'ten beri yeni başvuru yolu yok; bu seçeneği planından çıkar.
3 Nisan 2025'ten önce başvuru yaptıysan bu başvuru, başvuru tarihinde yürürlükte olan kurallara göre sonuçlanabilir.
Geçerli bir yatırımcı vizen ya da iznin varsa verildiği süre boyunca geçerliliğini korur.
Yenileme başvurusu, ilk iznin verildiği tarihte yürürlükte olan kurallara göre işlenir.</t>
        </is>
      </c>
      <c r="P135" s="29" t="n"/>
      <c r="Q135" s="29" t="inlineStr">
        <is>
          <t>Yürürlük tarihi: 3 Nisan 2025.</t>
        </is>
      </c>
      <c r="R135" s="29" t="n"/>
      <c r="S135" s="29" t="inlineStr">
        <is>
          <t>Kaldırılan hükümler Ley 14/2013'ün 63 ile 67. maddeleridir; Ley Orgánica 1/2025 bu maddeleri içeriksiz bıraktı.</t>
        </is>
      </c>
      <c r="T135" s="29" t="n"/>
    </row>
    <row r="136" ht="54" customHeight="1">
      <c r="A136" s="29" t="inlineStr">
        <is>
          <t>sevilla:ogrenci-oturumuyla-calisma-hakki</t>
        </is>
      </c>
      <c r="B136" s="29" t="inlineStr">
        <is>
          <t>sevilla</t>
        </is>
      </c>
      <c r="C136" s="29" t="inlineStr">
        <is>
          <t>ogrenci-oturumuyla-calisma-hakki</t>
        </is>
      </c>
      <c r="D136" s="29" t="inlineStr">
        <is>
          <t>Öğrenci oturumuyla İspanya'da çalışma hakkın var mı?</t>
        </is>
      </c>
      <c r="E136" s="29" t="inlineStr">
        <is>
          <t>Haftada en çok 30 saat; işin eğitimle bağdaşması ve izinde belirtilen özerk bölgeyle sınırlı olması gerekir</t>
        </is>
      </c>
      <c r="F136" s="29" t="inlineStr">
        <is>
          <t>Uzun süreli öğrenci kalış iznin varsa ücretli ya da kendi hesabına çalışmak için izin istenebilir; iş, asıl amacın olan eğitimle bağdaşmalı. Madde 52.1.a kapsamındaki (yükseköğrenim) kalış izinleri, eğitimle bağdaşan işte çalışmaya ek bir işlem olmadan otomatik izin verir. Çalışma genel olarak haftada en çok 30 saat olabilir; bu sınırı aşmak kalış izninin sona ermesine yol açar. İzin, verildiği özerk bölgeyle sınırlıdır; komşu bölgelerdeki sınır yerlerinde çalışılabilir.</t>
        </is>
      </c>
      <c r="G136" s="29" t="inlineStr">
        <is>
          <t>öğrenci izni, öğrenci vizesi, çalışma hakkı, 30 saat, estancia por estudios, Real Decreto 1155/2024, staj</t>
        </is>
      </c>
      <c r="H136" s="29" t="inlineStr">
        <is>
          <t>settled</t>
        </is>
      </c>
      <c r="I136" s="29" t="inlineStr">
        <is>
          <t>sevilla:kaynak:005</t>
        </is>
      </c>
      <c r="J136" s="49" t="n">
        <v>46319</v>
      </c>
      <c r="K136" s="51" t="n">
        <v>9011</v>
      </c>
      <c r="L136" s="29" t="inlineStr">
        <is>
          <t>Hayır</t>
        </is>
      </c>
      <c r="M136" s="29" t="inlineStr">
        <is>
          <t>Taslak</t>
        </is>
      </c>
      <c r="N136" s="29" t="inlineStr">
        <is>
          <t>sevilla:oturum</t>
        </is>
      </c>
      <c r="O136" s="29" t="inlineStr">
        <is>
          <t>İznin madde 52.1.a kapsamındaki yükseköğrenim izni olup olmadığına bak; öyleyse eğitimle bağdaşan işte ek işlem olmadan çalışabilirsin.
Diğer öğrenci izinlerinde işveren ya da sen çalışma izni başvurusu yap; işveren için madde 74 şartları (a, c'nin ikinci fıkrası ve h hariç) aranır.
Kendi hesabına çalışacaksan ilgili başvuruyu yap; madde 84 şartları (d ve e hariç) aranır.
Haftalık çalışmanı 30 saatin altında tut; genel kural böyledir ve aşılırsa kalış izni sona erer.
İşini, izninin verildiği özerk bölgede ya da onun komşu yerlerinde yap; başka bölgede çalışma istisnası, iş yerinin eğitimle bağdaşmayı bozacak sürekli yolculuk gerektirmemesi şartına bağlıdır.
Eğitim planının parçası olan, iş ilişkisi sayılmayan zorunlu stajlar için ek izin gerekmez.</t>
        </is>
      </c>
      <c r="P136" s="29" t="n"/>
      <c r="Q136" s="29" t="n"/>
      <c r="R136" s="29" t="n"/>
      <c r="S136" s="29" t="inlineStr">
        <is>
          <t>Meslek eğitimi (yoğun rejim) için haftalık saat sınırı ilgili sektör mevzuatına bağlıdır.</t>
        </is>
      </c>
      <c r="T136" s="29" t="n"/>
    </row>
    <row r="137" ht="54" customHeight="1">
      <c r="A137" s="29" t="inlineStr">
        <is>
          <t>sevilla:ispanyol-vatandasligi-basvurusu</t>
        </is>
      </c>
      <c r="B137" s="29" t="inlineStr">
        <is>
          <t>sevilla</t>
        </is>
      </c>
      <c r="C137" s="29" t="inlineStr">
        <is>
          <t>ispanyol-vatandasligi-basvurusu</t>
        </is>
      </c>
      <c r="D137" s="29" t="inlineStr">
        <is>
          <t>İspanyol vatandaşlığına nasıl başvurulur? İkamet süresi kuralları</t>
        </is>
      </c>
      <c r="E137" s="29" t="inlineStr">
        <is>
          <t>Türk vatandaşları için genel kural on yıl; DELE A2 ve CCSE sınavı gerekir, önceki uyrukluktan vazgeçme beyanı istenir</t>
        </is>
      </c>
      <c r="F137" s="29" t="inlineStr">
        <is>
          <t>İkamet yoluyla İspanyol vatandaşlığı için genel kural, başvurudan hemen önce on yıl yasal ve kesintisiz İspanya'da yaşamış olmaktır; Türk vatandaşları için de kural budur. Kısaltılmış süreler yalnız belirli gruplar içindir: mülteci statüsü alanlar için beş yıl; İber-Amerika ülkeleri, Andorra, Filipinler, Ekvator Ginesi ya da Portekiz kökenliler ve Sefarad kökenliler için iki yıl. Türkiye bu ülkeler arasında yok. Bazı durumlarda bir yıl yeter: İspanya'da doğmuş olmak, İspanyol biriyle en az bir yıldır evli ve ayrı olmamak, İspanyol bir kişinin dul eşi olmak gibi. Her durumda iyi sivil davranış ve İspanyol toplumuna yeterli uyumunu göstermen gerekir; bunun için DELE (İspanyolca diploması, en az A2) ve CCSE (anayasa ve kültür bilgisi) sınavlarını geçmelisin. Vatandaşlığa geçerken önceki vatandaşlığından vazgeçtiğini beyan etmen de gerekir. Başvuru, İspanya Adalet Bakanlığı sitesindeki standart formla elektronik uygulama üzerinden yapılır ve Adalet Bakanı karara bağlar; karar en çok bir yıl içinde verilir, bu sürede açık karar çıkmazsa başvuru reddedilmiş sayılır.</t>
        </is>
      </c>
      <c r="G137" s="29" t="inlineStr">
        <is>
          <t>İspanyol vatandaşlığı, nacionalidad por residencia, on yıl, Código Civil madde 22, carta de naturaleza, vatandaşlık süresi</t>
        </is>
      </c>
      <c r="H137" s="29" t="inlineStr">
        <is>
          <t>settled</t>
        </is>
      </c>
      <c r="I137" s="29" t="inlineStr">
        <is>
          <t>sevilla:kaynak:014;sevilla:kaynak:015</t>
        </is>
      </c>
      <c r="J137" s="49" t="n">
        <v>46319</v>
      </c>
      <c r="K137" s="51" t="n">
        <v>9012</v>
      </c>
      <c r="L137" s="29" t="inlineStr">
        <is>
          <t>Hayır</t>
        </is>
      </c>
      <c r="M137" s="29" t="inlineStr">
        <is>
          <t>Taslak</t>
        </is>
      </c>
      <c r="N137" s="29" t="inlineStr">
        <is>
          <t>sevilla:oturum</t>
        </is>
      </c>
      <c r="O137" s="29" t="inlineStr">
        <is>
          <t>Hangi gruba girdiğini belirle: Türk vatandaşları için genel kural 10 yıl; mülteci 5 yıl; İber-Amerika/Andorra/Filipinler/Ekvator Ginesi/Portekiz ya da Sefarad kökenli 2 yıl; belirli durumlarda 1 yıl (İspanya'da doğmak, süresinde seçim hakkını kullanmamış olmak, iki yıl İspanyol kişi ya da kurumun vesayetinde bulunmak, İspanyol eşle bir yıldır evli olmak, İspanyol bir kişinin dul eşi olmak ya da yurtdışında İspanyol kökenli ebeveyn ya da büyükanne/büyükbabadan doğmak).
İkametinin yasal, kesintisiz ve başvurudan hemen önceki dönem olduğundan emin ol; İspanyol bir kişinin dul eşiysen 1 yıl şartı ölümde yasal ya da fiilî ayrılık yoksa geçerlidir.
Başvuru dosyasında iyi sivil davranışını ve İspanyol toplumuna yeterli uyumunu gösterecek şekilde hazırlan; Instituto Cervantes'in DELE (en az A2) ve CCSE sınavlarını geçmen gerekir. Bu sınavların ücreti başvuru harcına dahil değildir.
Önceki vatandaşlığından vazgeçtiğini beyan etmeye hazırlan; bu şart yalnız İber-Amerika, Andorra, Filipinler, Ekvator Ginesi ve Portekiz uyruklularıyla İspanya kökenli Sefaradlar için aranmaz.
Başvuruyu Adalet Bakanlığı sitesindeki standart formla elektronik uygulama üzerinden yap; başvuru harcını ödeme formuyla öde ve ödeme belgesini dosyaya ekle.
Karar en çok bir yıl içinde bildirilir; bu sürede açık karar çıkmazsa başvuru reddedilmiş sayılır.
Karar olumluysa bildirimden sonraki 180 gün içinde Registro Civil'de Kral'a bağlılık ve Anayasa'ya ve yasalara uyma yemini ya da sözünü ver (14 yaşından büyüksen), gerekiyorsa önceki vatandaşlıktan vazgeçme beyanını yap ve kayıt iste; bunlar süresinde yapılmazsa karar etkisiz kalır.</t>
        </is>
      </c>
      <c r="P137" s="29" t="n"/>
      <c r="Q137" s="29" t="inlineStr">
        <is>
          <t>Türk vatandaşları için genel kural 10 yıl; mülteci 5 yıl; belirli ülke/köken grupları 2 yıl; belirli durumlarda 1 yıl. Karar en çok bir yıl içinde verilir, açık karar çıkmazsa başvuru reddedilmiş sayılır; olumlu karardan sonra yemin ve vazgeçme beyanı için 180 gün vardır.</t>
        </is>
      </c>
      <c r="R137" s="29" t="inlineStr">
        <is>
          <t>Başvuru için harç ödenir (ödeme formu Adalet Bakanlığı sitesindedir); DELE ve CCSE sınav ücretleri bu harca dahil değildir, Instituto Cervantes'in kendi tarifesine tabidir.</t>
        </is>
      </c>
      <c r="S137" s="29" t="inlineStr">
        <is>
          <t>Carta de naturaleza ile vatandaşlık, Hükümetin Real Decreto ile takdire bağlı olarak verdiği bir yoldur ve olağanüstü koşullara bağlıdır. İkamet yoluyla vatandaşlığı Adalet Bakanı verir; kamu düzeni ya da ulusal çıkar gerekçesiyle gerekçeli olarak reddedebilir.</t>
        </is>
      </c>
      <c r="T137" s="29" t="n"/>
    </row>
    <row r="138" ht="54" customHeight="1">
      <c r="A138" s="29" t="inlineStr">
        <is>
          <t>sevilla:brexit-sonrasi-ingiliz-oturumu</t>
        </is>
      </c>
      <c r="B138" s="29" t="inlineStr">
        <is>
          <t>sevilla</t>
        </is>
      </c>
      <c r="C138" s="29" t="inlineStr">
        <is>
          <t>brexit-sonrasi-ingiliz-oturumu</t>
        </is>
      </c>
      <c r="D138" s="29" t="inlineStr">
        <is>
          <t>İngiliz vatandaşı için Brexit sonrası İspanya'da oturum belgesi nasıl alınır?</t>
        </is>
      </c>
      <c r="E138" s="29" t="inlineStr">
        <is>
          <t>31 Aralık 2020'den önce yerleşenler Çekilme Anlaşması hakları ve 18.4 maddesi belgesiyle; anlaşma kapsamında olmayan İngilizler genel yabancılar rejiminde</t>
        </is>
      </c>
      <c r="F138" s="29" t="inlineStr">
        <is>
          <t>Birleşik Krallık 31 Ocak 2020'de AB'den ayrıldı. 31 Aralık 2020'den önce İspanya'ya yerleşenlerin oturum, serbest dolaşım ve sosyal güvenlik hakları Çekilme Anlaşması'na göre sürüyor; bunların yeni bir oturum statüsü başvurusu yapma zorunluluğu yok, ama Anlaşma'nın 18.4 maddesi uyarınca belge alma hakları var. Elinde geçici ya da kalıcı kayıt sertifikası (certificado de registro) varsa tek adımda polis birimine EX23 formu, geçerli pasaport, 790 kodu 012 harç belgesi ve fotoğrafla başvurursun. Kayıt sertifikan yoksa önce yabancılar ofisine EX20 formuyla başvurur, karar çıkınca bir ay içinde polis birimine gidip belgeni istersin. Geçici belge beş yıl, kalıcı belge on yıl geçerlidir. Geçiş döneminden sonra gelip Çekilme Anlaşması kapsamına girmeyen İngilizler üçüncü ülke vatandaşı sayılır ve genel yabancılar rejimine (vize ve oturum izni) tabidir. Üç aylık başvuru süresi yalnız anlaşmanın II. Başlığı kapsamındaki oturma hakkı geçiş döneminden sonra başlayanlar içindir. Güncel resmî tarifeye göre bu belgenin harcı 12,00 euro.</t>
        </is>
      </c>
      <c r="G138" s="29" t="inlineStr">
        <is>
          <t>Brexit, İngiliz vatandaşı, Çekilme Anlaşması, artículo 18.4, EX23, oturum belgesi, residencia temporal, kalıcı oturum</t>
        </is>
      </c>
      <c r="H138" s="29" t="inlineStr">
        <is>
          <t>settled</t>
        </is>
      </c>
      <c r="I138" s="29" t="inlineStr">
        <is>
          <t>sevilla:kaynak:004;sevilla:kaynak:016</t>
        </is>
      </c>
      <c r="J138" s="49" t="n">
        <v>46319</v>
      </c>
      <c r="K138" s="51" t="n">
        <v>9013</v>
      </c>
      <c r="L138" s="29" t="inlineStr">
        <is>
          <t>Hayır</t>
        </is>
      </c>
      <c r="M138" s="29" t="inlineStr">
        <is>
          <t>Taslak</t>
        </is>
      </c>
      <c r="N138" s="29" t="inlineStr">
        <is>
          <t>sevilla:oturum</t>
        </is>
      </c>
      <c r="O138" s="29" t="inlineStr">
        <is>
          <t>31 Aralık 2020'den önce İspanya'da yaşıyor muydun, buna bak: öyleyse Çekilme Anlaşması'nın haklarına sahipsin ve yeni bir oturum statüsü istemen gerekmiyor.
Elinde geçici ya da kalıcı kayıt sertifikası varsa Anlaşma'nın 18.4 maddesi belgesini şahsen polis birimine başvurarak iste (tek adım); kayıt sertifikan yoksa önce yabancılar ofisine başvurman gerekir (iki adım).
Tek adımda EX23 formunu, geçerli pasaportunu (süresi dolduysa kopyasını ve yenileme başvurusunu), 790 kodu 012 harç belgesini ve kimlik belgesi kurallarına uygun fotoğrafı götür.
İki adımda önce oturduğun ya da oturacağın ilin yabancılar ofisine şahsen, temsilcinle ya da elektronik olarak başvur; ofise en az EX20 formunu, geçerli pasaportunu ve İspanya'da ikametinin başladığını gösteren belgeyi ver (her hukuki kanıt kabul edilir). Karar en çok üç ay içinde bildirilir; bildirimden sonra bir ay içinde polis birimine şahsen gidip EX23 formu, pasaport, 790 kodu 012 harç belgesi ve fotoğrafla belgeni iste.
Beş yıllık yasal ikameti dolduysan geçici belgenin süresi bitmeden kalıcı ikamet belgesi iste; kalıcı belge on yıl geçerlidir.
Çekilme Anlaşması'nın II. Başlığı kapsamındaki oturma hakkın geçiş döneminden sonra başlıyorsa, İspanya'ya varışından ya da doğumundan itibaren üç ay içinde başvur; süre geçtiyse yabancılar ofisi gerekçeni değerlendirir, haklıysa yeterli ek süre verir. Yüz yüze işlem için ön randevu gerekir.
Anlaşma kapsamında olmayan bir İngilizsen bu belgeyi alamazsın; genel yabancılar rejimine göre vize ve oturum izni almalısın.</t>
        </is>
      </c>
      <c r="P138" s="29" t="inlineStr">
        <is>
          <t>Kayıt sertifikan varsa (tek adım, polis birimi): EX23 formu (kart talebi, Çekilme Anlaşması 18.4), geçerli pasaport, 790 kodu 012 harç ödeme belgesi, kimlik belgesi kurallarına uygun fotoğraf
Kayıt sertifikan yoksa 1. adım (yabancılar ofisi): EX20 formu (Çekilme Anlaşması 18.4 belge talebi), geçerli pasaport ve ikametinin İspanya'da başladığını gösteren belge
Kayıt sertifikan yoksa 2. adım (karardan sonra polis birimi): EX23 formu, geçerli pasaport, 790 kodu 012 harç ödeme belgesi, fotoğraf
Pasaportun süresi dolduysa pasaport kopyası ve yenileme başvurusu</t>
        </is>
      </c>
      <c r="Q138" s="29" t="inlineStr">
        <is>
          <t>Geçici belge beş yıl, kalıcı belge on yıl geçerli; kayıt sertifikası olmayanlarda ofis kararı en çok üç ay içinde, ardından polis birimine başvuru bir ay içinde; oturma hakkı geçiş döneminden sonra başlayanlar için başvuru İspanya'ya varıştan ya da doğumdan itibaren üç ay içinde.</t>
        </is>
      </c>
      <c r="R138" s="29" t="inlineStr">
        <is>
          <t>Güncel resmî tarifeye göre 12,00 euro (Çekilme Anlaşması kapsamındaki TIE).</t>
        </is>
      </c>
      <c r="S138" s="29" t="inlineStr">
        <is>
          <t>Belgenin türü alanında geçici kartta 'Temporal', kalıcı kartta 'Permanente' yazar. Süreç 2 Temmuz 2020 tarihli ortak talimata dayanıyor. Anlaşma kapsamındaki İngiliz vatandaşının Türk dahil üçüncü ülke vatandaşı aile üyeleri de bu belgeyi isteyebilir.</t>
        </is>
      </c>
      <c r="T138" s="29" t="n"/>
    </row>
    <row r="139" ht="54" customHeight="1">
      <c r="A139" s="29" t="inlineStr">
        <is>
          <t>sevilla:junta-kayit-ofisinde-dilekce-sunma</t>
        </is>
      </c>
      <c r="B139" s="29" t="inlineStr">
        <is>
          <t>sevilla</t>
        </is>
      </c>
      <c r="C139" s="29" t="inlineStr">
        <is>
          <t>junta-kayit-ofisinde-dilekce-sunma</t>
        </is>
      </c>
      <c r="D139" s="29" t="inlineStr">
        <is>
          <t>Junta kayıt ofisinde dilekçe ve belge nasıl sunulur?</t>
        </is>
      </c>
      <c r="E139" s="29" t="inlineStr">
        <is>
          <t>Asistencia en materia de registros ofisleri, devlet dahil her idareye hitaben belge alır</t>
        </is>
      </c>
      <c r="F139" s="29" t="inlineStr">
        <is>
          <t>Junta de Andalucía'nın kayıt yardım ofisleri (Oficinas de Asistencia en Materia de Registros), merkezî, bölgesel ya da yerel her idareye hitaben yazılmış dilekçe ve belgeleri kabul eder. Kural olarak belgeler taranır, aynı anda sana iade edilir ve sunum makbuzu verilir. Dilekçeni elle imzalamış olman ve geçerli, orijinal kimlik götürmen gerekir. Bu ofislerde dosyanın durumunu öğrenemezsin; durum için dosyayı yürüten kuruma yazılı başvurman istenir.</t>
        </is>
      </c>
      <c r="G139" s="29" t="inlineStr">
        <is>
          <t>oficina de asistencia en materia de registros, registro, dilekçe sunma, Junta de Andalucía, makbuz, Sevilla</t>
        </is>
      </c>
      <c r="H139" s="29" t="inlineStr">
        <is>
          <t>new;settled</t>
        </is>
      </c>
      <c r="I139" s="29" t="inlineStr">
        <is>
          <t>sevilla:kaynak:268;sevilla:kaynak:269</t>
        </is>
      </c>
      <c r="J139" s="49" t="n">
        <v>46319</v>
      </c>
      <c r="K139" s="51" t="n">
        <v>203</v>
      </c>
      <c r="L139" s="29" t="inlineStr">
        <is>
          <t>Hayır</t>
        </is>
      </c>
      <c r="M139" s="29" t="inlineStr">
        <is>
          <t>Taslak</t>
        </is>
      </c>
      <c r="N139" s="29" t="inlineStr">
        <is>
          <t>sevilla:oturum</t>
        </is>
      </c>
      <c r="O139" s="29" t="inlineStr">
        <is>
          <t>Ofis için randevu al; randevu önerilir.
Dilekçeni ya da yazını elle imzala.
Geçerli, orijinal kimlik belgeni götür; başkası adına sunuyorsan yetki belgesi ya da sorumluluk beyanı da götür.
Her dilekçe için ayrı randevu al.
Belgelerin taranıp sana iade edilmesini ve sunum makbuzunu al.</t>
        </is>
      </c>
      <c r="P139" s="29" t="inlineStr">
        <is>
          <t>Geçerli ve orijinal kimlik belgesi (DNI ya da eşdeğeri)
Elle imzalanmış dilekçe ya da yazı
Başkası adına sunuluyorsa yetki belgesi</t>
        </is>
      </c>
      <c r="Q139" s="29" t="n"/>
      <c r="R139" s="29" t="n"/>
      <c r="S139" s="29" t="inlineStr">
        <is>
          <t>Kapalı zarf içindeki belgeler ve CD ya da USB bellek gibi taşıyıcılar taranamaz; orijinali kurumda kalması gereken belgeler de taranmaz.</t>
        </is>
      </c>
      <c r="T139" s="29" t="n"/>
    </row>
    <row r="140" ht="54" customHeight="1">
      <c r="A140" s="29" t="inlineStr">
        <is>
          <t>sevilla:junta-kayit-ofisi-randevu-alma-adimlari</t>
        </is>
      </c>
      <c r="B140" s="29" t="inlineStr">
        <is>
          <t>sevilla</t>
        </is>
      </c>
      <c r="C140" s="29" t="inlineStr">
        <is>
          <t>junta-kayit-ofisi-randevu-alma-adimlari</t>
        </is>
      </c>
      <c r="D140" s="29" t="inlineStr">
        <is>
          <t>Junta kayıt ofisi randevusu internetten ve telefondan nasıl alınır?</t>
        </is>
      </c>
      <c r="E140" s="29" t="inlineStr">
        <is>
          <t>Randevu için DNI ya da NIE numarası gerekir; NIF'in yoksa ayrı bir seçenek var</t>
        </is>
      </c>
      <c r="F140" s="29" t="inlineStr">
        <is>
          <t>Junta ofisi randevusunu Cita previa uygulamasından ya da 012 / 955 012 012 numaralarından alırsın. İki yolda da DNI ya da NIE numarası istenir; NIF'in yoksa uygulamadaki 'NIF'siz kişiler için randevu' bağlantısını kullanırsın. Randevu verisi ofise gelecek kişinin bilgileriyle aynı olmalıdır. Randevu onayı SMS ya da e-posta ile gelir, bir gün önce de hatırlatma yapılır.</t>
        </is>
      </c>
      <c r="G140" s="29" t="inlineStr">
        <is>
          <t>cita previa, Junta de Andalucía randevu, NIE ile randevu, 012 randevu, Sevilla kayıt ofisi</t>
        </is>
      </c>
      <c r="H140" s="29" t="inlineStr">
        <is>
          <t>new;settled</t>
        </is>
      </c>
      <c r="I140" s="29" t="inlineStr">
        <is>
          <t>sevilla:kaynak:269;sevilla:kaynak:270</t>
        </is>
      </c>
      <c r="J140" s="49" t="n">
        <v>46319</v>
      </c>
      <c r="K140" s="51" t="n">
        <v>204</v>
      </c>
      <c r="L140" s="29" t="inlineStr">
        <is>
          <t>Hayır</t>
        </is>
      </c>
      <c r="M140" s="29" t="inlineStr">
        <is>
          <t>Taslak</t>
        </is>
      </c>
      <c r="N140" s="29" t="inlineStr">
        <is>
          <t>sevilla:oturum</t>
        </is>
      </c>
      <c r="O140" s="29" t="inlineStr">
        <is>
          <t>Randevu uygulamasını aç ve hizmeti ya da ofisi seç (Sevilla'yı seç).
DNI ya da NIE numaranı gir; NIF'in yoksa 'Solicitar cita para personas sin NIF' bağlantısını kullan.
Gerçekten ihtiyacın olan hizmeti ve alanı seç, takvimden gün ve saati seç.
SMS ya da e-posta ile gelen onayı kontrol et.
İstediğin ofiste boş yer yoksa aynı hizmet için başka bir ofisin takvimine bak.
Gitmeyeceksen randevunu iptal et.</t>
        </is>
      </c>
      <c r="P140" s="29" t="inlineStr">
        <is>
          <t>DNI ya da NIE numarası</t>
        </is>
      </c>
      <c r="Q140" s="29" t="n"/>
      <c r="R140" s="29" t="n"/>
      <c r="S140" s="29" t="inlineStr">
        <is>
          <t>Randevusuz gidersen, aynı gün ofiste boş randevu varsa alabilirsin; yoksa ofisin yoğunluğuna göre kabul edilirsin.</t>
        </is>
      </c>
      <c r="T140" s="29" t="n"/>
    </row>
    <row r="141" ht="54" customHeight="1">
      <c r="A141" s="29" t="inlineStr">
        <is>
          <t>sevilla:sevilla-dijital-kimlik-bildirim-yuz-yuze-yardim</t>
        </is>
      </c>
      <c r="B141" s="29" t="inlineStr">
        <is>
          <t>sevilla</t>
        </is>
      </c>
      <c r="C141" s="29" t="inlineStr">
        <is>
          <t>sevilla-dijital-kimlik-bildirim-yuz-yuze-yardim</t>
        </is>
      </c>
      <c r="D141" s="29" t="inlineStr">
        <is>
          <t>Cl@ve, dijital sertifika ve elektronik bildirim için Sevilla'da yüz yüze yardım var mı?</t>
        </is>
      </c>
      <c r="E141" s="29" t="inlineStr">
        <is>
          <t>Junta kayıt ofislerinde Cl@ve, dijital sertifika, bildirim ve Carpeta Ciudadana için randevulu destek</t>
        </is>
      </c>
      <c r="F141" s="29" t="inlineStr">
        <is>
          <t>Junta kayıt yardım ofisleri belge sunmanın yanında kimlik ve imza (dijital sertifika, Cl@ve), elektronik bildirime erişim, Carpeta Ciudadana'ya erişim ve apoderamiento apud acta (ofiste vekâlet kaydı) hizmetlerini randevu sistemine koyar. Gerçek kişiysen ve elektronik araçların yoksa yetkilendirilmiş memurdan (funcionario habilitado) yardım alabilirsin. Elektronik bildirime ise yalnızca bildirim uyarısı gelen kişiler ulaşabilir.</t>
        </is>
      </c>
      <c r="G141" s="29" t="inlineStr">
        <is>
          <t>Cl@ve, certificado digital, notificaciones electrónicas, Carpeta Ciudadana, funcionario habilitado, apoderamiento</t>
        </is>
      </c>
      <c r="H141" s="29" t="inlineStr">
        <is>
          <t>new;settled</t>
        </is>
      </c>
      <c r="I141" s="29" t="inlineStr">
        <is>
          <t>sevilla:kaynak:269;sevilla:kaynak:268</t>
        </is>
      </c>
      <c r="J141" s="49" t="n">
        <v>46319</v>
      </c>
      <c r="K141" s="51" t="n">
        <v>205</v>
      </c>
      <c r="L141" s="29" t="inlineStr">
        <is>
          <t>Hayır</t>
        </is>
      </c>
      <c r="M141" s="29" t="inlineStr">
        <is>
          <t>Taslak</t>
        </is>
      </c>
      <c r="N141" s="29" t="inlineStr">
        <is>
          <t>sevilla:oturum</t>
        </is>
      </c>
      <c r="O141" s="29" t="inlineStr">
        <is>
          <t>Randevuda 'Identificación y firma' ya da 'Actuación por comparecencia' hizmetini seç.
Kimlik belgeni (DNI ya da eşdeğeri, geçerli ve orijinal) götür.
Elektronik aracın yoksa funcionario habilitado desteği iste.
Bildirime erişmek için bildirim uyarısını almış olman gerekir.</t>
        </is>
      </c>
      <c r="P141" s="29" t="inlineStr">
        <is>
          <t>Geçerli ve orijinal kimlik belgesi</t>
        </is>
      </c>
      <c r="Q141" s="29" t="n"/>
      <c r="R141" s="29" t="n"/>
      <c r="S141" s="29" t="inlineStr">
        <is>
          <t>Tüzel kişiler ve elektronik ilişki zorunluluğu olan kişiler kimlik ve imza için yetkili memur desteğinden yararlanamaz.</t>
        </is>
      </c>
      <c r="T141" s="29" t="n"/>
    </row>
    <row r="142" ht="54" customHeight="1">
      <c r="A142" s="29" t="inlineStr">
        <is>
          <t>sevilla:sevilla-tie-nie-polis-birimleri-brigada-extranjeria</t>
        </is>
      </c>
      <c r="B142" s="29" t="inlineStr">
        <is>
          <t>sevilla</t>
        </is>
      </c>
      <c r="C142" s="29" t="inlineStr">
        <is>
          <t>sevilla-tie-nie-polis-birimleri-brigada-extranjeria</t>
        </is>
      </c>
      <c r="D142" s="29" t="inlineStr">
        <is>
          <t>Sevilla'da TIE ve NIE işlemleri için hangi polis birimine gidilir?</t>
        </is>
      </c>
      <c r="E142" s="29" t="inlineStr">
        <is>
          <t>TIE ve NIE işlemleri Avenida Blas Infante 2'deki Brigada Provincial de Extranjería y Fronteras'ta listeleniyor; telefon 954289715</t>
        </is>
      </c>
      <c r="F142" s="29" t="inlineStr">
        <is>
          <t>Polis Genel Müdürlüğü'nün birim listesinde Sevilla ilinde yabancı işlemleri için üç birim var. TIE verilmesi (Expedición TIE) ile NIE belgeleri ve numara atamasının (Certificados y asignación de NIE) yapıldığı birim Brigada Provincial de Extranjería y Fronteras de Sevilla: adresi Avenida Blas Infante 2, telefonu 954289715. Aynı birim oturum süresi uzatma (prórrogas de estancia), seyahat belgesi ve cédula de inscripción, AB vatandaşı rejimi (Régimen Comunitario), öğrenci, çalışmasız oturum (residencias no lucrativas), vatandaşlık raporu ve sığınma başvurularını da listeliyor. Alcalá de Guadaira (C/ Maestro Casado s/n, 955698878) ve Dos Hermanas (C/ Luis Ortega Bru s/n, 955675857) komisarlıkları ise yalnız davet mektubu (cartas de invitación) ve vatandaşlık raporu işlemleri için listeleniyor.</t>
        </is>
      </c>
      <c r="G142" s="29" t="inlineStr">
        <is>
          <t>sevilla TIE, sevilla NIE, brigada de extranjería, blas infante, yabancılar polisi, expedición TIE, sevilla oturum işlemleri</t>
        </is>
      </c>
      <c r="H142" s="29" t="inlineStr">
        <is>
          <t>new;settled</t>
        </is>
      </c>
      <c r="I142" s="29" t="inlineStr">
        <is>
          <t>sevilla:kaynak:284</t>
        </is>
      </c>
      <c r="J142" s="49" t="n">
        <v>46320</v>
      </c>
      <c r="K142" s="51" t="n">
        <v>206</v>
      </c>
      <c r="L142" s="29" t="inlineStr">
        <is>
          <t>Evet</t>
        </is>
      </c>
      <c r="M142" s="29" t="inlineStr">
        <is>
          <t>Taslak</t>
        </is>
      </c>
      <c r="N142" s="29" t="inlineStr">
        <is>
          <t>sevilla:oturum</t>
        </is>
      </c>
      <c r="O142" s="29" t="inlineStr">
        <is>
          <t>Avenida Blas Infante 2'deki Brigada Provincial de Extranjería y Fronteras de Sevilla, TIE ve NIE işlemlerinin listelendiği birimdir.
Başvuru usulünü (randevu dahil) öğrenmek için birimi 954289715'ten ara.
Davet mektubu ya da vatandaşlık raporu işlemin varsa Alcalá de Guadaira (C/ Maestro Casado s/n) ya da Dos Hermanas (C/ Luis Ortega Bru s/n) komisarlığını da kullanabilirsin; bu iki birimin listesinde TIE ve NIE işlemi yok.</t>
        </is>
      </c>
      <c r="P142" s="29" t="n"/>
      <c r="Q142" s="29" t="n"/>
      <c r="R142" s="29" t="n"/>
      <c r="S142" s="29" t="n"/>
      <c r="T142" s="29" t="n"/>
    </row>
    <row r="143" ht="54" customHeight="1">
      <c r="A143" s="29" t="inlineStr">
        <is>
          <t>sevilla:turk-vatandaslari-icin-madrid-buyukelciligi-konsolosluk</t>
        </is>
      </c>
      <c r="B143" s="29" t="inlineStr">
        <is>
          <t>sevilla</t>
        </is>
      </c>
      <c r="C143" s="29" t="inlineStr">
        <is>
          <t>turk-vatandaslari-icin-madrid-buyukelciligi-konsolosluk</t>
        </is>
      </c>
      <c r="D143" s="29" t="inlineStr">
        <is>
          <t>Sevilla'da yaşayan Türk vatandaşı konsolosluk işleri için hangi temsilciliğe başvurur?</t>
        </is>
      </c>
      <c r="E143" s="29" t="inlineStr">
        <is>
          <t>Andalucía, T.C. Madrid Büyükelçiliği'nin yetki alanında; konsolosluk bölümü hafta içi 09:30-12:30</t>
        </is>
      </c>
      <c r="F143" s="29" t="inlineStr">
        <is>
          <t>T.C. Madrid Büyükelçiliği'nin iletişim sayfasına göre elçiliğin yetki alanı arasında Andalucía da var; Sevilla'daki Türk vatandaşlarının konsolosluk işleri Madrid'e bağlı. Adres: Calle Rafael Calvo 18, 2ºA-B, 28010 Madrid; telefon +34 913 103 904; e-posta embajada.madrid@mfa.gov.tr. Elçilik hafta içi 09:00-17:00 açık, konsolosluk bölümü 09:30-12:30 arasında çalışıyor. Randevu sayfasında Türk vatandaşları için konsolosluk işlemleri ile yabancılar için vize ön başvurusu ayrı başlıklar. Mesai dışı acil durumda nöbetçi telefon +34 629476693; 7/24 konsolosluk bilgi çağrı merkezi +90 312 292 29 29. Elçiliğin sayfasındaki bölümler arasında Sevilla fahri başkonsolosluğu (Honorary Consulate General of Türkiye in Sevilla) da yer alıyor.</t>
        </is>
      </c>
      <c r="G143" s="29" t="inlineStr">
        <is>
          <t>madrid büyükelçiliği, türk konsolosluğu sevilla, fahri başkonsolosluk sevilla, konsolosluk randevusu, andalucía, pasaport</t>
        </is>
      </c>
      <c r="H143" s="29" t="inlineStr">
        <is>
          <t>planning;new;settled</t>
        </is>
      </c>
      <c r="I143" s="29" t="inlineStr">
        <is>
          <t>sevilla:kaynak:285</t>
        </is>
      </c>
      <c r="J143" s="49" t="n">
        <v>46320</v>
      </c>
      <c r="K143" s="51" t="n">
        <v>207</v>
      </c>
      <c r="L143" s="29" t="inlineStr">
        <is>
          <t>Hayır</t>
        </is>
      </c>
      <c r="M143" s="29" t="inlineStr">
        <is>
          <t>Taslak</t>
        </is>
      </c>
      <c r="N143" s="29" t="inlineStr">
        <is>
          <t>sevilla:oturum</t>
        </is>
      </c>
      <c r="O143" s="29" t="inlineStr">
        <is>
          <t>Konsolosluk işin için Madrid Büyükelçiliği'nin randevu sayfasında 'Türk Vatandaşları İçin Konsolosluk İşlemleri' bölümünü kullan.
Büyükelçiliğe Calle Rafael Calvo 18, 2ºA-B, 28010 Madrid adresinden git; konsolosluk bölümü 09:30-12:30 arasında çalışır.
Yazışma için embajada.madrid@mfa.gov.tr adresine yaz ya da +34 913 103 904'ü ara.
Mesai dışı acil durumda nöbetçi telefon +34 629476693'ü, genel konsolosluk bilgisi için 7/24 çağrı merkezi +90 312 292 29 29'u ara.</t>
        </is>
      </c>
      <c r="P143" s="29" t="n"/>
      <c r="Q143" s="29" t="inlineStr">
        <is>
          <t>Hafta içi 09:00-17:00; konsolosluk bölümü 09:30-12:30</t>
        </is>
      </c>
      <c r="R143" s="29" t="n"/>
      <c r="S143" s="29" t="inlineStr">
        <is>
          <t>Elçilik 2026'da şu günlerde kapalı: 29 Ekim (Cumhuriyet Bayramı), 1-2 Kasım, 9 Kasım, 6-7 Aralık ve 25 Aralık.</t>
        </is>
      </c>
      <c r="T143" s="29" t="n"/>
    </row>
    <row r="144" ht="54" customHeight="1">
      <c r="A144" s="29" t="inlineStr">
        <is>
          <t>sevilla:banka-hesabi-acma-ve-temel-odeme-hesabi</t>
        </is>
      </c>
      <c r="B144" s="29" t="inlineStr">
        <is>
          <t>sevilla</t>
        </is>
      </c>
      <c r="C144" s="29" t="inlineStr">
        <is>
          <t>banka-hesabi-acma-ve-temel-odeme-hesabi</t>
        </is>
      </c>
      <c r="D144" s="29" t="inlineStr">
        <is>
          <t>İspanya'da banka hesabı açmayı banka reddederse ne yapabilirsin?</t>
        </is>
      </c>
      <c r="E144" s="29" t="inlineStr">
        <is>
          <t>Banka uyruk ya da oturduğun yer gerekçesiyle reddedemez; AB'de yasal oturan, sığınma başvurucusu ve sınır dışı edilemeyen temel ödeme hesabı isteyebilir</t>
        </is>
      </c>
      <c r="F144" s="29" t="inlineStr">
        <is>
          <t>Banka hesap açmayı reddederse bunu uyruğun, oturduğun yer, doğduğun ülke ya da yaşın gibi ayrımcı gerekçelerle yapamaz (Banco de España'nın 11 Kasım 2025 tarihli sayfasına göre). Bunun dışında bankalar genel olarak kendi iç politikalarına göre hesap açıp açmamaya serbestçe karar verir; hesap açmak otomatik bir işlem değildir ve koşullarda hem senin hem bankanın anlaşması gerekir. Olağan hesabı açtıramazsan temel ödeme hesabı (cuenta de pago básica) isteme hakkın yalnızca üç gruba aittir: AB'de yasal olarak oturanlar (sabit adresleri olmasa bile), sığınma başvurusu yapanlar ve oturum izni olmayan ama sınır dışı edilmesi mümkün olmayanlar. Bu gruplardaysan ödeme hesabı sunan her kredi kuruluşu sana temel ödeme hesabı sunmak zorundadır. Bu hesapla para yatırıp çekebilir, otomatik ödeme talimatı verebilir, banka ya da ön ödemeli kartla ödeme yapabilir ve havale gönderebilirsin.</t>
        </is>
      </c>
      <c r="G144" s="29" t="inlineStr">
        <is>
          <t>banka hesabı, cuenta de pago básica, temel ödeme hesabı, hesap açma, Banco de España, ayrımcılık yasağı, kara para aklama</t>
        </is>
      </c>
      <c r="H144" s="29" t="inlineStr">
        <is>
          <t>new;settled</t>
        </is>
      </c>
      <c r="I144" s="29" t="inlineStr">
        <is>
          <t>sevilla:kaynak:034;sevilla:kaynak:035</t>
        </is>
      </c>
      <c r="J144" s="49" t="n">
        <v>46319</v>
      </c>
      <c r="K144" s="51" t="n">
        <v>9027</v>
      </c>
      <c r="L144" s="29" t="inlineStr">
        <is>
          <t>Hayır</t>
        </is>
      </c>
      <c r="M144" s="29" t="inlineStr">
        <is>
          <t>Taslak</t>
        </is>
      </c>
      <c r="N144" s="29" t="inlineStr">
        <is>
          <t>sevilla:para</t>
        </is>
      </c>
      <c r="O144" s="29" t="inlineStr">
        <is>
          <t>Hesap açmak istediğin bankaya başvur; banka kendi politikasına göre karar verir ve hesap sözleşmesi için senin de bankanın da koşulları kabul etmesi gerekir.
Bankanın kara para aklamayı ve terörün finansmanını önleme yükümlülükleri için istediği bilgileri ver; vermezsen banka temel ödeme hesabı başvurunu reddedebilir.
Ret gerekçesi uyruğun, oturduğun yer ya da doğduğun ülke gibi bir ölçütse bu ayrımcılıktır; banka böyle bir gerekçeyle başvurunu reddedemez.
AB'de yasal olarak oturuyorsan (sabit adresin olmasa bile), sığınma başvurusu yapmışsan ya da oturum iznin yok ama sınır dışı edilmen mümkün değilse ve olağan hesabı açtıramadıysan kredi kuruluşundan temel ödeme hesabı iste.</t>
        </is>
      </c>
      <c r="P144" s="29" t="n"/>
      <c r="Q144" s="29" t="n"/>
      <c r="R144" s="29" t="inlineStr">
        <is>
          <t>Temel ödeme hesabı, ekonomik durumun zorsa hiç ücretsiz olabilir.</t>
        </is>
      </c>
      <c r="S144" s="29" t="inlineStr">
        <is>
          <t>Banka temel ödeme hesabını şu durumlarda reddedebilir: İspanya'da zaten bir cari hesabın varsa; hesabın açılması ulusal güvenlik ya da kamu düzenine aykırıysa; kara para aklama ve terörün finansmanını önleme yükümlülükleri için istediği bilgiyi vermezsen.</t>
        </is>
      </c>
      <c r="T144" s="29" t="n"/>
    </row>
    <row r="145" ht="54" customHeight="1">
      <c r="A145" s="29" t="inlineStr">
        <is>
          <t>sevilla:iban-ve-sepa-havalesi</t>
        </is>
      </c>
      <c r="B145" s="29" t="inlineStr">
        <is>
          <t>sevilla</t>
        </is>
      </c>
      <c r="C145" s="29" t="inlineStr">
        <is>
          <t>iban-ve-sepa-havalesi</t>
        </is>
      </c>
      <c r="D145" s="29" t="inlineStr">
        <is>
          <t>İspanya'da IBAN nedir ve SEPA havalesi nasıl çalışır?</t>
        </is>
      </c>
      <c r="E145" s="29" t="inlineStr">
        <is>
          <t>IBAN hesabı tanımlar; SEPA bölgesinde euro ödemeleri yurt içi ve sınır ötesi aynı koşullarda yapılır</t>
        </is>
      </c>
      <c r="F145" s="29" t="inlineStr">
        <is>
          <t>IBAN, hesabı tanımlayan harf ve rakamlardan oluşan bir koddur; uluslararası bir standarda dayanır ve İspanya'da 24 karakterdir. Banka havaleyi girdiğin IBAN'a göre yürütür; havale doğru yapılmış sayılır ve geri alınamaz, bu yüzden numarayı doğru girmek çok önemlidir (Banco de España, 19 Şubat 2026 tarihli sayfa). Aynı sayfaya göre (sayfa tarihi 19 Şubat 2026) ödeme hizmeti sağlayıcıları geçen 9 Ekim'den beri ücretsiz bir alıcı doğrulaması sunmak zorundadır: IBAN'ı girince, para gitmeden önce bankan girdiğin alıcı adının hesap sahibiyle uyuşup uyuşmadığını (uyuşuyor, kısmen uyuşuyor, uyuşmuyor) bildirir; uyarıya rağmen devam edersen havale gönderilir. SEPA bölgesi 27 AB üyesi ile İzlanda, Lihtenştayn ve Norveç'ten oluşur; şemalara AEA dışı bazı ülke ve bölgeler de dahil edilir. Bu bölgede euro ödemeleri yurt içi de olsa sınır ötesi de olsa aynı koşullarda gönderilir ve alınır.</t>
        </is>
      </c>
      <c r="G145" s="29" t="inlineStr">
        <is>
          <t>IBAN, SEPA, havale, transferencia, anlık havale, transferencia inmediata, euro ödemesi, Banco de España</t>
        </is>
      </c>
      <c r="H145" s="29" t="inlineStr">
        <is>
          <t>new;settled</t>
        </is>
      </c>
      <c r="I145" s="29" t="inlineStr">
        <is>
          <t>sevilla:kaynak:036;sevilla:kaynak:037</t>
        </is>
      </c>
      <c r="J145" s="49" t="n">
        <v>46319</v>
      </c>
      <c r="K145" s="51" t="n">
        <v>9028</v>
      </c>
      <c r="L145" s="29" t="inlineStr">
        <is>
          <t>Hayır</t>
        </is>
      </c>
      <c r="M145" s="29" t="inlineStr">
        <is>
          <t>Taslak</t>
        </is>
      </c>
      <c r="N145" s="29" t="inlineStr">
        <is>
          <t>sevilla:para</t>
        </is>
      </c>
      <c r="O145" s="29" t="inlineStr">
        <is>
          <t>Alıcının IBAN'ını eksiksiz ve doğru gir; banka havaleyi bu numaraya göre yürütür.
IBAN'ı girdikten sonra bankan alıcı adının hesap sahibiyle uyuşup uyuşmadığını bildirir; uyuşmuyor ya da kısmen uyuşuyor sonucuna rağmen devam edersen havale gönderilir. Doğrulama teknik nedenle yapılamadıysa Banco de España devam etmemenin daha ihtiyatlı olacağını söylüyor.
Bankan anlık havale sunuyorsa normal havale ile anlık havale arasında seçebilirsin: normal havale alıcı bankanın fonları almasından sonraki iş gününe ulaşır, anlık havale en çok 10 saniyede hesaba geçer.
Masrafların paylaşıldığını bil: gönderen banka kendi masrafını gönderene, alıcı banka kendi masrafını alıcıya yansıtır.</t>
        </is>
      </c>
      <c r="P145" s="29" t="n"/>
      <c r="Q145" s="29" t="inlineStr">
        <is>
          <t>Normal havale: alıcı bankanın fonları almasından sonraki iş günü (kâğıt emirde bir gün daha uzayabilir). Anlık havale: en çok 10 saniye, günün 24 saati, yılın her günü.</t>
        </is>
      </c>
      <c r="R145" s="29" t="inlineStr">
        <is>
          <t>Masraflar gönderen ile alıcı arasında paylaşılır; anlık havalenin maliyeti, eşdeğer koşullarda normal havaleyi aşmaz.</t>
        </is>
      </c>
      <c r="S145" s="29" t="n"/>
      <c r="T145" s="29" t="n"/>
    </row>
    <row r="146" ht="54" customHeight="1">
      <c r="A146" s="29" t="inlineStr">
        <is>
          <t>sevilla:gelir-vergisi-irpf-devlet-dilimleri</t>
        </is>
      </c>
      <c r="B146" s="29" t="inlineStr">
        <is>
          <t>sevilla</t>
        </is>
      </c>
      <c r="C146" s="29" t="inlineStr">
        <is>
          <t>gelir-vergisi-irpf-devlet-dilimleri</t>
        </is>
      </c>
      <c r="D146" s="29" t="inlineStr">
        <is>
          <t>İspanya'da gelir vergisi (IRPF) dilimleri nelerdir?</t>
        </is>
      </c>
      <c r="E146" s="29" t="inlineStr">
        <is>
          <t>Devlet ölçeği %9,50 ile %24,50 arasında; bölgesel kısım ortak rejimdeki (régimen común) bölgelere göre değişir</t>
        </is>
      </c>
      <c r="F146" s="29" t="inlineStr">
        <is>
          <t>Renta 2025 kılavuzuna göre (2025 geliri, 2026'da verilen beyan) IRPF devlet ölçeği şöyledir: 12.450 euroya kadar %9,50, 12.450-20.200 euro arası %12, 20.200-35.200 euro arası %15, 35.200-60.000 euro arası %18,50, 60.000-300.000 euro arası %22,50, 300.000 euro üstü %24,50. Kılavuz bu ölçeği oturulan yerden bağımsız uygulanan ölçek olarak veriyor. Genel vergi matrahına buna ek olarak bölgesel ölçek uygulanır; kılavuzun kapsamı ortak rejimdeki (régimen común) özerk bölgeler ve özerklik statülü şehirlerdir (Ceuta, Melilla) ve bölgesel ölçeği ilgili özerk bölge kendisi onaylar, bu yüzden toplam oran bölgeye göre değişir.</t>
        </is>
      </c>
      <c r="G146" s="29" t="inlineStr">
        <is>
          <t>IRPF, gelir vergisi, vergi dilimleri, devlet ölçeği, escala estatal, escala autonómica, Renta 2025, Agencia Tributaria</t>
        </is>
      </c>
      <c r="H146" s="29" t="inlineStr">
        <is>
          <t>planning;new;settled</t>
        </is>
      </c>
      <c r="I146" s="29" t="inlineStr">
        <is>
          <t>sevilla:kaynak:038;sevilla:kaynak:039</t>
        </is>
      </c>
      <c r="J146" s="49" t="n">
        <v>46319</v>
      </c>
      <c r="K146" s="51" t="n">
        <v>9029</v>
      </c>
      <c r="L146" s="29" t="inlineStr">
        <is>
          <t>Hayır</t>
        </is>
      </c>
      <c r="M146" s="29" t="inlineStr">
        <is>
          <t>Taslak</t>
        </is>
      </c>
      <c r="N146" s="29" t="inlineStr">
        <is>
          <t>sevilla:para</t>
        </is>
      </c>
      <c r="O146" s="29" t="inlineStr">
        <is>
          <t>Devlet ölçeğini vergi matrahının ilgili dilimlerine uygula (%9,50'den %24,50'ye).
Ortak rejimdeki bölgelerde sana hangi özerk bölgenin ölçeğinin uygulanacağını belirle.
Bölgesel ölçeği aynı matraha ekle; rakamlar özerk bölgeden bölgeye farklıdır.</t>
        </is>
      </c>
      <c r="P146" s="29" t="n"/>
      <c r="Q146" s="29" t="inlineStr">
        <is>
          <t>Dilimler Renta 2025 kılavuzundandır (2025 geliri, 2026'da verilen beyan).</t>
        </is>
      </c>
      <c r="R146" s="29" t="n"/>
      <c r="S146" s="29" t="inlineStr">
        <is>
          <t>Ceuta ya da Melilla'da oturanlar için ayrı bir bölgesel ölçek vardır.</t>
        </is>
      </c>
      <c r="T146" s="29" t="n"/>
    </row>
    <row r="147" ht="54" customHeight="1">
      <c r="A147" s="29" t="inlineStr">
        <is>
          <t>sevilla:kdv-iva-oranlari</t>
        </is>
      </c>
      <c r="B147" s="29" t="inlineStr">
        <is>
          <t>sevilla</t>
        </is>
      </c>
      <c r="C147" s="29" t="inlineStr">
        <is>
          <t>kdv-iva-oranlari</t>
        </is>
      </c>
      <c r="D147" s="29" t="inlineStr">
        <is>
          <t>İspanya'da KDV (IVA) oranları kaç?</t>
        </is>
      </c>
      <c r="E147" s="29" t="inlineStr">
        <is>
          <t>Genel oran %21, azaltılmış oranlar %10 ve %4; Canarias, Ceuta ve Melilla'da İspanyol KDV'si uygulanmaz</t>
        </is>
      </c>
      <c r="F147" s="29" t="inlineStr">
        <is>
          <t>İspanya'da genel KDV (IVA) oranı %21'dir; azaltılmış oranlar %10 ve %4'tür ve belirli işlemlere %0 uygulanır (AEAT'nin güncel oran sayfasına göre). İspanyol KDV'si Yarımada ve Baleares'te uygulanır; Canarias, Ceuta ve Melilla bu verginin kapsamı dışındadır, bu kart bu bölgeleri kapsamaz.</t>
        </is>
      </c>
      <c r="G147" s="29" t="inlineStr">
        <is>
          <t>KDV, IVA, IVA oranları, genel oran, azaltılmış oran, tipo reducido, Agencia Tributaria, Canarias</t>
        </is>
      </c>
      <c r="H147" s="29" t="inlineStr">
        <is>
          <t>planning;new;settled</t>
        </is>
      </c>
      <c r="I147" s="29" t="inlineStr">
        <is>
          <t>sevilla:kaynak:040;sevilla:kaynak:041</t>
        </is>
      </c>
      <c r="J147" s="49" t="n">
        <v>46319</v>
      </c>
      <c r="K147" s="51" t="n">
        <v>9030</v>
      </c>
      <c r="L147" s="29" t="inlineStr">
        <is>
          <t>Hayır</t>
        </is>
      </c>
      <c r="M147" s="29" t="inlineStr">
        <is>
          <t>Taslak</t>
        </is>
      </c>
      <c r="N147" s="29" t="inlineStr">
        <is>
          <t>sevilla:para</t>
        </is>
      </c>
      <c r="O147" s="29" t="inlineStr">
        <is>
          <t>Yarımada ve Baleares'te yapılan alışverişlerde genel oran olan %21'i hesaba kat.
Azaltılmış orana tabi mal ve hizmetlerde %10 ya da %4 ödediğini, bazı işlemlerde ise %0 uygulandığını bil.
Canarias, Ceuta ve Melilla'da İspanyol KDV'sinin (IVA) uygulanmadığını bil; bu kart bu bölgeleri kapsamaz.</t>
        </is>
      </c>
      <c r="P147" s="29" t="n"/>
      <c r="Q147" s="29" t="n"/>
      <c r="R147" s="29" t="inlineStr">
        <is>
          <t>Genel oran %21; azaltılmış oranlar %10 ve %4; belirli işlemlerde %0 (AEAT'nin güncel oran sayfasına göre).</t>
        </is>
      </c>
      <c r="S147" s="29" t="n"/>
      <c r="T147" s="29" t="n"/>
    </row>
    <row r="148" ht="54" customHeight="1">
      <c r="A148" s="29" t="inlineStr">
        <is>
          <t>sevilla:yillik-gelir-vergisi-beyani-renta</t>
        </is>
      </c>
      <c r="B148" s="29" t="inlineStr">
        <is>
          <t>sevilla</t>
        </is>
      </c>
      <c r="C148" s="29" t="inlineStr">
        <is>
          <t>yillik-gelir-vergisi-beyani-renta</t>
        </is>
      </c>
      <c r="D148" s="29" t="inlineStr">
        <is>
          <t>Yıllık gelir vergisi beyanı (Renta) ne zaman verilir, kim vermek zorunda?</t>
        </is>
      </c>
      <c r="E148" s="29" t="inlineStr">
        <is>
          <t>Renta 2025 kampanyası 8 Nisan - 30 Haziran 2026 arasındaydı ve kapandı; iş gelirinde sınır 22.000 euro, bazı durumlarda 15.876 euro</t>
        </is>
      </c>
      <c r="F148" s="29" t="inlineStr">
        <is>
          <t>Renta 2025 (2025 geliri) için beyan ve taslak verme süresi, sonucu ne olursa olsun, 8 Nisan 2026 ile 30 Haziran 2026 arasıydı (ikisi dahil) ve kapandı; banka talimatıyla ödeme için son gün 25 Haziran 2026'ydı. Renta 2025 kılavuzuna göre beyan zorunluluğu tek ölçüte bağlı değildir: gelir türüne göre tutar sınırları vardır (aşağıda), ayrıca gelirin tutarı ve türü ne olursa olsun beyan vermek zorunda olanlar da vardır; bunlar, konut yatırımı indiriminin geçiş rejiminden ya da uluslararası çifte vergilendirme indiriminden yararlanma hakkı olanlar ile engelli kişilerin korunan varlıklarına, emeklilik planlarına, güvenceli öngörü planlarına, işyeri sosyal öngörü planlarına, bağımlılık sigortalarına ya da karşılıklı öngörü sandıklarına matrahı düşüren katkı yapıp bu hakkı kullananlardır. Yalnızca iş gelirinden (emekli maaşları dahil, yurtdışından gelenler de) oluşan gelirde sınır yıllık 22.000 euro'dur. Sınır 15.876 euro olur: iş geliri birden fazla ödeyiciden geliyorsa (ikinci ve sonraki ödeyicilerden gelen toplam yılda 1.500 euroyu geçmiyorsa sınır yine 22.000 euro kalır); iş gelirini ödeyen gelirden kaynağında vergi kesmek (stopaj) zorunda değilse; eşten pensión compensatoria (eş nafakası) ya da vergiden muaf olmayan nafaka alınıyorsa; ya da iş geliri sabit oranlı stopaja tabiyse. Örneğin İspanya'da mukim olup tek geliri yurtdışından gelen bir emekli maaşı olan kişide, maaşı ödeyen yurtdışındaki kurum İspanya'da faaliyet göstermiyorsa stopaj yapmak zorunda olmadığından sınır 22.000 değil 15.876 euro'dur (2024 ve sonraki dönemler). Sermaye ve diğer gelirlerde sınırlar daha düşüktür: stopaj yapılmış sermaye geliri ve kazançlar için yıllık toplam 1.600 euro; konut sahipliğinden hesaplanan gelir (imputed), Letras del Tesoro faizi ve devlet yardımı kaynaklı kazançlar için toplam 1.000 euro; iş, taşınır ya da taşınmaz sermaye (kira geliri gibi) ve ekonomik faaliyet gelirleri ile kazançlar bir arada ise toplam 1.000 euro (zarar 500 euro altında). 2023'ten beri, vergi dönemi içinde herhangi bir anda RETA'ya (autónomo rejimine) ya da Denizciler özel rejimine kendi hesabına çalışan olarak kayıtlı olan herkes geliri ne kadar olursa olsun beyan verir. Vergiden muaf gelirler zorunluluk hesabına katılmaz. Kampanyada beyan internetten, telefonla ya da AEAT ofislerinde randevuyla, yalnızca AEAT'nin koşullarını sağlayanlar için şahsen verilebiliyordu.</t>
        </is>
      </c>
      <c r="G148" s="29" t="inlineStr">
        <is>
          <t>Renta, declaración de la renta, yıllık gelir vergisi beyanı, Renta WEB, IRPF beyanı, beyan süresi, 22.000 euro, Cl@ve Móvil</t>
        </is>
      </c>
      <c r="H148" s="29" t="inlineStr">
        <is>
          <t>new;settled</t>
        </is>
      </c>
      <c r="I148" s="29" t="inlineStr">
        <is>
          <t>sevilla:kaynak:042;sevilla:kaynak:043</t>
        </is>
      </c>
      <c r="J148" s="49" t="n">
        <v>46319</v>
      </c>
      <c r="K148" s="51" t="n">
        <v>9031</v>
      </c>
      <c r="L148" s="29" t="inlineStr">
        <is>
          <t>Hayır</t>
        </is>
      </c>
      <c r="M148" s="29" t="inlineStr">
        <is>
          <t>Taslak</t>
        </is>
      </c>
      <c r="N148" s="29" t="inlineStr">
        <is>
          <t>sevilla:para</t>
        </is>
      </c>
      <c r="O148" s="29" t="inlineStr">
        <is>
          <t>Renta 2025 kampanyasında beyan ya da taslak onayı 8 Nisan - 30 Haziran 2026 arasında verilebiliyordu; bu süre sonucu ne olursa olsun geçerliydi.
İnternetten verenler Agencia Tributaria'nın elektronik merkezine tanınmış elektronik sertifika, Cl@ve Móvil, referans numarası ya da eIDAS ile giriyordu.
Ödenecek tutarın bankadan otomatik çekilmesini isteyenler bunu Renta 2025 için 25 Haziran 2026'ya kadar bildiriyordu.
Beyan kabul edilince ekranda çıkan, güvenli doğrulama koduyla onaylı sunum belgesinin (justificante) yazdırılması ya da saklanması gerekiyordu.</t>
        </is>
      </c>
      <c r="P148" s="29" t="n"/>
      <c r="Q148" s="29" t="inlineStr">
        <is>
          <t>Renta 2025 (kapandı): 8 Nisan - 30 Haziran 2026 (ikisi dahil); banka talimatıyla ödeme: 25 Haziran 2026'ya kadar.</t>
        </is>
      </c>
      <c r="R148" s="29" t="n"/>
      <c r="S148" s="29" t="inlineStr">
        <is>
          <t>Zorunluluk sınırlarının altında kalsan bile IRPF mevzuatından doğan bir iade (örneğin kesintiler ya da annelik, kalabalık aile ve bakmakla yükümlü engelli indirimleri nedeniyle) istiyorsan beyan vermen gerekir. Telefonla ya da şahsen beyan, sonuç ödenecek tutarsa ve banka talimatı verilmediyse kullanılamıyordu; bu durumda ödeme bankadaki ödeme belgesiyle yapılıyordu.</t>
        </is>
      </c>
      <c r="T148" s="29" t="n"/>
    </row>
    <row r="149" ht="54" customHeight="1">
      <c r="A149" s="29" t="inlineStr">
        <is>
          <t>sevilla:vergi-iadesi-devolucion-renta</t>
        </is>
      </c>
      <c r="B149" s="29" t="inlineStr">
        <is>
          <t>sevilla</t>
        </is>
      </c>
      <c r="C149" s="29" t="inlineStr">
        <is>
          <t>vergi-iadesi-devolucion-renta</t>
        </is>
      </c>
      <c r="D149" s="29" t="inlineStr">
        <is>
          <t>Vergi iadesi (devolución de Renta) nasıl alınır, ne kadar sürer?</t>
        </is>
      </c>
      <c r="E149" s="29" t="inlineStr">
        <is>
          <t>İade, beyanda yazdığın ve adına kayıtlı banka hesabına havale edilir; idarenin altı ayı vardır</t>
        </is>
      </c>
      <c r="F149" s="29" t="inlineStr">
        <is>
          <t>Beyanın sonucu iade çıktıysa, iade genel olarak ödeme ya da iade belgesinde (documento de ingreso o devolución) belirttiğin ve adına kayıtlı olan banka hesabına havale edilir. Agencia Tributaria iadeyi ödemek ya da talep edilen iadeyi incelemek için beyan süresinin bitiminden (süre dışı verildiyse beyan tarihinden) itibaren altı aya sahiptir. İdarenin kendisinden kaynaklanan bir nedenle altı ay dolduğu hâlde ödeme emri verilmemişse, sen istemeden gecikme faizi ödenir. İadenin durumunu Renta WEB üzerinden dosyana girerek sorgulayabilirsin.</t>
        </is>
      </c>
      <c r="G149" s="29" t="inlineStr">
        <is>
          <t>vergi iadesi, devolución, devolución de Renta, Renta WEB, iade durumu, gecikme faizi, Agencia Tributaria, IRPF iadesi</t>
        </is>
      </c>
      <c r="H149" s="29" t="inlineStr">
        <is>
          <t>new;settled</t>
        </is>
      </c>
      <c r="I149" s="29" t="inlineStr">
        <is>
          <t>sevilla:kaynak:044</t>
        </is>
      </c>
      <c r="J149" s="49" t="n">
        <v>46319</v>
      </c>
      <c r="K149" s="51" t="n">
        <v>9032</v>
      </c>
      <c r="L149" s="29" t="inlineStr">
        <is>
          <t>Hayır</t>
        </is>
      </c>
      <c r="M149" s="29" t="inlineStr">
        <is>
          <t>Taslak</t>
        </is>
      </c>
      <c r="N149" s="29" t="inlineStr">
        <is>
          <t>sevilla:para</t>
        </is>
      </c>
      <c r="O149" s="29" t="inlineStr">
        <is>
          <t>Beyanda iade çıkarsa, ödeme ya da iade belgesinde iadenin yatırılacağı adına kayıtlı hesabı belirt.
İadenin durumunu Renta WEB'deki taslak/beyan işlem hizmetinde dosyana girerek sorgula.
Agencia Tributaria'nın iadeyi ödemek ya da talep edilen iadeyi inceleme prosedürünü başlatmak için altı ayı vardır; ödeme ya da inceleme en geç bu süre içinde gelir.
İdarenin kendisinden kaynaklanan bir nedenle süre dolduğu hâlde ödeme emri verilmemişse gecikme faizi kendiliğinden hesabına gelir; ayrıca talep etmen gerekmez.</t>
        </is>
      </c>
      <c r="P149" s="29" t="n"/>
      <c r="Q149" s="29" t="inlineStr">
        <is>
          <t>Agencia Tributaria'nın iade için altı ayı vardır: süre, beyan verme süresinin bitiminden (süre dışı verilen beyanda beyan tarihinden) başlar.</t>
        </is>
      </c>
      <c r="R149" s="29" t="n"/>
      <c r="S149" s="29" t="inlineStr">
        <is>
          <t>Gecikme faizi, idarenin sonunda kabul ettiği iade tutarı üzerinden hesaplanır; bu tutar, talep ettiğin tutar da olabilir, inceleme sonucu çıkan tutar da.</t>
        </is>
      </c>
      <c r="T149" s="29" t="n"/>
    </row>
    <row r="150" ht="54" customHeight="1">
      <c r="A150" s="29" t="inlineStr">
        <is>
          <t>sevilla:gestor-asesor-vergi-beyani-temsil</t>
        </is>
      </c>
      <c r="B150" s="29" t="inlineStr">
        <is>
          <t>sevilla</t>
        </is>
      </c>
      <c r="C150" s="29" t="inlineStr">
        <is>
          <t>gestor-asesor-vergi-beyani-temsil</t>
        </is>
      </c>
      <c r="D150" s="29" t="inlineStr">
        <is>
          <t>Gelir vergisi beyanı için gestor ya da asesör gerekir mi, senin adına beyanı kim verebilir?</t>
        </is>
      </c>
      <c r="E150" s="29" t="inlineStr">
        <is>
          <t>Beyanı kendin de verebilirsin; istersen colaborador social ya da vekil biri senin adına verebilir</t>
        </is>
      </c>
      <c r="F150" s="29" t="inlineStr">
        <is>
          <t>Gelir vergisi beyanını mükellef kendisi internetten verebilir; bunun yanında senin adına verecek bir temsilci de kullanabilirsin. Agencia Tributaria ile anlaşması olan bir meslek kuruluşuna (colegio ya da asociación) üye ve bireysel katılım belgesini imzalamış vergi hizmeti veren bir profesyonel, colaborador social olarak beyanı senin adına elektronik verebilir. Colaborador social olmayan biri de Registro de apoderamientos yoluyla verilen bir vekâletle senin adına internetten işlem yapabilir. Colaborador social olarak yapılan temsil yalnızca beyanın elektronik verilmesini kapsar; Agencia Tributaria'nın diğer işlemlerinde ya da yazışmalarında seni temsil etme yetkisi vermez.</t>
        </is>
      </c>
      <c r="G150" s="29" t="inlineStr">
        <is>
          <t>gestor, asesor, colaborador social, colaboración social, vergi beyanı temsilcisi, apoderamiento, Renta, Agencia Tributaria</t>
        </is>
      </c>
      <c r="H150" s="29" t="inlineStr">
        <is>
          <t>new;settled</t>
        </is>
      </c>
      <c r="I150" s="29" t="inlineStr">
        <is>
          <t>sevilla:kaynak:042;sevilla:kaynak:045</t>
        </is>
      </c>
      <c r="J150" s="49" t="n">
        <v>46319</v>
      </c>
      <c r="K150" s="51" t="n">
        <v>9033</v>
      </c>
      <c r="L150" s="29" t="inlineStr">
        <is>
          <t>Hayır</t>
        </is>
      </c>
      <c r="M150" s="29" t="inlineStr">
        <is>
          <t>Taslak</t>
        </is>
      </c>
      <c r="N150" s="29" t="inlineStr">
        <is>
          <t>sevilla:para</t>
        </is>
      </c>
      <c r="O150" s="29" t="inlineStr">
        <is>
          <t>Beyanı kendin vermek istiyorsan Agencia Tributaria'nın elektronik merkezine tanınmış elektronik sertifika, Cl@ve Móvil, referans numarası ya da eIDAS ile gir.
Temsilci kullanacaksan colaborador social olarak yetkili bir profesyoneli seç: beyanı senin adına elektronik verir ve bunu kendi elektronik sertifikasıyla yapar.
Profesyonel colaborador social değilse ona Registro de apoderamientos yoluyla vekâlet ver.</t>
        </is>
      </c>
      <c r="P150" s="29" t="n"/>
      <c r="Q150" s="29" t="n"/>
      <c r="R150" s="29" t="n"/>
      <c r="S150" s="29" t="inlineStr">
        <is>
          <t>Colaborador social, Agencia Tributaria ile işbirliği anlaşması imzalamış kuruluşlara bağlı meslek mensuplarıdır; temsilin kapsamı elektronik sunumun mekanik ve idari işlemleriyle sınırlıdır.</t>
        </is>
      </c>
      <c r="T150" s="29" t="n"/>
    </row>
    <row r="151" ht="54" customHeight="1">
      <c r="A151" s="29" t="inlineStr">
        <is>
          <t>sevilla:arac-sigortasi-zorunlulugu-ve-hipotek-sigortalari</t>
        </is>
      </c>
      <c r="B151" s="29" t="inlineStr">
        <is>
          <t>sevilla</t>
        </is>
      </c>
      <c r="C151" s="29" t="inlineStr">
        <is>
          <t>arac-sigortasi-zorunlulugu-ve-hipotek-sigortalari</t>
        </is>
      </c>
      <c r="D151" s="29" t="inlineStr">
        <is>
          <t>İspanya'da araç sigortası zorunlu mu, hipotek alırken hangi sigortalar istenir?</t>
        </is>
      </c>
      <c r="E151" s="29" t="inlineStr">
        <is>
          <t>İspanya'da park edilen her motorlu araç için sorumluluk sigortası zorunlu; hipotekte Banco de España'ya göre yangın sigortası zorunlu</t>
        </is>
      </c>
      <c r="F151" s="29" t="inlineStr">
        <is>
          <t>Evet, İspanya'da alışılmış park yeri İspanya olan her motorlu aracın sahibi, her araç için ayrı bir sorumluluk sigortası sözleşmesi yaptırmak ve yürürlükte tutmak zorundadır (BOE, Real Decreto Legislativo 8/2004, madde 2). İspanyol plakası olan araç bu kapsama girer. Hipotek başvurusunda bankanın bir sigortayı koşul olarak koyması sık görülür; böyle bir koşul hipotek ön bilgi formunda (FIPRE) ve standart bilgi formunda (FEIN) yer almalıdır. Banco de España'ya göre yangın (ya da konut multirriesgo) sigortası hipotek yaptırırken zorunludur; hayat ve ödeme koruma sigortaları da hipotekle sık birlikte anılır ve aynı sayfa bankanın koşul koyduğu sigortaları yaptırmanın zorunlu olmadığını, ama yaptırırsan faiz farkının (diferencial) genellikle düştüğünü söylüyor.</t>
        </is>
      </c>
      <c r="G151" s="29" t="inlineStr">
        <is>
          <t>araç sigortası, seguro obligatorio, sorumluluk sigortası, hipotek sigortası, seguro de hogar, multirriesgo, FEIN, FIPRE</t>
        </is>
      </c>
      <c r="H151" s="29" t="inlineStr">
        <is>
          <t>planning;new;settled</t>
        </is>
      </c>
      <c r="I151" s="29" t="inlineStr">
        <is>
          <t>sevilla:kaynak:046;sevilla:kaynak:047</t>
        </is>
      </c>
      <c r="J151" s="49" t="n">
        <v>46319</v>
      </c>
      <c r="K151" s="51" t="n">
        <v>9034</v>
      </c>
      <c r="L151" s="29" t="inlineStr">
        <is>
          <t>Hayır</t>
        </is>
      </c>
      <c r="M151" s="29" t="inlineStr">
        <is>
          <t>Taslak</t>
        </is>
      </c>
      <c r="N151" s="29" t="inlineStr">
        <is>
          <t>sevilla:para</t>
        </is>
      </c>
      <c r="O151" s="29" t="inlineStr">
        <is>
          <t>Aracın sahibi olarak her araç için ayrı bir sorumluluk sigortası sözleşmesi yap ve yürürlükte tut.
Başka bir AEA ülkesinden araç ithal ettiysen: teslimi kabul ettiğin günden itibaren en çok otuz gün boyunca araç, İspanyol plakası olmasa da İspanya'da park edilmiş sayılır; bu sürede sigortayı kayıt devletinde ya da İspanya'da yaptırabilirsin, sınırda geçici sigorta (seguro en frontera) da yapılabilir.
Hipotek alıyorsan bankanın koşul koyduğu sigortaları FIPRE ve FEIN formlarında oku; yangın sigortası hipotek için zorunludur (Banco de España); FEIN sana ücretsiz, hipotek senedinin (escritura) imzasından en az on takvim günü önce verilir.
Banka kendi sigorta şirketini önerebilir; hasar sigortası ya da yükümlülük teminatı poliçesinde alternatif poliçeleri kabul etmek zorundadır.</t>
        </is>
      </c>
      <c r="P151" s="29" t="n"/>
      <c r="Q151" s="29" t="inlineStr">
        <is>
          <t>Hipotekte FEIN formu, hipotek senedinin (escritura) imzasından en az on takvim günü önce verilir.</t>
        </is>
      </c>
      <c r="R151" s="29" t="inlineStr">
        <is>
          <t>FEIN formu ücretsiz verilir.</t>
        </is>
      </c>
      <c r="S151" s="29" t="inlineStr">
        <is>
          <t>Sigortayı, sigorta ettirmekte yararı olan başka bir kişi yaptırırsa ve hangi sıfatla yaptırdığını belirtirse araç sahibi bu yükümlülükten kurtulur. AEA üyesi olmayan bir ülkeden gelen ve ulusal sigorta büroları anlaşmasına bağlı olmayan yabancı araçlarda İspanyol gümrük makamları, araç İspanya'ya girerken İspanyol mevzuatının koşullarını karşılayan zorunlu sigortayı arayabilir; sigorta yoksa girişi reddetmek zorundadır.</t>
        </is>
      </c>
      <c r="T151" s="29" t="n"/>
    </row>
    <row r="152" ht="54" customHeight="1">
      <c r="A152" s="29" t="inlineStr">
        <is>
          <t>sevilla:emeklilik-yasi-ve-prim-suresi</t>
        </is>
      </c>
      <c r="B152" s="29" t="inlineStr">
        <is>
          <t>sevilla</t>
        </is>
      </c>
      <c r="C152" s="29" t="inlineStr">
        <is>
          <t>emeklilik-yasi-ve-prim-suresi</t>
        </is>
      </c>
      <c r="D152" s="29" t="inlineStr">
        <is>
          <t>İspanya'da emeklilik yaşı kaç, emekli olmak için kaç yıl prim gerekir?</t>
        </is>
      </c>
      <c r="E152" s="29" t="inlineStr">
        <is>
          <t>2026'da emeklilik yaşı 65 ya da 66 yıl 10 ay; en az 15 yıl prim gerekir</t>
        </is>
      </c>
      <c r="F152" s="29" t="inlineStr">
        <is>
          <t>Genel rejimde (Régimen General) olağan emeklilik yaşı 2026 için, 38 yıl 3 ay ya da daha fazla prim ödeyenlerde 65, daha az prim ödeyenlerde 66 yıl 10 aydır; 2027'den itibaren sınır 38 yıl 6 ay olur ve altındakiler için yaş 67'dir (Seguridad Social sayfasına göre; tablo 1 Ocak 2013'ten sonraki genel kuraldır, 1 Ocak 2013'ten önceki mevzuata tabi olanlarda 65 yaş korunur). Emeklilik hakkı için asgari prim süresi 15 yıldır (5.475 gün); bunun 2 yılı, hakkın doğduğu andan önceki 15 yıl içinde olmalıdır. 2026 için genel rejimde ortak riskler (contingencias comunes) primi toplam yüzde 28,30'dur; yüzde 23,60'ı işveren, yüzde 4,70'i işçi öder (BOE, Orden PJC/297/2026, 1 Ocak 2026'dan itibaren 2026 yılı için). Bu yalnızca ortak riskler payıdır: aynı BOE emri kuşaklar arası denge mekanizması primini ek olarak 0,90 puan belirler; işsizlik, ücret garanti fonu ve meslek eğitimi primleri de aynı emirde ayrıca düzenlenir; iş kazası ve meslek hastalığı primi ise tamamen işverene aittir. Belirli özel durumlarda emeklilik yaşı düşürülebilir.</t>
        </is>
      </c>
      <c r="G152" s="29" t="inlineStr">
        <is>
          <t>emeklilik, jubilación, emeklilik yaşı, prim süresi, Seguridad Social, ortak riskler primi, cotización, Régimen General</t>
        </is>
      </c>
      <c r="H152" s="29" t="inlineStr">
        <is>
          <t>planning;settled</t>
        </is>
      </c>
      <c r="I152" s="29" t="inlineStr">
        <is>
          <t>sevilla:kaynak:048;sevilla:kaynak:049</t>
        </is>
      </c>
      <c r="J152" s="49" t="n">
        <v>46319</v>
      </c>
      <c r="K152" s="51" t="n">
        <v>9035</v>
      </c>
      <c r="L152" s="29" t="inlineStr">
        <is>
          <t>Hayır</t>
        </is>
      </c>
      <c r="M152" s="29" t="inlineStr">
        <is>
          <t>Taslak</t>
        </is>
      </c>
      <c r="N152" s="29" t="inlineStr">
        <is>
          <t>sevilla:para</t>
        </is>
      </c>
      <c r="O152" s="29" t="inlineStr">
        <is>
          <t>Prim süreni yıl ve ay olarak belirle: 2026 için 38 yıl 3 ay ve üstü 65 yaşta, altı 66 yıl 10 ayda emeklilik anlamına gelir.
En az 15 yıl (5.475 gün) prim biriktir; bunun 2 yılı hakkın doğduğu andan önceki 15 yıl içinde olmalı.
Prim hesabında yalnızca fiilen ödenen ya da yasal olarak ona eşdeğer sayılan primlerin geçerli olduğunu bil.
2026'da genel rejimde ortak riskler priminde işçi payı yüzde 4,70, işveren payı yüzde 23,60'tır; bu işçinin toplam kesintisi değildir, kuşaklar arası denge primi ve işsizlik primi ayrıca uygulanır.</t>
        </is>
      </c>
      <c r="P152" s="29" t="n"/>
      <c r="Q152" s="29" t="inlineStr">
        <is>
          <t>2026 için: 38 yıl 3 ay ve üstü prim: 65 yaş; daha az: 66 yıl 10 ay. 2027'den itibaren: 38 yıl 6 ay ve üstü: 65 yaş; daha az: 67 yaş.</t>
        </is>
      </c>
      <c r="R152" s="29" t="inlineStr">
        <is>
          <t>2026 için genel rejimde ortak riskler primi toplam yüzde 28,30: işveren yüzde 23,60, işçi yüzde 4,70. Ek olarak kuşaklar arası denge mekanizması primi 0,90 puan; işsizlik, ücret garanti fonu ve meslek eğitimi primleri ayrıca düzenlenir.</t>
        </is>
      </c>
      <c r="S152" s="29" t="inlineStr">
        <is>
          <t>Emeklilik yaşı yalnızca prim ödeyen (kayıtlı ya da kayıtlıya eşdeğer) çalışanlar için belirli özel durumlarda düşürülebilir ya da öne çekilebilir. Örnekler: mutualista olmayanlar için 61 yaştan erken emeklilik, kısmi emeklilik ve yüzde 45 ya da 65 ve üstü engellilik.</t>
        </is>
      </c>
      <c r="T152" s="29" t="n"/>
    </row>
    <row r="153" ht="54" customHeight="1">
      <c r="A153" s="29" t="inlineStr">
        <is>
          <t>sevilla:bizum-nedir-nasil-kullanilir</t>
        </is>
      </c>
      <c r="B153" s="29" t="inlineStr">
        <is>
          <t>sevilla</t>
        </is>
      </c>
      <c r="C153" s="29" t="inlineStr">
        <is>
          <t>bizum-nedir-nasil-kullanilir</t>
        </is>
      </c>
      <c r="D153" s="29" t="inlineStr">
        <is>
          <t>Bizum nedir, nasıl kullanılır, yanlış kişiye gönderirsem geri alabilir miyim?</t>
        </is>
      </c>
      <c r="E153" s="29" t="inlineStr">
        <is>
          <t>Bizum hesabı telefon numarana bağlar; Banco de España'nın 2021 tarihli yazısına göre bankalar komisyon almıyordu, işlem geri alınamaz</t>
        </is>
      </c>
      <c r="F153" s="29" t="inlineStr">
        <is>
          <t>Bizum, hesap numaranı cep telefonu numarana bağlayarak ödemeyi kolaylaştıran bir sistemdir. Banco de España'nın 20 Temmuz 2021 tarihli yazısına göre İspanyol bankalarının neredeyse tamamı bu hizmeti sunuyordu ve hiçbiri kullanım için komisyon uygulamıyordu; aynı yazıya göre ayrı bir Bizum uygulaması yoktur, hizmet her bankanın kendi uygulamasına entegredir ve ödemelerde banka uygulamasına girip SMS ile gelen OTP kodunu da girmek gerekiyordu. Aynı yazıya göre yanlış kişiye gönderdiğin Bizum geri alınamaz: tek seçenek o kişiyle iletişime geçip parayı geri göndermesini istemek ya da bankana başvurup parayı geri almak için gerekli girişimi yapmasını istemektir. Bu bilgiler 2021 tarihlidir.</t>
        </is>
      </c>
      <c r="G153" s="29" t="inlineStr">
        <is>
          <t>Bizum, anlık ödeme, telefon numarasıyla ödeme, Banco de España, OTP, ödeme yöntemleri, yanlış transfer</t>
        </is>
      </c>
      <c r="H153" s="29" t="inlineStr">
        <is>
          <t>new;settled</t>
        </is>
      </c>
      <c r="I153" s="29" t="inlineStr">
        <is>
          <t>sevilla:kaynak:050</t>
        </is>
      </c>
      <c r="J153" s="49" t="n">
        <v>46319</v>
      </c>
      <c r="K153" s="51" t="n">
        <v>9036</v>
      </c>
      <c r="L153" s="29" t="inlineStr">
        <is>
          <t>Hayır</t>
        </is>
      </c>
      <c r="M153" s="29" t="inlineStr">
        <is>
          <t>Taslak</t>
        </is>
      </c>
      <c r="N153" s="29" t="inlineStr">
        <is>
          <t>sevilla:para</t>
        </is>
      </c>
      <c r="O153" s="29" t="inlineStr">
        <is>
          <t>Banco de España'nın 2021 tarihli yazısına göre Bizum bankanın kendi mobil uygulamasından kullanılır; ayrı bir Bizum uygulaması yoktur.
Aynı yazıya göre ödemede banka uygulamasına girilir ve 2021'de SMS ile gelen OTP kodu da yazılıyordu.
Alıcıyı rehberinden seç; telefon numarasını elle yazmak yerine rehberden seçmen önerilir.
İki farklı telefon numaran varsa her birini farklı bir bankaya bağlayabilirsin (2021 tarihli yazıya göre).</t>
        </is>
      </c>
      <c r="P153" s="29" t="n"/>
      <c r="Q153" s="29" t="n"/>
      <c r="R153" s="29" t="inlineStr">
        <is>
          <t>Banco de España'nın 20 Temmuz 2021 tarihli yazısına göre bankalar Bizum kullanımı için komisyon uygulamıyordu.</t>
        </is>
      </c>
      <c r="S153" s="29" t="inlineStr">
        <is>
          <t>Banco de España'nın 2021 tarihli yazısına göre işlem tutarı en az 0,50, en çok 1.000 euro olabiliyordu ve ayda en çok 60 işlem alabiliyordun; bankalar bu sınırlardan daha düşük limit koyabilir.</t>
        </is>
      </c>
      <c r="T153" s="29" t="n"/>
    </row>
    <row r="154" ht="54" customHeight="1">
      <c r="A154" s="29" t="inlineStr">
        <is>
          <t>sevilla:banka-ucretleri-ve-seffaflik-haklari</t>
        </is>
      </c>
      <c r="B154" s="29" t="inlineStr">
        <is>
          <t>sevilla</t>
        </is>
      </c>
      <c r="C154" s="29" t="inlineStr">
        <is>
          <t>banka-ucretleri-ve-seffaflik-haklari</t>
        </is>
      </c>
      <c r="D154" s="29" t="inlineStr">
        <is>
          <t>Banka ücretleri (komisyonlar) serbest mi, bankalar bunları açıklamak zorunda mı?</t>
        </is>
      </c>
      <c r="E154" s="29" t="inlineStr">
        <is>
          <t>Komisyonlar serbest ama bankalar sık kullanılan hizmetlerin ücretini yayımlamak zorunda; temel ödeme hesabında üst sınır var</t>
        </is>
      </c>
      <c r="F154" s="29" t="inlineStr">
        <is>
          <t>Evet, banka komisyonları serbesttir: bir norm tutarı sınırlamadıkça (örneğin ipoteğin ya da tüketici kredisinin erken kapatılmasında) bankalar diledikleri tutarı alabilir. Bankalar müşterilerine en sık sundukları hizmetlerin alışılmış komisyonlarını internet sitelerinde ve ticari şubelerinde yayımlamak zorundadır; bu, karşılaştırmayı kolaylaştırmak içindir. Temel ödeme hesabında (cuenta de pago básica) kredi kuruluşunun alabileceği tek ve toplam komisyon ayda en çok 3 euro'dur; Banco de España bu tutarı iki yılda bir güncelleyebilir. Bu tutar hesabın açılışı, kullanımı ve kapatılması, euro nakit yatırma, ATM'den euro çekme, banka ya da ön ödemeli kartla ödeme ile AB içinde euro olarak yılda 120 ödeme işlemini (otomatik ödeme ve havale) kapsar.</t>
        </is>
      </c>
      <c r="G154" s="29" t="inlineStr">
        <is>
          <t>banka komisyonları, comisiones bancarias, banka ücretleri, cuenta de pago básica, temel ödeme hesabı, Banco de España, şeffaflık</t>
        </is>
      </c>
      <c r="H154" s="29" t="inlineStr">
        <is>
          <t>new;settled</t>
        </is>
      </c>
      <c r="I154" s="29" t="inlineStr">
        <is>
          <t>sevilla:kaynak:051;sevilla:kaynak:052</t>
        </is>
      </c>
      <c r="J154" s="49" t="n">
        <v>46319</v>
      </c>
      <c r="K154" s="51" t="n">
        <v>9037</v>
      </c>
      <c r="L154" s="29" t="inlineStr">
        <is>
          <t>Hayır</t>
        </is>
      </c>
      <c r="M154" s="29" t="inlineStr">
        <is>
          <t>Taslak</t>
        </is>
      </c>
      <c r="N154" s="29" t="inlineStr">
        <is>
          <t>sevilla:para</t>
        </is>
      </c>
      <c r="O154" s="29" t="inlineStr">
        <is>
          <t>Hesap açmadan önce bankaların internet sitelerinde ve şubelerinde yayımladığı sık kullanılan hizmetlerin komisyon bilgilerini karşılaştır.
Komisyonun bir normla sınırlı olabileceğini bil: ipoteğin ve tüketici kredisinin erken kapatılması bunlardandır.
Temel ödeme hesabında bankanın alabileceği tek ve toplam komisyonun ayda 3 euro'yu aşamayacağını hatırla.
Temel ödeme hesabında yılda 120 ödeme işlemini aşarsan bankanın, yıl boyunca toplamda o işlem türü için uyguladığı ortalama komisyon ya da masraftan fazlasını sana yansıtamayacağını bil.</t>
        </is>
      </c>
      <c r="P154" s="29" t="n"/>
      <c r="Q154" s="29" t="n"/>
      <c r="R154" s="29" t="inlineStr">
        <is>
          <t>Temel ödeme hesabı: ayda en çok 3 euro (güncel tarife; Banco de España iki yılda bir güncelleyebilir). Diğer hesaplarda komisyonlar serbesttir.</t>
        </is>
      </c>
      <c r="S154" s="29" t="inlineStr">
        <is>
          <t>Temel ödeme hesabında bankan, başka bir bankanın ATM'sinden nakit çekmen nedeniyle o bankaya ödemesi gereken komisyonları sana yansıtabilir.</t>
        </is>
      </c>
      <c r="T154" s="29" t="n"/>
    </row>
    <row r="155" ht="54" customHeight="1">
      <c r="A155" s="29" t="inlineStr">
        <is>
          <t>sevilla:beckham-yasasi-ozel-vergi-rejimi</t>
        </is>
      </c>
      <c r="B155" s="29" t="inlineStr">
        <is>
          <t>sevilla</t>
        </is>
      </c>
      <c r="C155" s="29" t="inlineStr">
        <is>
          <t>beckham-yasasi-ozel-vergi-rejimi</t>
        </is>
      </c>
      <c r="D155" s="29" t="inlineStr">
        <is>
          <t>Beckham yasası (özel vergi rejimi) kimlere uygulanır, kaç yıl sürer?</t>
        </is>
      </c>
      <c r="E155" s="29" t="inlineStr">
        <is>
          <t>Taşınma yılı ile sonraki beş vergi dönemi boyunca uygulanır; son beş yılda İspanya'da mukim olmamak gerekir</t>
        </is>
      </c>
      <c r="F155" s="29" t="inlineStr">
        <is>
          <t>Özel vergi rejimi, taşınma yılı ile sonraki beş vergi dönemi boyunca uygulanır (Renta 2025 kılavuzuna göre). Rejim, taşınmaları sonucu İspanya'da vergi mukimi olan ve gelir vergisini Mukim Olmayanlar Gelir Vergisi'nin özel kurallarıyla ödemeyi seçen kişiler içindir; bu süre boyunca IRPF mükellefi kalırlar. Taşınmadan önceki beş vergi döneminde İspanya'da mukim olmamış olmak gerekir; bu beş dönem hesabında taşınma yılı değil, İspanya'da mukimlik kazanılan yıl esas alınır ve süre 1 Ocak 2023'ten beri on yıldan beş yıla indirildi. Taşınma bir iş sözleşmesi, uzaktan çalışma, şirket yöneticiliği, girişimci faaliyet ya da yüksek nitelikli uzman olarak çalışma nedeniyle olmalıdır. Genel gelir tabanına 600.000 euroya kadar yüzde 24, üstüne yüzde 47 oranı uygulanır.</t>
        </is>
      </c>
      <c r="G155" s="29" t="inlineStr">
        <is>
          <t>Beckham yasası, özel vergi rejimi, trabajadores desplazados, yerleşik olmayan vergisi, IRNR, uzaktan çalışma vizesi, ENISA, Renta 2025</t>
        </is>
      </c>
      <c r="H155" s="29" t="inlineStr">
        <is>
          <t>planning;new</t>
        </is>
      </c>
      <c r="I155" s="29" t="inlineStr">
        <is>
          <t>sevilla:kaynak:053;sevilla:kaynak:054</t>
        </is>
      </c>
      <c r="J155" s="49" t="n">
        <v>46319</v>
      </c>
      <c r="K155" s="51" t="n">
        <v>9038</v>
      </c>
      <c r="L155" s="29" t="inlineStr">
        <is>
          <t>Hayır</t>
        </is>
      </c>
      <c r="M155" s="29" t="inlineStr">
        <is>
          <t>Taslak</t>
        </is>
      </c>
      <c r="N155" s="29" t="inlineStr">
        <is>
          <t>sevilla:para</t>
        </is>
      </c>
      <c r="O155" s="29" t="inlineStr">
        <is>
          <t>Taşınmadan önceki beş vergi döneminde İspanya'da vergi mukimi olmadığını kontrol et.
Taşınma nedeninin şartlardan biri olduğundan emin ol: İspanya'daki işverenle başlayan iş ilişkisi, işverenin görevlendirme mektubuyla emri, yalnızca bilişim ve telekomünikasyon araçlarıyla uzaktan çalışma (ücretli çalışanlar için uluslararası uzaktan çalışma vizesi olanlar dahil), şirket yöneticiliği, girişimci faaliyet ya da yüksek nitelikli uzman çalışması.
Girişimci faaliyet için taşınacaksan ENISA'nın olumlu raporunu al.
Girişimci faaliyet için taşınacaksan oturum iznin taşınmadan önce alınmış olmalıdır. Yüksek nitelikli uzmanda AEAT kılavuzu şunu söylüyor: taşınmadan önce oturum izni varsa nitelik şartı sağlanmış sayılır.
İspanya'daki kalıcı işyeri (establecimiento permanente) yoluyla elde edilen gelirin olmamasına dikkat et; girişimci ve yüksek nitelikli uzman faaliyetleri bunun istisnasıdır.</t>
        </is>
      </c>
      <c r="P155" s="29" t="inlineStr">
        <is>
          <t>İşverenin görevlendirme mektubu (işverenin emriyle taşınmada)
ENISA'nın olumlu raporu (girişimci faaliyet için)
Oturum izni (girişimci faaliyet için taşınmadan önce; yüksek nitelikli uzmanda taşınmadan önce varsa nitelik şartı sağlanmış sayılır)</t>
        </is>
      </c>
      <c r="Q155" s="29" t="inlineStr">
        <is>
          <t>Taşınma yılı ile sonraki beş vergi dönemi (Renta 2025 kılavuzuna göre).</t>
        </is>
      </c>
      <c r="R155" s="29" t="inlineStr">
        <is>
          <t>Genel gelir tabanı: 600.000 euroya kadar yüzde 24, 600.000,01 euro ve üstü yüzde 47. Tasarruf gelirleri (temettü, faiz, değer artış kazançları) için ayrı ölçek: yüzde 19'dan yüzde 30'a.</t>
        </is>
      </c>
      <c r="S155" s="29" t="inlineStr">
        <is>
          <t>Yüksek nitelikli uzman iki koldan biriyle girer: (a) Ley 28/2022'deki yeni girişim şirketlerine (empresa emergente) hizmet veren uzman; (b) eğitim, araştırma, geliştirme ve yenilik faaliyeti yürüten ve bu faaliyetten aldığı ücret işletme, serbest meslek ve ücret gelirlerinin toplamının yüzde 40'ından fazla olan uzman. Şirket yöneticiliğinde şirket varlık yönetim şirketi (entidad patrimonial) ise yöneticinin sermaye payı yüzde 25'ten az olmalıdır.</t>
        </is>
      </c>
      <c r="T155" s="29" t="n"/>
    </row>
    <row r="156" ht="54" customHeight="1">
      <c r="A156" s="29" t="inlineStr">
        <is>
          <t>sevilla:endulus-gelir-vergisi-irpf-bolge-dilimleri-ve-indirimleri</t>
        </is>
      </c>
      <c r="B156" s="29" t="inlineStr">
        <is>
          <t>sevilla</t>
        </is>
      </c>
      <c r="C156" s="29" t="inlineStr">
        <is>
          <t>endulus-gelir-vergisi-irpf-bolge-dilimleri-ve-indirimleri</t>
        </is>
      </c>
      <c r="D156" s="29" t="inlineStr">
        <is>
          <t>Endülüs'te gelir vergisinin (IRPF) bölge dilimleri nelerdir, bölgesel indirimler hangileri?</t>
        </is>
      </c>
      <c r="E156" s="29" t="inlineStr">
        <is>
          <t>Genel matraha beş dilimli bölge cetveli uygulanır (%9,5 ile %22,5 arası); Renta 2025 için bölgesel indirimler listelidir</t>
        </is>
      </c>
      <c r="F156" s="29" t="inlineStr">
        <is>
          <t>Endülüs, genel matrah (base liquidable general) için beş dilimli bir bölge cetveli uygular: 13.000 euroya kadar %9,5; 13.000 ile 21.100 euro arası %12; 21.100 ile 35.200 euro arası %15; 35.200 ile 60.000 euro arası %18,5; 60.000 euronun üstü %22,5. Cetvel Ley 5/2021 md. 23'tedir ve Decreto-ley 7/2022 ile değişen hâliyle 1 Ocak 2022'den beri etkilidir. Junta'nın Renta 2025 sayfası (beyan dönemi 8 Nisan – 30 Haziran 2026) bölgesel indirimleri sayar: konut kirası, doğum ve evlat edinme, büyük aile, eğitim giderleri, engellilik, spor, veteriner gideri ve diğerleri.</t>
        </is>
      </c>
      <c r="G156" s="29" t="inlineStr">
        <is>
          <t>IRPF, gelir vergisi, Endülüs bölge dilimi, escala autonómica, deducciones autonómicas, Renta 2025, Ley 5/2021</t>
        </is>
      </c>
      <c r="H156" s="29" t="inlineStr">
        <is>
          <t>planning;new;settled</t>
        </is>
      </c>
      <c r="I156" s="29" t="inlineStr">
        <is>
          <t>sevilla:kaynak:130;sevilla:kaynak:131</t>
        </is>
      </c>
      <c r="J156" s="49" t="n">
        <v>46319</v>
      </c>
      <c r="K156" s="51" t="n">
        <v>9097</v>
      </c>
      <c r="L156" s="29" t="inlineStr">
        <is>
          <t>Hayır</t>
        </is>
      </c>
      <c r="M156" s="29" t="inlineStr">
        <is>
          <t>Taslak</t>
        </is>
      </c>
      <c r="N156" s="29" t="inlineStr">
        <is>
          <t>sevilla:para</t>
        </is>
      </c>
      <c r="O156" s="29" t="inlineStr">
        <is>
          <t>Gelirinin genel matrahını (base liquidable general) belirle ve Endülüs cetvelinin dilimlerine göre yerleştir.
Renta 2025 beyanında Junta'nın listelediği bölgesel indirimlerden durumuna uyanları seç: kira, doğum ve evlat edinme, büyük aile, eğitim, engellilik, spor, veteriner gideri ve diğerleri.
Her indirimin şartları ve tutarı Ley 5/2021 md. 9–23 bis'te yazılıdır; indirimin hangi maddede olduğuna Junta sayfasındaki BOE konsolide metin bağlantılarından ulaş.</t>
        </is>
      </c>
      <c r="P156" s="29" t="n"/>
      <c r="Q156" s="29" t="inlineStr">
        <is>
          <t>Renta 2025: beyan sunumu 8 Nisan – 30 Haziran 2026. Bölge cetveli 1 Ocak 2022'den beri geçerli.</t>
        </is>
      </c>
      <c r="R156" s="29" t="n"/>
      <c r="S156" s="29" t="inlineStr">
        <is>
          <t>Bu cetvel yalnız genel matraha uygulanan bölgesel paydır. Gelir vergisi devlet vergisidir; tahsilatının %50'si ortak rejimdeki özerk bölgelere devredilmiştir (Endülüs'e özgü bir oran değildir). Endülüs'ün bu vergideki yetkileri Ley 5/2021 md. 9–23 bis'te düzenlenir; kişisel ve ailevi asgari tutarlar da bunlara dahildir. İndirim tutarları Junta sayfasında yoktur; her indirim için tutar ve şart ilgili madde metnindedir.</t>
        </is>
      </c>
      <c r="T156" s="29" t="n"/>
    </row>
    <row r="157" ht="54" customHeight="1">
      <c r="A157" s="29" t="inlineStr">
        <is>
          <t>sevilla:endulus-ikinci-el-konut-alimi-itp-indirimli-oranlar</t>
        </is>
      </c>
      <c r="B157" s="29" t="inlineStr">
        <is>
          <t>sevilla</t>
        </is>
      </c>
      <c r="C157" s="29" t="inlineStr">
        <is>
          <t>endulus-ikinci-el-konut-alimi-itp-indirimli-oranlar</t>
        </is>
      </c>
      <c r="D157" s="29" t="inlineStr">
        <is>
          <t>Endülüs'te konut alırken devir vergisinde (ITP) hangi indirimli oranlar var, şartları nedir?</t>
        </is>
      </c>
      <c r="E157" s="29" t="inlineStr">
        <is>
          <t>Yerleşik konut olması ve değer sınırı şartıyla %6 ve %3,5 oranları; sınır 150.000 ya da 250.000 euro; borrasca hasarı için ayrı %0 oranı</t>
        </is>
      </c>
      <c r="F157" s="29" t="inlineStr">
        <is>
          <t>Evet, şartla indirimli oran var. Devir vergisinin (Impuesto sobre Transmisiones Patrimoniales y Actos Jurídicos Documentados) Transmisiones Patrimoniales Onerosas (ITP) modalitesinde, konut alıcının yerleşik konutu (vivienda habitual) olacaksa ve değeri 150.000 euroyu aşmıyorsa oran %6'dır. %3,5 oranı üç ayrı maddede geçer. Birincisi: alıcı 35 yaşından küçükse ya da aile içi şiddet veya terör mağduruysa, konut yerleşik konutu olmalı ve değeri en çok 150.000 euro olmalı; satın alınan taşınmaz nüfus kaybı sorunu olan bir belediyede bulunuyorsa da aynı %3,5 oranı için konut yerleşik konutu olmalı ve değeri en çok 150.000 euro olmalı. İkincisi: alıcı ya da çekirdek ailesinden biri engelliyse, konut yerleşik konutu olmalı ve değeri en çok 250.000 euro olmalı. Üçüncüsü: alıcı büyük aile (familia numerosa) üyesiyse, konut ailesinin yerleşik konutu olmalı ve değeri en çok 250.000 euro olmalı. Decreto-ley 1/26 (borrasca hasarı için vergi desteği) ayrıca %0 oran getirir: hasar nedeniyle onarılamayan konutun yerine alınan ve alıcının yerleşik konutu olacak konut için. Konut dışı kullanım için hasarlı yapının yerine alınan taşınmazlarda ise oran %3,5'tir. Bu iki istisna Decreto-ley'in kapsadığı bölgedeki hasarlar için geçerlidir.</t>
        </is>
      </c>
      <c r="G157" s="29" t="inlineStr">
        <is>
          <t>ITP, devir vergisi, konut alımı, indirimli oran, vivienda habitual, 35 yaş altı, familia numerosa, Endülüs</t>
        </is>
      </c>
      <c r="H157" s="29" t="inlineStr">
        <is>
          <t>planning;new</t>
        </is>
      </c>
      <c r="I157" s="29" t="inlineStr">
        <is>
          <t>sevilla:kaynak:132;sevilla:kaynak:130</t>
        </is>
      </c>
      <c r="J157" s="49" t="n">
        <v>46319</v>
      </c>
      <c r="K157" s="51" t="n">
        <v>9098</v>
      </c>
      <c r="L157" s="29" t="inlineStr">
        <is>
          <t>Hayır</t>
        </is>
      </c>
      <c r="M157" s="29" t="inlineStr">
        <is>
          <t>Taslak</t>
        </is>
      </c>
      <c r="N157" s="29" t="inlineStr">
        <is>
          <t>sevilla:para</t>
        </is>
      </c>
      <c r="O157" s="29" t="inlineStr">
        <is>
          <t>Konutu yerleşik konut olarak kullanıp kullanmayacağını ve konutun değerinin sınırların altında kalıp kalmadığını belirle.
Durumuna uyan oranı seç: %6 için değer en çok 150.000 euro; %3,5 için 35 yaş altı, mağdur ya da taşınmazın nüfus kaybı sorunu olan bir belediyede bulunması durumunda 150.000 euro, engelli ve büyük aile durumunda 250.000 euro.
Birden fazla kişiyle alıyorsan indirimli oran, şartı taşıyanın payına uygulanır; evli çiftte ya da kayıtlı partnerlerde yaş ve engellilik şartını eşlerden en az birinin taşıması yeterlidir.
Hasar nedeniyle onarılamayan bir konutun yerine yerleşik konut alıyorsan Decreto-ley 1/26'nın %0 oranı için yeni konutun senin yerleşik konutun olacağını ve yerine geçtiği konutun hasar nedeniyle onarılamaz olduğunu (tamamen ya da kısmen yıkılmış, ruin ilan edilmiş ya da yıkılması gereken) kontrol et.</t>
        </is>
      </c>
      <c r="P157" s="29" t="n"/>
      <c r="Q157" s="29" t="inlineStr">
        <is>
          <t>2026 işlemleri için; sayfada tarih belirtilmemiştir.</t>
        </is>
      </c>
      <c r="R157" s="29" t="inlineStr">
        <is>
          <t>%6, %3,5 ya da (Decreto-ley 1/26 kapsamında) %0 oranı (şarta göre)</t>
        </is>
      </c>
      <c r="S157" s="29" t="inlineStr">
        <is>
          <t>Bu kart yalnız indirimli oranları anlatır; genel oran kartta yer almaz. Nüfus kaybı riski taşıyan belediyeler her yıl bir kararda (Resolución) listelenir; 2026 işlemleri için de liste vardır.</t>
        </is>
      </c>
      <c r="T157" s="29" t="n"/>
    </row>
    <row r="158" ht="54" customHeight="1">
      <c r="A158" s="29" t="inlineStr">
        <is>
          <t>sevilla:sevilla-vergi-dairesi-aeat-ofisleri-ve-cita-previa</t>
        </is>
      </c>
      <c r="B158" s="29" t="inlineStr">
        <is>
          <t>sevilla</t>
        </is>
      </c>
      <c r="C158" s="29" t="inlineStr">
        <is>
          <t>sevilla-vergi-dairesi-aeat-ofisleri-ve-cita-previa</t>
        </is>
      </c>
      <c r="D158" s="29" t="inlineStr">
        <is>
          <t>Sevilla'da vergi dairesi (Agencia Tributaria) ofisleri nerede, randevu nasıl alınır?</t>
        </is>
      </c>
      <c r="E158" s="29" t="inlineStr">
        <is>
          <t>Şehirde Sevilla Centro, Heliópolis ve Nervión idareleri var; ofiste yüz yüze işlem için randevu (cita previa) gerekir</t>
        </is>
      </c>
      <c r="F158" s="29" t="inlineStr">
        <is>
          <t>Sevilla şehrinde Agencia Tributaria'nın (AEAT) üç ilçe idaresi bulunur: Sevilla Centro (Plaza Ministro Indalecio Prieto 1, 41071), Heliópolis (Avenida de las Razas 6, 41012) ve Nervión (Calle Monte Tabor 4, 41007). Ofis saatleri pazartesiden cumaya 9.00-14.00'tür. Ofiste yüz yüze hizmet için randevu gerekir; yalnız belge teslimi (registro) randevusuz yapılır. Randevuyu AEAT uygulamasından ya da 91 333 5 333 numaralı genel randevu hattından alırsın. Bu randevu hizmetleri gelir vergisi beyannamesinin (Renta) hazırlanması için geçerli değildir.</t>
        </is>
      </c>
      <c r="G158" s="29" t="inlineStr">
        <is>
          <t>vergi dairesi, Agencia Tributaria, AEAT, Sevilla, cita previa, randevu, Hacienda, Delegación Sevilla</t>
        </is>
      </c>
      <c r="H158" s="29" t="inlineStr">
        <is>
          <t>new;settled</t>
        </is>
      </c>
      <c r="I158" s="29" t="inlineStr">
        <is>
          <t>sevilla:kaynak:168;sevilla:kaynak:169</t>
        </is>
      </c>
      <c r="J158" s="49" t="n">
        <v>46319</v>
      </c>
      <c r="K158" s="51" t="n">
        <v>600</v>
      </c>
      <c r="L158" s="29" t="inlineStr">
        <is>
          <t>Evet</t>
        </is>
      </c>
      <c r="M158" s="29" t="inlineStr">
        <is>
          <t>Taslak</t>
        </is>
      </c>
      <c r="N158" s="29" t="inlineStr">
        <is>
          <t>sevilla:para</t>
        </is>
      </c>
      <c r="O158" s="29" t="inlineStr">
        <is>
          <t>Gideceğin ofisi seç: Sevilla Centro, Heliópolis ya da Nervión.
Randevuyu AEAT uygulamasından ya da 91 333 5 333 numaralı hattan al; hat pazartesi-cuma 9.00-19.00 arası, ağustosta 15.00'e kadar çalışır.
Randevu günü ofise git; yalnız belge teslim edeceksen randevu gerekmez.
Temel vergi bilgisi için 91 554 87 70 numaralı Información Tributaria Básica hattını da arayabilirsin.</t>
        </is>
      </c>
      <c r="P158" s="29" t="n"/>
      <c r="Q158" s="29" t="inlineStr">
        <is>
          <t>Ofis saatleri: pazartesi-cuma 9.00-14.00</t>
        </is>
      </c>
      <c r="R158" s="29" t="n"/>
      <c r="S158" s="29" t="inlineStr">
        <is>
          <t>Sevilla ilinde Écija (Calle Emilio Castelar 38), Lora del Río, Osuna ve Utrera'da da AEAT idaresi var; AEAT'in listesine göre Morón de la Frontera idaresinin ofisi geçici olarak kapalı.</t>
        </is>
      </c>
      <c r="T158" s="29" t="n"/>
    </row>
    <row r="159" ht="54" customHeight="1">
      <c r="A159" s="29" t="inlineStr">
        <is>
          <t>sevilla:rmisa-asgari-gelir-destegi-kimler-yararlanir-tutar</t>
        </is>
      </c>
      <c r="B159" s="29" t="inlineStr">
        <is>
          <t>sevilla</t>
        </is>
      </c>
      <c r="C159" s="29" t="inlineStr">
        <is>
          <t>rmisa-asgari-gelir-destegi-kimler-yararlanir-tutar</t>
        </is>
      </c>
      <c r="D159" s="29" t="inlineStr">
        <is>
          <t>Endülüs'te asgari gelir desteği RMISA (Renta Mínima de Inserción Social) kimlere verilir, tutarı nasıl hesaplanır?</t>
        </is>
      </c>
      <c r="E159" s="29" t="inlineStr">
        <is>
          <t>Endülüs'te idari ikametgâhı olan, yoksulluk ya da dışlanma riski taşıyan ve şartları sağlayan aile birimlerine aylık parasal destek</t>
        </is>
      </c>
      <c r="F159" s="29" t="inlineStr">
        <is>
          <t>RMISA, Endülüs'te yoksulluk ya da sosyal dışlanma içinde olan ya da bu riskle karşı karşıya olan ve yönetmelikteki şartları sağlayan aile birimlerine (unidad familiar) verilen aylık bir parasal destektir. Aile birimindeki kişilerin Endülüs'te idari ikametgâhının (vecindad administrativa) olması gerekir; bazı şartları sağlamayan ama acil ya da olağanüstü sosyal durumda olan aileler de yararlanabilir. Aylık taban tutar, devlet bütçe yasasında her yıl belirlenen katkısız emekli aylıklarının yıllık tutarının on ikiye bölünmesiyle bulunur; başvuran dışındaki her aile üyesi için %30 eklenir ve üst sınır bu tutarın %220'sidir. Tek ebeveynli ailelerde ve engelli bireyi olan ailelerde tutar %22 artar. Destek, bir sosyal ve işgücü kapsama planıyla (plan de inclusión sociolaboral) birlikte gelir.</t>
        </is>
      </c>
      <c r="G159" s="29" t="inlineStr">
        <is>
          <t>RMISA, Renta Mínima de Inserción Social, Ingreso Mínimo de Solidaridad, asgari gelir, Endülüs, sosyal yardım, unidad familiar</t>
        </is>
      </c>
      <c r="H159" s="29" t="inlineStr">
        <is>
          <t>new;settled</t>
        </is>
      </c>
      <c r="I159" s="29" t="inlineStr">
        <is>
          <t>sevilla:kaynak:170;sevilla:kaynak:171</t>
        </is>
      </c>
      <c r="J159" s="49" t="n">
        <v>46319</v>
      </c>
      <c r="K159" s="51" t="n">
        <v>601</v>
      </c>
      <c r="L159" s="29" t="inlineStr">
        <is>
          <t>Evet</t>
        </is>
      </c>
      <c r="M159" s="29" t="inlineStr">
        <is>
          <t>Taslak</t>
        </is>
      </c>
      <c r="N159" s="29" t="inlineStr">
        <is>
          <t>sevilla:para</t>
        </is>
      </c>
      <c r="O159" s="29" t="inlineStr">
        <is>
          <t>Junta de Andalucía'nın simülatöründe aile bilgilerini girerek hakkın olup olmadığını ve tutarı gör.
Aile biriminde kimlerin sayıldığını belirle: sen; evlilik, kayıtlı partnerlik ya da evlilik benzeri ilişkide (yeminli beyanla kanıtlanır) olduğun kişi; birlikte yaşadığın, birinci dereceye kadar kan ya da kayın bağıyla ya da evlat edinme, vasilik veya koruyucu aile ilişkisiyle bağlı kişiler.
Başvuru yolunu seç: oturduğun yerin sosyal hizmetler merkezi ya da Junta de Andalucía'nın e-ofisi.
Acil ya da olağanüstü sosyal durumdaysan sosyal hizmetler merkezinden öncelikli işlem iste.</t>
        </is>
      </c>
      <c r="P159" s="29" t="n"/>
      <c r="Q159" s="29" t="n"/>
      <c r="R159" s="29" t="n"/>
      <c r="S159" s="29" t="inlineStr">
        <is>
          <t>RMISA, ulusal Ingreso Mínimo Vital (IMV) ile aynı destek değildir; Junta sayfası IMV'yi ayrı bir destek olarak sunar ve Seguridad Social bağlantısına yönlendirir.</t>
        </is>
      </c>
      <c r="T159" s="29" t="n"/>
    </row>
    <row r="160" ht="54" customHeight="1">
      <c r="A160" s="29" t="inlineStr">
        <is>
          <t>sevilla:rmisa-basvuru-karar-sureci-ve-uzatma</t>
        </is>
      </c>
      <c r="B160" s="29" t="inlineStr">
        <is>
          <t>sevilla</t>
        </is>
      </c>
      <c r="C160" s="29" t="inlineStr">
        <is>
          <t>rmisa-basvuru-karar-sureci-ve-uzatma</t>
        </is>
      </c>
      <c r="D160" s="29" t="inlineStr">
        <is>
          <t>RMISA başvurusu nereye yapılır, karar ne kadar sürer, süre dolunca nasıl uzatılır?</t>
        </is>
      </c>
      <c r="E160" s="29" t="inlineStr">
        <is>
          <t>Başvuru oturduğun yerin sosyal hizmetler merkezine ya da e-ofise yapılır; karar süresi iki aydır</t>
        </is>
      </c>
      <c r="F160" s="29" t="inlineStr">
        <is>
          <t>RMISA başvurusunu tercihen empadronado olduğun ve fiilen oturduğun yerin sosyal hizmetler merkezine (servicios sociales comunitarios) verirsin; Junta de Andalucía'nın e-ofisinden internetle de başvurabilirsin. Merkez dosyayı kararı verecek Delegación Territorial'e gönderir. Karar ve bildirim süresi, başvurunun yetkili birime ulaştığı ayı izleyen ayın birinci gününden başlayarak iki aydır; bu sürede açık karar çıkmazsa başvuru reddedilmiş sayılabilir, ama Delegación her başvuruya karar vermek zorundadır ve yeni başvuru gerekmez. Ödeme banka hesabına yapılır. Süre dolmadan uzatma istemek için bitişten önceki son üç ay içinde başvurmalısın.</t>
        </is>
      </c>
      <c r="G160" s="29" t="inlineStr">
        <is>
          <t>RMISA başvuru, Renta Mínima de Inserción Social, servicios sociales comunitarios, Delegación Territorial, uzatma, ampliación, empadronamiento</t>
        </is>
      </c>
      <c r="H160" s="29" t="inlineStr">
        <is>
          <t>new;settled</t>
        </is>
      </c>
      <c r="I160" s="29" t="inlineStr">
        <is>
          <t>sevilla:kaynak:170;sevilla:kaynak:171</t>
        </is>
      </c>
      <c r="J160" s="49" t="n">
        <v>46319</v>
      </c>
      <c r="K160" s="51" t="n">
        <v>602</v>
      </c>
      <c r="L160" s="29" t="inlineStr">
        <is>
          <t>Hayır</t>
        </is>
      </c>
      <c r="M160" s="29" t="inlineStr">
        <is>
          <t>Taslak</t>
        </is>
      </c>
      <c r="N160" s="29" t="inlineStr">
        <is>
          <t>sevilla:para</t>
        </is>
      </c>
      <c r="O160" s="29" t="inlineStr">
        <is>
          <t>Başvuru formunu ve Anexo II'de sayılan belgeleri hazırla; formlar Junta sayfasında PDF olarak duruyor.
Başvuruyu empadronado olduğun yerin sosyal hizmetler merkezine ver ya da Junta'nın e-ofisinde "Solicitud de la Renta Mínima de Inserción Social en Andalucía" bölümünden internetle gönder.
Şiddet, sömürü, tahliye ya da konut kaybı gibi acil durumdaysan merkezden öncelikli işlem iste; Anexo V ve sosyal rapor (Informe Social) kullanılır.
Karar bildirildikten sonra bir ay içinde sosyal hizmetler ve istihdam kurumuyla birlikte kapsama planını imzala; 16 yaşını geçmiş aile üyeleri de imzalar.
Uzatma istiyorsan bitişten önceki son üç ay içinde aynı formu "Ampliación" işaretleyerek ver.</t>
        </is>
      </c>
      <c r="P160" s="29" t="inlineStr">
        <is>
          <t>Başvuru formu ve Anexo II'de sayılan belgeler
Evlilik benzeri partnerlik durumunda Anexo VII yeminli beyan
Uzatmada güncel toplu geçmiş ikamet belgesi (certificado de empadronamiento histórico colectivo)</t>
        </is>
      </c>
      <c r="Q160" s="29" t="inlineStr">
        <is>
          <t>Karar süresi iki ay; uzatma bitişten önceki son üç ay içinde istenir</t>
        </is>
      </c>
      <c r="R160" s="29" t="n"/>
      <c r="S160" s="29" t="inlineStr">
        <is>
          <t>Sorular için rentaminima.cisjufi@juntadeandalucia.es adresine yazabilirsin. Junta'nın ayrıntılı RMISA sayfasına göre uzatma 2020'den itibaren 12'şer aylık ardışık dönemler için istenebilir; Junta'nın "Medidas contra la exclusión social" sayfası ise 12 aylık desteğin altışar aylık dönemlerle uzatılabildiğini yazıyor. Uzatmayı en geç bitişten önceki son üç ay içinde iste; sürenin bitmesinden sonra uzatma istenemez, yeni başvuru gerekir. Bu kural Junta'nın ayrıntılı RMISA sayfasında 12'şer aylık uzatma için yazıyor.</t>
        </is>
      </c>
      <c r="T160" s="29" t="n"/>
    </row>
    <row r="161" ht="54" customHeight="1">
      <c r="A161" s="29" t="inlineStr">
        <is>
          <t>sevilla:sosyal-hizmetler-merkezi-acil-sosyal-yardim-endulus</t>
        </is>
      </c>
      <c r="B161" s="29" t="inlineStr">
        <is>
          <t>sevilla</t>
        </is>
      </c>
      <c r="C161" s="29" t="inlineStr">
        <is>
          <t>sosyal-hizmetler-merkezi-acil-sosyal-yardim-endulus</t>
        </is>
      </c>
      <c r="D161" s="29" t="inlineStr">
        <is>
          <t>Endülüs'te acil sosyal yardım için nereye gidilir: sosyal hizmetler merkezi (Servicios Sociales Comunitarios)</t>
        </is>
      </c>
      <c r="E161" s="29" t="inlineStr">
        <is>
          <t>Kamu sosyal hizmetlerinin giriş kapısı, oturduğun bölgenin sosyal hizmetler merkezidir</t>
        </is>
      </c>
      <c r="F161" s="29" t="inlineStr">
        <is>
          <t>Endülüs'te kamu sosyal hizmetlerinin giriş kapısı, belediye ya da diputación tarafından işletilen sosyal hizmetler merkezleridir (Centro de Servicios Sociales Comunitarios). Merkez ilk karşılamayı yapar, ihtiyacını değerlendirir ve gerekirse seni daha uzman bir kamu hizmetine yönlendirir. Acil sosyal yardım (Ayudas de Emergencia Social), olağanüstü ve hemen karşılanması gereken durumlar için verilen parasal destektir. Çocuklarının temel ihtiyaçları için ise ailelere geçici ve önleyici nitelikte aile ekonomik yardımları (Ayudas Económicas Familiares) verilir. Her merkez belirli bir bölgeye ve nüfusa bakar; kullanıcılar hizmetin türüne ve ekonomik güçlerine göre maliyete katılabilir, ama kamu kaynaklarıyla finanse edilen bir sosyal hizmetten ekonomik kaynağın yok ya da yetersiz diye dışlanamazsın. Parasal yardımların belirlenmesinde ise ekonomik durum da dikkate alınır.</t>
        </is>
      </c>
      <c r="G161" s="29" t="inlineStr">
        <is>
          <t>acil sosyal yardım, servicios sociales, Ayudas de Emergencia Social, Ayudas Económicas Familiares, sosyal hizmetler merkezi, Sevilla</t>
        </is>
      </c>
      <c r="H161" s="29" t="inlineStr">
        <is>
          <t>new;settled</t>
        </is>
      </c>
      <c r="I161" s="29" t="inlineStr">
        <is>
          <t>sevilla:kaynak:172;sevilla:kaynak:173</t>
        </is>
      </c>
      <c r="J161" s="49" t="n">
        <v>46319</v>
      </c>
      <c r="K161" s="51" t="n">
        <v>603</v>
      </c>
      <c r="L161" s="29" t="inlineStr">
        <is>
          <t>Hayır</t>
        </is>
      </c>
      <c r="M161" s="29" t="inlineStr">
        <is>
          <t>Taslak</t>
        </is>
      </c>
      <c r="N161" s="29" t="inlineStr">
        <is>
          <t>sevilla:para</t>
        </is>
      </c>
      <c r="O161" s="29" t="inlineStr">
        <is>
          <t>Oturduğun yerin bağlı olduğu sosyal hizmetler merkezini bul; her sosyal hizmet bölgesinde (zona básica) en az bir merkez bulunur.
Merkezde durumunu anlat; ilk karşılama ve ihtiyaç değerlendirmesi orada yapılır.
Acil ya da olağanüstü sosyal durumundaysan bunu merkeze söyle; merkez bu durumlar için hukuki ve sosyal koruma sağlar.
Çocukların temel ihtiyaçları için aile ekonomik yardımı gerekiyorsa aynı merkezden iste.</t>
        </is>
      </c>
      <c r="P161" s="29" t="n"/>
      <c r="Q161" s="29" t="n"/>
      <c r="R161" s="29" t="n"/>
      <c r="S161" s="29" t="n"/>
      <c r="T161" s="29" t="n"/>
    </row>
    <row r="162" ht="54" customHeight="1">
      <c r="A162" s="29" t="inlineStr">
        <is>
          <t>sevilla:arac-vergisi-ivtm-hangi-belediye-satista-devirde-ne-olur</t>
        </is>
      </c>
      <c r="B162" s="29" t="inlineStr">
        <is>
          <t>sevilla</t>
        </is>
      </c>
      <c r="C162" s="29" t="inlineStr">
        <is>
          <t>arac-vergisi-ivtm-hangi-belediye-satista-devirde-ne-olur</t>
        </is>
      </c>
      <c r="D162" s="29" t="inlineStr">
        <is>
          <t>Araç vergisi (IVTM) hangi belediyeye ödenir, aracı satınca ya da tescil yaptırırken ne olur?</t>
        </is>
      </c>
      <c r="E162" s="29" t="inlineStr">
        <is>
          <t>Vergi, ruhsattaki adresin belediyesine ödenir; tescil ve devir işlemleri vergi ödemesini ister</t>
        </is>
      </c>
      <c r="F162" s="29" t="inlineStr">
        <is>
          <t>Araç vergisi (impuesto sobre vehículos de tracción mecánica, IVTM), aracın ruhsatında (permiso de circulación) yazılı adresin belediyesine ödenir; yaşadığın yer farklı olsa bile böyledir. Tescil için Tráfico'ya başvurmadan önce ödemeyi göstermen gerekir; sahiplik devri için de bir önceki yılın vergisinin ödenmiş olması aranır. İlk edinme ve kesin terkin durumlarında vergi üç aylık dönemlere göre orantılanır; çalınma nedeniyle geçici terkinde de orantılanır, ama araç devrinde ya da başka nedenli geçici terkinde orantılanmaz. Aracı sattıysan devri DGT'ye bildirirsin; böylece gelecek yılın vergisi yeni sahibe çıkar. Bu kurallar ulusal yerel yönetim maliyesi yasasına (Real Decreto Legislativo 2/2004) dayanır.</t>
        </is>
      </c>
      <c r="G162" s="29" t="inlineStr">
        <is>
          <t>IVTM, araç vergisi, impuesto de circulación, permiso de circulación, devir, tescil, engelli muafiyeti</t>
        </is>
      </c>
      <c r="H162" s="29" t="inlineStr">
        <is>
          <t>new;settled</t>
        </is>
      </c>
      <c r="I162" s="29" t="inlineStr">
        <is>
          <t>sevilla:kaynak:174</t>
        </is>
      </c>
      <c r="J162" s="49" t="n">
        <v>46319</v>
      </c>
      <c r="K162" s="51" t="n">
        <v>604</v>
      </c>
      <c r="L162" s="29" t="inlineStr">
        <is>
          <t>Hayır</t>
        </is>
      </c>
      <c r="M162" s="29" t="inlineStr">
        <is>
          <t>Taslak</t>
        </is>
      </c>
      <c r="N162" s="29" t="inlineStr">
        <is>
          <t>sevilla:para</t>
        </is>
      </c>
      <c r="O162" s="29" t="inlineStr">
        <is>
          <t>Ruhsattaki (permiso de circulación) adrese bak: vergiyi o belediyeye ödersin.
Tescil ya da sahiplik devri için Tráfico'ya gitmeden önce vergiyi öde ve ödeme belgesini yanında bulundur.
Aracı satarsan devri DGT'ye bildir; gelecek yılın vergisi yeni sahibe düzenlenir.
Engel oranın en az %33 ise muafiyeti talep et: araç plakasını ve gerekçeyi belirten dilekçeye ruhsat fotokopisi, yeminli beyan ve yetkili merkezden alınan engel belgesini ekle.</t>
        </is>
      </c>
      <c r="P162" s="29" t="inlineStr">
        <is>
          <t>Ruhsat (permiso de circulación) fotokopisi (muafiyet talebinde)
Yeminli beyan (muafiyet talebinde)
Yetkili merkezin düzenlediği engel belgesi (muafiyet talebinde)</t>
        </is>
      </c>
      <c r="Q162" s="29" t="n"/>
      <c r="R162" s="29" t="n"/>
      <c r="S162" s="29" t="inlineStr">
        <is>
          <t>Engelli muafiyeti kendiliğinden uygulanmaz, talep etmen gerekir; bir kişi aynı dönemde yalnız tek araç için muafiyetten yararlanır ve araç yalnız engelli ruhsat sahibinin kullanımında olmalıdır. Endülüs'te engel belgesini yalnız Centros de Valoración y Orientación düzenler. Aracın üretiminden en az 25 yıl geçtiyse %100'e kadar indirim ancak belediye vergi yönetmeliğinde düzenlenmişse mümkündür.</t>
        </is>
      </c>
      <c r="T162" s="29" t="n"/>
    </row>
    <row r="163" ht="54" customHeight="1">
      <c r="A163" s="29" t="inlineStr">
        <is>
          <t>sevilla:opaef-vergi-odeme-yollari-ve-banka-talimati-domiciliacion</t>
        </is>
      </c>
      <c r="B163" s="29" t="inlineStr">
        <is>
          <t>sevilla</t>
        </is>
      </c>
      <c r="C163" s="29" t="inlineStr">
        <is>
          <t>opaef-vergi-odeme-yollari-ve-banka-talimati-domiciliacion</t>
        </is>
      </c>
      <c r="D163" s="29" t="inlineStr">
        <is>
          <t>OPAEF'ten (Sevilla Diputación'unun vergi kurumu) gelen ödeme belgesi nasıl ödenir, banka talimatı (domiciliación) nasıl verilir?</t>
        </is>
      </c>
      <c r="E163" s="29" t="inlineStr">
        <is>
          <t>Ödeme belgesiyle banka, ATM, e-ofis ya da ofiste kartla ödenir; otomatik ödeme talimatı iki ay önceden verilmeli</t>
        </is>
      </c>
      <c r="F163" s="29" t="inlineStr">
        <is>
          <t>OPAEF (Organismo Provincial de Asistencia Económica y Fiscal), Sevilla Diputación'una bağlı vergi kurumudur; aşağıdaki yollar OPAEF'in kendi yönettiği vergi ve ceza borçları içindir. Bu borçları, OPAEF'in düzenlediği ya da gönderdiği ödeme belgesiyle (carta de pago) anlaşmalı bankaların şubelerinde, bu bankaların ATM'lerinde, OPAEF e-ofisinde kartla ya da Bizum'la veya OPAEF'in vatandaş ofislerinde kartla ödersin; ofislerde nakit kasa yoktur. E-ofiste Bizum üst sınırı 3.000 euro'dur. Periyodik vergilerini hesabından otomatik ödetmek için banka talimatı (domiciliación) verebilirsin: talimat, gönüllü tahsilat döneminin başlamasından en az iki ay önce OPAEF'e ulaşmalı, yoksa ancak sonraki dönemde işler. Talimat sen iptal edene ya da banka veya idare reddedene kadar geçerlidir.</t>
        </is>
      </c>
      <c r="G163" s="29" t="inlineStr">
        <is>
          <t>OPAEF, vergi ödeme, carta de pago, domiciliación, banka talimatı, Bizum, Diputación de Sevilla, ATM</t>
        </is>
      </c>
      <c r="H163" s="29" t="inlineStr">
        <is>
          <t>new;settled</t>
        </is>
      </c>
      <c r="I163" s="29" t="inlineStr">
        <is>
          <t>sevilla:kaynak:175;sevilla:kaynak:176</t>
        </is>
      </c>
      <c r="J163" s="49" t="n">
        <v>46319</v>
      </c>
      <c r="K163" s="51" t="n">
        <v>605</v>
      </c>
      <c r="L163" s="29" t="inlineStr">
        <is>
          <t>Hayır</t>
        </is>
      </c>
      <c r="M163" s="29" t="inlineStr">
        <is>
          <t>Taslak</t>
        </is>
      </c>
      <c r="N163" s="29" t="inlineStr">
        <is>
          <t>sevilla:para</t>
        </is>
      </c>
      <c r="O163" s="29" t="inlineStr">
        <is>
          <t>Ödeme belgeni (carta de pago) hazırla; borcunu OPAEF e-ofisinde "Consulta de deudas" bölümünden sorgulayıp belge de çıkarabilirsin.
Ödeme şeklini seç: anlaşmalı banka şubesi, bankanın ATM'si, e-ofiste kart ya da Bizum, ya da OPAEF ofisinde kart.
ATM'de ödeyeceksen ATM menüsünde vergi ödeme seçeneğini (Impuestos o Tributos Municipales) seç; bankaların ATM saat sınırı olabileceğinden OPAEF ödemeyi ödeme belgesindeki son günün saat 14.00'ünden önce yapmanı tavsiye ediyor.
Ofiste ödeme için önce e-ofisten ya da 900 700 100 numarasından randevu (cita previa) al.
Otomatik ödeme için domiciliación talebini, tahsilat dönemi başlamadan en az iki ay önce hesap sahipliğini gösteren belgeyle ver.</t>
        </is>
      </c>
      <c r="P163" s="29" t="inlineStr">
        <is>
          <t>Hesap sahipliğini gösteren belge ya da sertifika (domiciliación için)
Temsilci aracılığıyla işlem yapılıyorsa temsil belgesi</t>
        </is>
      </c>
      <c r="Q163" s="29" t="inlineStr">
        <is>
          <t>Domiciliación talebi gönüllü ödeme döneminin başlamasından en az iki ay önce verilmeli; ATM ödemesi için OPAEF son günün 14.00'ünden önce ödemeyi tavsiye ediyor</t>
        </is>
      </c>
      <c r="R163" s="29" t="n"/>
      <c r="S163" s="29" t="inlineStr">
        <is>
          <t>Anlaşmalı bankalar: BBVA, Banco de Santander, Banco Sabadell, Unicaja, CaixaBank, Caja Rural del Sur, Caja Rural de Utrera ve Kutxabank. Bankalar vergi ödemesi için ventanilla saatlerini kısıtlayabilir.</t>
        </is>
      </c>
      <c r="T163" s="29" t="n"/>
    </row>
    <row r="164" ht="54" customHeight="1">
      <c r="A164" s="29" t="inlineStr">
        <is>
          <t>sevilla:endulus-imv-tamamlayici-yardim-ve-bono-social-termico</t>
        </is>
      </c>
      <c r="B164" s="29" t="inlineStr">
        <is>
          <t>sevilla</t>
        </is>
      </c>
      <c r="C164" s="29" t="inlineStr">
        <is>
          <t>endulus-imv-tamamlayici-yardim-ve-bono-social-termico</t>
        </is>
      </c>
      <c r="D164" s="29" t="inlineStr">
        <is>
          <t>Endülüs'te Ingreso Mínimo Vital alanlara tamamlayıcı yardım ve ısınma desteği (Bono Social Térmico) var mı?</t>
        </is>
      </c>
      <c r="E164" s="29" t="inlineStr">
        <is>
          <t>Junta de Andalucía, IMV alan ailelere yılda tek ödemelik tamamlayıcı yardım; elektrik indirimi hakkı olanlara ısınma desteği veriyor</t>
        </is>
      </c>
      <c r="F164" s="29" t="inlineStr">
        <is>
          <t>Junta de Andalucía, Ingreso Mínimo Vital (IMV) aldığı halde kısa vadede geçim ihtiyaçlarını karşılayamayan aileler için olağanüstü bir tamamlayıcı yardım (Ayuda Complementaria al IMV) sunar; yardım yılda tek ödemeyle yapılır. Bono Social Eléctrico hakkı tanınmış kırılgan kişiler ayrıca Bono Social Térmico'dan yararlanabilir: bu yardım ısınma, sıcak su ve yemek pişirme giderlerini karşılamaya yöneliktir, yılda tek ödemeyle verilir ve tutarı kişinin kırılganlık düzeyine ve konutun iklim bölgesine göre değişir. Başvurduktan sonra evine yardımın tutarını ve izlenecek adımları bildiren bir mektup gelir. Ayrıca Fondo de Asistencia Social aylığı ya da Subsidio de Garantía de Ingresos Mínimos alanlara dört taksitle, katkısız emekli aylığı alanlara tek ödemeyle olağanüstü sosyal yardımlar verilir.</t>
        </is>
      </c>
      <c r="G164" s="29" t="inlineStr">
        <is>
          <t>Ayuda Complementaria IMV, Bono Social Térmico, Ingreso Mínimo Vital, ısınma yardımı, olağanüstü sosyal yardım, Junta de Andalucía</t>
        </is>
      </c>
      <c r="H164" s="29" t="inlineStr">
        <is>
          <t>new;settled</t>
        </is>
      </c>
      <c r="I164" s="29" t="inlineStr">
        <is>
          <t>sevilla:kaynak:171</t>
        </is>
      </c>
      <c r="J164" s="49" t="n">
        <v>46319</v>
      </c>
      <c r="K164" s="51" t="n">
        <v>606</v>
      </c>
      <c r="L164" s="29" t="inlineStr">
        <is>
          <t>Hayır</t>
        </is>
      </c>
      <c r="M164" s="29" t="inlineStr">
        <is>
          <t>Taslak</t>
        </is>
      </c>
      <c r="N164" s="29" t="inlineStr">
        <is>
          <t>sevilla:para</t>
        </is>
      </c>
      <c r="O164" s="29" t="inlineStr">
        <is>
          <t>IMV alıyor ve yine de geçimini karşılayamıyorsan Junta'nın Ayuda Complementaria al IMV işlemine başvur.
Bono Social Eléctrico hakkın bir önceki yılın 31 Aralık'ında tanınmışsa Bono Social Térmico için başvur ve evine gelecek mektubu bekle.
Hangi yardıma hakkın olduğunu bilmiyorsan Junta'nın 012 ya da 955 012 012 numaralı hattını ara.</t>
        </is>
      </c>
      <c r="P164" s="29" t="n"/>
      <c r="Q164" s="29" t="inlineStr">
        <is>
          <t>Yardımlar yılda tek ödemeyle yapılır; Fondo de Asistencia Social aylığı alanlara dört taksitle</t>
        </is>
      </c>
      <c r="R164" s="29" t="n"/>
      <c r="S164" s="29" t="n"/>
      <c r="T164" s="29" t="n"/>
    </row>
    <row r="165" ht="54" customHeight="1">
      <c r="A165" s="29" t="inlineStr">
        <is>
          <t>sevilla:tasinma-oncesi-vize-ve-ilk-oturum-izni</t>
        </is>
      </c>
      <c r="B165" s="29" t="inlineStr">
        <is>
          <t>sevilla</t>
        </is>
      </c>
      <c r="C165" s="29" t="inlineStr">
        <is>
          <t>tasinma-oncesi-vize-ve-ilk-oturum-izni</t>
        </is>
      </c>
      <c r="D165" s="29" t="inlineStr">
        <is>
          <t>İspanya'ya taşınmadan önce çalışmayı içermeyen oturum vizesi ve ilk oturum izni nasıl ilerler?</t>
        </is>
      </c>
      <c r="E165" s="29" t="inlineStr">
        <is>
          <t>İstanbul Başkonsolosluğu'na göre çalışmayı içermeyen oturum vizesinde vize ve ilk oturum izni birlikte işlenir; vize 365 gün geçerlidir</t>
        </is>
      </c>
      <c r="F165" s="29" t="inlineStr">
        <is>
          <t>İstanbul Başkonsolosluğu'nun sayfasına göre çalışmayı içermeyen oturum vizesinde (residencia no lucrativa) ilk oturum izni, vize başvurusuyla aynı anda işleme alınır. Konsolosluk, başvuruları İstanbul konsolosluk bölgesinde oturan kişilerden kabul eder; anlatılanlar bu bölgede oturanlar içindir. Başvuruyu BLS International ofislerinde, önceden aldığın randevuyla yaparsın; BLS için ayrıca hizmet bedeli ödenir. Vize 365 gün geçerlidir ve çalışma izni vermez. İspanya'ya girdikten sonra 1 ay içinde yabancı kimlik kartını (TIE, Tarjeta de Identidad de Extranjero) istemen gerekir. Anlatılanlar yalnızca bu vize türü için geçerlidir.</t>
        </is>
      </c>
      <c r="G165" s="29" t="inlineStr">
        <is>
          <t>taşınma planı, oturum vizesi, residencia no lucrativa, ilk oturum izni, TIE, BLS International, İstanbul Başkonsolosluğu</t>
        </is>
      </c>
      <c r="H165" s="29" t="inlineStr">
        <is>
          <t>before;planning</t>
        </is>
      </c>
      <c r="I165" s="29" t="inlineStr">
        <is>
          <t>sevilla:kaynak:010</t>
        </is>
      </c>
      <c r="J165" s="49" t="n">
        <v>46319</v>
      </c>
      <c r="K165" s="51" t="n">
        <v>9072</v>
      </c>
      <c r="L165" s="29" t="inlineStr">
        <is>
          <t>Hayır</t>
        </is>
      </c>
      <c r="M165" s="29" t="inlineStr">
        <is>
          <t>Taslak</t>
        </is>
      </c>
      <c r="N165" s="29" t="inlineStr">
        <is>
          <t>sevilla:planlama</t>
        </is>
      </c>
      <c r="O165" s="29" t="inlineStr">
        <is>
          <t>İstanbul konsolosluk bölgesinde oturuyorsan vize başvurunu BLS International ofisinde, önceden aldığın randevuyla yap; başvuru genelde şahsen yapılır (gerekçeli ve konsolosluğun uygun gördüğü istisnalarda temsilci de başvurabilir).
Başvuru teslimi sırasında aldığın makbuzdaki kodla dosyanın durumunu sutramiteconsular.maec.es adresinden izle.
Vizeyi randevusuz, şahsen (reşit değilsen yasal temsilcinle) teslim al.
İspanya'ya girdiğin tarihten itibaren 1 ay içinde Oficina de Extranjeros'a (yabancılar bürosu) ya da ilgili Comisaría de Policía'ya başvurup TIE iste.</t>
        </is>
      </c>
      <c r="P165" s="29" t="n"/>
      <c r="Q165" s="29" t="inlineStr">
        <is>
          <t>Vize 365 gün geçerlidir; TIE için İspanya'ya girişten itibaren 1 ay vardır.</t>
        </is>
      </c>
      <c r="R165" s="29" t="inlineStr">
        <is>
          <t>BLS International'a başvuruda ayrıca hizmet bedeli ödenir.</t>
        </is>
      </c>
      <c r="S165" s="29" t="inlineStr">
        <is>
          <t>Çalışmayı içermeyen oturum vizesi çalışma yetkisi vermez. Konsolosluk eksik belge ya da ek bilgi isteyebilir, seni kişisel görüşmeye de çağırabilir.</t>
        </is>
      </c>
      <c r="T165" s="29" t="inlineStr">
        <is>
          <t>{"kind": "steps", "title": "Vize ve TIE adımları", "note": "Şematik", "items": [{"key": "1", "title": "Vize başvurusu", "text": "İstanbul bölgesinde oturanlar: BLS International, randevuyla; ilk oturum izni aynı anda işleme alınır"}, {"key": "2", "title": "Dosya takibi", "text": "Makbuzdaki kodla sutramiteconsular.maec.es"}, {"key": "3", "title": "Vizeyi teslim alma", "text": "Şahsen, randevusuz"}, {"key": "4", "title": "TIE başvurusu", "text": "İspanya'ya girişten itibaren 1 ay içinde"}]}</t>
        </is>
      </c>
    </row>
    <row r="166" ht="54" customHeight="1">
      <c r="A166" s="29" t="inlineStr">
        <is>
          <t>sevilla:oturum-vizesi-basvurusunda-getirilecek-belgeler</t>
        </is>
      </c>
      <c r="B166" s="29" t="inlineStr">
        <is>
          <t>sevilla</t>
        </is>
      </c>
      <c r="C166" s="29" t="inlineStr">
        <is>
          <t>oturum-vizesi-basvurusunda-getirilecek-belgeler</t>
        </is>
      </c>
      <c r="D166" s="29" t="inlineStr">
        <is>
          <t>İspanya'da çalışmayı içermeyen oturum vizesi (residencia no lucrativa) için hangi belgeleri hazırlamalısın?</t>
        </is>
      </c>
      <c r="E166" s="29" t="inlineStr">
        <is>
          <t>İstanbul Başkonsolosluğu'na göre yabancı belgeler apostilli ya da yasallaştırılmış, gerekiyorsa çevirili sunulur; belge listesi aşağıda</t>
        </is>
      </c>
      <c r="F166" s="29" t="inlineStr">
        <is>
          <t>İstanbul Başkonsolosluğu'nun sayfasına göre (başvurular İstanbul konsolosluk bölgesinde oturanlardan kabul edilir) yabancı belgelerin hepsi apostilli ya da yasallaştırılmış olmalı; İspanyolca dışındaki dilde hazırlanmışsa çevirisiyle birlikte sunulur. Listede vize formu, oturum izni formu EX-01, fotoğraf, pasaport, maddi yeterlilik belgeleri, sağlık sigortası, sabıka kaydı, tıbbi rapor, konsolosluk bölgesinde ikamet kanıtı ve harç ödemesi bulunur. Pasaportun en az 1 yıl geçerli olmalı ve iki boş sayfası bulunmalı. Maddi yeterlilik belgeleri, ilk oturum izni yılında İspanya'daki giderlerini karşılamaya yeterli imkânın ya da düzenli bir gelir kaynağının kanıtı olmalıdır; asgari tutar IPREM'in %400'üne eşittir ve bakmakla yükümlü olduğun her aile üyesi için IPREM'in %100'ü eklenir.</t>
        </is>
      </c>
      <c r="G166" s="29" t="inlineStr">
        <is>
          <t>oturum vizesi belgeleri, apostil, EX-01, IPREM, sabıka kaydı, tıbbi rapor, modelo 790, residencia no lucrativa</t>
        </is>
      </c>
      <c r="H166" s="29" t="inlineStr">
        <is>
          <t>before;planning</t>
        </is>
      </c>
      <c r="I166" s="29" t="inlineStr">
        <is>
          <t>sevilla:kaynak:010</t>
        </is>
      </c>
      <c r="J166" s="49" t="n">
        <v>46319</v>
      </c>
      <c r="K166" s="51" t="n">
        <v>9073</v>
      </c>
      <c r="L166" s="29" t="inlineStr">
        <is>
          <t>Hayır</t>
        </is>
      </c>
      <c r="M166" s="29" t="inlineStr">
        <is>
          <t>Taslak</t>
        </is>
      </c>
      <c r="N166" s="29" t="inlineStr">
        <is>
          <t>sevilla:planlama</t>
        </is>
      </c>
      <c r="O166" s="29" t="inlineStr">
        <is>
          <t>Yabancı belgelerinin hepsini apostilli ya da yasallaştırılmış hazırla; İspanyolca olmayanlara çeviri ekle.
Vize başvuru formunu ve EX-01 oturum izni formunu her bölümünü doldurup imzala.
Pasaportunun en az 1 yıl geçerli olduğunu ve iki boş sayfası bulunduğunu kontrol et; 10 yıldan daha önce düzenlenmiş pasaport kabul edilmez.
Maddi yeterlilik belgelerini, sağlık sigortası sertifikasını, tıbbi raporu ve (ceza ehliyeti yaşını doldurduysan) son 5 yıl yaşadığın ülke ya da ülkelerden sabıka kaydını ekle.
İstanbul konsolosluk bölgesinde ikamet ettiğini gösteren belgeyi ve harç ödemesini ekle: iki nüsha modelo 790 (kod 052, başlık 2.1) ya da internetten ödeyip aldığın makbuz.</t>
        </is>
      </c>
      <c r="P166" s="29" t="inlineStr">
        <is>
          <t>Ulusal vize başvuru formu (İspanyolca-İngilizce), imzalı
Oturum izni başvuru formu EX-01, imzalı
Yakın tarihli, renkli, açık fonlu vesikalık fotoğraf
Pasaport (orijinal ve biyometrik sayfaların fotokopisi): en az 1 yıl geçerli, iki boş sayfalı
Maddi yeterlilik belgeleri (orijinal ve kopya)
Sağlık sigortası sertifikası (orijinal ve kopya)
Sabıka kaydı (orijinal ve kopya): ceza ehliyeti yaşını doldurmuş başvurucular için, son 5 yıl yaşadığın ülke ya da ülkelerden
Tıbbi rapor (orijinal ve kopya): halk sağlığı açısından ciddi sonuç doğurabilecek bir hastalığın olmadığını, 2005 Uluslararası Sağlık Tüzüğü uyarınca gösterir
İstanbul konsolosluk bölgesinde ikamet kanıtı (orijinal ve fotokopi)
Harç ödemesi: modelo 790, kod 052, başlık 2.1 (ilk geçici oturum izni), iki nüsha; internetten de ödenebilir, makbuz eklenir</t>
        </is>
      </c>
      <c r="Q166" s="29" t="n"/>
      <c r="R166" s="29" t="n"/>
      <c r="S166" s="29" t="inlineStr">
        <is>
          <t>Konsolosluk gerekli görürse ek belge ya da bilgi isteyebilir ve seni kişisel görüşmeye çağırabilir. Aile üyeleri için de ayrı belge seti istenir.</t>
        </is>
      </c>
      <c r="T166" s="29" t="n"/>
    </row>
    <row r="167" ht="54" customHeight="1">
      <c r="A167" s="29" t="inlineStr">
        <is>
          <t>sevilla:ilk-gunlerde-nuss-ve-temel-odeme-hesabi</t>
        </is>
      </c>
      <c r="B167" s="29" t="inlineStr">
        <is>
          <t>sevilla</t>
        </is>
      </c>
      <c r="C167" s="29" t="inlineStr">
        <is>
          <t>ilk-gunlerde-nuss-ve-temel-odeme-hesabi</t>
        </is>
      </c>
      <c r="D167" s="29" t="inlineStr">
        <is>
          <t>İspanya'da sosyal güvenlik numarası (NUSS) ve temel ödeme hesabı için ne yapabilirsin?</t>
        </is>
      </c>
      <c r="E167" s="29" t="inlineStr">
        <is>
          <t>NUSS'u istediğin zaman isteyebilirsin; AB'de yasal oturanlar için ödeme hesabı sunan kredi kuruluşları temel ödeme hesabı sunmak zorundadır</t>
        </is>
      </c>
      <c r="F167" s="29" t="inlineStr">
        <is>
          <t>Sosyal güvenlik numaranı (NUSS, Número de la Seguridad Social) istediğin zaman isteyebilirsin; başvuruda kimlik bilgin (DNI ya da NIE), cep telefonu, e-posta ve mutat ikametgâh adresin gerekir. NUSS'u çalışmaya başlayıp ilk kez sosyal güvenliğe kaydolurken ve emeklilik, ödenek ve yardımlara erişirken kullanırsın; özerk bölgenin sağlık sistemi de sağlık kartını açarken bu numarayı kullanır. Bankada ise AB'de yasal olarak oturuyorsan (kaynak ölçüt olarak uyruğu değil, AB'de yasal ikameti sayar), ödeme hesabı sunan kredi kuruluşları sana temel ödeme hesabı (cuenta de pago básica) sunmak zorundadır; sabit adresin olmasa da bu hak geçerlidir.</t>
        </is>
      </c>
      <c r="G167" s="29" t="inlineStr">
        <is>
          <t>NUSS, sosyal güvenlik numarası, Seguridad Social, temel ödeme hesabı, cuenta de pago básica, banka hesabı, sağlık kartı</t>
        </is>
      </c>
      <c r="H167" s="29" t="inlineStr">
        <is>
          <t>new</t>
        </is>
      </c>
      <c r="I167" s="29" t="inlineStr">
        <is>
          <t>sevilla:kaynak:093;sevilla:kaynak:035</t>
        </is>
      </c>
      <c r="J167" s="49" t="n">
        <v>46319</v>
      </c>
      <c r="K167" s="51" t="n">
        <v>9074</v>
      </c>
      <c r="L167" s="29" t="inlineStr">
        <is>
          <t>Hayır</t>
        </is>
      </c>
      <c r="M167" s="29" t="inlineStr">
        <is>
          <t>Taslak</t>
        </is>
      </c>
      <c r="N167" s="29" t="inlineStr">
        <is>
          <t>sevilla:planlama</t>
        </is>
      </c>
      <c r="O167" s="29" t="inlineStr">
        <is>
          <t>NUSS'un zaten olup olmadığına bak: daha önce çalıştıysan ya da Seguro Escolar (okul sigortası) kapsamında olduysan sana atanmış olabilir; numarayı bilmiyorsan kişisel alanından sorgula.
NUSS yoksa kimlik bilgin (DNI ya da NIE), telefon, e-posta ve mutat ikametgâh adresinle başvur.
Cl@ve ya da elektronik sertifikan yoksa ve reşitsen (ya da emancipe küçüksen) DNI/NIE'nin iki yüzünün kopyasını ve kimlik belgenin ön yüzünü gösteren bir selfie'yi sun.
AB'de yasal olarak oturuyorsan, ödeme hesabı sunan kredi kuruluşundan temel ödeme hesabı iste.</t>
        </is>
      </c>
      <c r="P167" s="29" t="inlineStr">
        <is>
          <t>NUSS başvurusu için: DNI ya da NIE
NUSS başvurusu için: cep telefonu ve e-posta bilgisi
NUSS başvurusu için: mutat ikametgâh adresi</t>
        </is>
      </c>
      <c r="Q167" s="29" t="inlineStr">
        <is>
          <t>NUSS'u istediğin zaman isteyebilirsin.</t>
        </is>
      </c>
      <c r="R167" s="29" t="n"/>
      <c r="S167" s="29" t="inlineStr">
        <is>
          <t>NUSS reşit olmayan biri içinse başvuruyu anne, baba ya da yasal vasi yapar. Banka şu durumlarda temel ödeme hesabını reddedebilir: İspanya'da zaten bir cari hesabın varsa, hesabın açılması ulusal güvenlik ya da kamu düzenine aykırıysa ya da kara para aklama ve terörün finansmanıyla mücadele için istenen bilgiyi vermezsen. Sığınma başvurusu yapanlar ve oturum izni olmayıp sınır dışı edilmesi mümkün olmayanlar da temel ödeme hesabı isteyebilir.</t>
        </is>
      </c>
      <c r="T167" s="29" t="inlineStr">
        <is>
          <t>{"kind": "steps", "title": "NUSS ve banka adımları", "note": "Şematik", "items": [{"key": "1", "title": "NUSS kontrolü", "text": "Daha önce çalıştıysan ya da Seguro Escolar kapsamındaysan numara zaten atanmış olabilir"}, {"key": "2", "title": "NUSS başvurusu", "text": "DNI/NIE, telefon, e-posta ve mutat ikametgâh adresi"}, {"key": "3", "title": "Elektronik kimlik yoksa", "text": "Reşit ya da emancipe küçüksen DNI/NIE'nin iki yüzü ve selfie"}, {"key": "4", "title": "Temel ödeme hesabı", "text": "AB'de yasal oturanlar için ödeme hesabı sunan kredi kuruluşları sunmak zorunda"}]}</t>
        </is>
      </c>
    </row>
    <row r="168" ht="54" customHeight="1">
      <c r="A168" s="29" t="inlineStr">
        <is>
          <t>sevilla:ab-disindan-gelirken-esya-ve-nakit-gumruk-beyani</t>
        </is>
      </c>
      <c r="B168" s="29" t="inlineStr">
        <is>
          <t>sevilla</t>
        </is>
      </c>
      <c r="C168" s="29" t="inlineStr">
        <is>
          <t>ab-disindan-gelirken-esya-ve-nakit-gumruk-beyani</t>
        </is>
      </c>
      <c r="D168" s="29" t="inlineStr">
        <is>
          <t>AB dışından İspanya'ya taşınırken ev eşyanı ve nakit paranı gümrükte nasıl bildirirsin?</t>
        </is>
      </c>
      <c r="E168" s="29" t="inlineStr">
        <is>
          <t>AEAT'e göre 10.000 euro ve üzeri nakit ya da ödeme aracı girişten önce beyan edilir; ikametini taşıyanın ev eşyası şartlarla vergi muafiyetiyle girebilir</t>
        </is>
      </c>
      <c r="F168" s="29" t="inlineStr">
        <is>
          <t>AEAT'in ödeme araçları sayfasına (23 Eylül 2026'da güncellenmiş) göre İspanya'ya girerken yanında 10.000 euro ya da üzerinde (başka para biriminde karşılığı dahil) nakit veya çek gibi ödeme aracı taşıyorsan, girişten önce yazılı olarak "Declaración de movimientos de Medios de Pago" adlı beyanı sunman gerekir; sınır kişi başına ve yolculuk başınadır. Banka havaleleri beyana tabi değildir. İkametini AB dışından İspanya'ya taşıyorsan ev eşyaların, AEAT'in taşınma sayfasındaki (12 Mayıs 2026'da güncellenmiş) şartlar sağlanırsa gümrük vergisi ve vergi muafiyetiyle girebilir.</t>
        </is>
      </c>
      <c r="G168" s="29" t="inlineStr">
        <is>
          <t>gümrük, eşya taşıma, 10.000 euro, nakit beyanı, medios de pago, E1 modeli, traslado de residencia, ev eşyası muafiyeti, AEAT</t>
        </is>
      </c>
      <c r="H168" s="29" t="inlineStr">
        <is>
          <t>before;planning</t>
        </is>
      </c>
      <c r="I168" s="29" t="inlineStr">
        <is>
          <t>sevilla:kaynak:094;sevilla:kaynak:095</t>
        </is>
      </c>
      <c r="J168" s="49" t="n">
        <v>46319</v>
      </c>
      <c r="K168" s="51" t="n">
        <v>9075</v>
      </c>
      <c r="L168" s="29" t="inlineStr">
        <is>
          <t>Hayır</t>
        </is>
      </c>
      <c r="M168" s="29" t="inlineStr">
        <is>
          <t>Taslak</t>
        </is>
      </c>
      <c r="N168" s="29" t="inlineStr">
        <is>
          <t>sevilla:planlama</t>
        </is>
      </c>
      <c r="O168" s="29" t="inlineStr">
        <is>
          <t>AB dışından girerken yanında 10.000 euro ya da üzerinde (başka para biriminde karşılığı dahil) nakit veya çek gibi ödeme aracı varsa, girişten önce "Declaración de movimientos de Medios de Pago" beyanını sun. Sınır kişi başına ve yolculuk başınadır; banka havaleleri beyana tabi değildir.
Yanında taşıdığın tutar için AB dışından girişte E1 modelini kullan; beyanı kâğıt ya da elektronik olarak, AEAT Gümrük hizmetlerine sun. Beyan tek bir hareket ve beyanda yazılı tarih için geçerlidir; sınırda gümrüğe istenmeden gösterilir.
İkametini taşıyorsan ev eşyası muafiyetinin başlıca şartlarına bak: taşınmadan önce AB dışında en az 12 ay kesintisiz oturmuş ve İspanya'ya yerleşmeye niyetli olmalı, eşyalara taşınmadan önce en az 6 ay sahip olmalı ve eşyaları yeni ikametinde eskisiyle aynı kullanımlar için kullanmalısın.
Muafiyeti önceden başvurarak değil, ithalat beyannamesinde (DUA) iste.
Eşyaları kural olarak İspanya'da ikametini kurduktan sonraki 12 ay içinde beyan et. İstisna: taşınmadan önce de beyan edebilirsin; bunun için 6 ay içinde İspanya'ya fiilen yerleşme taahhüdü verir ve gümrüğün belirleyeceği teminatı sunarsın.
Eski ikametinden kayıt silme belgeni, TIE başvurunu ya da kartını ve eşya listeni hazırla; önceki ikametini göstermek için herhangi bir belge kullanılabilir.</t>
        </is>
      </c>
      <c r="P168" s="29" t="inlineStr">
        <is>
          <t>Eski ikametinden kayıt silme belgesi (ülken kayıt silme belgesi vermiyorsa, ikamet değişikliğini oradaki bir kuruma bildirdiğini gösteren belge)
TIE başvurusu ya da TIE kartı (AB ve AEA dışı uyruklular için)
Ayrıntılı eşya listesi: tahmini değer ve en azından yaklaşık alım tarihiyle
Önceki ikametini gösteren belgeler (herhangi bir kanıt yöntemi kullanılabilir; bazı durumlarda birkaçı birden gerekebilir). Örnekler: vergi ikametgâhını gösteren belge, kimlikteki adres, elektrik, su ya da gaz tüketim belgeleri</t>
        </is>
      </c>
      <c r="Q168" s="29" t="inlineStr">
        <is>
          <t>Eşyalar kural olarak İspanya'da ikametini kurduktan sonraki 12 ay içinde ithal edilmelidir; taşınmadan önce ithalat için 6 ay içinde yerleşme taahhüdü ve teminat gerekir. Nakit beyanı her zaman girişten önce yapılır.</t>
        </is>
      </c>
      <c r="R168" s="29" t="n"/>
      <c r="S168" s="29" t="inlineStr">
        <is>
          <t>Nakit beyanını yapmamak ağır bir ihlaldir: asgari ceza 600 euro, üst sınır ödeme araçlarının değerinin %50'sine kadar çıkabilir. Ev eşyası muafiyetinin dışında kalanlar: alkollü içkiler, tütün ve tütün mamulleri, ticari taşıtlar ve taşınabilir aletler dışındaki mesleki malzemeler. Muafiyetle giren eşyayı, gümrüğe haber vermeden 12 ay boyunca ödünç veremez, rehin veremez, kiralayamaz ya da devredemezsin; yaparsan o eşya için ithalat vergisi uygulanır. Kanarya Adaları'nda KDV muafiyeti yerine IGIC muafiyeti geçerlidir.</t>
        </is>
      </c>
      <c r="T168" s="29" t="n"/>
    </row>
    <row r="169" ht="54" customHeight="1">
      <c r="A169" s="29" t="inlineStr">
        <is>
          <t>sevilla:ab-disindan-evcil-hayvanla-ispanyaya-giris</t>
        </is>
      </c>
      <c r="B169" s="29" t="inlineStr">
        <is>
          <t>sevilla</t>
        </is>
      </c>
      <c r="C169" s="29" t="inlineStr">
        <is>
          <t>ab-disindan-evcil-hayvanla-ispanyaya-giris</t>
        </is>
      </c>
      <c r="D169" s="29" t="inlineStr">
        <is>
          <t>AB dışından İspanya'ya köpek, kedi ya da hurón ile girerken hangi şartlar aranır?</t>
        </is>
      </c>
      <c r="E169" s="29" t="inlineStr">
        <is>
          <t>22 Nisan 2026'dan beri AB kuralı (2026/131) AB dışından gelen köpek, kedi ve hurónda kuduz antikor testi ister (muaf listedekiler hariç); asgari yaş 15 hafta</t>
        </is>
      </c>
      <c r="F169" s="29" t="inlineStr">
        <is>
          <t>AEAT'in evcil hayvan sayfasına (23 Eylül 2026'da güncellenmiş) göre AB dışından gelen hayvan mikroçiple (ya da 3 Temmuz 2011'den önce yapılmış dövmeyle) tanımlanmış olmalı ve yolculuk anında geçerli bir kuduz aşısı taşımalıdır. 22 Nisan 2026'dan beri uygulanan AB kuralı (Reglamento Delegado (UE) 2026/131, md. 14), üçüncü ülkeden ticari olmayan amaçla gelen köpek, kedi ve hurónda ilk kuduz aşısının yolculuktan en az 21 gün önce tamamlanmış olmasını ve geçerli bir kuduz antikor testini şart koşar. Test yalnız Reglamento de Ejecución (UE) 2026/636'nın Ek I ya da Ek II listesindeki ülkelerden gelen hayvanda aranmaz (md. 17). AEAT sayfası bu konuda hâlâ eski Reglamento (UE) 577/2013 Ek II listesine atıf yapıyor (listede olmayan ülkeyi "kuduz riski taşıyan ülke" diye anıyor). Sayfanın "İspanya'ya dönüş" bölümü (AB dışındaki bir ülkeye gidip dönen hayvan), kuduz riski taşıyan ülke için şunları yazıyor: test yetkili bir laboratuvarda yolculuktan önce yapılır, sonuç en az 0,5 UI/ml olmalıdır, hayvanın girişine kan örneğinin alındığı tarihten 3 ay geçmeden izin verilmez ve hayvan en az 7 aylık olmalıdır. AB hayvan pasaportu yoksa hayvan, geldiği üçüncü ülkenin resmî veterinerinin imzaladığı zoosanitario sertifikası (en az Kastilyaca) ve beyanla gelir. İspanya'ya hayvanla yalnızca yetkili yolcu giriş noktalarından girebilirsin.</t>
        </is>
      </c>
      <c r="G169" s="29" t="inlineStr">
        <is>
          <t>evcil hayvan, mikroçip, kuduz aşısı, serolojik test, zoosanitario, hayvan pasaportu, köpek, kedi, giriş noktası, 2026/131, antikor testi</t>
        </is>
      </c>
      <c r="H169" s="29" t="inlineStr">
        <is>
          <t>before;planning</t>
        </is>
      </c>
      <c r="I169" s="29" t="inlineStr">
        <is>
          <t>sevilla:kaynak:096;sevilla:kaynak:097</t>
        </is>
      </c>
      <c r="J169" s="49" t="n">
        <v>46319</v>
      </c>
      <c r="K169" s="51" t="n">
        <v>9076</v>
      </c>
      <c r="L169" s="29" t="inlineStr">
        <is>
          <t>Hayır</t>
        </is>
      </c>
      <c r="M169" s="29" t="inlineStr">
        <is>
          <t>Taslak</t>
        </is>
      </c>
      <c r="N169" s="29" t="inlineStr">
        <is>
          <t>sevilla:planlama</t>
        </is>
      </c>
      <c r="O169" s="29" t="inlineStr">
        <is>
          <t>Hayvanını mikroçiple (3 Temmuz 2011'den önce yapılmışsa dövmeyle) tanımlat.
Yolculuk anında geçerli olacak bir kuduz aşısı yaptır.
Geldiğin ülke Reglamento de Ejecución (UE) 2026/636'nın Ek I ya da Ek II listesinde değilse kuduz antikor testi yaptır (2026/131, md. 14 ve 17); zoosanitario sertifikayla geliyorsan AB'nin yetkilendirdiği laboratuvarın belgesini de getir.
Sayfanın "İspanya'ya dönüş" bölümüne göre, kuduz riski taşıyan bir ülkeye gidip dönüyorsan testi yolculuktan önce yetkili laboratuvarda yaptır; sonuç en az 0,5 UI/ml olmalı, giriş kan örneğinin alındığı tarihten 3 ay geçtikten sonra yapılmalı ve hayvan en az 7 aylık olmalı.
AB hayvan pasaportun yoksa geldiğin üçüncü ülkenin resmî veterinerine AB modeline uygun zoosanitario sertifika ve beyan hazırlat; hayvanın kimlik ve aşı bilgilerinin onaylı kopyasını da yanına al.
Yetkili yolcu giriş noktasından gir ve Guardia Civil'in Resguardo Fiscal birimine hayvanla seyahat ettiğini bildirip belgeleri göster.</t>
        </is>
      </c>
      <c r="P169" s="29" t="inlineStr">
        <is>
          <t>Zoosanitario sertifika (üçüncü ülkenin resmî veterineri imzalı, en az Kastilyaca) ve AB modeline uygun beyan; AB hayvan pasaportu yoksa
Hayvanın kimlik ve aşı bilgilerinin onaylı kopyası
Serolojik testte AB'nin yetkilendirdiği laboratuvarın belgesi (zoosanitario sertifikayla gelirken)</t>
        </is>
      </c>
      <c r="Q169" s="29" t="n"/>
      <c r="R169" s="29" t="n"/>
      <c r="S169" s="29" t="inlineStr">
        <is>
          <t>İspanya, 15 haftadan küçük köpek, kedi ve hurónun girişine izin vermez (sayfa 15 haftayı şöyle açıklıyor: kuduz aşısına kadar 3 ay, aşının geçerli olması için 21 gün). Sayfanın "İspanya'ya dönüş" bölümüne göre kuduz riski taşıyan ülkeden gelen hayvanda asgari yaş 7 aydır; bu durumda 15 hafta yeterli değildir. Bir kişi en çok beş hayvanla seyahat edebilir (istisnalar vardır). Yetkili giriş noktası dışındaki bir gümrükten girişe izin verilmez ve hayvan geldiği ülkeye geri gönderilir. Şartları karşılamayan hayvan karantinaya alınabilir, menşe ülkeye geri gönderilebilir ya da son çare olarak ötanazi edilebilir; masrafları hayvanın sahibi öder. Anlatılanlar köpek, kedi ve hurón içindir.</t>
        </is>
      </c>
      <c r="T169" s="29" t="n"/>
    </row>
    <row r="170" ht="54" customHeight="1">
      <c r="A170" s="29" t="inlineStr">
        <is>
          <t>sevilla:oturum-ve-ogrenci-vizesinde-saglik-sigortasi-sarti</t>
        </is>
      </c>
      <c r="B170" s="29" t="inlineStr">
        <is>
          <t>sevilla</t>
        </is>
      </c>
      <c r="C170" s="29" t="inlineStr">
        <is>
          <t>oturum-ve-ogrenci-vizesinde-saglik-sigortasi-sarti</t>
        </is>
      </c>
      <c r="D170" s="29" t="inlineStr">
        <is>
          <t>İspanya'da çalışmayı içermeyen oturum vizesi ve öğrenci vizesi için sağlık sigortası şartı nedir?</t>
        </is>
      </c>
      <c r="E170" s="29" t="inlineStr">
        <is>
          <t>İstanbul Başkonsolosluğu'na göre iki vize türünde de sigorta sertifikası istenir; öğrenci vizesinde sigorta kalış süresince geçerli olmalıdır</t>
        </is>
      </c>
      <c r="F170" s="29" t="inlineStr">
        <is>
          <t>İstanbul Başkonsolosluğu'nun sayfalarına göre çalışmayı içermeyen oturum vizesi (residencia no lucrativa) ile öğrenci vizesi (estudios) başvurusunda sağlık sigortası sertifikası istenir; sayfalar başvuruyu İstanbul konsolosluk bölgesinde oturan kişilerden kabul ettiklerini yazar. Oturum vizesinde sigorta, İspanya'da faaliyet izinli bir sigortacıdan alınmış kamu ya da özel sigorta olmalı ve İspanya kamu sağlık sisteminin sigortaladığı tüm riskleri kapsamalıdır. Öğrenci vizesinde sigortacı yine İspanya'da faaliyet izinli olmalı; sigorta Sistema Nacional de Salud'un ortak temel hizmet paketine benzer yardımlar sağlamalı ve öngörülen kalış süresince geçerli olmalıdır. Anlatılanlar yalnızca bu iki vize türü içindir.</t>
        </is>
      </c>
      <c r="G170" s="29" t="inlineStr">
        <is>
          <t>sağlık sigortası, vize sigortası, residencia no lucrativa, öğrenci vizesi, estudios, seguro de enfermedad, İstanbul Başkonsolosluğu</t>
        </is>
      </c>
      <c r="H170" s="29" t="inlineStr">
        <is>
          <t>before;planning</t>
        </is>
      </c>
      <c r="I170" s="29" t="inlineStr">
        <is>
          <t>sevilla:kaynak:010;sevilla:kaynak:098</t>
        </is>
      </c>
      <c r="J170" s="49" t="n">
        <v>46319</v>
      </c>
      <c r="K170" s="51" t="n">
        <v>9077</v>
      </c>
      <c r="L170" s="29" t="inlineStr">
        <is>
          <t>Hayır</t>
        </is>
      </c>
      <c r="M170" s="29" t="inlineStr">
        <is>
          <t>Taslak</t>
        </is>
      </c>
      <c r="N170" s="29" t="inlineStr">
        <is>
          <t>sevilla:planlama</t>
        </is>
      </c>
      <c r="O170" s="29" t="inlineStr">
        <is>
          <t>Hangi vizeye başvuracağını belirle; sigorta şartı vize türüne göre değişir.
Oturum vizesi için İspanya'da faaliyet izinli bir sigortacıdan, kamu sağlık sisteminin sigortaladığı tüm riskleri kapsayan bir sigorta yaptır.
Öğrenci vizesi için İspanya'da faaliyet izinli bir sigortacıdan, Sistema Nacional de Salud'un ortak temel hizmet paketine benzer yardımlar sağlayan ve öngörülen kalış süresince geçerli bir sigorta yaptır.
Sigorta sertifikasının orijinalini ve bir kopyasını vize başvurusuna ekle.</t>
        </is>
      </c>
      <c r="P170" s="29" t="inlineStr">
        <is>
          <t>Sağlık sigortası sertifikası (orijinal ve bir kopya)</t>
        </is>
      </c>
      <c r="Q170" s="29" t="inlineStr">
        <is>
          <t>Öğrenci vizesinde sigorta, öngörülen kalış süresince geçerli olmalıdır.</t>
        </is>
      </c>
      <c r="R170" s="29" t="n"/>
      <c r="S170" s="29" t="n"/>
      <c r="T170" s="29" t="n"/>
    </row>
    <row r="171" ht="54" customHeight="1">
      <c r="A171" s="29" t="inlineStr">
        <is>
          <t>sevilla:ispanya-para-birimi-euro-ve-resmi-dil</t>
        </is>
      </c>
      <c r="B171" s="29" t="inlineStr">
        <is>
          <t>sevilla</t>
        </is>
      </c>
      <c r="C171" s="29" t="inlineStr">
        <is>
          <t>ispanya-para-birimi-euro-ve-resmi-dil</t>
        </is>
      </c>
      <c r="D171" s="29" t="inlineStr">
        <is>
          <t>İspanya'da euro madeni paralar yasal ödeme aracı mı, resmî dil nedir?</t>
        </is>
      </c>
      <c r="E171" s="29" t="inlineStr">
        <is>
          <t>Euro madeni paralar tüm eurobölgesinde yasal ödeme aracıdır; devletin resmî dili Kastilyacadır, diğer diller bölgelerinde de resmîdir</t>
        </is>
      </c>
      <c r="F171" s="29" t="inlineStr">
        <is>
          <t>Banco de España'nın sayfasına göre euro madeni paralar eurobölgesinin tüm ülkelerinde yasal ödeme aracıdır; İspanya'da bunları Fábrica Nacional de Moneda y Timbre basar, Banco de España ise İspanya devleti adına dolaşıma sokar ve geri çeker. Resmî dil: Anayasa'nın 3. maddesine göre Kastilyaca (castellano) devletin resmî dilidir. Diğer İspanyol dilleri de ilgili özerk bölgelerde, o bölgelerin Statüleri uyarınca resmî dildir; hangi dilin geçerli olduğu bölgeye göre değişir.</t>
        </is>
      </c>
      <c r="G171" s="29" t="inlineStr">
        <is>
          <t>para birimi, euro, resmî dil, Kastilyaca, castellano, Anayasa, özerk bölge dilleri, Banco de España</t>
        </is>
      </c>
      <c r="H171" s="29" t="inlineStr">
        <is>
          <t>before;planning;new</t>
        </is>
      </c>
      <c r="I171" s="29" t="inlineStr">
        <is>
          <t>sevilla:kaynak:099;sevilla:kaynak:100</t>
        </is>
      </c>
      <c r="J171" s="49" t="n">
        <v>46319</v>
      </c>
      <c r="K171" s="51" t="n">
        <v>9078</v>
      </c>
      <c r="L171" s="29" t="inlineStr">
        <is>
          <t>Hayır</t>
        </is>
      </c>
      <c r="M171" s="29" t="inlineStr">
        <is>
          <t>Taslak</t>
        </is>
      </c>
      <c r="N171" s="29" t="inlineStr">
        <is>
          <t>sevilla:planlama</t>
        </is>
      </c>
      <c r="O171" s="29" t="inlineStr">
        <is>
          <t>Euro madeni paralar eurobölgesinin tüm ülkelerinde yasal ödeme aracıdır; İspanya'da bunları Banco de España dolaşıma sokar.
Yaşayacağın özerk bölgenin Statüsüne bak: Kastilyacanın yanında başka bir İspanyol dili de o bölgede resmî olabilir.</t>
        </is>
      </c>
      <c r="P171" s="29" t="n"/>
      <c r="Q171" s="29" t="n"/>
      <c r="R171" s="29" t="n"/>
      <c r="S171" s="29" t="n"/>
      <c r="T171" s="29" t="n"/>
    </row>
    <row r="172" ht="54" customHeight="1">
      <c r="A172" s="29" t="inlineStr">
        <is>
          <t>sevilla:ispanya-resmi-saat-ve-yaz-saati-kurali</t>
        </is>
      </c>
      <c r="B172" s="29" t="inlineStr">
        <is>
          <t>sevilla</t>
        </is>
      </c>
      <c r="C172" s="29" t="inlineStr">
        <is>
          <t>ispanya-resmi-saat-ve-yaz-saati-kurali</t>
        </is>
      </c>
      <c r="D172" s="29" t="inlineStr">
        <is>
          <t>İspanya'da kaç resmî saat var ve yaz saati ne zaman başlayıp biter?</t>
        </is>
      </c>
      <c r="E172" s="29" t="inlineStr">
        <is>
          <t>BOE'deki Kraliyet Kararnamesi'ne göre yarımada ve Balear Adaları bir, Kanarya Adaları ayrı resmî saat kullanır; yaz saati Mart ve Ekim'in son pazarı değişir</t>
        </is>
      </c>
      <c r="F172" s="29" t="inlineStr">
        <is>
          <t>İspanya'da iki resmî saat vardır: biri Yarımada ve Balear Adaları, öteki Kanarya Adaları için (Real Decreto 236/2002). Kararname bunu, saat değişiminin ülkenin her yerinde aynı anda yapılmasını sağlamak için dikkate alır. Yaz saati her yıl Mart ayının son pazarı başlar: gece 02:00'de (Kanarya'da 01:00) resmî saat 60 dakika ileri alınır ve o gün 23 saat sürer. Yaz saati her yıl Ekim ayının son pazarı biter: gece 03:00'te (Kanarya'da 02:00) resmî saat 60 dakika geri alınır ve o gün 25 saat sürer.</t>
        </is>
      </c>
      <c r="G172" s="29" t="inlineStr">
        <is>
          <t>saat dilimi, yaz saati, resmî saat, Kanarya Adaları, hora de verano, Mart son pazar, Ekim son pazar</t>
        </is>
      </c>
      <c r="H172" s="29" t="inlineStr">
        <is>
          <t>before;planning;new</t>
        </is>
      </c>
      <c r="I172" s="29" t="inlineStr">
        <is>
          <t>sevilla:kaynak:101</t>
        </is>
      </c>
      <c r="J172" s="49" t="n">
        <v>46319</v>
      </c>
      <c r="K172" s="51" t="n">
        <v>9079</v>
      </c>
      <c r="L172" s="29" t="inlineStr">
        <is>
          <t>Hayır</t>
        </is>
      </c>
      <c r="M172" s="29" t="inlineStr">
        <is>
          <t>Taslak</t>
        </is>
      </c>
      <c r="N172" s="29" t="inlineStr">
        <is>
          <t>sevilla:planlama</t>
        </is>
      </c>
      <c r="O172" s="29" t="inlineStr">
        <is>
          <t>Mart ayının son pazarı yaz saatine geç: gece 02:00'de (Kanarya'da 01:00) saati 60 dakika ileri al.
Ekim ayının son pazarı yaz saati biter: gece 03:00'te (Kanarya'da 02:00) saati 60 dakika geri al.
Yarımada ve Balear Adaları ile Kanarya Adaları arasında seyahat edeceksen iki ayrı resmî saat olduğunu unutma; saat değişimi her iki yerde de aynı anda yapılır.</t>
        </is>
      </c>
      <c r="P172" s="29" t="n"/>
      <c r="Q172" s="29" t="inlineStr">
        <is>
          <t>Yaz saati, Mart ayının son pazarından Ekim ayının son pazarına kadar sürer.</t>
        </is>
      </c>
      <c r="R172" s="29" t="n"/>
      <c r="S172" s="29" t="n"/>
      <c r="T172" s="29" t="n"/>
    </row>
    <row r="173" ht="54" customHeight="1">
      <c r="A173" s="29" t="inlineStr">
        <is>
          <t>sevilla:ab-disindan-gelen-yolcunun-bagaj-muafiyeti</t>
        </is>
      </c>
      <c r="B173" s="29" t="inlineStr">
        <is>
          <t>sevilla</t>
        </is>
      </c>
      <c r="C173" s="29" t="inlineStr">
        <is>
          <t>ab-disindan-gelen-yolcunun-bagaj-muafiyeti</t>
        </is>
      </c>
      <c r="D173" s="29" t="inlineStr">
        <is>
          <t>AB dışından İspanya'ya gelirken bagajında vergisiz ne kadar eşya, tütün ve alkol getirebilirsin?</t>
        </is>
      </c>
      <c r="E173" s="29" t="inlineStr">
        <is>
          <t>Ticari olmayan kişisel eşyada sınır kişi başı havayolu ve denizyolunda 430, karayolunda 300, 15 yaş altında 150 euro; tütün ve alkolde ayrı sınır var</t>
        </is>
      </c>
      <c r="F173" s="29" t="inlineStr">
        <is>
          <t>Ticari nitelik taşımayan kişisel eşyayı, toplam değeri havayolu ve denizyoluyla gelende kişi başı 430 euro'yu, karayoluyla gelende 300 euro'yu geçmiyorsa KDV (IVA) ve özel tüketim vergisi ödemeden getirebilirsin; 15 yaşından küçük yolcuda sınır, hangi yolla gelirse gelsin, 150 euro'dur. Bu kural AEAT'in güncel sayfasında AB dışındaki ülkelerden (üçüncü ülke) gelen yolcular için yazılıdır; kişisel kullanım için ilaçların değeri hesaba katılmaz. Değer sınırından ayrı olarak tütünde 200 sigara ya da 100 sigarillo (tanesi en çok 3 g) ya da 50 puro ya da 250 g sarma tütün muaftır; farklı tütün ürünleri toplam sınırı aşmadan birleştirilebilir. Alkolde 1 litre %80 ve üzeri etil alkol ya da 1 litre %22'nin üzerinde alkollü içki ya da 2 litre %22'nin altında damıtma türevi içki, takviyeli veya köpüklü şarap muaftır; her biri toplam hakkın tamamı sayılır ve toplamı aşmadan birleştirilebilir. Bunlara ek olarak 4 litre köpüksüz (sakin) şarap ve 16 litre bira da muaftır. 17 yaşından küçük yolcu tütün ve alkol muafiyetinden yararlanamaz.</t>
        </is>
      </c>
      <c r="G173" s="29" t="inlineStr">
        <is>
          <t>bagaj muafiyeti, gümrük, 430 euro, 300 euro, tütün, alkol, IVA, AEAT, üçüncü ülke, yolcu</t>
        </is>
      </c>
      <c r="H173" s="29" t="inlineStr">
        <is>
          <t>before;planning</t>
        </is>
      </c>
      <c r="I173" s="29" t="inlineStr">
        <is>
          <t>sevilla:kaynak:102</t>
        </is>
      </c>
      <c r="J173" s="49" t="n">
        <v>46319</v>
      </c>
      <c r="K173" s="51" t="n">
        <v>9080</v>
      </c>
      <c r="L173" s="29" t="inlineStr">
        <is>
          <t>Hayır</t>
        </is>
      </c>
      <c r="M173" s="29" t="inlineStr">
        <is>
          <t>Taslak</t>
        </is>
      </c>
      <c r="N173" s="29" t="inlineStr">
        <is>
          <t>sevilla:planlama</t>
        </is>
      </c>
      <c r="O173" s="29" t="inlineStr">
        <is>
          <t>Bagajındaki eşyanın ticari nitelik taşımadığından emin ol; muafiyet yalnız kişisel bagaj içindir.
Havayolu ya da denizyoluyla geliyorsan eşyanın toplam değerini kişi başı 430 euro'nun, karayoluyla geliyorsan 300 euro'nun altında tut; 15 yaş altındaki çocuk için sınır 150 euro'dur.
Tütünde 200 sigara ya da 100 sigarillo ya da 50 puro ya da 250 g sarma tütün sınırını aşma; farklı tütün ürünlerini birleştirebilirsin ama toplam sınırı aşamazsın.
Alkolde 1 litre %80 ve üzeri etil alkol ya da 1 litre %22 üzeri içki ya da 2 litre %22 altı damıtma türevi içki, takviyeli veya köpüklü şarap sınırını toplamda aşma; ek olarak 4 litre köpüksüz şarap ve 16 litre bira getirebilirsin.</t>
        </is>
      </c>
      <c r="P173" s="29" t="n"/>
      <c r="Q173" s="29" t="n"/>
      <c r="R173" s="29" t="n"/>
      <c r="S173" s="29" t="inlineStr">
        <is>
          <t>Kişisel kullanım için ilaçların değeri 430/300/150 euro sınırına sayılmaz. 17 yaşından küçük yolcular tütün ve alkol muafiyetinden yararlanamaz. Cebelitarık'a sınır bölgesinde oturan ya da çalışanlar için sigara muafiyeti 80 sigaraya iner. Andorra'dan gelen yolcular için AEAT sayfasında ayrı ve farklı sınırlar yazılıdır; bu karttaki sınırlar Andorra dışındaki üçüncü ülkeler içindir.</t>
        </is>
      </c>
      <c r="T173" s="29" t="n"/>
    </row>
    <row r="174" ht="54" customHeight="1">
      <c r="A174" s="29" t="inlineStr">
        <is>
          <t>sevilla:sevilla-havalimani-ve-santa-justa-garindan-merkeze</t>
        </is>
      </c>
      <c r="B174" s="29" t="inlineStr">
        <is>
          <t>sevilla</t>
        </is>
      </c>
      <c r="C174" s="29" t="inlineStr">
        <is>
          <t>sevilla-havalimani-ve-santa-justa-garindan-merkeze</t>
        </is>
      </c>
      <c r="D174" s="29" t="inlineStr">
        <is>
          <t>Sevilla havalimanından ve Santa Justa tren garından şehir merkezine nasıl gidersin?</t>
        </is>
      </c>
      <c r="E174" s="29" t="inlineStr">
        <is>
          <t>Havalimanı otobüsü (EA), taksi ve gar bağlantıları</t>
        </is>
      </c>
      <c r="F174" s="29" t="inlineStr">
        <is>
          <t>Sevilla Havalimanı (San Pablo) merkezin yaklaşık 8 km dışında, A-4 yolunun 532. km'sinde. Merkeze arabayla ya da taksiyle yaklaşık 15 dakikada, otobüsle yaklaşık 35 dakikada varırsın. Plaza de Armas'a giden Özel Havalimanı Otobüsü'nün (EA) tekli bileti 5 €. Hızlı trenle gelirsen Santa Justa garında inersin; gar merkezin yaklaşık 1 km uzağında ve otobüs hatları ile taksi durağına bağlı.</t>
        </is>
      </c>
      <c r="G174" s="29" t="inlineStr">
        <is>
          <t>Sevilla havalimanı, San Pablo, EA otobüsü, Santa Justa, tren garı, taksi, Plaza de Armas</t>
        </is>
      </c>
      <c r="H174" s="29" t="inlineStr">
        <is>
          <t>planning;new</t>
        </is>
      </c>
      <c r="I174" s="29" t="inlineStr">
        <is>
          <t>sevilla:kaynak:184</t>
        </is>
      </c>
      <c r="J174" s="49" t="n">
        <v>46319</v>
      </c>
      <c r="K174" s="51" t="n">
        <v>100</v>
      </c>
      <c r="L174" s="29" t="inlineStr">
        <is>
          <t>Evet</t>
        </is>
      </c>
      <c r="M174" s="29" t="inlineStr">
        <is>
          <t>Taslak</t>
        </is>
      </c>
      <c r="N174" s="29" t="inlineStr">
        <is>
          <t>sevilla:planlama</t>
        </is>
      </c>
      <c r="O174" s="29" t="inlineStr">
        <is>
          <t>Havalimanından merkeze Özel Havalimanı Otobüsü'nü (EA) ya da taksiyi seç.
Otobüs için tekli bilet 5 €, gidiş-dönüş 6 €, aylık kart 41 €; hat Plaza de Armas ile bağlantılı.
Taksi için tarife tarihe ve saate göre değişir; trayekt başına 24,98 €'dan başlar.
Trenle gelirsen Santa Justa garında (Av. de Kansas City) in; merkeze yaklaşık 1 km, 21, 28, 32, C1, C2, A7, A8, EA ve LN otobüs hatları buradan geçer.
San Bernardo garında inersen oradan Metro ve birçok otobüs hattına geçebilirsin.</t>
        </is>
      </c>
      <c r="P174" s="29" t="n"/>
      <c r="Q174" s="29" t="inlineStr">
        <is>
          <t>Havalimanından merkeze arabayla ya da taksiyle yaklaşık 15 dakika, otobüsle yaklaşık 35 dakika</t>
        </is>
      </c>
      <c r="R174" s="29" t="inlineStr">
        <is>
          <t>EA otobüsü: tekli 5 €, gidiş-dönüş 6 €, aylık kart 41 €; taksi: trayekt başına 24,98 €'dan başlar</t>
        </is>
      </c>
      <c r="S174" s="29" t="inlineStr">
        <is>
          <t>Havalimanı telefonu: +34 954 44 90 00. Santa Justa gar telefonu: 902 432 343.</t>
        </is>
      </c>
      <c r="T174" s="29" t="n"/>
    </row>
    <row r="175" ht="54" customHeight="1">
      <c r="A175" s="29" t="inlineStr">
        <is>
          <t>sevilla:sevilla-otogarlari-plaza-de-armas-ve-prado-de-san-sebastian</t>
        </is>
      </c>
      <c r="B175" s="29" t="inlineStr">
        <is>
          <t>sevilla</t>
        </is>
      </c>
      <c r="C175" s="29" t="inlineStr">
        <is>
          <t>sevilla-otogarlari-plaza-de-armas-ve-prado-de-san-sebastian</t>
        </is>
      </c>
      <c r="D175" s="29" t="inlineStr">
        <is>
          <t>Sevilla'nın iki otogarı nerede, oraya hangi hatlarla ulaşırsın?</t>
        </is>
      </c>
      <c r="E175" s="29" t="inlineStr">
        <is>
          <t>Plaza de Armas ve Prado de San Sebastián otogarları</t>
        </is>
      </c>
      <c r="F175" s="29" t="inlineStr">
        <is>
          <t>Sevilla'nın ulusal ve uluslararası hatlara bağlanan iki otogarı var, ikisi de merkezde. Plaza de Armas otogarı Puente Cristo de la Expiración yanında; Prado de San Sebastián otogarı Metro 1. hatta bağlı.</t>
        </is>
      </c>
      <c r="G175" s="29" t="inlineStr">
        <is>
          <t>otogar, Plaza de Armas, Prado de San Sebastián, şehirlerarası otobüs, estación de autobuses</t>
        </is>
      </c>
      <c r="H175" s="29" t="inlineStr">
        <is>
          <t>planning;new</t>
        </is>
      </c>
      <c r="I175" s="29" t="inlineStr">
        <is>
          <t>sevilla:kaynak:184;sevilla:kaynak:260</t>
        </is>
      </c>
      <c r="J175" s="49" t="n">
        <v>46320</v>
      </c>
      <c r="K175" s="51" t="n">
        <v>101</v>
      </c>
      <c r="L175" s="29" t="inlineStr">
        <is>
          <t>Hayır</t>
        </is>
      </c>
      <c r="M175" s="29" t="inlineStr">
        <is>
          <t>Taslak</t>
        </is>
      </c>
      <c r="N175" s="29" t="inlineStr">
        <is>
          <t>sevilla:planlama</t>
        </is>
      </c>
      <c r="O175" s="29" t="inlineStr">
        <is>
          <t>Plaza de Armas otogarı: Puente Cristo de la Expiración, 2, 41001 Sevilla; telefon 955 038 665.
Plaza de Armas'a 03, 06, 43, A2, A7 ve EA şehir otobüsü hatlarıyla ve taksiyle ulaşırsın.
Prado de San Sebastián otogarı: Plaza Prado San Sebastián s/n, 41004 Sevilla; telefon 955 479 290.
Prado de San Sebastián'a Metro 1. hat, birçok otobüs hattı ve taksiyle ulaşırsın.</t>
        </is>
      </c>
      <c r="P175" s="29" t="n"/>
      <c r="Q175" s="29" t="n"/>
      <c r="R175" s="29" t="n"/>
      <c r="S175" s="29" t="inlineStr">
        <is>
          <t>Plaza de Armas otogarı aynı zamanda Sevilla metropol ulaşım konsorsiyumunun (Consorcio de Transporte Metropolitano del Área de Sevilla) merkezidir.</t>
        </is>
      </c>
      <c r="T175" s="29" t="n"/>
    </row>
    <row r="176" ht="54" customHeight="1">
      <c r="A176" s="29" t="inlineStr">
        <is>
          <t>sevilla:sevilla-turizm-danisma-noktalari-adres-ve-saatler</t>
        </is>
      </c>
      <c r="B176" s="29" t="inlineStr">
        <is>
          <t>sevilla</t>
        </is>
      </c>
      <c r="C176" s="29" t="inlineStr">
        <is>
          <t>sevilla-turizm-danisma-noktalari-adres-ve-saatler</t>
        </is>
      </c>
      <c r="D176" s="29" t="inlineStr">
        <is>
          <t>Sevilla'da turizm danışma noktaları nerede, saat kaçta açık?</t>
        </is>
      </c>
      <c r="E176" s="29" t="inlineStr">
        <is>
          <t>Şehir merkezi, Triana, havalimanı ve Santa Justa</t>
        </is>
      </c>
      <c r="F176" s="29" t="inlineStr">
        <is>
          <t>Visita Sevilla altı noktayı listeliyor: merkezde üç nokta (Marqués del Contadero, Plaza de San Francisco, Paseo Colón), Triana'da bir nokta ve havalimanı ile Santa Justa'daki Andalucía turizm noktaları. Havalimanı ve gar noktaları hafta içi 09:00-19:30 açık; şehirdeki noktalar çoğunlukla 09:30'da açılır. İlk gün harita ve şehir bilgisi almak için en kolay durak bunlar.</t>
        </is>
      </c>
      <c r="G176" s="29" t="inlineStr">
        <is>
          <t>turizm ofisi, danışma, Oficina de Turismo, Marqués del Contadero, Plaza de San Francisco, Triana, havalimanı</t>
        </is>
      </c>
      <c r="H176" s="29" t="inlineStr">
        <is>
          <t>planning;new</t>
        </is>
      </c>
      <c r="I176" s="29" t="inlineStr">
        <is>
          <t>sevilla:kaynak:220</t>
        </is>
      </c>
      <c r="J176" s="49" t="n">
        <v>46319</v>
      </c>
      <c r="K176" s="51" t="n">
        <v>102</v>
      </c>
      <c r="L176" s="29" t="inlineStr">
        <is>
          <t>Hayır</t>
        </is>
      </c>
      <c r="M176" s="29" t="inlineStr">
        <is>
          <t>Taslak</t>
        </is>
      </c>
      <c r="N176" s="29" t="inlineStr">
        <is>
          <t>sevilla:planlama</t>
        </is>
      </c>
      <c r="O176" s="29" t="inlineStr">
        <is>
          <t>Merkezdeysen Paseo Marqués del Contadero s/n ofisine (her gün 09:30-19:00; Kasım-Mart ve yazın 09:30-18:30) git.
Plaza de San Francisco 19'daki ofis (Edificio Laredo) her gün 09:30-14:30 ve 15:30-18:30 açık.
Triana tarafında Plaza del Altozano'daki noktaya her gün 09:30-14:30 arasında uğra; Feria de Abril günleri kapalı.
Havalimanında geliş terminalindeki ve Santa Justa'daki OIT-Andalucía noktaları hafta içi 09:00-19:30, hafta sonu ve resmî tatilde 09:30-15:00 açık.</t>
        </is>
      </c>
      <c r="P176" s="29" t="n"/>
      <c r="Q176" s="29" t="inlineStr">
        <is>
          <t>Hafta içi 09:00-19:30 (havalimanı ve Santa Justa); şehir noktaları genelde 09:30'da açılır</t>
        </is>
      </c>
      <c r="R176" s="29" t="n"/>
      <c r="S176" s="29" t="inlineStr">
        <is>
          <t>25 Aralık, 1 ve 6 Ocak günleri Triana noktası kapalı; Marqués del Contadero ve Paseo Colón noktaları 10:00'da açılır.</t>
        </is>
      </c>
      <c r="T176" s="29" t="n"/>
    </row>
    <row r="177" ht="54" customHeight="1">
      <c r="A177" s="29" t="inlineStr">
        <is>
          <t>sevilla:sevilla-metro-bilet-turleri-ve-ucretleri</t>
        </is>
      </c>
      <c r="B177" s="29" t="inlineStr">
        <is>
          <t>sevilla</t>
        </is>
      </c>
      <c r="C177" s="29" t="inlineStr">
        <is>
          <t>sevilla-metro-bilet-turleri-ve-ucretleri</t>
        </is>
      </c>
      <c r="D177" s="29" t="inlineStr">
        <is>
          <t>Sevilla Metrosu'nda hangi bilet türleri var, kaç euro?</t>
        </is>
      </c>
      <c r="E177" s="29" t="inlineStr">
        <is>
          <t>Hat 1'de bölge (atlama) sistemi, tekli, gidiş-dönüş ve günlük bilet</t>
        </is>
      </c>
      <c r="F177" s="29" t="inlineStr">
        <is>
          <t>Sevilla Metrosu'nun 1. hattı üç tarife bölgesine ayrılır; ücret kaç bölge geçtiğine (0, 1 ya da 2 atlama) göre belirlenir. Tekli bilet 1,35 / 1,60 / 1,80 €, gidiş-dönüş 2,70 / 3,20 / 3,60 €, günlük bono 4,50 €. Bilet yeniden doldurulabilir kartta verilir; kartı ilk aldığında 0,30 € kart bedeli ödersin. Consorcio ulaşım kartıyla metroda 1 Ocak-31 Aralık 2026 arasında %40 indirimli fiyat uygulanıyor: 0 atlama 0,49 €, 1 atlama 0,70 €, 2 atlama 0,82 €.</t>
        </is>
      </c>
      <c r="G177" s="29" t="inlineStr">
        <is>
          <t>Sevilla metro, bilet, Bonometro, Bono Plus 45, billete sencillo, bono de un día, tarife</t>
        </is>
      </c>
      <c r="H177" s="29" t="inlineStr">
        <is>
          <t>planning;new;settled</t>
        </is>
      </c>
      <c r="I177" s="29" t="inlineStr">
        <is>
          <t>sevilla:kaynak:177;sevilla:kaynak:288</t>
        </is>
      </c>
      <c r="J177" s="49" t="n">
        <v>46320</v>
      </c>
      <c r="K177" s="51" t="n">
        <v>103</v>
      </c>
      <c r="L177" s="29" t="inlineStr">
        <is>
          <t>Hayır</t>
        </is>
      </c>
      <c r="M177" s="29" t="inlineStr">
        <is>
          <t>Taslak</t>
        </is>
      </c>
      <c r="N177" s="29" t="inlineStr">
        <is>
          <t>sevilla:planlama</t>
        </is>
      </c>
      <c r="O177" s="29" t="inlineStr">
        <is>
          <t>Biniş ve iniş istasyonuna göre kaç bölge geçeceğini belirle: aynı bölge 0 atlama, iki bölge 1 atlama, üç bölge 2 atlama.
İstasyondaki otomattan tekli, gidiş-dönüş, günlük bono, Bonometro ya da Bono Plus 45 al.
Girişte ve çıkışta kartı okut; yolculuk girişten itibaren en çok 1 saat 30 dakika geçerli.
Kartı sakla: sonraki alışlarda aynı kartı yükleyerek 0,30 € kart bedelini bir daha ödemezsin.</t>
        </is>
      </c>
      <c r="P177" s="29" t="n"/>
      <c r="Q177" s="29" t="inlineStr">
        <is>
          <t>Yolculuk, girişteki onaylamadan itibaren en çok 1 saat 30 dakika</t>
        </is>
      </c>
      <c r="R177" s="29" t="inlineStr">
        <is>
          <t>Tekli 1,35 / 1,60 / 1,80 €; gidiş-dönüş 2,70 / 3,20 / 3,60 €; günlük bono 4,50 €; Bonometro 0,82 / 1,17 / 1,37 €; Bono Plus 45: 30 / 42 / 50 € (0 / 1 / 2 atlama); ilk kart 0,30 €; Consorcio kartıyla 2026'da (%40 indirimli) 0,49 / 0,70 / 0,82 €</t>
        </is>
      </c>
      <c r="S177" s="29" t="inlineStr">
        <is>
          <t>Metro sayfası, Junta de Andalucía kararıyla 1 Temmuz-31 Aralık 2025 arasında %40 indirimin yalnız abonman ve çok yolculuklu biletlere (Bonometro, Bono Plus 45) uygulandığını, tek yolculuk, gidiş-dönüş ve günlük biletin kapsam dışı kaldığını yazıyor. Tablodaki tekli bilet fiyatları Consorcio'nun 2026 metro tablosunda da aynıdır.</t>
        </is>
      </c>
      <c r="T177" s="29" t="n"/>
    </row>
    <row r="178" ht="54" customHeight="1">
      <c r="A178" s="29" t="inlineStr">
        <is>
          <t>sevilla:sevilla-metro-saatleri-otobus-hatti-ve-taksi-telefonlari</t>
        </is>
      </c>
      <c r="B178" s="29" t="inlineStr">
        <is>
          <t>sevilla</t>
        </is>
      </c>
      <c r="C178" s="29" t="inlineStr">
        <is>
          <t>sevilla-metro-saatleri-otobus-hatti-ve-taksi-telefonlari</t>
        </is>
      </c>
      <c r="D178" s="29" t="inlineStr">
        <is>
          <t>Sevilla'da metro saatleri, otobüs müşteri hattı ve taksi numaraları neler?</t>
        </is>
      </c>
      <c r="E178" s="29" t="inlineStr">
        <is>
          <t>Visita Sevilla'nın ulaşım rehberinden telefonlar ve saatler</t>
        </is>
      </c>
      <c r="F178" s="29" t="inlineStr">
        <is>
          <t>Metro hafta içi 06:30'da başlar; pazartesi-perşembe 23:00'e, cuma ve tatil öncesi gece 02:00'ye kadar çalışır. Şehir otobüsü müşteri hattı 010 ya da 955 010 010. Taksiyi durakta, sokakta (yeşil ışıklıysa boş) ya da telefonla çağırabilirsin: Tele Taxi +34 954 622 222, Radio Taxi +34 954 580 000.</t>
        </is>
      </c>
      <c r="G178" s="29" t="inlineStr">
        <is>
          <t>metro saatleri, otobüs, Tussam, taksi, Sevici, bisiklet, müşteri hizmetleri, Sevilla ulaşım</t>
        </is>
      </c>
      <c r="H178" s="29" t="inlineStr">
        <is>
          <t>planning;new;settled</t>
        </is>
      </c>
      <c r="I178" s="29" t="inlineStr">
        <is>
          <t>sevilla:kaynak:258</t>
        </is>
      </c>
      <c r="J178" s="49" t="n">
        <v>46319</v>
      </c>
      <c r="K178" s="51" t="n">
        <v>104</v>
      </c>
      <c r="L178" s="29" t="inlineStr">
        <is>
          <t>Hayır</t>
        </is>
      </c>
      <c r="M178" s="29" t="inlineStr">
        <is>
          <t>Taslak</t>
        </is>
      </c>
      <c r="N178" s="29" t="inlineStr">
        <is>
          <t>sevilla:planlama</t>
        </is>
      </c>
      <c r="O178" s="29" t="inlineStr">
        <is>
          <t>Metro saatlerini planla: pazartesi-perşembe 06:30-23:00; cuma ve tatil öncesi 06:30-02:00; cumartesi 07:30-02:00; pazar ve tatil 07:30-23:00.
Otobüs için müşteri hattını ara: 010 ya da 955 010 010; biletçi noktaları Plaza Ponce de León ve Prado San Sebastián (Metro Centro durağı yanı).
Taksi için durakta bekle, sokakta yeşil ışıklı olanı çevir ya da Tele Taxi Sevilla'yı ara: +34 954 622 222.
Kısa mesafe için kamu bisikleti Sevici'yi de kullanabilirsin.</t>
        </is>
      </c>
      <c r="P178" s="29" t="n"/>
      <c r="Q178" s="29" t="n"/>
      <c r="R178" s="29" t="n"/>
      <c r="S178" s="29" t="inlineStr">
        <is>
          <t>Metro müşteri hizmetleri: 900 927 172 ve 954 540 785. Radio Taxi Sevilla: +34 954 580 000. Taksiler beyaz, sarı şeritlidir; fiyat taksimetreyle belirlenir, gece, tatil, havalimanı ve istasyon çıkışında daha yüksektir.</t>
        </is>
      </c>
      <c r="T178" s="29" t="n"/>
    </row>
    <row r="179" ht="54" customHeight="1">
      <c r="A179" s="29" t="inlineStr">
        <is>
          <t>sevilla:sevilla-ulasim-karti-fiyati-ve-konsorsiyum-iletisim</t>
        </is>
      </c>
      <c r="B179" s="29" t="inlineStr">
        <is>
          <t>sevilla</t>
        </is>
      </c>
      <c r="C179" s="29" t="inlineStr">
        <is>
          <t>sevilla-ulasim-karti-fiyati-ve-konsorsiyum-iletisim</t>
        </is>
      </c>
      <c r="D179" s="29" t="inlineStr">
        <is>
          <t>Andalucía ulaşım kartı (Tarjeta de Transporte) kaç euro, Sevilla konsorsiyumuna nasıl ulaşırsın?</t>
        </is>
      </c>
      <c r="E179" s="29" t="inlineStr">
        <is>
          <t>Kart bedeli, yükleme sınırları ve konsorsiyum adresi</t>
        </is>
      </c>
      <c r="F179" s="29" t="inlineStr">
        <is>
          <t>Andalucía'nın ulaşım kartı temassız bir cüzdan kartı ve kişiye yazılı değil; herkes kullanabilir. Kartı ilk aldığında 1,50 € iade edilmeyen kart bedeli ve en az bir yükleme ödersin. Yüklemeler en az 5 €, bakiye en çok 500 € olabilir ve bakiye süresiz geçerlidir. Sevilla metropol ulaşım konsorsiyumu Plaza de Armas otogarında.</t>
        </is>
      </c>
      <c r="G179" s="29" t="inlineStr">
        <is>
          <t>ulaşım kartı, Tarjeta de Transporte, Consorcio de Transporte, konsorsiyum, kart bedeli, metropol</t>
        </is>
      </c>
      <c r="H179" s="29" t="inlineStr">
        <is>
          <t>new;settled</t>
        </is>
      </c>
      <c r="I179" s="29" t="inlineStr">
        <is>
          <t>sevilla:kaynak:259;sevilla:kaynak:260</t>
        </is>
      </c>
      <c r="J179" s="49" t="n">
        <v>46319</v>
      </c>
      <c r="K179" s="51" t="n">
        <v>105</v>
      </c>
      <c r="L179" s="29" t="inlineStr">
        <is>
          <t>Hayır</t>
        </is>
      </c>
      <c r="M179" s="29" t="inlineStr">
        <is>
          <t>Taslak</t>
        </is>
      </c>
      <c r="N179" s="29" t="inlineStr">
        <is>
          <t>sevilla:planlama</t>
        </is>
      </c>
      <c r="O179" s="29" t="inlineStr">
        <is>
          <t>Kartı Andalucía konsorsiyumlarının satış ağındaki herhangi bir noktadan al.
Alırken 1,50 € kart bedelini ve en az bir yüklemeyi öde.
Sonraki yüklemeleri en az 5 € olarak yap; bakiye 500 €'yu geçmesin.
Konsorsiyumla iletişim: Estación de Autobuses Plaza de Armas, Avda. Cristo de la Expiración 2, telefon 955 053 390 ya da 955 038 665, e-posta usuarios@ctas.es.</t>
        </is>
      </c>
      <c r="P179" s="29" t="n"/>
      <c r="Q179" s="29" t="n"/>
      <c r="R179" s="29" t="inlineStr">
        <is>
          <t>Kart bedeli 1,50 € (iade edilmez); yükleme en az 5 €; azami bakiye 500 €</t>
        </is>
      </c>
      <c r="S179" s="29" t="inlineStr">
        <is>
          <t>Konsorsiyumun internet adresi ctas.es olarak yayımlanıyor. Kart nakit tekli bilete göre indirimli fiyat ve aktarma imkânı sağlar.</t>
        </is>
      </c>
      <c r="T179" s="29" t="n"/>
    </row>
    <row r="180" ht="54" customHeight="1">
      <c r="A180" s="29" t="inlineStr">
        <is>
          <t>sevilla:sevilla-yaz-sicaklarina-hazirlik-ve-uyari-seviyeleri</t>
        </is>
      </c>
      <c r="B180" s="29" t="inlineStr">
        <is>
          <t>sevilla</t>
        </is>
      </c>
      <c r="C180" s="29" t="inlineStr">
        <is>
          <t>sevilla-yaz-sicaklarina-hazirlik-ve-uyari-seviyeleri</t>
        </is>
      </c>
      <c r="D180" s="29" t="inlineStr">
        <is>
          <t>Sevilla'da yazın aşırı sıcaktan nasıl korunursun, uyarı seviyelerini nereden izlersin?</t>
        </is>
      </c>
      <c r="E180" s="29" t="inlineStr">
        <is>
          <t>Endülüs sıcak protokolü, risk renkleri ve günlük öneriler</t>
        </is>
      </c>
      <c r="F180" s="29" t="inlineStr">
        <is>
          <t>Endülüs sağlık yönetimi sıcaklığa karşı bir koordinasyon protokolü yürütüyor; 2026 protokolü 15 Mayıs'ta başladı ve 30 Eylül'e kadar sürdü. Risk dört renkle bildirilir: yeşil (risk yok), sarı, turuncu ve kırmızı. Öğle saatlerinde doğrudan güneşten kaçın, hafif ve açık renkli giy, bol su iç. 2025'te en yüksek risk bildirilen hava-sağlık bölgeleri arasında Campiña sevillana (Sevilla ovası) vardı: 51 gün riskli, 9 gün seviye 3 (yüksek risk).</t>
        </is>
      </c>
      <c r="G180" s="29" t="inlineStr">
        <is>
          <t>sıcak, aşırı sıcak, sıcak çarpması, ola de calor, Salud Responde, uyarı seviyesi, yaz, Sevilla</t>
        </is>
      </c>
      <c r="H180" s="29" t="inlineStr">
        <is>
          <t>planning;new;settled</t>
        </is>
      </c>
      <c r="I180" s="29" t="inlineStr">
        <is>
          <t>sevilla:kaynak:262</t>
        </is>
      </c>
      <c r="J180" s="49" t="n">
        <v>46320</v>
      </c>
      <c r="K180" s="51" t="n">
        <v>106</v>
      </c>
      <c r="L180" s="29" t="inlineStr">
        <is>
          <t>Evet</t>
        </is>
      </c>
      <c r="M180" s="29" t="inlineStr">
        <is>
          <t>Taslak</t>
        </is>
      </c>
      <c r="N180" s="29" t="inlineStr">
        <is>
          <t>sevilla:planlama</t>
        </is>
      </c>
      <c r="O180" s="29" t="inlineStr">
        <is>
          <t>2026'da protokol 15 Mayıs-30 Eylül arasında yürüdü; sıcak uyarılarını izle, günlük risk dört seviyede (yeşil, sarı, turuncu, kırmızı) verilir.
Salud Responde uygulamasını telefonuna yükle; güncel bilgi ve öneriler orada ve 'Ventana Abierta a la Familia' hizmetinde yer alıyor.
Öğle saatlerinde doğrudan güneşe çıkma; çıkman gerekiyorsa hafif giysi, açık renk, şapka, güneş gözlüğü ve güneş kremi kullan.
Bol su iç, meyve ve sebze tüket.
Turist ve göçmenler özellikle 14:00-19:00 arasında sıcaktan etkileniyor. Bebekleri (6 ay altı) doğrudan güneşe maruz bırakma.</t>
        </is>
      </c>
      <c r="P180" s="29" t="n"/>
      <c r="Q180" s="29" t="inlineStr">
        <is>
          <t>Protokol 2026'da 15 Mayıs - 30 Eylül arasındaydı</t>
        </is>
      </c>
      <c r="R180" s="29" t="n"/>
      <c r="S180" s="29" t="inlineStr">
        <is>
          <t>Protokol, 65 yaş üstü kişileri, kronik hastaları, hamileleri, 4 yaş altı çocukları ve bebekleri özellikle risk grubu sayıyor; yalnız yaşayanlar, evsizler ve turist ile göçmenler de sıcaktan özellikle etkilenebilenler arasında. Güncel öneriler: veranoysaludandalucia.es/2026.</t>
        </is>
      </c>
      <c r="T180" s="29" t="n"/>
    </row>
    <row r="181" ht="54" customHeight="1">
      <c r="A181" s="29" t="inlineStr">
        <is>
          <t>sevilla:sevilla-gocmen-dernekleri-adres-ve-telefon-listesi</t>
        </is>
      </c>
      <c r="B181" s="29" t="inlineStr">
        <is>
          <t>sevilla</t>
        </is>
      </c>
      <c r="C181" s="29" t="inlineStr">
        <is>
          <t>sevilla-gocmen-dernekleri-adres-ve-telefon-listesi</t>
        </is>
      </c>
      <c r="D181" s="29" t="inlineStr">
        <is>
          <t>Sevilla'da göçmenlere hizmet veren dernekler hangileri, nerede bulursun?</t>
        </is>
      </c>
      <c r="E181" s="29" t="inlineStr">
        <is>
          <t>Junta de Andalucía'nın yayımladığı dernek listelerinden seçmeler</t>
        </is>
      </c>
      <c r="F181" s="29" t="inlineStr">
        <is>
          <t>Junta de Andalucía iki liste yayımlıyor: Sevilla'daki göçmen dernekleri ve Endülüs çapında çalışan derneklerin bölgesel listesi. Listede Sevilla Acoge, Cruz Roja, ACCEM, CEAR, Médicos del Mundo ve Andalucía Acoge gibi kuruluşlar var. Adres ve telefon bilgileri aşağıda; hangisinin hangi hizmeti verdiğini aramadan önce telefonla sorabilirsin.</t>
        </is>
      </c>
      <c r="G181" s="29" t="inlineStr">
        <is>
          <t>göçmen derneği, Sevilla Acoge, Cruz Roja, ACCEM, CEAR, Médicos del Mundo, Andalucía Acoge, destek</t>
        </is>
      </c>
      <c r="H181" s="29" t="inlineStr">
        <is>
          <t>planning;new;settled</t>
        </is>
      </c>
      <c r="I181" s="29" t="inlineStr">
        <is>
          <t>sevilla:kaynak:263;sevilla:kaynak:265</t>
        </is>
      </c>
      <c r="J181" s="49" t="n">
        <v>46320</v>
      </c>
      <c r="K181" s="51" t="n">
        <v>107</v>
      </c>
      <c r="L181" s="29" t="inlineStr">
        <is>
          <t>Hayır</t>
        </is>
      </c>
      <c r="M181" s="29" t="inlineStr">
        <is>
          <t>Taslak</t>
        </is>
      </c>
      <c r="N181" s="29" t="inlineStr">
        <is>
          <t>sevilla:planlama</t>
        </is>
      </c>
      <c r="O181" s="29" t="inlineStr">
        <is>
          <t>Sevilla Acoge'yi ara ya da uğra: Avda. Cristo de la Expiración s/n, 41010; telefon 954 631 854.
Cruz Roja Sevilla: C/ Amor de Dios 6, 41002; telefon 954 388 231.
ACCEM: C/ Hespérides 11 Local, 41008; telefon 954 313 333.
CEAR (mülteci yardım komisyonu): Avda. de Jerez 17 Bajo Dcha., 41013; telefon 954 619 164.
Médicos del Mundo: Bajos del Puente Cristo de la Expiración s/n, 41001; telefon 954 908 288.
Andalucía Acoge: C/ Pascual Gayangos 41E 1ºC, 41002; telefon 954 901 426.</t>
        </is>
      </c>
      <c r="P181" s="29" t="n"/>
      <c r="Q181" s="29" t="n"/>
      <c r="R181" s="29" t="n"/>
      <c r="S181" s="29" t="inlineStr">
        <is>
          <t>Bunlar resmî kurum değil, Junta'nın kendi sayfalarında listelediği derneklerdir. Listede çok sayıda başka dernek ve sendika da var.</t>
        </is>
      </c>
      <c r="T181" s="29" t="n"/>
    </row>
    <row r="182" ht="54" customHeight="1">
      <c r="A182" s="29" t="inlineStr">
        <is>
          <t>sevilla:sevilla-il-gocmenlik-politikalari-koordinasyon-birimi</t>
        </is>
      </c>
      <c r="B182" s="29" t="inlineStr">
        <is>
          <t>sevilla</t>
        </is>
      </c>
      <c r="C182" s="29" t="inlineStr">
        <is>
          <t>sevilla-il-gocmenlik-politikalari-koordinasyon-birimi</t>
        </is>
      </c>
      <c r="D182" s="29" t="inlineStr">
        <is>
          <t>Sevilla'da göç politikalarını koordine eden Junta birimi nerede, nasıl ulaşırsın?</t>
        </is>
      </c>
      <c r="E182" s="29" t="inlineStr">
        <is>
          <t>Asesoría Técnica de Políticas Migratorias - Luis Montoto 89</t>
        </is>
      </c>
      <c r="F182" s="29" t="inlineStr">
        <is>
          <t>Endülüs'te her ilde, Inclusión Social, Juventud, Familias e Igualdad Bölge Delegasyonu göç politikalarının koordinasyonundan sorumlu. Sevilla'da bu iş Servicio de Acción e Inserción Social üzerinden yürüyor; Asesoría Técnica de Políticas Migratorias birimi C/ Luis Montoto 89'da, 41018 Sevilla. Telefon 954 544 876, e-posta pmigratorias.se.cisjufi@juntadeandalucia.es.</t>
        </is>
      </c>
      <c r="G182" s="29" t="inlineStr">
        <is>
          <t>göç politikaları, Políticas Migratorias, Junta de Andalucía, Delegación Territorial, Luis Montoto, Sevilla</t>
        </is>
      </c>
      <c r="H182" s="29" t="inlineStr">
        <is>
          <t>planning;new;settled</t>
        </is>
      </c>
      <c r="I182" s="29" t="inlineStr">
        <is>
          <t>sevilla:kaynak:264</t>
        </is>
      </c>
      <c r="J182" s="49" t="n">
        <v>46319</v>
      </c>
      <c r="K182" s="51" t="n">
        <v>108</v>
      </c>
      <c r="L182" s="29" t="inlineStr">
        <is>
          <t>Hayır</t>
        </is>
      </c>
      <c r="M182" s="29" t="inlineStr">
        <is>
          <t>Taslak</t>
        </is>
      </c>
      <c r="N182" s="29" t="inlineStr">
        <is>
          <t>sevilla:planlama</t>
        </is>
      </c>
      <c r="O182" s="29" t="inlineStr">
        <is>
          <t>Birimi telefonla ara: 954 544 876.
Yazılı soru için pmigratorias.se.cisjufi@juntadeandalucia.es adresine e-posta gönder.
Yüz yüze gitmek için adres: Asesoría Técnica de Políticas Migratorias, C/ Luis Montoto 89, 41018 Sevilla.</t>
        </is>
      </c>
      <c r="P182" s="29" t="n"/>
      <c r="Q182" s="29" t="n"/>
      <c r="R182" s="29" t="n"/>
      <c r="S182" s="29" t="inlineStr">
        <is>
          <t>Birim il düzeyinde koordinasyondan sorumlu. Doğrudan sosyal destek için ayrıca dernek listesine de bakabilirsin.</t>
        </is>
      </c>
      <c r="T182" s="29" t="n"/>
    </row>
    <row r="183" ht="54" customHeight="1">
      <c r="A183" s="29" t="inlineStr">
        <is>
          <t>sevilla:sevilla-junta-012-hatti-bilgi-ve-randevu</t>
        </is>
      </c>
      <c r="B183" s="29" t="inlineStr">
        <is>
          <t>sevilla</t>
        </is>
      </c>
      <c r="C183" s="29" t="inlineStr">
        <is>
          <t>sevilla-junta-012-hatti-bilgi-ve-randevu</t>
        </is>
      </c>
      <c r="D183" s="29" t="inlineStr">
        <is>
          <t>Junta de Andalucía'nın 012 hattından hangi bilgi ve randevu hizmetlerini alırsın?</t>
        </is>
      </c>
      <c r="E183" s="29" t="inlineStr">
        <is>
          <t>012 telefonu, sohbet, web formu ve kayıt ofisi randevusu</t>
        </is>
      </c>
      <c r="F183" s="29" t="inlineStr">
        <is>
          <t>012 ve 955 012 012, Junta de Andalucía'nın genel bilgi hattı. Kamu ofislerinin adres ve saatlerini, bir başvuru için gereken belgeleri ve kayıt ofisleri (oficinas de asistencia en materia de registros) için otomatik randevuyu bu hattan alabilirsin. Telefonda ajan pazartesi-cuma 08:00-20:00, cumartesi 08:00-15:00 yanıtlar. 061 ve 112 bu hattın dışında; onları doğrudan ararsın.</t>
        </is>
      </c>
      <c r="G183" s="29" t="inlineStr">
        <is>
          <t>012, Junta de Andalucía, randevu, cita previa, bilgi hattı, registro, sohbet</t>
        </is>
      </c>
      <c r="H183" s="29" t="inlineStr">
        <is>
          <t>planning;new;settled</t>
        </is>
      </c>
      <c r="I183" s="29" t="inlineStr">
        <is>
          <t>sevilla:kaynak:267</t>
        </is>
      </c>
      <c r="J183" s="49" t="n">
        <v>46319</v>
      </c>
      <c r="K183" s="51" t="n">
        <v>109</v>
      </c>
      <c r="L183" s="29" t="inlineStr">
        <is>
          <t>Hayır</t>
        </is>
      </c>
      <c r="M183" s="29" t="inlineStr">
        <is>
          <t>Taslak</t>
        </is>
      </c>
      <c r="N183" s="29" t="inlineStr">
        <is>
          <t>sevilla:planlama</t>
        </is>
      </c>
      <c r="O183" s="29" t="inlineStr">
        <is>
          <t>012'yi ya da 955 012 012'yi ara; ajan pazartesi-cuma 08:00-20:00 (ulusal ve bölgesel tatiller hariç) ve cumartesi 08:00-15:00 arasında yanıtlar.
Telefon istemezsen web formundan 7/24 soru gönder; sohbet pazartesi-cuma 09:00-14:00 açık.
Kayıt ofisleri için otomatik randevu telefonla ajansız da alınabilir.
Acil durumda 112'yi, sağlık acilinde 061'i doğrudan ara; bunlar 012 kapsamında değil.</t>
        </is>
      </c>
      <c r="P183" s="29" t="n"/>
      <c r="Q183" s="29" t="inlineStr">
        <is>
          <t>Telefonda ajan: pazartesi-cuma 08:00-20:00, cumartesi 08:00-15:00; sohbet: pazartesi-cuma 09:00-14:00</t>
        </is>
      </c>
      <c r="R183" s="29" t="n"/>
      <c r="S183" s="29" t="inlineStr">
        <is>
          <t>955 012 012'yi aradığında operatörün yerel çağrı tarifesi uygulanır. Salud Responde gibi sağlık ve sosyal hizmet hatları 012'den değil, kendi numarasından aranır.</t>
        </is>
      </c>
      <c r="T183" s="29" t="n"/>
    </row>
    <row r="184" ht="54" customHeight="1">
      <c r="A184" s="29" t="inlineStr">
        <is>
          <t>sevilla:sevilla-gecici-konaklama-turistik-daire-kayit-kodu-kontrolu</t>
        </is>
      </c>
      <c r="B184" s="29" t="inlineStr">
        <is>
          <t>sevilla</t>
        </is>
      </c>
      <c r="C184" s="29" t="inlineStr">
        <is>
          <t>sevilla-gecici-konaklama-turistik-daire-kayit-kodu-kontrolu</t>
        </is>
      </c>
      <c r="D184" s="29" t="inlineStr">
        <is>
          <t>Sevilla'da ilk günler için turistik daire tutarken kayıt kodunu nasıl kontrol edersin?</t>
        </is>
      </c>
      <c r="E184" s="29" t="inlineStr">
        <is>
          <t>VUT kodu, Turizm Kaydı sorgusu ve otel-pansiyon listeleri</t>
        </is>
      </c>
      <c r="F184" s="29" t="inlineStr">
        <is>
          <t>Endülüs'te bir konut turistik amaçla, ücretle ve alışılmış biçimde kiralanıyorsa Andalucía Turizm Kaydı'na kayıtlı olmalı; kayıtsız konut yasa dışı sayılır. Kayıtlı konutun kodu VUT/xx/00000 biçimindedir ve her ilanda yazılmalıdır. Kodu Turizm Kaydı sorgu sayfasında numara, ticari ad, adres ya da sahip bilgisiyle arayabilirsin. Visita Sevilla ayrıca otel, pansiyon ve turistik daire listelerini indirmene izin verir.</t>
        </is>
      </c>
      <c r="G184" s="29" t="inlineStr">
        <is>
          <t>geçici konaklama, turistik daire, VUT, vivienda de uso turístico, Registro de Turismo, kayıt kodu, otel, pansiyon</t>
        </is>
      </c>
      <c r="H184" s="29" t="inlineStr">
        <is>
          <t>planning;new</t>
        </is>
      </c>
      <c r="I184" s="29" t="inlineStr">
        <is>
          <t>sevilla:kaynak:266;sevilla:kaynak:184</t>
        </is>
      </c>
      <c r="J184" s="49" t="n">
        <v>46319</v>
      </c>
      <c r="K184" s="51" t="n">
        <v>110</v>
      </c>
      <c r="L184" s="29" t="inlineStr">
        <is>
          <t>Hayır</t>
        </is>
      </c>
      <c r="M184" s="29" t="inlineStr">
        <is>
          <t>Taslak</t>
        </is>
      </c>
      <c r="N184" s="29" t="inlineStr">
        <is>
          <t>sevilla:planlama</t>
        </is>
      </c>
      <c r="O184" s="29" t="inlineStr">
        <is>
          <t>İlandaki VUT/xx/00000 biçimindeki kayıt kodunu bul; kod yoksa ev sahibinden iste.
Kodu Andalucía Turizm Kaydı'nın 'Buscador de Establecimientos y Servicios Turísticos' sayfasında ara: kayıt numarası, ticari ad, ev adresi ya da sahibin adı (tüzel kişide vergi numarası) ile sorgulanır.
Sorguda bir faaliyet türü seçmen gerekir; iptal edilmiş kayıtlar görünmez.
Otel, pansiyon, turistik daire, manastır konukevi ve kamp listeleri için Visita Sevilla'nın 'Alojamientos' bölümünden listeleri indir.
Aynı kiracıya iki aydan uzun kiralanan konut turistik konut sayılmaz; uzun dönem kiralamada bu kayıt kodu aranmaz.</t>
        </is>
      </c>
      <c r="P184" s="29" t="n"/>
      <c r="Q184" s="29" t="n"/>
      <c r="R184" s="29" t="inlineStr">
        <is>
          <t>Turizm Kaydı'na kayıt ücretsizdir</t>
        </is>
      </c>
      <c r="S184" s="29" t="inlineStr">
        <is>
          <t>VUT kodundaki iki harf, konutun bulunduğu ilin ilk iki harfidir (kaynaktaki örnek: Huelva için HU).</t>
        </is>
      </c>
      <c r="T184" s="29" t="n"/>
    </row>
    <row r="185" ht="54" customHeight="1">
      <c r="A185" s="29" t="inlineStr">
        <is>
          <t>sevilla:empadronamiento-nedir-neden-gerekir</t>
        </is>
      </c>
      <c r="B185" s="29" t="inlineStr">
        <is>
          <t>sevilla</t>
        </is>
      </c>
      <c r="C185" s="29" t="inlineStr">
        <is>
          <t>empadronamiento-nedir-neden-gerekir</t>
        </is>
      </c>
      <c r="D185" s="29" t="inlineStr">
        <is>
          <t>Empadronamiento (belediye nüfus kaydı) nedir, neden gerekir?</t>
        </is>
      </c>
      <c r="E185" s="29" t="inlineStr">
        <is>
          <t>İspanya'da yaşayan herkes oturduğu belediyenin Padrón kaydına yazılmak zorunda</t>
        </is>
      </c>
      <c r="F185" s="29" t="inlineStr">
        <is>
          <t>Empadronamiento, oturduğun belediyenin Padrón (belediye nüfus sicili) kaydına yazılmandır. İspanya'da yaşayan herkes düzenli olarak oturduğu belediyenin Padrón'una kayıt olmak zorunda; birden çok belediyede yaşıyorsan yalnız yılın en uzun kısmını geçirdiğin belediyeye yazılırsın. Padrón belediyenin idari kaydıdır ve verileri o belediyede oturduğunun ve adresinin kanıtı sayılır. Kayıt olduğun anda o belediyenin vecino'su (hemşehrisi) olursun. Hangi belgelerle, nerede ve nasıl kayıt olacağın bulunduğun belediyeye göre değişir; adımları yerel ofisten öğrenirsin.</t>
        </is>
      </c>
      <c r="G185" s="29" t="inlineStr">
        <is>
          <t>empadronamiento, padrón, belediye kaydı, nüfus kaydı, vecino, ikamet kanıtı, adres kaydı</t>
        </is>
      </c>
      <c r="H185" s="29" t="inlineStr">
        <is>
          <t>new;settled</t>
        </is>
      </c>
      <c r="I185" s="29" t="inlineStr">
        <is>
          <t>sevilla:kaynak:017</t>
        </is>
      </c>
      <c r="J185" s="49" t="n">
        <v>46319</v>
      </c>
      <c r="K185" s="51" t="n">
        <v>9014</v>
      </c>
      <c r="L185" s="29" t="inlineStr">
        <is>
          <t>Hayır</t>
        </is>
      </c>
      <c r="M185" s="29" t="inlineStr">
        <is>
          <t>Taslak</t>
        </is>
      </c>
      <c r="N185" s="29" t="inlineStr">
        <is>
          <t>sevilla:resmi</t>
        </is>
      </c>
      <c r="O185" s="29" t="inlineStr">
        <is>
          <t>Düzenli olarak oturduğun belediyeyi belirle; birden çok belediyede yaşıyorsan yılın en uzun kısmını geçirdiğin belediye geçerli.
O belediyenin Padrón'una kayıt ol; belge listesi ve başvuru adımları için bulunduğun belediyenin yerel ofisine başvur.
Kayıt anından itibaren belediyenin vecino'su sayılırsın; adres ve ikamet kanıtı için Padrón belgesini (certificado ya da volante) kullan.
AB/AEA vatandaşı değilsen ve uzun süreli oturum iznin yoksa kaydını her iki yılda bir yenile.</t>
        </is>
      </c>
      <c r="P185" s="29" t="n"/>
      <c r="Q185" s="29" t="n"/>
      <c r="R185" s="29" t="n"/>
      <c r="S185" s="29" t="inlineStr">
        <is>
          <t>AB/AEA dışı uyruklu ve uzun süreli oturum izni olmayan yabancıların kaydı her iki yılda bir yenilenmek zorunda; yenilenmezse kayıt düşürülebilir.</t>
        </is>
      </c>
      <c r="T185" s="29" t="n"/>
    </row>
    <row r="186" ht="54" customHeight="1">
      <c r="A186" s="29" t="inlineStr">
        <is>
          <t>sevilla:certificado-ve-volante-farki</t>
        </is>
      </c>
      <c r="B186" s="29" t="inlineStr">
        <is>
          <t>sevilla</t>
        </is>
      </c>
      <c r="C186" s="29" t="inlineStr">
        <is>
          <t>certificado-ve-volante-farki</t>
        </is>
      </c>
      <c r="D186" s="29" t="inlineStr">
        <is>
          <t>Certificado de empadronamiento ile volante arasındaki fark nedir?</t>
        </is>
      </c>
      <c r="E186" s="29" t="inlineStr">
        <is>
          <t>Certificado kesin kanıt, volante yalnız bilgi belgesidir</t>
        </is>
      </c>
      <c r="F186" s="29" t="inlineStr">
        <is>
          <t>Padrón kaydın için belediyeden iki tür belge isteyebilirsin: certificado (sertifika) ve volante (bilgi kâğıdı). Certificado, empadronamiento kaydını kesin delil olarak kanıtlayan belgedir ve resmî işlemlerde kamu belgesi sayılır. Kâğıt hâlindeki certificado'yu belediye sekreteri imzalar, belediye başkanı onaylar (ya da yerlerine bakanlar); imzalar elle ya da elektronik olabilir. Volante ise yalnız bilgi vermek için düzenlenen bir belgedir: certificado'daki biçim şartları aranmaz ve hiçbir belediye görevlisinin imzasını taşımaz.</t>
        </is>
      </c>
      <c r="G186" s="29" t="inlineStr">
        <is>
          <t>certificado de empadronamiento, volante de empadronamiento, padrón belgesi, ikamet belgesi, adres kanıtı</t>
        </is>
      </c>
      <c r="H186" s="29" t="inlineStr">
        <is>
          <t>new;settled</t>
        </is>
      </c>
      <c r="I186" s="29" t="inlineStr">
        <is>
          <t>sevilla:kaynak:017;sevilla:kaynak:018</t>
        </is>
      </c>
      <c r="J186" s="49" t="n">
        <v>46319</v>
      </c>
      <c r="K186" s="51" t="n">
        <v>9015</v>
      </c>
      <c r="L186" s="29" t="inlineStr">
        <is>
          <t>Hayır</t>
        </is>
      </c>
      <c r="M186" s="29" t="inlineStr">
        <is>
          <t>Taslak</t>
        </is>
      </c>
      <c r="N186" s="29" t="inlineStr">
        <is>
          <t>sevilla:resmi</t>
        </is>
      </c>
      <c r="O186" s="29" t="inlineStr">
        <is>
          <t>Belediyenin Padrón servisinden certificado ya da volante iste; ikisi de elektronik yolla istenip verilebilir.
Bir işlemde kayıt kanıtı gerekiyorsa certificado'yu iste; volante yalnız bilgi verir.
Belgeyi posta ya da kurye ile istersen belediye onu yalnız Padrón kaydındaki adrese gönderir.</t>
        </is>
      </c>
      <c r="P186" s="29" t="n"/>
      <c r="Q186" s="29" t="n"/>
      <c r="R186" s="29" t="n"/>
      <c r="S186" s="29" t="inlineStr">
        <is>
          <t>Elektronik yolla istediğinde belediye erişimi yalnız ilgili kişiye açık tutmak zorunda; bunun için elektronik imza ya da kişisel şifre şart.</t>
        </is>
      </c>
      <c r="T186" s="29" t="n"/>
    </row>
    <row r="187" ht="54" customHeight="1">
      <c r="A187" s="29" t="inlineStr">
        <is>
          <t>sevilla:sosyal-guvenlik-numarasi-alma</t>
        </is>
      </c>
      <c r="B187" s="29" t="inlineStr">
        <is>
          <t>sevilla</t>
        </is>
      </c>
      <c r="C187" s="29" t="inlineStr">
        <is>
          <t>sosyal-guvenlik-numarasi-alma</t>
        </is>
      </c>
      <c r="D187" s="29" t="inlineStr">
        <is>
          <t>Sosyal güvenlik numarası (Seguridad Social, NAF/NUSS) nasıl alınır?</t>
        </is>
      </c>
      <c r="E187" s="29" t="inlineStr">
        <is>
          <t>Çevrimiçi hizmetle ya da TA.1 formuyla</t>
        </is>
      </c>
      <c r="F187" s="29" t="inlineStr">
        <is>
          <t>Sosyal güvenlik numarası NAF ya da NUSS adıyla geçer. Numarayı TGSS portalındaki "Solicitar el número de Seguridad Social" hizmetiyle çevrimiçi alabilirsin. Bu hizmete erişemiyorsan "TA.1 - Solicitud de afiliación a la Seguridad Social, Asignación de Número de Seguridad Social y Variación de datos" formunu doldurup imzalayarak sunarsın.</t>
        </is>
      </c>
      <c r="G187" s="29" t="inlineStr">
        <is>
          <t>sosyal güvenlik numarası, Seguridad Social, NAF, NUSS, TA.1, afiliación, TGSS</t>
        </is>
      </c>
      <c r="H187" s="29" t="inlineStr">
        <is>
          <t>new;settled</t>
        </is>
      </c>
      <c r="I187" s="29" t="inlineStr">
        <is>
          <t>sevilla:kaynak:019</t>
        </is>
      </c>
      <c r="J187" s="49" t="n">
        <v>46319</v>
      </c>
      <c r="K187" s="51" t="n">
        <v>9016</v>
      </c>
      <c r="L187" s="29" t="inlineStr">
        <is>
          <t>Hayır</t>
        </is>
      </c>
      <c r="M187" s="29" t="inlineStr">
        <is>
          <t>Taslak</t>
        </is>
      </c>
      <c r="N187" s="29" t="inlineStr">
        <is>
          <t>sevilla:resmi</t>
        </is>
      </c>
      <c r="O187" s="29" t="inlineStr">
        <is>
          <t>TGSS portalında "Solicitar el número de Seguridad Social" hizmetini aç ve numarayı çevrimiçi iste.
Hizmete erişemiyorsan TA.1 formunu eksiksiz doldur, imzala ve sun.
Ev işinde çalışacaksan numaranın hazır olduğundan emin ol; işverenin seni numaran olmadan kayda geçiremez.</t>
        </is>
      </c>
      <c r="P187" s="29" t="inlineStr">
        <is>
          <t>TA.1 formu (çevrimiçi hizmete erişemezsen)</t>
        </is>
      </c>
      <c r="Q187" s="29" t="n"/>
      <c r="R187" s="29" t="n"/>
      <c r="S187" s="29" t="inlineStr">
        <is>
          <t>Ev hizmetlisi olarak (Sistema Especial para Empleados de Hogar) çalışacaksan işverenin seni kayda geçirmesi için bu numaranın olması şart; işveren tarafında da hane için bir CCC (Código de Cuenta de Cotización) gerekir.</t>
        </is>
      </c>
      <c r="T187" s="29" t="n"/>
    </row>
    <row r="188" ht="54" customHeight="1">
      <c r="A188" s="29" t="inlineStr">
        <is>
          <t>sevilla:vida-laboral-raporu-alma</t>
        </is>
      </c>
      <c r="B188" s="29" t="inlineStr">
        <is>
          <t>sevilla</t>
        </is>
      </c>
      <c r="C188" s="29" t="inlineStr">
        <is>
          <t>vida-laboral-raporu-alma</t>
        </is>
      </c>
      <c r="D188" s="29" t="inlineStr">
        <is>
          <t>Vida laboral (çalışma geçmişi raporu) nasıl alınır?</t>
        </is>
      </c>
      <c r="E188" s="29" t="inlineStr">
        <is>
          <t>Seguridad Social kayıt ve çıkış geçmişin PDF olarak, çevrimiçi</t>
        </is>
      </c>
      <c r="F188" s="29" t="inlineStr">
        <is>
          <t>Vida laboral raporu, Seguridad Social'daki tüm kayıt (alta) ve çıkış (baja) durumlarını ve kaç gün kayıtlı kaldığını gösterir. İstediğin zaman isteyebilirsin; rapor o günün güncel bilgisini verir. Seguridad Social'a hiç kayıtlı olmadıysan rapor alamazsın; yurtdışındaki dönemleri, askerlik ve alternatif sosyal hizmet dönemlerini raporda göremezsin. Raporu tüm geçmişin ya da seçtiğin dönem için PDF olarak alırsın.</t>
        </is>
      </c>
      <c r="G188" s="29" t="inlineStr">
        <is>
          <t>vida laboral, çalışma geçmişi, Seguridad Social, alta baja, çalışma raporu, Cl@ve</t>
        </is>
      </c>
      <c r="H188" s="29" t="inlineStr">
        <is>
          <t>new;settled</t>
        </is>
      </c>
      <c r="I188" s="29" t="inlineStr">
        <is>
          <t>sevilla:kaynak:020</t>
        </is>
      </c>
      <c r="J188" s="49" t="n">
        <v>46319</v>
      </c>
      <c r="K188" s="51" t="n">
        <v>9017</v>
      </c>
      <c r="L188" s="29" t="inlineStr">
        <is>
          <t>Hayır</t>
        </is>
      </c>
      <c r="M188" s="29" t="inlineStr">
        <is>
          <t>Taslak</t>
        </is>
      </c>
      <c r="N188" s="29" t="inlineStr">
        <is>
          <t>sevilla:resmi</t>
        </is>
      </c>
      <c r="O188" s="29" t="inlineStr">
        <is>
          <t>"Informe de tu vida laboral" sayfasında "Consultar vida laboral" düğmesini seç.
Kimlik yöntemini seç: Cl@ve Permanente, Cl@ve Móvil, DNIe, elektronik sertifika ya da SMS yolu.
Elektronik kimliğin yoksa "Ninguno de los anteriores" seçeneğiyle kişisel bilgilerini gir, selfie çek ve kimlik belgenin fotoğrafını ekle.
Raporu tüm geçmişin ya da seçtiğin dönem için PDF olarak al.
Raporda hata görürsen veri ekleme ya da değiştirme talebinde bulun.
İstersen raporun Seguridad Social'a bildirdiğin adrese postalanmasını iste.</t>
        </is>
      </c>
      <c r="P188" s="29" t="n"/>
      <c r="Q188" s="29" t="inlineStr">
        <is>
          <t>İstediğin zaman başvurabilirsin; rapor o günkü güncel bilgiyi verir.</t>
        </is>
      </c>
      <c r="R188" s="29" t="n"/>
      <c r="S188" s="29" t="n"/>
      <c r="T188" s="29" t="n"/>
    </row>
    <row r="189" ht="54" customHeight="1">
      <c r="A189" s="29" t="inlineStr">
        <is>
          <t>sevilla:vergi-numarasi-nif-nie-alma</t>
        </is>
      </c>
      <c r="B189" s="29" t="inlineStr">
        <is>
          <t>sevilla</t>
        </is>
      </c>
      <c r="C189" s="29" t="inlineStr">
        <is>
          <t>vergi-numarasi-nif-nie-alma</t>
        </is>
      </c>
      <c r="D189" s="29" t="inlineStr">
        <is>
          <t>Vergi numarası (NIF) ve NIE nasıl alınır?</t>
        </is>
      </c>
      <c r="E189" s="29" t="inlineStr">
        <is>
          <t>NIE'yi polis, NIE'si olmayanlara NIF'i Agencia Tributaria atar</t>
        </is>
      </c>
      <c r="F189" s="29" t="inlineStr">
        <is>
          <t>Vergiyle ilgili işlemlerde NIF (vergi kimlik numarası) gerekir; çoğu kişide NIF, DNI ya da NIE ile aynıdır. DNI ya da NIE'n yoksa NIF atanmasını Agencia Tributaria'dan istersin (Modelo 030, çevrimiçi). NIE ise İspanya ile ekonomik, mesleki veya sosyal bağı olan yabancılar için Polis Genel Müdürlüğü'nden (Dirección General de la Policía) istenir; EX15 formu ve Modelo 790 Kod 012 harç dekontu gerekir. Polisin karar vermesi için yasal süre beş gündür.</t>
        </is>
      </c>
      <c r="G189" s="29" t="inlineStr">
        <is>
          <t>NIF, NIE, vergi numarası, Agencia Tributaria, EX15, Modelo 030, Modelo 790, yabancı kimlik numarası</t>
        </is>
      </c>
      <c r="H189" s="29" t="inlineStr">
        <is>
          <t>new;settled</t>
        </is>
      </c>
      <c r="I189" s="29" t="inlineStr">
        <is>
          <t>sevilla:kaynak:021;sevilla:kaynak:001</t>
        </is>
      </c>
      <c r="J189" s="49" t="n">
        <v>46319</v>
      </c>
      <c r="K189" s="51" t="n">
        <v>9018</v>
      </c>
      <c r="L189" s="29" t="inlineStr">
        <is>
          <t>Hayır</t>
        </is>
      </c>
      <c r="M189" s="29" t="inlineStr">
        <is>
          <t>Taslak</t>
        </is>
      </c>
      <c r="N189" s="29" t="inlineStr">
        <is>
          <t>sevilla:resmi</t>
        </is>
      </c>
      <c r="O189" s="29" t="inlineStr">
        <is>
          <t>NIE istiyorsan EX15 formunu (NIE ve sertifika talebi) doldur.
Modelo 790 Kod 012 harcını öde; bankalarda, tasarruf kasalarında ve kredi kooperatiflerinde ödeyebilirsin, hesabının olması gerekmez. Dekontu başvuruya ekle.
Başvuruyu Polis Genel Müdürlüğü'ne doğrudan, Oficina de Extranjería ya da polis karakolu üzerinden yap; İspanya'da değilsen İspanya'nın yurtdışındaki konsolosluklarından yap.
Başvuruda NIE'yi neden istediğini bildir; İspanya'da düzensiz durumda olmaman gerekir.
DNI ya da NIE'n yoksa ve vergi işlemi yapacaksan Modelo 030 ile Agencia Tributaria'dan NIF atanmasını iste.</t>
        </is>
      </c>
      <c r="P189" s="29" t="inlineStr">
        <is>
          <t>EX15 formu (NIE ve sertifika talebi)
Modelo 790 Kod 012 harç ödeme belgesi</t>
        </is>
      </c>
      <c r="Q189" s="29" t="inlineStr">
        <is>
          <t>Polis, NIE başvurusunu başvurunun ilgili kuruma girmesinden itibaren en geç beş günde sonuçlandırmak zorunda; bu sürede cevap gelmezse başvuru reddedilmiş sayılır.</t>
        </is>
      </c>
      <c r="R189" s="29" t="n"/>
      <c r="S189" s="29" t="n"/>
      <c r="T189" s="29" t="n"/>
    </row>
    <row r="190" ht="54" customHeight="1">
      <c r="A190" s="29" t="inlineStr">
        <is>
          <t>sevilla:clave-pin-ve-permanente-farki</t>
        </is>
      </c>
      <c r="B190" s="29" t="inlineStr">
        <is>
          <t>sevilla</t>
        </is>
      </c>
      <c r="C190" s="29" t="inlineStr">
        <is>
          <t>clave-pin-ve-permanente-farki</t>
        </is>
      </c>
      <c r="D190" s="29" t="inlineStr">
        <is>
          <t>Cl@ve sistemi: Cl@ve uygulaması (Cl@ve Móvil) ile Cl@ve Permanente farkı nedir?</t>
        </is>
      </c>
      <c r="E190" s="29" t="inlineStr">
        <is>
          <t>Cl@ve uygulaması telefonla onay verir, Permanente kalıcı şifreyle çalışır</t>
        </is>
      </c>
      <c r="F190" s="29" t="inlineStr">
        <is>
          <t>Cl@ve, idarenin elektronik hizmetlerine giriş sistemidir. Eski Cl@ve PIN uygulamasını kullananlar yeni Cl@ve uygulamasına güncellenir; etkinleştirdikten sonra yapmak istediğin işlemler için kimlik doğrulama istekleri telefonuna Cl@ve Móvil ile gelir. Cl@ve Permanente ise idareye sık giriş yapanlar için: DNI ya da NIE'nle, kullanıcı kodunla ve aktivasyonda kendin belirlediğin şifreyle girersin. Yüksek güvenlik isteyen hizmetlerde Permanente'ye ek olarak telefonuna SMS ile gelen tek kullanımlık bir kod da istenir.</t>
        </is>
      </c>
      <c r="G190" s="29" t="inlineStr">
        <is>
          <t>Cl@ve, Cl@ve Móvil, Cl@ve PIN, Cl@ve Permanente, e-devlet girişi, dijital kimlik, OTP</t>
        </is>
      </c>
      <c r="H190" s="29" t="inlineStr">
        <is>
          <t>new;settled</t>
        </is>
      </c>
      <c r="I190" s="29" t="inlineStr">
        <is>
          <t>sevilla:kaynak:022;sevilla:kaynak:023</t>
        </is>
      </c>
      <c r="J190" s="49" t="n">
        <v>46319</v>
      </c>
      <c r="K190" s="51" t="n">
        <v>9019</v>
      </c>
      <c r="L190" s="29" t="inlineStr">
        <is>
          <t>Hayır</t>
        </is>
      </c>
      <c r="M190" s="29" t="inlineStr">
        <is>
          <t>Taslak</t>
        </is>
      </c>
      <c r="N190" s="29" t="inlineStr">
        <is>
          <t>sevilla:resmi</t>
        </is>
      </c>
      <c r="O190" s="29" t="inlineStr">
        <is>
          <t>Önce Cl@ve sistemine kayıt ol; Permanente'nin aktivasyonu için kayıt şarttır. Henüz kayıtlı değilsen Cl@ve uygulaması kayıt için şu yolları sunar: elektronik sertifika, davet mektubu (carta de invitación), yüz yüze kayıt ya da uygulama içinden video ile kimlik doğrulama.
Telefonundan kullanacaksan Cl@ve uygulamasını Android için Google Play'den, iOS için Apple Store'dan indir; Android 8 ya da üstü, iOS 15 ya da üstü gerekir.
Cl@ve'ye kayıtlıysan uygulamayı SMS ile gelen etkinleştirme koduyla ya da elektronik sertifikayla etkinleştir.
Sık kullanacaksan Cl@ve Permanente'yi aktive et ve aktivasyonda kendi şifreni belirle.</t>
        </is>
      </c>
      <c r="P190" s="29" t="n"/>
      <c r="Q190" s="29" t="n"/>
      <c r="R190" s="29" t="n"/>
      <c r="S190" s="29" t="n"/>
      <c r="T190" s="29" t="n"/>
    </row>
    <row r="191" ht="54" customHeight="1">
      <c r="A191" s="29" t="inlineStr">
        <is>
          <t>sevilla:fnmt-dijital-sertifika-kurma</t>
        </is>
      </c>
      <c r="B191" s="29" t="inlineStr">
        <is>
          <t>sevilla</t>
        </is>
      </c>
      <c r="C191" s="29" t="inlineStr">
        <is>
          <t>fnmt-dijital-sertifika-kurma</t>
        </is>
      </c>
      <c r="D191" s="29" t="inlineStr">
        <is>
          <t>Dijital sertifika (FNMT) nasıl kurulur?</t>
        </is>
      </c>
      <c r="E191" s="29" t="inlineStr">
        <is>
          <t>Dört adım: yazılım, çevrimiçi başvuru, ofiste kimlik doğrulama, indirme</t>
        </is>
      </c>
      <c r="F191" s="29" t="inlineStr">
        <is>
          <t>FNMT'nin kişisel yazılım sertifikası (indirilebilir dosya) dört adımda alınır ve adımların bu sırayla yapılması gerekir. Önce gerekli yazılımı kurar, sonra çevrimiçi başvurursun; başvuru bitince e-postana bir Código de Solicitud (başvuru kodu) gelir. Ardından bir Oficina de Acreditación de Identidad'de (kimlik doğrulama ofisi) yüz yüze kimliğini doğrularsın. Kimliğini doğruladıktan yaklaşık 1 saat sonra aynı kodla sertifikayı indirir, kurar ve yedeğini alırsın.</t>
        </is>
      </c>
      <c r="G191" s="29" t="inlineStr">
        <is>
          <t>FNMT, dijital sertifika, certificado digital, elektronik sertifika, Código de Solicitud, kimlik doğrulama ofisi</t>
        </is>
      </c>
      <c r="H191" s="29" t="inlineStr">
        <is>
          <t>new;settled</t>
        </is>
      </c>
      <c r="I191" s="29" t="inlineStr">
        <is>
          <t>sevilla:kaynak:024</t>
        </is>
      </c>
      <c r="J191" s="49" t="n">
        <v>46319</v>
      </c>
      <c r="K191" s="51" t="n">
        <v>9020</v>
      </c>
      <c r="L191" s="29" t="inlineStr">
        <is>
          <t>Hayır</t>
        </is>
      </c>
      <c r="M191" s="29" t="inlineStr">
        <is>
          <t>Taslak</t>
        </is>
      </c>
      <c r="N191" s="29" t="inlineStr">
        <is>
          <t>sevilla:resmi</t>
        </is>
      </c>
      <c r="O191" s="29" t="inlineStr">
        <is>
          <t>FNMT sayfasında belirtilen yazılımı bilgisayarına kur.
Sertifikayı internetten iste; işlem bitince e-postana Código de Solicitud gelir.
Kodla birlikte bir Oficina de Acreditación de Identidad'e git ve kimliğini yüz yüze doğrulat; FNMT'nin ofis bulucu servisinden ofis seçebilirsin.
Kimlik doğrulamadan yaklaşık 1 saat sonra aynı kodla sertifikayı indir, kur ve yedeğini al.</t>
        </is>
      </c>
      <c r="P191" s="29" t="inlineStr">
        <is>
          <t>Código de Solicitud (e-postana gelen başvuru kodu)</t>
        </is>
      </c>
      <c r="Q191" s="29" t="inlineStr">
        <is>
          <t>Sertifika, kimlik doğrulamadan yaklaşık 1 saat sonra indirilebilir.</t>
        </is>
      </c>
      <c r="R191" s="29" t="n"/>
      <c r="S191" s="29" t="inlineStr">
        <is>
          <t>AEAT, Seguridad Social ve bazı diğer ofislerde kimlik doğrulama için randevu gerekir. FNMT yedek almayı öneriyor; kriptografik kart ya da USB istersen FNMT'nin hizmet kataloğuna bak.</t>
        </is>
      </c>
      <c r="T191" s="29" t="n"/>
    </row>
    <row r="192" ht="54" customHeight="1">
      <c r="A192" s="29" t="inlineStr">
        <is>
          <t>sevilla:belge-ceviri-ve-apostil</t>
        </is>
      </c>
      <c r="B192" s="29" t="inlineStr">
        <is>
          <t>sevilla</t>
        </is>
      </c>
      <c r="C192" s="29" t="inlineStr">
        <is>
          <t>belge-ceviri-ve-apostil</t>
        </is>
      </c>
      <c r="D192" s="29" t="inlineStr">
        <is>
          <t>Resmî belgeler nasıl tercüme ve apostil edilir?</t>
        </is>
      </c>
      <c r="E192" s="29" t="inlineStr">
        <is>
          <t>Yeminli tercüman resmî tercüme yapar; apostil belgenin düzenlendiği ülkede alınır</t>
        </is>
      </c>
      <c r="F192" s="29" t="inlineStr">
        <is>
          <t>Bir tercümenin İspanya'da resmî nitelik kazanması için yeminli tercüman (Traductor-Intérprete Jurado) tarafından yapılması gerekir; bu kişilerin tercümeleri mahkemelere ve idari makamlara sunulabilir. Yeminli tercümanları Dışişleri Bakanlığı atar ve Oficina de Interpretación de Lenguas resmî listeyi yayımlar; ofis aracılık etmez, tercümanı listeden kendin seçersin. Apostil, 5 Ekim 1961 tarihli La Haye Sözleşmesi'ni imzalayan ülkelerde düzenlenen resmî belgenin imzasının gerçekliğini onaylayan nottur; apostilli belge, Sözleşme'ye taraf başka ülkede ek bir onay istenmeden tanınır. İspanya'da düzenlenen adli ya da idari belge için başvuruyu İspanya Adalet Bakanlığı'nın (Ministerio de Justicia) apostil sayfasından yaparsın; noter belgelerinin apostili yalnız Colegio de Notarios'a aittir. Adli, idari ve noter belgeleri apostil edilebilir.</t>
        </is>
      </c>
      <c r="G192" s="29" t="inlineStr">
        <is>
          <t>apostil, yeminli tercüman, traductor jurado, belge tercümesi, La Haye Sözleşmesi, legalización, noter belgesi</t>
        </is>
      </c>
      <c r="H192" s="29" t="inlineStr">
        <is>
          <t>planning;new</t>
        </is>
      </c>
      <c r="I192" s="29" t="inlineStr">
        <is>
          <t>sevilla:kaynak:025;sevilla:kaynak:026</t>
        </is>
      </c>
      <c r="J192" s="49" t="n">
        <v>46319</v>
      </c>
      <c r="K192" s="51" t="n">
        <v>9021</v>
      </c>
      <c r="L192" s="29" t="inlineStr">
        <is>
          <t>Hayır</t>
        </is>
      </c>
      <c r="M192" s="29" t="inlineStr">
        <is>
          <t>Taslak</t>
        </is>
      </c>
      <c r="N192" s="29" t="inlineStr">
        <is>
          <t>sevilla:resmi</t>
        </is>
      </c>
      <c r="O192" s="29" t="inlineStr">
        <is>
          <t>Belgeyi çevirtmek için Dışişleri Bakanlığı'nın resmî listesindeki arama motorundan dil çiftine uygun bir yeminli tercüman seç.
Tercüme resmî kurumlara sunulacaksa tercümanın imzası ve mührüyle tasdikli olduğundan emin ol.
İspanya'da düzenlenen adli ya da idari belge için İspanya Adalet Bakanlığı'nın (Ministerio de Justicia) apostil sayfasından başvur; noter belgesi için yalnız Colegio de Notarios'a başvur.
Belge sözleşmeye taraf bir başka ülkede kullanılacaksa apostilli belge ek bir onay istenmeden tanınır.</t>
        </is>
      </c>
      <c r="P192" s="29" t="n"/>
      <c r="Q192" s="29" t="n"/>
      <c r="R192" s="29" t="n"/>
      <c r="S192" s="29" t="inlineStr">
        <is>
          <t>Diplomatik ya da konsolosluk görevlilerinin düzenlediği belgeler ile doğrudan ticari veya gümrük işlemiyle ilgili idari belgeler apostil edilemez. Katalanca, Galiçyaca ve Baskça için yeminli tercümanları 1992'den beri ilgili özerk yönetimler (Generalitat de Catalunya, Xunta de Galicia, Bask Hükümeti) atıyor ve kendi listelerini tutuyor. Bu kart yalnız İspanya'da düzenlenen belgelerin apostilini anlatır.</t>
        </is>
      </c>
      <c r="T192" s="29" t="n"/>
    </row>
    <row r="193" ht="54" customHeight="1">
      <c r="A193" s="29" t="inlineStr">
        <is>
          <t>sevilla:noter-islemleri-ve-ucretleri</t>
        </is>
      </c>
      <c r="B193" s="29" t="inlineStr">
        <is>
          <t>sevilla</t>
        </is>
      </c>
      <c r="C193" s="29" t="inlineStr">
        <is>
          <t>noter-islemleri-ve-ucretleri</t>
        </is>
      </c>
      <c r="D193" s="29" t="inlineStr">
        <is>
          <t>Noter ücretleri: noter tarifesi (arancel) nasıl hesaplanır?</t>
        </is>
      </c>
      <c r="E193" s="29" t="inlineStr">
        <is>
          <t>Tarife Real Decreto 1426/1989'a göre; aşağıdaki tutarlar tarife tutarlarıdır</t>
        </is>
      </c>
      <c r="F193" s="29" t="inlineStr">
        <is>
          <t>Noter ücretleri, Real Decreto 1426/1989 ile onaylanan Noter Tarifesi'ne (Arancel de los Notarios) göre belirlenir. Aşağıdaki tutarlar tarifedeki tutarlardır (kuruşa yuvarlanmıştır); ödeyeceğin tutar uygulanan indirimlere göre değişir. Değeri olmayan belgelerde sabit tutarlar var: genel vekâletname 30,05 euro, dava vekâletnamesi 15,03 euro, tutanak (acta) 36,06 euro; vasiyetname (vasiyet eden başına), evlilik sözleşmesi ve medeni hâl gibi diğer belgeler 30,05 euro. İmza tasdiki (legitimación de firma) 6,01 euro; aynı belgedeki her ek imza 3,01 euro. Değeri olan işlemlerde ücret, işlemin konusu malın değerine göre kademeli ölçekle hesaplanır ve ölçekle bulunan tarife tutarından yüzde 5 indirim yapılır. Kişisel ve ipotekli kredilerde ayrıca yüzde 25 indirim vardır; devletin, özerk bölgelerin, il ve belediyelerin yasal olarak ödemekle yükümlü olduğu işlemler, siyasi partilerle sendikaların ödediği işlemler, kamu konut kredileri ve korunan konutların sonraki devirleri gibi sayılan hâllerde indirim yüzde 50'dir. Bu indirimler yürürlükteki diğer indirimlere ek olarak uygulanır.</t>
        </is>
      </c>
      <c r="G193" s="29" t="inlineStr">
        <is>
          <t>noter, notario, noter ücreti, arancel, vekâletname, imza tasdiki, legitimación de firma, vasiyetname</t>
        </is>
      </c>
      <c r="H193" s="29" t="inlineStr">
        <is>
          <t>new;settled</t>
        </is>
      </c>
      <c r="I193" s="29" t="inlineStr">
        <is>
          <t>sevilla:kaynak:027</t>
        </is>
      </c>
      <c r="J193" s="49" t="n">
        <v>46319</v>
      </c>
      <c r="K193" s="51" t="n">
        <v>9022</v>
      </c>
      <c r="L193" s="29" t="inlineStr">
        <is>
          <t>Hayır</t>
        </is>
      </c>
      <c r="M193" s="29" t="inlineStr">
        <is>
          <t>Taslak</t>
        </is>
      </c>
      <c r="N193" s="29" t="inlineStr">
        <is>
          <t>sevilla:resmi</t>
        </is>
      </c>
      <c r="O193" s="29" t="inlineStr">
        <is>
          <t>İşlemin değeri olup olmadığını belirle: vekâlet, vasiyet, evlilik sözleşmesi gibi değersiz belgelerde sabit tutar, değeri olan işlemde ölçek uygulanır.
Değeri olan işlemde ölçeği uygula: değer 6.010,12 euroyu aşmıyorsa tarife tutarı 90,15 euro; fazla kısım için 6.010,13 ile 30.050,61 euro arasında binde 4,5; 30.050,62 ile 60.101,21 euro arasında binde 1,50; 60.101,22 ile 150.253,03 euro arasında binde 1; 150.253,04 ile 601.012,10 euro arasında binde 0,5; 601.012,10 ile 6.010.121,04 euro arasında binde 0,3.
Ölçekle bulduğun tarife tutarından yüzde 5 indirimi düş; kredi ya da sayılan kamu işlemlerinde ilgili yüzde 25 ya da yüzde 50 indirimi de uygula.
İmza tasdiki ya da kopya da gerekiyorsa bunları ayrı kalem olarak ekle.
Değer 6.010.121,04 euroyu aşıyorsa aşan kısım için noter ücreti, taraflarla serbestçe anlaştığı tutardır.
Tarifenin tam nüshası ve ek normlar bütün noterliklerde halka açık bulundurulur; tutarı noterlikte bu nüshadan görebilirsin.</t>
        </is>
      </c>
      <c r="P193" s="29" t="n"/>
      <c r="Q193" s="29" t="n"/>
      <c r="R193" s="29" t="inlineStr">
        <is>
          <t>Tarife tutarları: yetkili kopya sayfa başına 3,01 euro (12. sayfadan itibaren yarısı); basit kopya sayfa başına 0,60 euro; değeri 6.010,12 euroyu aşmayan işlemde tarife tutarı 90,15 euro (değeri olan işlemlerde bu tutardan yüzde 5 indirim yapılır).</t>
        </is>
      </c>
      <c r="S193" s="29" t="inlineStr">
        <is>
          <t>BOE'deki birleştirilmiş tarife metninin son güncellemesi 17/11/2011 tarihlidir; yukarıdaki tutarlar bu metne göre.</t>
        </is>
      </c>
      <c r="T193" s="29" t="n"/>
    </row>
    <row r="194" ht="54" customHeight="1">
      <c r="A194" s="29" t="inlineStr">
        <is>
          <t>sevilla:libro-de-familia-nedir</t>
        </is>
      </c>
      <c r="B194" s="29" t="inlineStr">
        <is>
          <t>sevilla</t>
        </is>
      </c>
      <c r="C194" s="29" t="inlineStr">
        <is>
          <t>libro-de-familia-nedir</t>
        </is>
      </c>
      <c r="D194" s="29" t="inlineStr">
        <is>
          <t>Libro de Familia (aile cüzdanı) nedir?</t>
        </is>
      </c>
      <c r="E194" s="29" t="inlineStr">
        <is>
          <t>30 Nisan 2021'den beri yeni Libro de Familia verilmiyor; eskiler etkisini sürdürüyor</t>
        </is>
      </c>
      <c r="F194" s="29" t="inlineStr">
        <is>
          <t>Libro de Familia (aile cüzdanı), eski Registro Civil (medeni hâl sicili) sisteminde verilen bir belgedir. Ley 20/2011 (Registro Civil Yasası) 30 Nisan 2021'de yürürlüğe girdi; o tarihten itibaren yeni Libro de Familia verilmiyor. Daha önce verilmiş olanlar ise 8 Haziran 1957 tarihli eski Registro Civil Yasası'nın 8. ve 75. maddelerindeki etkilerini sürdürüyor. Yeni sistemde her bireysel kayıtta kişinin bilgilerini gösteren bir sayfa ya da özet bulunuyor.</t>
        </is>
      </c>
      <c r="G194" s="29" t="inlineStr">
        <is>
          <t>Libro de Familia, aile cüzdanı, Registro Civil, Ley 20/2011, medeni hâl kaydı, bireysel kayıt</t>
        </is>
      </c>
      <c r="H194" s="29" t="inlineStr">
        <is>
          <t>new;settled</t>
        </is>
      </c>
      <c r="I194" s="29" t="inlineStr">
        <is>
          <t>sevilla:kaynak:028;sevilla:kaynak:029</t>
        </is>
      </c>
      <c r="J194" s="49" t="n">
        <v>46319</v>
      </c>
      <c r="K194" s="51" t="n">
        <v>9023</v>
      </c>
      <c r="L194" s="29" t="inlineStr">
        <is>
          <t>Hayır</t>
        </is>
      </c>
      <c r="M194" s="29" t="inlineStr">
        <is>
          <t>Taslak</t>
        </is>
      </c>
      <c r="N194" s="29" t="inlineStr">
        <is>
          <t>sevilla:resmi</t>
        </is>
      </c>
      <c r="O194" s="29" t="inlineStr">
        <is>
          <t>Elinde eskiden verilmiş bir Libro de Familia varsa saklamaya devam et; bu belgeler yasadaki etkilerini sürdürüyor. Yeni Libro de Familia alamazsın, çünkü artık verilmiyor.
Kayıtlarının sertifikasını bağlı olduğun Registro Civil'den iste; Registro Civil sertifikaları ücretsizdir.</t>
        </is>
      </c>
      <c r="P194" s="29" t="n"/>
      <c r="Q194" s="29" t="n"/>
      <c r="R194" s="29" t="n"/>
      <c r="S194" s="29" t="n"/>
      <c r="T194" s="29" t="n"/>
    </row>
    <row r="195" ht="54" customHeight="1">
      <c r="A195" s="29" t="inlineStr">
        <is>
          <t>sevilla:registro-civil-ne-ise-yarar</t>
        </is>
      </c>
      <c r="B195" s="29" t="inlineStr">
        <is>
          <t>sevilla</t>
        </is>
      </c>
      <c r="C195" s="29" t="inlineStr">
        <is>
          <t>registro-civil-ne-ise-yarar</t>
        </is>
      </c>
      <c r="D195" s="29" t="inlineStr">
        <is>
          <t>Registro Civil (medeni hâl sicili) ne işe yarar?</t>
        </is>
      </c>
      <c r="E195" s="29" t="inlineStr">
        <is>
          <t>Doğum, evlilik, ölüm gibi olaylar kaydedilir; kayıtlar ve sertifikalar ücretsiz</t>
        </is>
      </c>
      <c r="F195" s="29" t="inlineStr">
        <is>
          <t>Registro Civil, kişilerin medeni hâline ilişkin olayların kaydedildiği sicildir: doğum, soybağı, ad ve soyad ile değişiklikleri, uyruk ve vecindad, velayet ve vesayet, evlilik, ölüm gibi. Sicildeki kayıtlar, kayıtlı olayların kanıtıdır. Kayıtlar, defin ruhsatları ve sicille ilgili dosyalar tamamen ücretsizdir; sertifikalar da hiçbir harca tabi değildir. Sertifikaları ilgili Registro Civil ofisinden yüz yüze ya da Adalet Bakanlığı'nın elektronik sedesinden alabilirsin.</t>
        </is>
      </c>
      <c r="G195" s="29" t="inlineStr">
        <is>
          <t>Registro Civil, medeni hâl sicili, doğum kaydı, evlilik kaydı, ölüm kaydı, sertifika, ücretsiz</t>
        </is>
      </c>
      <c r="H195" s="29" t="inlineStr">
        <is>
          <t>new;settled</t>
        </is>
      </c>
      <c r="I195" s="29" t="inlineStr">
        <is>
          <t>sevilla:kaynak:029</t>
        </is>
      </c>
      <c r="J195" s="49" t="n">
        <v>46319</v>
      </c>
      <c r="K195" s="51" t="n">
        <v>9024</v>
      </c>
      <c r="L195" s="29" t="inlineStr">
        <is>
          <t>Hayır</t>
        </is>
      </c>
      <c r="M195" s="29" t="inlineStr">
        <is>
          <t>Taslak</t>
        </is>
      </c>
      <c r="N195" s="29" t="inlineStr">
        <is>
          <t>sevilla:resmi</t>
        </is>
      </c>
      <c r="O195" s="29" t="inlineStr">
        <is>
          <t>Olayın (doğum, evlilik, ölüm) gerçekleştiği yerdeki Registro Civil'e başvur.
Sertifika için ilgili Registro Civil ofisine git ya da Adalet Bakanlığı'nın elektronik sedesini kullan.
Sertifika karşılığında ücret isteyen sitelere ödeme yapma; Adalet Bakanlığı bu sitelerle ilgili değil ve sertifikalar ücretsiz.</t>
        </is>
      </c>
      <c r="P195" s="29" t="n"/>
      <c r="Q195" s="29" t="n"/>
      <c r="R195" s="29" t="n"/>
      <c r="S195" s="29" t="inlineStr">
        <is>
          <t>Yurtdışında doğan İspanyolların doğumu Registro Civil Central'de kaydedilir.</t>
        </is>
      </c>
      <c r="T195" s="29" t="n"/>
    </row>
    <row r="196" ht="54" customHeight="1">
      <c r="A196" s="29" t="inlineStr">
        <is>
          <t>sevilla:yabanci-ehliyet-degisimi</t>
        </is>
      </c>
      <c r="B196" s="29" t="inlineStr">
        <is>
          <t>sevilla</t>
        </is>
      </c>
      <c r="C196" s="29" t="inlineStr">
        <is>
          <t>yabanci-ehliyet-degisimi</t>
        </is>
      </c>
      <c r="D196" s="29" t="inlineStr">
        <is>
          <t>Türk ehliyeti İspanyol ehliyetine nasıl değiştirilir (DGT)?</t>
        </is>
      </c>
      <c r="E196" s="29" t="inlineStr">
        <is>
          <t>Türkiye ile 2011'den beri anlaşma var: A2 ve B sınavsız, C/D/E sınıflarında sınav gerekir, A1/F/G/H değişmez</t>
        </is>
      </c>
      <c r="F196" s="29" t="inlineStr">
        <is>
          <t>Türkiye ile İspanya arasında ehliyet tanıma ve değişim anlaşması var; anlaşma 25 Nisan 2011'de yürürlüğe girdi. İspanya'da yasal ikamet ettikten sonra Türk ehliyetini anlaşmadaki eşdeğerlik tablosuna göre İspanyol ehliyetiyle değiştirebilirsin. Türk A2 ve B sınıfları teorik ve pratik sınav olmadan değişir. Türk C, D ve E sınıflarının İspanyol karşılıkları arasında C1, C, D1, D ve +E sınıfları da bulunur; bunlar için hem özel bilgi (teorik) sınavı hem trafikte sürüş sınavı gerekir. Türk A1, F, G ve H sınıfları değiştirilemez. 25 Nisan 2011'den sonra alınan ehliyetin, başvuranın yasal ikametinin bulunduğu devlette verilmiş olması şarttır. İspanya'da normal ikamet ettiğin günden itibaren yabancı ehliyetin en çok altı ay geçerlidir; sürmeye devam etmek istiyorsan değişim zorunludur.</t>
        </is>
      </c>
      <c r="G196" s="29" t="inlineStr">
        <is>
          <t>ehliyet değişimi, canje, DGT, yabancı ehliyet, permiso de conducir, convenio, psikofiziksel rapor</t>
        </is>
      </c>
      <c r="H196" s="29" t="inlineStr">
        <is>
          <t>new;settled</t>
        </is>
      </c>
      <c r="I196" s="29" t="inlineStr">
        <is>
          <t>sevilla:kaynak:030;sevilla:kaynak:031</t>
        </is>
      </c>
      <c r="J196" s="49" t="n">
        <v>46319</v>
      </c>
      <c r="K196" s="51" t="n">
        <v>9025</v>
      </c>
      <c r="L196" s="29" t="inlineStr">
        <is>
          <t>Hayır</t>
        </is>
      </c>
      <c r="M196" s="29" t="inlineStr">
        <is>
          <t>Taslak</t>
        </is>
      </c>
      <c r="N196" s="29" t="inlineStr">
        <is>
          <t>sevilla:resmi</t>
        </is>
      </c>
      <c r="O196" s="29" t="inlineStr">
        <is>
          <t>Ehliyetinin sınıfına bak: Türk A2 ve B sınıfı sınavsız değişir; C, D ve E sınıfında sınav gerekir; A1, F, G ve H sınıfı değiştirilemez.
Ehliyeti 25 Nisan 2011'den sonra aldıysan, onu yasal ikametinin bulunduğu devlette aldığından emin ol; İspanya'da yasal ikametçiyken alınmış yabancı ehliyet değiştirilemez.
Geçerli oturum kartını ve ehliyeti İspanya'da yerleşik olmadan önce aldığını gösteren belgeyi hazırla.
Yetkili bir Centro de Reconocimiento de Conductores'tan psikofiziksel yeterlilik raporu al; rapor 90 gün geçerli, başvurunu bu süre dolmadan yap.
Randevuyu telefonla ya da internetten al; İspanya'daki oturum kartı numaranı, ikamet ettiğin ili, kimlik numaranı ve Türk ehliyetinin numarasını, verildiği yeri ve tarihini bildir. Sınav gerektirmeyen sınıflarda ehliyeti değiştir; sınav gerektirenlerde sınavlara gir.
İşlem sırasında sana geçici ehliyet verilir; kalıcı ehliyet yaklaşık bir buçuk ayda gelir.</t>
        </is>
      </c>
      <c r="P196" s="29" t="inlineStr">
        <is>
          <t>Orijinal Türk ehliyeti
Geçerli oturum kartı (tarjeta de residencia)
Ehliyeti İspanya'da yerleşik olmadan önce aldığını gösteren belge (oturum, öğrenci ya da AB kartı ya da yabancılar kayıt belgesi)
Psikofiziksel yeterlilik raporu (Centro de Reconocimiento de Conductores)</t>
        </is>
      </c>
      <c r="Q196" s="29" t="inlineStr">
        <is>
          <t>Başvuruda geçici ehliyet verilir; kalıcı ehliyet yaklaşık bir buçuk ayda gelir.</t>
        </is>
      </c>
      <c r="R196" s="29" t="n"/>
      <c r="S196" s="29" t="inlineStr">
        <is>
          <t>Değiştirmek istediğin ehliyet de başka bir ülkeden, o ülkeyle anlaşma olmadan değişimle alınmışsa değişim yapılamaz. Anlaşmaya göre ehliyetin geçerliliğinden ya da sürüş yeterliliğinden şüphe edilirse teorik ve/veya pratik sınav istenebilir.</t>
        </is>
      </c>
      <c r="T196" s="29" t="n"/>
    </row>
    <row r="197" ht="54" customHeight="1">
      <c r="A197" s="29" t="inlineStr">
        <is>
          <t>sevilla:arac-kaydi-ulusal-cerceve</t>
        </is>
      </c>
      <c r="B197" s="29" t="inlineStr">
        <is>
          <t>sevilla</t>
        </is>
      </c>
      <c r="C197" s="29" t="inlineStr">
        <is>
          <t>arac-kaydi-ulusal-cerceve</t>
        </is>
      </c>
      <c r="D197" s="29" t="inlineStr">
        <is>
          <t>Araç kaydı (matriculación) nasıl yapılır? Ulusal çerçeve</t>
        </is>
      </c>
      <c r="E197" s="29" t="inlineStr">
        <is>
          <t>Yeni ya da yurtdışından alınan araç tescil edilmeden yollarda kullanılamaz</t>
        </is>
      </c>
      <c r="F197" s="29" t="inlineStr">
        <is>
          <t>İspanya'da yeni ya da yurtdışından alınmış (yeni veya kullanılmış) bir aracı yollarda kullanmadan önce tescil ettirmen (matriculación) gerekir; plakalar takılmadan motorlu araçla dolaşılmaz. DGT'nin tescil işlemi için azami süresi 3 aydır; bu sürede cevap gelmezse işlem yapılmamıştır, idari sessizlik olumsuz sayılır. İşlem bitince araç için plaka numarası ve Permiso de circulación (ruhsat) verilir; plakaları bu belgelerle alırsın. Başvuruyu alıcı-malik ya da onun yetkilendirdiği kişi yapar; işlemi çoğunlukla satıcı firma (concesionario) veya gestor halleder ama kendin de yapabilirsin.</t>
        </is>
      </c>
      <c r="G197" s="29" t="inlineStr">
        <is>
          <t>araç tescili, matriculación, DGT, Permiso de circulación, plaka, Modelo 576, IVTM, ITV</t>
        </is>
      </c>
      <c r="H197" s="29" t="inlineStr">
        <is>
          <t>new;settled</t>
        </is>
      </c>
      <c r="I197" s="29" t="inlineStr">
        <is>
          <t>sevilla:kaynak:032;sevilla:kaynak:033</t>
        </is>
      </c>
      <c r="J197" s="49" t="n">
        <v>46319</v>
      </c>
      <c r="K197" s="51" t="n">
        <v>9026</v>
      </c>
      <c r="L197" s="29" t="inlineStr">
        <is>
          <t>Hayır</t>
        </is>
      </c>
      <c r="M197" s="29" t="inlineStr">
        <is>
          <t>Taslak</t>
        </is>
      </c>
      <c r="N197" s="29" t="inlineStr">
        <is>
          <t>sevilla:resmi</t>
        </is>
      </c>
      <c r="O197" s="29" t="inlineStr">
        <is>
          <t>Aracın elektronik ITV kartı (ficha ITV electrónica) olup olmadığına bak; yalnız kâğıt kartı varsa DGT'nin genel başvuru formuyla başvurabilirsin, bunun için dijital DNI, geçerli elektronik sertifika ya da Cl@ve bilgilerin gerekir.
Tescil vergisini Modelo 576 ile öde ya da muafiyet veya tabi olmama belgesi (Modelo 06 veya 05) al; Bask Bölgesi ve Navarra'da ilgili Hacienda Foral'a başvurulur.
Oturduğun belediyenin Impuesto de Circulación (IVTM) ödeme veya muafiyet belgesini al.
DGT harcını öde; yeni araçta genel durumda çevrimiçi formdaki "Pagar" düğmesiyle ya da önceden aldığın tasa numarasıyla öde, yüz yüze başvuruda harcı kartla öde (nakit olmaz).
Başvuruyu çevrimiçi yap ya da internetten veya 060'tan randevu alıp Jefatura ya da Oficina local de Tráfico'ya git; yüz yüze başvuru yalnız bireylere açık.
Tescil bitince plaka numarası ve Permiso de circulación ile plakaları al.</t>
        </is>
      </c>
      <c r="P197" s="29" t="inlineStr">
        <is>
          <t>Elektronik ITV kartı (NIVE) ya da satış kaydı düşülmüş ITV kartı; yoksa fatura veya açık artırma tahsis tutanağı
Impuesto Especial sobre Determinados Medios de Transporte ödeme, muafiyet ya da tabi olmama belgesi (Modelo 576, 06 veya 05)
Oturduğun belediyenin Impuesto de Circulación (IVTM) ödeme veya muafiyet belgesi
DGT harcı ödeme belgesi
Kimlik belgesi (yüz yüze başvuruda orijinal ve geçerli)</t>
        </is>
      </c>
      <c r="Q197" s="29" t="inlineStr">
        <is>
          <t>DGT'nin tescil için azami süresi 3 aydır; bu sürede cevap gelmezse işlem yapılmamış sayılır.</t>
        </is>
      </c>
      <c r="R197" s="29" t="n"/>
      <c r="S197" s="29" t="inlineStr">
        <is>
          <t>Tescil vergisi (Impuesto Especial sobre Determinados Medios de Transporte) Modelo 576 ile kendi beyanınla ödenir (autoliquidación); tutar aracın özelliğine ve bölgeye göre değişir. Römorklar bu vergiden muaftır.</t>
        </is>
      </c>
      <c r="T197" s="29" t="n"/>
    </row>
    <row r="198" ht="54" customHeight="1">
      <c r="A198" s="29" t="inlineStr">
        <is>
          <t>sevilla:endulus-carpeta-ciudadana-junta-dijital-islemler</t>
        </is>
      </c>
      <c r="B198" s="29" t="inlineStr">
        <is>
          <t>sevilla</t>
        </is>
      </c>
      <c r="C198" s="29" t="inlineStr">
        <is>
          <t>endulus-carpeta-ciudadana-junta-dijital-islemler</t>
        </is>
      </c>
      <c r="D198" s="29" t="inlineStr">
        <is>
          <t>Endülüs'te Junta de Andalucía ile dijital işlem için Carpeta Ciudadana nedir ve nasıl girilir?</t>
        </is>
      </c>
      <c r="E198" s="29" t="inlineStr">
        <is>
          <t>Junta işlemleri, belgeleri, randevuları ve kartları tek uygulamada; giriş Cl@ve ya da dijital sertifika ile</t>
        </is>
      </c>
      <c r="F198" s="29" t="inlineStr">
        <is>
          <t>Carpeta Ciudadana, Junta de Andalucía'nın işlemlerini, bildirimlerini, dosyalarını (expediente) ve kartlarını tek yerde toplayan uygulamadır; mobil uygulama ve web uygulaması olarak sunulur. Uygulamada resmî belge ve sertifikaları indirip yazdırabilir, idareyle randevularını alıp değiştirebilir, işlemlerinin durumuna dair bildirim alabilir ve açık dosyalarının durumuna bakabilirsin. Kartlar bölümünde familia numerosa, carné joven, tarjeta 65, engelli ve sağlık kartı gösterilir. Girişte kimliğini Cl@ve ile ya da dijital sertifika ile doğrularsın.</t>
        </is>
      </c>
      <c r="G198" s="29" t="inlineStr">
        <is>
          <t>Carpeta Ciudadana, Junta de Andalucía, Cl@ve, certificado digital, expediente, cita previa, JUNTAS</t>
        </is>
      </c>
      <c r="H198" s="29" t="inlineStr">
        <is>
          <t>new;settled</t>
        </is>
      </c>
      <c r="I198" s="29" t="inlineStr">
        <is>
          <t>sevilla:kaynak:141</t>
        </is>
      </c>
      <c r="J198" s="49" t="n">
        <v>46319</v>
      </c>
      <c r="K198" s="51" t="n">
        <v>9104</v>
      </c>
      <c r="L198" s="29" t="inlineStr">
        <is>
          <t>Hayır</t>
        </is>
      </c>
      <c r="M198" s="29" t="inlineStr">
        <is>
          <t>Taslak</t>
        </is>
      </c>
      <c r="N198" s="29" t="inlineStr">
        <is>
          <t>sevilla:resmi</t>
        </is>
      </c>
      <c r="O198" s="29" t="inlineStr">
        <is>
          <t>Uygulama mağazasından Carpeta Ciudadana uygulamasını indir ya da web uygulamasını aç.
Kimliğini Cl@ve ile ya da dijital sertifikayla doğrula.
Belgelerine, randevularına, bildirimlerine, kartlarına ve dosyalarına uygulamadan eriş.</t>
        </is>
      </c>
      <c r="P198" s="29" t="inlineStr">
        <is>
          <t>Cl@ve ya da dijital sertifika</t>
        </is>
      </c>
      <c r="Q198" s="29" t="n"/>
      <c r="R198" s="29" t="n"/>
      <c r="S198" s="29" t="inlineStr">
        <is>
          <t>Giriş için Cl@ve ya da dijital sertifika gerekir.</t>
        </is>
      </c>
      <c r="T198" s="29" t="n"/>
    </row>
    <row r="199" ht="54" customHeight="1">
      <c r="A199" s="29" t="inlineStr">
        <is>
          <t>sevilla:junta-kayit-yardim-ofisleri-sevilla</t>
        </is>
      </c>
      <c r="B199" s="29" t="inlineStr">
        <is>
          <t>sevilla</t>
        </is>
      </c>
      <c r="C199" s="29" t="inlineStr">
        <is>
          <t>junta-kayit-yardim-ofisleri-sevilla</t>
        </is>
      </c>
      <c r="D199" s="29" t="inlineStr">
        <is>
          <t>Sevilla'da Junta de Andalucía kayıt ve yardım ofislerinde dilekçe ve belge nasıl verilir?</t>
        </is>
      </c>
      <c r="E199" s="29" t="inlineStr">
        <is>
          <t>Tek ofisten devlet, Junta ya da belediyeye hitaben belge verebilirsin</t>
        </is>
      </c>
      <c r="F199" s="29" t="inlineStr">
        <is>
          <t>Junta de Andalucía'nın Oficinas de Asistencia en Materia de Registros (kayıt işlemleri yardım ofisleri) ofislerinde yalnız Junta'ya değil, devlet, bölge ya da belediye dahil herhangi bir kamu idaresine hitaben dilekçe, yazı ve bildirim verebilirsin. Verdiğin belgeler orada taranır, aynı anda sana geri verilir ve teslim makbuzu alırsın. Elektronik işlemlerde de yardım alabilirsin.</t>
        </is>
      </c>
      <c r="G199" s="29" t="inlineStr">
        <is>
          <t>Junta de Andalucía, oficina de registro, belge teslimi, dilekçe, cita previa, 012, e-işlem yardımı</t>
        </is>
      </c>
      <c r="H199" s="29" t="inlineStr">
        <is>
          <t>new;settled</t>
        </is>
      </c>
      <c r="I199" s="29" t="inlineStr">
        <is>
          <t>sevilla:kaynak:268;sevilla:kaynak:270</t>
        </is>
      </c>
      <c r="J199" s="49" t="n">
        <v>46319</v>
      </c>
      <c r="K199" s="51" t="n">
        <v>301</v>
      </c>
      <c r="L199" s="29" t="inlineStr">
        <is>
          <t>Evet</t>
        </is>
      </c>
      <c r="M199" s="29" t="inlineStr">
        <is>
          <t>Taslak</t>
        </is>
      </c>
      <c r="N199" s="29" t="inlineStr">
        <is>
          <t>sevilla:resmi</t>
        </is>
      </c>
      <c r="O199" s="29" t="inlineStr">
        <is>
          <t>Ofis dizininde il olarak Sevilla'yı seç ve sana yakın ofisi bul.
012 ya da 955 012 012 hattından randevu al.
Geçerli, orijinal kimlik belgenle git; başkası adına veriyorsan yetki belgesini götür.
Belgeler taranıp aynı anda iade edilir; teslim makbuzunu sakla.</t>
        </is>
      </c>
      <c r="P199" s="29" t="inlineStr">
        <is>
          <t>Geçerli ve orijinal kimlik belgesi (DNI ya da eşdeğeri)
Başkası adına veriyorsan o kişinin yetki belgesi</t>
        </is>
      </c>
      <c r="Q199" s="29" t="n"/>
      <c r="R199" s="29" t="n"/>
      <c r="S199" s="29" t="inlineStr">
        <is>
          <t>Kapalı zarfta verilen belgeler, aslı kalması gereken belgeler ve CD-ROM ya da USB bellek gibi taranamayan ortamlar taranmaz.</t>
        </is>
      </c>
      <c r="T199" s="29" t="n"/>
    </row>
    <row r="200" ht="54" customHeight="1">
      <c r="A200" s="29" t="inlineStr">
        <is>
          <t>sevilla:junta-012-hatti-saatler-kanallar</t>
        </is>
      </c>
      <c r="B200" s="29" t="inlineStr">
        <is>
          <t>sevilla</t>
        </is>
      </c>
      <c r="C200" s="29" t="inlineStr">
        <is>
          <t>junta-012-hatti-saatler-kanallar</t>
        </is>
      </c>
      <c r="D200" s="29" t="inlineStr">
        <is>
          <t>Junta de Andalucía 012 hattına hangi saatlerde ve hangi kanallardan ulaşırsın?</t>
        </is>
      </c>
      <c r="E200" s="29" t="inlineStr">
        <is>
          <t>Endülüs idaresiyle ilgili sorularda telefon, chat ve form</t>
        </is>
      </c>
      <c r="F200" s="29" t="inlineStr">
        <is>
          <t>Servicio 012, Junta de Andalucía'nın genel bilgi hattıdır: hangi kurumun ne yaptığını, hangi belgelerle başvurulduğunu ve ofis saatlerini sorabilirsin. Telefonla 012 ya da 955 012 012'yi arayabilirsin; temsilci pazartesi-cuma 8.00-20.00 (ulusal ve Endülüs resmî tatilleri hariç), cumartesi 8.00-15.00 arası yanıtlar; 24 ve 31 Aralık'ta (pazar değilse) 8.00-15.00. Çevrimiçi form günün 24 saati açık, chat pazartesi-cuma 9-14 arası. Sağlık Salud Responde gibi yardım hatları için doğrudan kendi numarasını ara; 061 ve 112 hat kapsamı dışındadır.</t>
        </is>
      </c>
      <c r="G200" s="29" t="inlineStr">
        <is>
          <t>012, 955 012 012, Junta de Andalucía bilgi hattı, chat, cita previa, Servicio 012</t>
        </is>
      </c>
      <c r="H200" s="29" t="inlineStr">
        <is>
          <t>new;settled</t>
        </is>
      </c>
      <c r="I200" s="29" t="inlineStr">
        <is>
          <t>sevilla:kaynak:267</t>
        </is>
      </c>
      <c r="J200" s="49" t="n">
        <v>46319</v>
      </c>
      <c r="K200" s="51" t="n">
        <v>302</v>
      </c>
      <c r="L200" s="29" t="inlineStr">
        <is>
          <t>Hayır</t>
        </is>
      </c>
      <c r="M200" s="29" t="inlineStr">
        <is>
          <t>Taslak</t>
        </is>
      </c>
      <c r="N200" s="29" t="inlineStr">
        <is>
          <t>sevilla:resmi</t>
        </is>
      </c>
      <c r="O200" s="29" t="inlineStr">
        <is>
          <t>Genel bir Junta sorusu için 012 ya da 955 012 012'yi ara (pazartesi-cuma 8.00-20.00, resmî tatiller hariç; cumartesi 8.00-15.00).
Aramak istemiyorsan çevrimiçi formdan yaz; form günün her saati açık.
Chat için pazartesi-cuma 9-14 arasında Sede Electrónica General'e gir.
Kayıt ofislerinden telefonla randevu almak için 012'nin otomatik randevu akışını kullan.</t>
        </is>
      </c>
      <c r="P200" s="29" t="n"/>
      <c r="Q200" s="29" t="inlineStr">
        <is>
          <t>Temsilci saatleri: pazartesi-cuma 8.00-20.00 (ulusal ve Endülüs resmî tatilleri hariç), cumartesi 8.00-15.00; 24 ve 31 Aralık'ta (pazar değilse) 8.00-15.00</t>
        </is>
      </c>
      <c r="R200" s="29" t="inlineStr">
        <is>
          <t>012'nin ücreti operatöre göre değişir ama süreden bağımsız sabit tutardır. 955 012 012'yi aradığında operatör yerel arama tarifesi uygular.</t>
        </is>
      </c>
      <c r="S200" s="29" t="inlineStr">
        <is>
          <t>Acil durum için 061 ya da 112'yi doğrudan ara; 012 bu numaraları karşılamaz.</t>
        </is>
      </c>
      <c r="T200" s="29" t="n"/>
    </row>
    <row r="201" ht="54" customHeight="1">
      <c r="A201" s="29" t="inlineStr">
        <is>
          <t>sevilla:seguridad-social-telefonla-randevu-caiss</t>
        </is>
      </c>
      <c r="B201" s="29" t="inlineStr">
        <is>
          <t>sevilla</t>
        </is>
      </c>
      <c r="C201" s="29" t="inlineStr">
        <is>
          <t>seguridad-social-telefonla-randevu-caiss</t>
        </is>
      </c>
      <c r="D201" s="29" t="inlineStr">
        <is>
          <t>Sevilla'da emeklilik ve yardımlar için Seguridad Social randevusunu (CAISS) telefonla ya da internetten nasıl alırsın?</t>
        </is>
      </c>
      <c r="E201" s="29" t="inlineStr">
        <is>
          <t>Posta kodunu söylersin, sistem sana en yakın ofisi bulur</t>
        </is>
      </c>
      <c r="F201" s="29" t="inlineStr">
        <is>
          <t>Seguridad Social'ın emeklilik ve yardım işleri için randevu veren ofislerine (CAISS) randevuyu otomatik telefon hattından alırsın: 91 541 25 30 ya da 901 10 65 70, haftanın her günü 24 saat. Sistem hangi işlem için randevu istediğini, oturduğun yerin posta kodunu (en yakın ofisi bulmak için) ve DNI ya da NIE numaranı sorar; sana ilk boş randevuyu önerir ve bir localizador (randevu kodu) verir. Sosyal güvenliğe kayıt (afiliasyon) soruları için ayrı bir hat var: 91 541 02 91 ya da 901 50 20 50.</t>
        </is>
      </c>
      <c r="G201" s="29" t="inlineStr">
        <is>
          <t>Seguridad Social, CAISS, cita previa, INSS, TGSS, afiliasyon, 901, DNI NIE</t>
        </is>
      </c>
      <c r="H201" s="29" t="inlineStr">
        <is>
          <t>new;settled</t>
        </is>
      </c>
      <c r="I201" s="29" t="inlineStr">
        <is>
          <t>sevilla:kaynak:273;sevilla:kaynak:272</t>
        </is>
      </c>
      <c r="J201" s="49" t="n">
        <v>46319</v>
      </c>
      <c r="K201" s="51" t="n">
        <v>303</v>
      </c>
      <c r="L201" s="29" t="inlineStr">
        <is>
          <t>Hayır</t>
        </is>
      </c>
      <c r="M201" s="29" t="inlineStr">
        <is>
          <t>Taslak</t>
        </is>
      </c>
      <c r="N201" s="29" t="inlineStr">
        <is>
          <t>sevilla:resmi</t>
        </is>
      </c>
      <c r="O201" s="29" t="inlineStr">
        <is>
          <t>91 541 25 30 ya da 901 10 65 70'i ara; işlemi, oturduğun yerin posta kodunu ve DNI ya da NIE numaranı söyle.
Sistemin önerdiği ilk boş randevuyu kabul et ya da daha sonraki bir tarih iste.
Sana verilen localizador'u (randevu kodu) not al.
Telefon istemezsen sede.seg-social.gob.es üzerindeki cita previa sayfasından sertifikasız randevu alabilirsin.</t>
        </is>
      </c>
      <c r="P201" s="29" t="inlineStr">
        <is>
          <t>DNI ya da NIE</t>
        </is>
      </c>
      <c r="Q201" s="29" t="inlineStr">
        <is>
          <t>Otomatik randevu hattı 7 gün 24 saat; afiliasyon bilgi hattı pazartesi-perşembe 9.00-18.00, cuma 9.00-14.30 (resmî tatiller hariç)</t>
        </is>
      </c>
      <c r="R201" s="29" t="n"/>
      <c r="S201" s="29" t="inlineStr">
        <is>
          <t>91'li numaralar sıradan yerel ya da şehirlerarası arama tarifesindedir; 901'li numaralar genellikle düz tarifeye dahil değildir.</t>
        </is>
      </c>
      <c r="T201" s="29" t="n"/>
    </row>
    <row r="202" ht="54" customHeight="1">
      <c r="A202" s="29" t="inlineStr">
        <is>
          <t>sevilla:dgt-sevilla-randevu-ve-kimler-randevusuz-gider</t>
        </is>
      </c>
      <c r="B202" s="29" t="inlineStr">
        <is>
          <t>sevilla</t>
        </is>
      </c>
      <c r="C202" s="29" t="inlineStr">
        <is>
          <t>dgt-sevilla-randevu-ve-kimler-randevusuz-gider</t>
        </is>
      </c>
      <c r="D202" s="29" t="inlineStr">
        <is>
          <t>Sevilla'da DGT (trafik) işlemleri için randevu nasıl alınır, randevusuz kimler gidebilir?</t>
        </is>
      </c>
      <c r="E202" s="29" t="inlineStr">
        <is>
          <t>Randevu internetten, miDGT uygulamasından ya da 060'tan alınır</t>
        </is>
      </c>
      <c r="F202" s="29" t="inlineStr">
        <is>
          <t>DGT'nin Sevilla'daki ofislerinde işlem yapmak için genel kural olarak önceden randevu (cita previa) almalısın; DGT randevuyu en geç talepten sonraki on beş gün içinde vermeye çalışır. Randevuyu internetten, miDGT uygulamasından ya da 060 numarasından alırsın. Randevusuz gidebilenler: 65 yaş ve üzeri kişiler kendi işlemleri için (anlaşmalı ülke ehliyet değişimi hariç) ve Centro de Reconocimiento de Conductores'a gittikten sonra Jefatura'ya gitmesi gereken, hareket kısıtlı kişiler (yalnız ehliyet alma ya da yenileme için). Dilekçe, itiraz, şikâyet ve öneri sunma ya da harç iadesi talebi gibi bazı işlemler de randevusuz yapılır. Anlaşmalı ülkelerin ehliyet değişimi (canje) her zaman randevuyla yapılır; Türk ehliyetin için ayrı soruya bak: "Türk ehliyeti İspanyol ehliyetine nasıl değiştirilir (DGT)?" Sevilla'daki Páez de Rivera 4 adresi Trafik Yönetim Merkezi'dir; ehliyet ve araç işlemleri için DGT'nin Jefatura Provincial ofisine randevu alırsın.</t>
        </is>
      </c>
      <c r="G202" s="29" t="inlineStr">
        <is>
          <t>DGT, cita previa, 060, miDGT, Jefatura de Tráfico Sevilla, ehliyet değişimi, canje</t>
        </is>
      </c>
      <c r="H202" s="29" t="inlineStr">
        <is>
          <t>new;settled</t>
        </is>
      </c>
      <c r="I202" s="29" t="inlineStr">
        <is>
          <t>sevilla:kaynak:275;sevilla:kaynak:274</t>
        </is>
      </c>
      <c r="J202" s="49" t="n">
        <v>46319</v>
      </c>
      <c r="K202" s="51" t="n">
        <v>304</v>
      </c>
      <c r="L202" s="29" t="inlineStr">
        <is>
          <t>Evet</t>
        </is>
      </c>
      <c r="M202" s="29" t="inlineStr">
        <is>
          <t>Taslak</t>
        </is>
      </c>
      <c r="N202" s="29" t="inlineStr">
        <is>
          <t>sevilla:resmi</t>
        </is>
      </c>
      <c r="O202" s="29" t="inlineStr">
        <is>
          <t>DGT cita previa sayfasından internet üzerinden, miDGT uygulamasından ya da 060'ı arayarak randevu al.
Randevu gününde kimlik belgeni (DNI, pasaport, NIE ya da oturum izni) götür ve ofisteki numara alma kiosklarına git; sana bir gişe atanır.
Ehliyetini aldığın ülkeyle İspanya arasında değişim anlaşması varsa (canje) randevu al; bu işlem her zaman randevuyla yapılır. Türk ehliyetin için ayrı soruya bak: "Türk ehliyeti İspanyol ehliyetine nasıl değiştirilir (DGT)?"
65 yaşın üzerindeysen ve işlem kendi adınaysa, ofisin 65 yaş üstü için ayrılmış saatlerinde randevusuz gidebilirsin; bu saatler kış ve yaz değişir.
Hareket kısıtın varsa ve Centro de Reconocimiento de Conductores'tan sonra Jefatura'ya gitmen gerekiyorsa randevusuz gidebilirsin; bu yalnız ehliyet alma ya da yenileme içindir.</t>
        </is>
      </c>
      <c r="P202" s="29" t="inlineStr">
        <is>
          <t>Randevu günü kimlik: DNI ya da pasaport, NIE veya oturum izni gibi resmî kimlik belgesi
Randevu talebinde işlemi yapacak kişinin DNI numarası; yetkili biri gidecekse onun da DNI numarası</t>
        </is>
      </c>
      <c r="Q202" s="29" t="inlineStr">
        <is>
          <t>Randevu en geç talepten sonraki 15 gün içinde verilmeye çalışılır</t>
        </is>
      </c>
      <c r="R202" s="29" t="inlineStr">
        <is>
          <t>Randevu talebi ücretsiz ve komisyonsuz. 060'tan aranırsa ücret operatöre bağlı: sabit telefondan ulusal arama, cep telefonundan sabit numaraya mobil arama tarifesi.</t>
        </is>
      </c>
      <c r="S202" s="29" t="inlineStr">
        <is>
          <t>Şirketler ve tüzel kişiler DGT işlemlerini yalnız elektronik yapar; ofis randevusu bireyler ve temsilcileri içindir.</t>
        </is>
      </c>
      <c r="T202" s="29" t="n"/>
    </row>
    <row r="203" ht="54" customHeight="1">
      <c r="A203" s="29" t="inlineStr">
        <is>
          <t>sevilla:colegio-notarial-andalucia-sevilla-notar-arama</t>
        </is>
      </c>
      <c r="B203" s="29" t="inlineStr">
        <is>
          <t>sevilla</t>
        </is>
      </c>
      <c r="C203" s="29" t="inlineStr">
        <is>
          <t>colegio-notarial-andalucia-sevilla-notar-arama</t>
        </is>
      </c>
      <c r="D203" s="29" t="inlineStr">
        <is>
          <t>Sevilla'da notere nasıl ulaşırsın: Colegio Notarial de Andalucía ve notar arama</t>
        </is>
      </c>
      <c r="E203" s="29" t="inlineStr">
        <is>
          <t>Endülüs noter odasının Sevilla merkezi San Miguel 1'de</t>
        </is>
      </c>
      <c r="F203" s="29" t="inlineStr">
        <is>
          <t>Endülüs notarlarının bağlı olduğu Colegio Notarial de Andalucía'nın Sevilla merkezi C/ San Miguel 1, 41002 adresindedir; telefon 954 915 944, e-posta colegio@andalucia.notariado.org. Noter odasının sitesindeki "notarını seç" aracı ad, soyad, posta kodu, ilçe ve yabancı dile göre arama yapar; en az bir alanı doldurman yeter. Bu oda Endülüs illerinin yanında Ceuta ve Melilla'yı da kapsar.</t>
        </is>
      </c>
      <c r="G203" s="29" t="inlineStr">
        <is>
          <t>noter, notario, Colegio Notarial de Andalucía, Sevilla noter, noter arama, yabancı dil</t>
        </is>
      </c>
      <c r="H203" s="29" t="inlineStr">
        <is>
          <t>new;settled</t>
        </is>
      </c>
      <c r="I203" s="29" t="inlineStr">
        <is>
          <t>sevilla:kaynak:276;sevilla:kaynak:277</t>
        </is>
      </c>
      <c r="J203" s="49" t="n">
        <v>46319</v>
      </c>
      <c r="K203" s="51" t="n">
        <v>305</v>
      </c>
      <c r="L203" s="29" t="inlineStr">
        <is>
          <t>Hayır</t>
        </is>
      </c>
      <c r="M203" s="29" t="inlineStr">
        <is>
          <t>Taslak</t>
        </is>
      </c>
      <c r="N203" s="29" t="inlineStr">
        <is>
          <t>sevilla:resmi</t>
        </is>
      </c>
      <c r="O203" s="29" t="inlineStr">
        <is>
          <t>Noter arama aracında posta kodunu ya da ilçeni yaz; yabancı dil kutusunu da kullanabilirsin.
Seçtiğin noter bürosuyla iletişime geçip işlem için gerekli belgeleri sor.
Noter odasına ulaşmak gerekirse Sevilla merkezini ara: 954 915 944.</t>
        </is>
      </c>
      <c r="P203" s="29" t="n"/>
      <c r="Q203" s="29" t="n"/>
      <c r="R203" s="29" t="n"/>
      <c r="S203" s="29" t="inlineStr">
        <is>
          <t>Noter ücretleri ayrı bir kartta: noter tarifesi (arancel) nasıl hesaplanır.</t>
        </is>
      </c>
      <c r="T203" s="29" t="n"/>
    </row>
    <row r="204" ht="54" customHeight="1">
      <c r="A204" s="29" t="inlineStr">
        <is>
          <t>sevilla:yeminli-tercuman-sevilla-turkce-resmi-liste</t>
        </is>
      </c>
      <c r="B204" s="29" t="inlineStr">
        <is>
          <t>sevilla</t>
        </is>
      </c>
      <c r="C204" s="29" t="inlineStr">
        <is>
          <t>yeminli-tercuman-sevilla-turkce-resmi-liste</t>
        </is>
      </c>
      <c r="D204" s="29" t="inlineStr">
        <is>
          <t>Sevilla ilindeki Türkçe yeminli tercümanı resmî listeden nasıl bulursun?</t>
        </is>
      </c>
      <c r="E204" s="29" t="inlineStr">
        <is>
          <t>Dışişleri Bakanlığı arama aracında il ve dil filtresi var</t>
        </is>
      </c>
      <c r="F204" s="29" t="inlineStr">
        <is>
          <t>Yabancı dilden İspanyolcaya (ya da tersine) çevrilen bir belge, ancak Dışişleri Bakanlığı'nın ünvan verdiği Traductor/a Jurado/a tarafından yapılırsa resmî sayılır ve mahkemelere ile idarelere sunulabilir. Bakanlığın resmî arama aracında Provincia olarak SEVILLA, Idioma olarak TURCO seçip yeminli tercüman listesine bakabilirsin; yazılı çeviri için Traductor/a Jurado/a ya da Traductor/a Intérprete Jurado/a, sözlü çeviri için Intérprete Jurado/a ya da Traductor/a Intérprete Jurado/a (iki hizmeti de verebilen unvan) seçilir; Todos seçeneği hepsini listeler. Arama için en az bir filtre seçmek gerekir.</t>
        </is>
      </c>
      <c r="G204" s="29" t="inlineStr">
        <is>
          <t>yeminli tercüman, traductor jurado, intérprete jurado, Türkçe, Sevilla, resmî çeviri, Dışişleri Bakanlığı</t>
        </is>
      </c>
      <c r="H204" s="29" t="inlineStr">
        <is>
          <t>new;settled</t>
        </is>
      </c>
      <c r="I204" s="29" t="inlineStr">
        <is>
          <t>sevilla:kaynak:278;sevilla:kaynak:025</t>
        </is>
      </c>
      <c r="J204" s="49" t="n">
        <v>46319</v>
      </c>
      <c r="K204" s="51" t="n">
        <v>306</v>
      </c>
      <c r="L204" s="29" t="inlineStr">
        <is>
          <t>Hayır</t>
        </is>
      </c>
      <c r="M204" s="29" t="inlineStr">
        <is>
          <t>Taslak</t>
        </is>
      </c>
      <c r="N204" s="29" t="inlineStr">
        <is>
          <t>sevilla:resmi</t>
        </is>
      </c>
      <c r="O204" s="29" t="inlineStr">
        <is>
          <t>Resmî arama aracını aç ve Provincia kutusundan SEVILLA, Idioma kutusundan TURCO seç.
Yazılı belge çevirisi için Traductor/a Jurado/a ya da Traductor/a Intérprete Jurado/a ünvanını seç; sözlü çeviri için Intérprete Jurado/a ya da Traductor/a Intérprete Jurado/a (ya da Todos) ünvanını seç.
Listedeki tercümanla iletişime geçip belgeni ve ücretini konuş.</t>
        </is>
      </c>
      <c r="P204" s="29" t="n"/>
      <c r="Q204" s="29" t="n"/>
      <c r="R204" s="29" t="n"/>
      <c r="S204" s="29" t="n"/>
      <c r="T204" s="29" t="n"/>
    </row>
    <row r="205" ht="54" customHeight="1">
      <c r="A205" s="29" t="inlineStr">
        <is>
          <t>sevilla:sevilla-registro-civil-adres-ve-telefonlar</t>
        </is>
      </c>
      <c r="B205" s="29" t="inlineStr">
        <is>
          <t>sevilla</t>
        </is>
      </c>
      <c r="C205" s="29" t="inlineStr">
        <is>
          <t>sevilla-registro-civil-adres-ve-telefonlar</t>
        </is>
      </c>
      <c r="D205" s="29" t="inlineStr">
        <is>
          <t>Sevilla'da Registro Civil nerede, hangi numaralardan ulaşılır?</t>
        </is>
      </c>
      <c r="E205" s="29" t="inlineStr">
        <is>
          <t>Registro Civil Exclusivo Nº 1 de Sevilla: C/ Vermondo Resta s/n, 41018; genel bilgi 955 51 00 56</t>
        </is>
      </c>
      <c r="F205" s="29" t="inlineStr">
        <is>
          <t>Sevilla şehrinin Registro Civil'i (medeni hâl sicili) Registro Civil Exclusivo Nº 1 de Sevilla'dır; adresi C/ Vermondo Resta s/n, 41018. Genel bilgi için 600 15 80 95 ya da 955 51 00 56 numaralarını arayabilir ya da registrocivil.sevilla@justicia.es adresine yazabilirsin. Konuya göre ayrı numaralar var: doğum, evlilik ve ölüm sertifikaları 600 15 80 84; yeni doğan kaydı 600 15 80 95; dini nikâh 600 15 80 91 ya da 955 51 00 39; medeni nikâh 955 51 00 40; ölüm kaydı 600 15 80 93; babalığın tanınması ya da soyadı sırasının değiştirilmesi gibi marjinal not (nota marginal) işlemleri 600 15 80 92; vatandaşlık, hata düzeltme, ad-soyad değişikliği ve süresi geçmiş doğum kaydı gibi expedientes gubernativos 600 15 80 85 ya da 600 15 80 88. Sevilla ilindeki bazı ilçelerin kendi Registro Civil'i var; örneğin Alcalá de Guadaira (Plaza del Duque 12, 955263118) ve Dos Hermanas (Pza. Escultora Carmen Jiménez s/n, 955541945).</t>
        </is>
      </c>
      <c r="G205" s="29" t="inlineStr">
        <is>
          <t>registro civil sevilla, vermondo resta, doğum kaydı sevilla, nikâh sevilla, medeni hâl sicili, registro civil telefon</t>
        </is>
      </c>
      <c r="H205" s="29" t="inlineStr">
        <is>
          <t>new;settled</t>
        </is>
      </c>
      <c r="I205" s="29" t="inlineStr">
        <is>
          <t>sevilla:kaynak:286;sevilla:kaynak:252</t>
        </is>
      </c>
      <c r="J205" s="49" t="n">
        <v>46320</v>
      </c>
      <c r="K205" s="51" t="n">
        <v>307</v>
      </c>
      <c r="L205" s="29" t="inlineStr">
        <is>
          <t>Hayır</t>
        </is>
      </c>
      <c r="M205" s="29" t="inlineStr">
        <is>
          <t>Taslak</t>
        </is>
      </c>
      <c r="N205" s="29" t="inlineStr">
        <is>
          <t>sevilla:resmi</t>
        </is>
      </c>
      <c r="O205" s="29" t="inlineStr">
        <is>
          <t>Konuna uygun numarayı seç (sertifika için 600 15 80 84, yeni doğan kaydı için 600 15 80 95, medeni nikâh için 955 51 00 40) ve ara.
Yüz yüze işlem için önce Registro Civil cita previa (randevu) sayfasından randevu al, sonra C/ Vermondo Resta s/n, 41018 adresindeki Registro Civil Exclusivo Nº 1'e git.
Yazılı soru için registrocivil.sevilla@justicia.es adresine yaz.
Medeni nikâh için önce registro.SE.matrimonio.jus@juntadeandalucia.es adresine yazarak bilgi iste.</t>
        </is>
      </c>
      <c r="P205" s="29" t="n"/>
      <c r="Q205" s="29" t="n"/>
      <c r="R205" s="29" t="n"/>
      <c r="S205" s="29" t="inlineStr">
        <is>
          <t>Yeni doğanı Sevilla'da yalnız Sevilla'da doğanlar ya da başka yerde doğup anne babası Sevilla'da üç ay öncesinden empadronados olanlar (veya ikisinin DNI'sinde aynı Sevilla adresi yazanlar) kaydettirebilir.</t>
        </is>
      </c>
      <c r="T205" s="29" t="n"/>
    </row>
    <row r="206" ht="54" customHeight="1">
      <c r="A206" s="29" t="inlineStr">
        <is>
          <t>sevilla:kamu-saglik-sistemine-erisim-hak-sahipleri</t>
        </is>
      </c>
      <c r="B206" s="29" t="inlineStr">
        <is>
          <t>sevilla</t>
        </is>
      </c>
      <c r="C206" s="29" t="inlineStr">
        <is>
          <t>kamu-saglik-sistemine-erisim-hak-sahipleri</t>
        </is>
      </c>
      <c r="D206" s="29" t="inlineStr">
        <is>
          <t>İspanya'da kamu sağlık sistemine (SNS) kimler girebilir, ikamet izni olmayanlar tedavi görebilir mi?</t>
        </is>
      </c>
      <c r="E206" s="29" t="inlineStr">
        <is>
          <t>Hak ikamete bağlıdır: yabancıda yasal ve mutat ikamet aranır, ikamet izni olmayanlar da belirli koşullarla kapsanır; uygulama özerk bölgelerdedir</t>
        </is>
      </c>
      <c r="F206" s="29" t="inlineStr">
        <is>
          <t>Evet, koşullarla: İspanyol vatandaşları ve İspanya'da ikameti yerleşik olan yabancılar kamu sağlık sisteminin (SNS) hak sahibidir; ikamet izni olmayan yabancılar da İspanyol vatandaşlarıyla aynı koşullarda sağlık hakkına sahiptir (Real Decreto-ley 7/2018), ancak tedavinin kamu fonlarından karşılanması aşağıdaki koşullara bağlıdır. Kamu fonuyla tedavi için yabancıda yasal ve mutat ikamet aranır ve kişinin zorunlu sağlık güvencesini başka bir yoldan kanıtlama yükümlülüğü olmaması gerekir; yasal ikamet oturum izniyle, mutat ikamet empadronamiento (belediye nüfus kaydı) ile belgelenir. İkamet izni olmayanların tedavisinin kamu fonlarından karşılanması için üç koşul aranır: başka bir yoldan zorunlu güvence yükümlülüğünün olmaması, güvencenin menşe ülkeden aktarılamaması ve ödemeyle yükümlü bir üçüncü kişinin bulunmaması; bu kişiler için hakkın tanınması özerk bölgelerin sağlık servislerinin yetkisindedir. AB, AEA veya İsviçre vatandaşlarının RD 240/2007 art. 6'daki üç aydan kısa kalışı bu "kayıtsız ve izinsiz yabancı" kategorisine girmez. Sigortalı ya da yararlanıcı olmayan ve başka bir yoldan kamu sağlık korumasına erişimi bulunmayanlar ücret karşılığı convenio especial (kamu sistemine ücretle katılım sözleşmesi) ile de hizmet alabilir; bu sözleşmeleri özerk bölgelerin sağlık servisleri yönetir ve temel koşulları Orden SSI/1475/2014 ile belirlenmiştir.</t>
        </is>
      </c>
      <c r="G206" s="29" t="inlineStr">
        <is>
          <t>kamu sağlık sistemi, SNS, evrensel erişim, Real Decreto-ley 7/2018, tarjeta sanitaria, empadronamiento, ikamet izni olmayan, convenio especial</t>
        </is>
      </c>
      <c r="H206" s="29" t="inlineStr">
        <is>
          <t>new;settled</t>
        </is>
      </c>
      <c r="I206" s="29" t="inlineStr">
        <is>
          <t>sevilla:kaynak:080;sevilla:kaynak:081</t>
        </is>
      </c>
      <c r="J206" s="49" t="n">
        <v>46319</v>
      </c>
      <c r="K206" s="51" t="n">
        <v>9059</v>
      </c>
      <c r="L206" s="29" t="inlineStr">
        <is>
          <t>Hayır</t>
        </is>
      </c>
      <c r="M206" s="29" t="inlineStr">
        <is>
          <t>Taslak</t>
        </is>
      </c>
      <c r="N206" s="29" t="inlineStr">
        <is>
          <t>sevilla:saglik</t>
        </is>
      </c>
      <c r="O206" s="29" t="inlineStr">
        <is>
          <t>Yasal ikametini oturum izninle, mutat ikametini empadronamiento (belediye nüfus kaydı) ile kanıtla.
Hak koşullarının denetimi Seguridad Social tarafında INSS'e (denizcilerde Instituto Social de la Marina'ya) aittir; koşulları sağlıyorsan bölgenin sağlık idaresi sana bireysel sağlık kartını (tarjeta sanitaria individual) verir.
İkamet iznin yoksa belgeyi bölgenin sağlık servisinden al: başvuru ve belge usulünü özerk bölgeler belirler, geçici kalış durumundaki yabancılar için ayrıca bölgenin sosyal hizmetlerinden olumlu bir ön rapor gerekir.
Sigortalı olarak kabul edilirsen eşin (ya da benzer ilişkideki kişi; resmî kayıt gerekir) ile bakımındaki çocukların ve benzer kişilerin (descendientes y personas asimiladas) yararlanıcı olarak kapsanabilir; çocuklar 26 yaşın altında ya da %65 ve üzeri engelli olmalıdır.
Sigortalı ya da yararlanıcı değilsen ve başka bir yoldan kamu sağlık korumasına erişimin yoksa convenio especial ile ücret karşılığı kamu sistemine girebilirsin; sözleşmeyi özerk bölgenin sağlık servisi yönetir, temel koşulları Orden SSI/1475/2014'te belirlenmiştir.</t>
        </is>
      </c>
      <c r="P206" s="29" t="inlineStr">
        <is>
          <t>Oturum izni (yasal ikamet için)
Empadronamiento belgesi (mutat ikamet için)</t>
        </is>
      </c>
      <c r="Q206" s="29" t="n"/>
      <c r="R206" s="29" t="n"/>
      <c r="S206" s="29" t="inlineStr">
        <is>
          <t>AB koordinasyon yönetmelikleri ya da ikili sosyal güvenlik sözleşmeleri uyarınca İspanya'da sağlık hakkı olanlar, İspanya'da ikamet ettikleri sürece ya da İspanya'ya geçici gelişlerinde, bu düzenlemelerde yazılan biçim ve koşullarla hak sahibidir. Yararlanıcı sayılacak eş ve çocukların İspanya'da yasal ve mutat ikamet etmesi (ilgili uluslararası norm aksini öngörmedikçe) ve kendilerinin çalışan, emekli ya da düzenli ödenek alan sigortalı olmaması gerekir.</t>
        </is>
      </c>
      <c r="T206" s="29" t="n"/>
    </row>
    <row r="207" ht="54" customHeight="1">
      <c r="A207" s="29" t="inlineStr">
        <is>
          <t>sevilla:saglik-sigortasi-sarti-ve-convenio-especial</t>
        </is>
      </c>
      <c r="B207" s="29" t="inlineStr">
        <is>
          <t>sevilla</t>
        </is>
      </c>
      <c r="C207" s="29" t="inlineStr">
        <is>
          <t>saglik-sigortasi-sarti-ve-convenio-especial</t>
        </is>
      </c>
      <c r="D207" s="29" t="inlineStr">
        <is>
          <t>İspanya'da vize ve oturum için sağlık sigortası gerekir mi, kamu sistemine convenio especial ile nasıl girilir?</t>
        </is>
      </c>
      <c r="E207" s="29" t="inlineStr">
        <is>
          <t>Sigorta şartı vize ve oturum türüne bağlıdır; kamu güvencesi olmayanlar için convenio especial aylık 60 € (65 yaş ve üstü 157 €)</t>
        </is>
      </c>
      <c r="F207" s="29" t="inlineStr">
        <is>
          <t>Sigorta şartı vize ve oturum türüne bağlıdır; Real Decreto 1155/2024'e göre uzun süreli öğrenci, öğrenci hareketliliği, gönüllülük ya da eğitim faaliyeti vizesinde (art. 35) İspanya'da faaliyet izni olan bir sigortacıdan, kamu sağlık sisteminin temel ortak hizmet paketine benzer teminatlı ve planlanan kalış süresince geçerli bir sağlık sigortası, çalışmaksızın geçici oturumda (art. 61) ise bir sağlık sigortası şarttır. Kamu güvencesi olmayanlar için convenio especial var: Sanidad Bakanlığı sayfasına göre kamu sağlık sistemine (SNS) ücretle katılım sağlar, 65 yaşın altında aylık 60 €, 65 yaş ve üstünde aylık 157 € tutar (sayfada yıl yok, güncel tarife). Koşullar başvurudan hemen önce en az bir yıl kesintisiz fiilî ikamet, başvuru anında İspanya'da empadronamiento ve başka bir yoldan kamu sağlık güvencesinin bulunmamasıdır. Sözleşme, empadronamiento'nun bulunduğu özerk bölgenin sağlık servisiyle (Ceuta ve Melilla'da INGESA ile) imzalanır. Sayfa convenio especial'i, ikamet için sağlık sigortası yaptırmak zorunda olan ekonomik olarak aktif olmayan yabancılara yönelik olarak tanımlıyor; dayanak olarak hem AB/AEA vatandaşlarının ikametini düzenleyen RD 240/2007'yi hem de AB dışı yabancılar için çıkarılan yönetmeliği (RD 557/2011) gösteriyor.</t>
        </is>
      </c>
      <c r="G207" s="29" t="inlineStr">
        <is>
          <t>sağlık sigortası, convenio especial, öğrenci vizesi, residencia no lucrativa, seguro de enfermedad, kamu sağlık sistemi, SNS, INGESA</t>
        </is>
      </c>
      <c r="H207" s="29" t="inlineStr">
        <is>
          <t>before;planning;new</t>
        </is>
      </c>
      <c r="I207" s="29" t="inlineStr">
        <is>
          <t>sevilla:kaynak:005;sevilla:kaynak:082</t>
        </is>
      </c>
      <c r="J207" s="49" t="n">
        <v>46319</v>
      </c>
      <c r="K207" s="51" t="n">
        <v>9060</v>
      </c>
      <c r="L207" s="29" t="inlineStr">
        <is>
          <t>Hayır</t>
        </is>
      </c>
      <c r="M207" s="29" t="inlineStr">
        <is>
          <t>Taslak</t>
        </is>
      </c>
      <c r="N207" s="29" t="inlineStr">
        <is>
          <t>sevilla:saglik</t>
        </is>
      </c>
      <c r="O207" s="29" t="inlineStr">
        <is>
          <t>Uzun süreli öğrenci vizesi için başvuruyorsan İspanya'da faaliyet izni olan bir sigortacıdan, kamu sistemine benzer teminatlı ve kalış süresince geçerli bir sağlık sigortası yaptır.
Çalışmaksızın geçici oturum için başvuruyorsan başvurunda bir sağlık sigortasına sahip olduğunu göster.
Kamu sağlık güvencen yoksa ve en az bir yıldır kesintisiz İspanya'da yaşıyorsan, empadronamiento'nun bulunduğu bölgenin sağlık servisinden convenio especial'i imzala.
Başvuruya kimlik belgeni, bir yıllık ikametini gösteren belgeyi ve empadronamiento belgeni ekle.
AB sosyal güvenlik yönetmeliklerinin uygulandığı ülkelerden ya da ikili sözleşmesi olan ülkelerden (Andorra ve Şili) geliyorsan, sağlık güvencenin İspanya'ya aktarılamadığını gösteren beyan ya da belge de ekle; sayfadaki ülke listesinde Türkiye yok; bu yalnız bu sayfadaki listeye ilişkin bir tespittir.</t>
        </is>
      </c>
      <c r="P207" s="29" t="inlineStr">
        <is>
          <t>Kimlik belgesi: kimlik kartı, NIE, pasaport ya da oturum kartı
Bir yıllık ikameti gösteren belge: Policía'nın verdiği ikamet belgesi (certificado de residente) ya da belediyenin verdiği empadronamiento belgesi
Empadronamiento belgesi (belediye nüfus kaydı)</t>
        </is>
      </c>
      <c r="Q207" s="29" t="n"/>
      <c r="R207" s="29" t="inlineStr">
        <is>
          <t>65 yaşın altında aylık 60 €; 65 yaş ve üstünde aylık 157 € (Sanidad Bakanlığı sayfasındaki güncel tarife; sayfada yıl yok).</t>
        </is>
      </c>
      <c r="S207" s="29" t="inlineStr">
        <is>
          <t>Convenio especial kamu sistemindeki tüm temel hizmetleri katkı payı ve bekleme süresi olmadan kapsar; ancak ayakta ilaç, ayakta ortopedik ürün, diyet ürünleri ve acil olmayan sağlık nakli bedelinin %100'ü hastaya aittir.</t>
        </is>
      </c>
      <c r="T207" s="29" t="n"/>
    </row>
    <row r="208" ht="54" customHeight="1">
      <c r="A208" s="29" t="inlineStr">
        <is>
          <t>sevilla:recete-ilac-katilim-payi-copago</t>
        </is>
      </c>
      <c r="B208" s="29" t="inlineStr">
        <is>
          <t>sevilla</t>
        </is>
      </c>
      <c r="C208" s="29" t="inlineStr">
        <is>
          <t>recete-ilac-katilim-payi-copago</t>
        </is>
      </c>
      <c r="D208" s="29" t="inlineStr">
        <is>
          <t>İspanya'da reçeteli ilaçların ne kadarını ödersin? Katılım payı (copago) oranları ve aylık tavanlar</t>
        </is>
      </c>
      <c r="E208" s="29" t="inlineStr">
        <is>
          <t>Art. 102'nin 28/05/2026'dan beri yürürlükteki metnine göre oran statü ve gelire bağlı: %40, %45, %50, %60; Seguridad Social emeklilerinde %10</t>
        </is>
      </c>
      <c r="F208" s="29" t="inlineStr">
        <is>
          <t>Reçeteli ilaçlarda halka satış fiyatının (PVP) bir yüzdesini eczanede kendin ödersin: BOE'deki konsolide metinde art. 102'nin 28/05/2026'dan beri yürürlükte olan redaksiyonuna göre aktif sigortalılarda (asegurado activo) ve yararlanıcılarında oran gelire bağlı olarak %40, %45, %50 ya da %60, Seguridad Social emeklilerinde ve yararlanıcılarında %10'dur. Aktif sigortalılarda gelir 18.000 € ve üzeri, 60.000 € altıysa %45, 60.000 € ve üzeri, 100.000 € altıysa %50, 100.000 € ve üzeriyse %60 ödenir; bu gruplara girmeyen aktif sigortalılar %40 öder. Emeklilerde de gelir 100.000 € ve üzeriyse oran %60'tır. Gelir, IRPF beyanındaki vergilendirilebilir genel ve tasarruf matrahı (base liquidable general y del ahorro) kutusundaki tutardır. İkamet izni olmayan yabancılarda (art. 3 ter) oran %40'tır. Oranların yanında aylık tavanlar vardır; tavanı aşan tutarı ilgili özerk bölge en geç altı ayda bir iade eder. Bu oranlar ve tavanlar yalnız reçeteli (ayakta) ilaç içindir. Temel ortak hizmet paketi tamamen kamu finansmanıyla karşılanır; ilaç, ortopedik ürün, diyet ürünleri ve acil olmayan sağlık nakli ise ek (suplementaria) pakettedir ve kullanıcı katkısına tabidir.</t>
        </is>
      </c>
      <c r="G208" s="29" t="inlineStr">
        <is>
          <t>ilaç katılım payı, copago, aportación farmacéutica, reçeteli ilaç, PVP, aylık tavan, eczane, Real Decreto Legislativo 1/2015</t>
        </is>
      </c>
      <c r="H208" s="29" t="inlineStr">
        <is>
          <t>settled</t>
        </is>
      </c>
      <c r="I208" s="29" t="inlineStr">
        <is>
          <t>sevilla:kaynak:083;sevilla:kaynak:084</t>
        </is>
      </c>
      <c r="J208" s="49" t="n">
        <v>46319</v>
      </c>
      <c r="K208" s="51" t="n">
        <v>9061</v>
      </c>
      <c r="L208" s="29" t="inlineStr">
        <is>
          <t>Hayır</t>
        </is>
      </c>
      <c r="M208" s="29" t="inlineStr">
        <is>
          <t>Taslak</t>
        </is>
      </c>
      <c r="N208" s="29" t="inlineStr">
        <is>
          <t>sevilla:saglik</t>
        </is>
      </c>
      <c r="O208" s="29" t="inlineStr">
        <is>
          <t>Reçeteni (resmî reçete ya da hastane dağıtım emri) eczaneye götür; katılım payı yalnız eczaneden bu belgeyle verilen ilaçlarda uygulanır.
Payını ilaç teslim edilirken öde; magistral formül, kişiye özel aşı ve benzeri kişiselleştirilmiş ürünlerde sipariş anında istenebilir.
Sağlık Sistemi hekimi ya da eczane isterse, kullandığın ödeme biçimine (katılım oranına) hakkın olduğunu göstermek zorundasın (art. 101.3).
Aylık tavanı aştıysan fazla ödediğin tutar için ilgili özerk bölgenin iadesini bekle; iade en geç altı ayda bir yapılır.</t>
        </is>
      </c>
      <c r="P208" s="29" t="n"/>
      <c r="Q208" s="29" t="n"/>
      <c r="R208" s="29" t="inlineStr">
        <is>
          <t>Oranlar: aktif sigortalılar gelire göre %40 / %45 / %50 / %60, Seguridad Social emeklileri %10 (geliri 100.000 € ve üzeri olanlar %60), ikamet izni olmayan yabancılar %40. Azaltılmış katılımlı ATC gruplarındaki ilaçlarda PVP'nin %10'u, en çok 4,98 €. Aylık tavan, aktif sigortalılarda gelire göre: 9.000 € altı 8,23 €; 9.000 € ve üzeri, 18.000 € altı 18,52 €; 18.000 € ve üzeri, 35.000 € altı 61,75 € (aktif sigortalılar için art. 102'de bundan yüksek gelir dilimi için tavan yazılı değildir). Emeklilerde: gelir 18.000 € altıysa 8,23 € (aşağıdaki gruplara girmeyenlerde de); 18.000 € ve üzeri, 60.000 € altı 13,37 €; 60.000 € ve üzeri, 100.000 € altı 18,52 €; 100.000 € ve üzeri 61,75 €. İkamet izni olmayan yabancılarda aylık tavan 8,23 €.</t>
        </is>
      </c>
      <c r="S208" s="29" t="inlineStr">
        <is>
          <t>Katkıdan muaf olanlar arasında iş kazası ve meslek hastalığı tedavileri, asgari yaşam geliri (ingreso mínimo vital) alanlar, katkısız emekli aylığı alanlar ve %33 ve üzeri engelli çocuklar vardır. Mutualidad General de Funcionarios Civiles del Estado, Mutualidad General Judicial ve Instituto Social de las Fuerzas Armadas kapsamındakilerde genel oran %30'dur.</t>
        </is>
      </c>
      <c r="T208" s="29" t="n"/>
    </row>
    <row r="209" ht="54" customHeight="1">
      <c r="A209" s="29" t="inlineStr">
        <is>
          <t>sevilla:acil-durumda-112</t>
        </is>
      </c>
      <c r="B209" s="29" t="inlineStr">
        <is>
          <t>sevilla</t>
        </is>
      </c>
      <c r="C209" s="29" t="inlineStr">
        <is>
          <t>acil-durumda-112</t>
        </is>
      </c>
      <c r="D209" s="29" t="inlineStr">
        <is>
          <t>İspanya'da acil durumda hangi numara aranır, arama ücretli mi?</t>
        </is>
      </c>
      <c r="E209" s="29" t="inlineStr">
        <is>
          <t>112 Avrupa ortak acil çağrı numarasıdır, arama ücretsizdir; çağrı bulunduğun bölgedeki merkeze yönlendirilir</t>
        </is>
      </c>
      <c r="F209" s="29" t="inlineStr">
        <is>
          <t>112'yi ara: Avrupa ortak (tek Avrupa) acil çağrı numarasıdır, İspanya'da ulusal düzeyde kullanılır ve aramalar ücretsizdir (Real Decreto 903/1997); idarelerin kullandığı başka acil çağrı hizmetleri de 112 ile birlikte sürebilir. Bu numaradan acil sağlık hizmetleri, yangın söndürme ve kurtarma, vatandaş güvenliği ve sivil koruma hizmetlerinden yardım isteyebilirsin. Çağrı, arama yapılan coğrafi alana göre ilgili çağrı karşılama merkezine yönlendirilir; bu merkezleri özerk bölgeler kurar ve işletir.</t>
        </is>
      </c>
      <c r="G209" s="29" t="inlineStr">
        <is>
          <t>112, acil durum, acil çağrı numarası, ambulans, itfaiye, sivil koruma, ücretsiz arama</t>
        </is>
      </c>
      <c r="H209" s="29" t="inlineStr">
        <is>
          <t>new;settled</t>
        </is>
      </c>
      <c r="I209" s="29" t="inlineStr">
        <is>
          <t>sevilla:kaynak:085</t>
        </is>
      </c>
      <c r="J209" s="49" t="n">
        <v>46319</v>
      </c>
      <c r="K209" s="51" t="n">
        <v>9062</v>
      </c>
      <c r="L209" s="29" t="inlineStr">
        <is>
          <t>Hayır</t>
        </is>
      </c>
      <c r="M209" s="29" t="inlineStr">
        <is>
          <t>Taslak</t>
        </is>
      </c>
      <c r="N209" s="29" t="inlineStr">
        <is>
          <t>sevilla:saglik</t>
        </is>
      </c>
      <c r="O209" s="29" t="inlineStr">
        <is>
          <t>Sağlık acili, yangın ve kurtarma, vatandaş güvenliği ya da sivil koruma yardımı gerektiren acil bir durumda 112'yi çevir.
Aramanın ücretsiz olduğunu bil: trafik maliyetini şebeke operatörleri üstlenir.
Çağrın bulunduğun yerin coğrafi alanına göre ilgili merkeze düşer; merkezi özerk bölge işletir.</t>
        </is>
      </c>
      <c r="P209" s="29" t="n"/>
      <c r="Q209" s="29" t="n"/>
      <c r="R209" s="29" t="inlineStr">
        <is>
          <t>Arama ücretsizdir.</t>
        </is>
      </c>
      <c r="S209" s="29" t="n"/>
      <c r="T209" s="29" t="n"/>
    </row>
    <row r="210" ht="54" customHeight="1">
      <c r="A210" s="29" t="inlineStr">
        <is>
          <t>sevilla:ulusal-asi-takvimi</t>
        </is>
      </c>
      <c r="B210" s="29" t="inlineStr">
        <is>
          <t>sevilla</t>
        </is>
      </c>
      <c r="C210" s="29" t="inlineStr">
        <is>
          <t>ulusal-asi-takvimi</t>
        </is>
      </c>
      <c r="D210" s="29" t="inlineStr">
        <is>
          <t>İspanya'da ulusal aşı takvimi var mı, aşıları kim uygular?</t>
        </is>
      </c>
      <c r="E210" s="29" t="inlineStr">
        <is>
          <t>Sağlık Bakanlığı 2026 için yaşam boyu ortak aşı takvimini yayımlıyor; takvimin uygulanması özerk bölgelerin yetkisindedir</t>
        </is>
      </c>
      <c r="F210" s="29" t="inlineStr">
        <is>
          <t>Evet: İspanya'da Ulusal Sağlık Sistemi Bölgelerarası Konseyi'nin (CISNS) yaşam boyu ortak aşı takvimi var; Sağlık Bakanlığı sayfası bunu 2026 için yayımlıyor ve takvim yaşa göre tüm nüfusa önerilen aşıları içeriyor. Takvimi CISNS'de tüm özerk bölgeler ve Sağlık Bakanlığı birlikte uyumlaştırır; ancak takvimin kendi bölgende kurulması, uygulanması ve değerlendirilmesi özerk bölgelerin yetkisindedir. Aynı sayfada risk gruplarına yönelik çocuk ve yetişkin takvimleri, hızlandırılmış takvim ve özerk bölgelerin kendi takvimleri için ayrı bağlantılar bulunur.</t>
        </is>
      </c>
      <c r="G210" s="29" t="inlineStr">
        <is>
          <t>aşı takvimi, calendario de vacunación, CISNS, yaşam boyu aşı, risk grupları, özerk bölge, aşılama</t>
        </is>
      </c>
      <c r="H210" s="29" t="inlineStr">
        <is>
          <t>settled</t>
        </is>
      </c>
      <c r="I210" s="29" t="inlineStr">
        <is>
          <t>sevilla:kaynak:086</t>
        </is>
      </c>
      <c r="J210" s="49" t="n">
        <v>46319</v>
      </c>
      <c r="K210" s="51" t="n">
        <v>9063</v>
      </c>
      <c r="L210" s="29" t="inlineStr">
        <is>
          <t>Hayır</t>
        </is>
      </c>
      <c r="M210" s="29" t="inlineStr">
        <is>
          <t>Taslak</t>
        </is>
      </c>
      <c r="N210" s="29" t="inlineStr">
        <is>
          <t>sevilla:saglik</t>
        </is>
      </c>
      <c r="O210" s="29" t="inlineStr">
        <is>
          <t>2026 yaşam boyu aşı takvimini Sanidad Bakanlığı sayfasındaki "Calendario de vacunación a lo largo de toda la vida" bağlantısından aç.
Risk grubundaysan sayfadaki risk grupları takvimine (çocuklar için ya da yetişkinler için) bak.
Sayfada ayrıca hızlandırılmış takvim (calendario acelerado) bağlantısı var; Ocak 2025'te güncellenmiş.
Kendi bölgenin takvimi için sayfadaki "Calendarios de CCAA" bağlantısını kullan; takvimi bölgenin kendisi uygular.</t>
        </is>
      </c>
      <c r="P210" s="29" t="n"/>
      <c r="Q210" s="29" t="inlineStr">
        <is>
          <t>Takvim 2026 için yayımlanmıştır.</t>
        </is>
      </c>
      <c r="R210" s="29" t="n"/>
      <c r="S210" s="29" t="n"/>
      <c r="T210" s="29" t="n"/>
    </row>
    <row r="211" ht="54" customHeight="1">
      <c r="A211" s="29" t="inlineStr">
        <is>
          <t>sevilla:hamilelik-dogum-ve-cocuk-sagligi-haklari</t>
        </is>
      </c>
      <c r="B211" s="29" t="inlineStr">
        <is>
          <t>sevilla</t>
        </is>
      </c>
      <c r="C211" s="29" t="inlineStr">
        <is>
          <t>hamilelik-dogum-ve-cocuk-sagligi-haklari</t>
        </is>
      </c>
      <c r="D211" s="29" t="inlineStr">
        <is>
          <t>İspanya'da hamilelik, doğum ve çocuk sağlığı için kamu sistemi hangi hizmetleri sunar, doğum ödeneği kime verilir?</t>
        </is>
      </c>
      <c r="E211" s="29" t="inlineStr">
        <is>
          <t>Gebelik takibi, doğum sonrası ilk ay ziyareti ve çocuk sağlığı ortak hizmet paketindedir; doğum ve bakım ödeneği çalışanlara Seguridad Social'dan verilir</t>
        </is>
      </c>
      <c r="F211" s="29" t="inlineStr">
        <is>
          <t>Gebelik takibi, doğumdan sonraki ilk ay ziyareti ve çocuk sağlığı hizmetleri kamu sağlık sisteminin (SNS) ortak hizmet paketinde yer alır; doğum ve bakım ödeneği (prestación por nacimiento y cuidado de menor) ise Seguridad Social'ın çalışanlara verdiği ayrı bir ödenektir. Birinci basamakta hamile kadın ilk trimesterde sisteme alınır ve riskli gebelikler saptanır, normal gebelik uzman bakımla koordineli izlenir, emzirme ve doğuma hazırlık dahil anne eğitimi verilir ve doğumdan sonraki ilk ayda anne ile yenidoğanın durumunu değerlendiren lohusa ziyareti yapılır; hizmetin düzeni ilgili bölgenin sağlık servisine göre değişir. Çocuklar için büyüme ve psikomotor gelişim değerlendirmesi, ani bebek ölümünün önlenmesi, yenidoğan metabolizma hastalıkları taraması ile işitme ve görme sorunlarının erken saptanması ortak paketin parçasıdır. Doğum ve bakım izninin süresi 31/07/2025'te yürürlüğe giren Real Decreto-ley 9/2025 ile uzatıldı; ödenek düzenleyici matrahın %100'üdür, ücretli ya da serbest çalışan, cinsiyetten bağımsız sigortalılara verilir; sigortalı (alta ya da alta benzeri durumda) olmak ve doğum tarihindeki yaşa göre asgari prim süresini tamamlamak gerekir.</t>
        </is>
      </c>
      <c r="G211" s="29" t="inlineStr">
        <is>
          <t>hamilelik, doğum, lohusa, çocuk sağlığı, doğum ödeneği, nacimiento y cuidado de menor, prenatal tarama, Seguridad Social</t>
        </is>
      </c>
      <c r="H211" s="29" t="inlineStr">
        <is>
          <t>settled</t>
        </is>
      </c>
      <c r="I211" s="29" t="inlineStr">
        <is>
          <t>sevilla:kaynak:087;sevilla:kaynak:088</t>
        </is>
      </c>
      <c r="J211" s="49" t="n">
        <v>46319</v>
      </c>
      <c r="K211" s="51" t="n">
        <v>9064</v>
      </c>
      <c r="L211" s="29" t="inlineStr">
        <is>
          <t>Hayır</t>
        </is>
      </c>
      <c r="M211" s="29" t="inlineStr">
        <is>
          <t>Taslak</t>
        </is>
      </c>
      <c r="N211" s="29" t="inlineStr">
        <is>
          <t>sevilla:saglik</t>
        </is>
      </c>
      <c r="O211" s="29" t="inlineStr">
        <is>
          <t>Hamileliğini öğrenince ilk trimesterde birinci basamak sağlık hizmetine başvur; gebelik takibi ve riskli gebelik taraması burada başlar.
Takipte sifiliz, HIV, hepatit B ve B grubu streptokok taramalarını iste; bunların tüm hamile kadınlara önerilmesi gerekir.
Gebelikte en az bir diş hekimi muayenesi yaptır; mümkünse ilk trimesterde.
Doğumdan sonraki ilk ay içinde lohusa ziyaretine git; anne ve yenidoğanın sağlık durumu değerlendirilir.
Doğum ve bakım ödeneği için Seguridad Social'da sigortalı (alta) olmalı ve doğum tarihindeki yaşına göre asgari prim süresini tamamlamış olmalısın: 21 yaşın altında prim süresi aranmaz; 21-25 yaşta son 7 yıl içinde 90 gün ya da yaşam boyu 180 gün; 26 yaş ve üstünde son 7 yıl içinde 180 gün ya da yaşam boyu 360 gün.
Diğer koşulları sağlayıp asgari prim süresini tamamlayamıyorsan, IPREM'in %100'üne denk gelen (matrah daha düşükse matrahın tutarındaki) prim şartsız ödeneğe (subsidio no contributivo) başvurabilirsin.
Kararlar ve bildirimler yalnız elektronik yoldan gönderilir; Seguridad Social'ın elektronik bildirim hizmetini (Notificaciones telemáticas) takip et.</t>
        </is>
      </c>
      <c r="P211" s="29" t="n"/>
      <c r="Q211" s="29" t="n"/>
      <c r="R211" s="29" t="inlineStr">
        <is>
          <t>Doğum ve bakım ödeneği düzenleyici matrahın %100'üdür; prim şartsız ödenek IPREM'in %100'ü ya da matrah daha düşükse matrahtır.</t>
        </is>
      </c>
      <c r="S211" s="29" t="inlineStr">
        <is>
          <t>Prim şartlı ödeneğin süresi, İşçi Statüsü (ET) art. 48.4, 5 ve 6 uyarınca kullanılan dinlenme ve izin dönemleri kadardır; prim şartsız ödenek (subsidio no contributivo) ise zorunlu dinlenme süresi kadardır; süre en çok 14 takvim günü artabilir.</t>
        </is>
      </c>
      <c r="T211" s="29" t="n"/>
    </row>
    <row r="212" ht="54" customHeight="1">
      <c r="A212" s="29" t="inlineStr">
        <is>
          <t>sevilla:ruh-sagligi-ve-yasli-bakimi-dependencia</t>
        </is>
      </c>
      <c r="B212" s="29" t="inlineStr">
        <is>
          <t>sevilla</t>
        </is>
      </c>
      <c r="C212" s="29" t="inlineStr">
        <is>
          <t>ruh-sagligi-ve-yasli-bakimi-dependencia</t>
        </is>
      </c>
      <c r="D212" s="29" t="inlineStr">
        <is>
          <t>İspanya'da ruh sağlığı bakımı ve yaşlı-bağımlı bakımı (dependencia) kamu sistemi kapsamında mı, kimler yararlanır?</t>
        </is>
      </c>
      <c r="E212" s="29" t="inlineStr">
        <is>
          <t>Ruh sağlığı ortak hizmet paketindedir; bakım desteği (SAAD) için 23/10/2026 itibarıyla ayrı koşullar geçerlidir ve uygulama özerk bölgelerle birliktedir</t>
        </is>
      </c>
      <c r="F212" s="29" t="inlineStr">
        <is>
          <t>Evet: ruh sağlığı bakımı Ulusal Sağlık Sistemi'nin ortak hizmet paketindedir; yaşlı ve bağımlı kişilerin bakımı ise Ley 39/2006 ile kurulan ayrı bir sistem (SAAD) üzerinden desteklenir ve hak sahipliği ayrı koşullara bağlıdır. Ruh sağlığı bakımı ruhsal bozuklukların tanı ve klinik takibini, ilaç tedavisini, bireysel, grup ve aile psikoterapilerini (psikanaliz ve hipnoz hariç), elektrokonvülsif tedaviyi ve gerekirse hastaneye yatışı kapsar; birinci basamakta uyum, kaygı ve depresif bozuklukların tanı ve tedavisi yapılır, gerekirse ruh sağlığı servislerine sevk edilir. 23/10/2026 itibarıyla (Ley 4/2026 ile değişen güncel metne göre) Ley 39/2006 art. 5.1, hak sahipliğini şu şartları taşıyan İspanyol vatandaşlarına tanır: bağımlılık derecelerinden birinde bulunmak ve İspanya'da beş yıl yaşamış olmak (son iki yıl başvurudan hemen önce). Asilo başvurucuları (ilgili belgeyi sunmuşlarsa), asilo ya da ikincil koruma sahipleri ve geçici koruma yararlanıcıları için İspanyol vatandaşlığı ve beş yıllık ikamet şartı aranmaz. Art. 5.2'ye göre yukarıdaki şartları taşıyıp İspanyol vatandaşı olmayanlar Ley Orgánica 4/2000'e, uluslararası antlaşmalara ve menşe ülkeyle yapılan sözleşmelere tabidir; yani yabancının durumu yalnız asilo ve geçici korumayla sınırlı değildir, koşulları bu düzenlemeler belirler. Bu kaynak Türk vatandaşları için ayrı bir hüküm içermez. Sistemi Devlet ve özerk bölgeler birlikte yürütür: Devlet ülkenin her yerinde geçerli ortak bir asgari hak içeriğini garanti eder, bağımlı kişi yaşadığı bölgeden bağımsız olarak, bu Ley'de öngörülen hizmet ve ödeneklere Ley'de yazılı koşullarla eşit koşullarda erişim hakkına sahiptir; özerk bölgeler isterlerse ek bir koruma düzeyi geliştirebilir, bu yüzden ek hizmetler bölgeye göre değişir.</t>
        </is>
      </c>
      <c r="G212" s="29" t="inlineStr">
        <is>
          <t>ruh sağlığı, psikoterapi, bağımlılık, dependencia, Ley 39/2006, SAAD, yaşlı bakımı, bakım veren, asilo</t>
        </is>
      </c>
      <c r="H212" s="29" t="inlineStr">
        <is>
          <t>settled</t>
        </is>
      </c>
      <c r="I212" s="29" t="inlineStr">
        <is>
          <t>sevilla:kaynak:087;sevilla:kaynak:089</t>
        </is>
      </c>
      <c r="J212" s="49" t="n">
        <v>46319</v>
      </c>
      <c r="K212" s="51" t="n">
        <v>9065</v>
      </c>
      <c r="L212" s="29" t="inlineStr">
        <is>
          <t>Hayır</t>
        </is>
      </c>
      <c r="M212" s="29" t="inlineStr">
        <is>
          <t>Taslak</t>
        </is>
      </c>
      <c r="N212" s="29" t="inlineStr">
        <is>
          <t>sevilla:saglik</t>
        </is>
      </c>
      <c r="O212" s="29" t="inlineStr">
        <is>
          <t>Ruh sağlığı sorunları için önce birinci basamak sağlık hizmetine başvur: uyum, kaygı ve depresif bozuklukların tanı ve tedavisi burada yapılır, gerekirse ruh sağlığı servislerine sevk edilirsin.
Alkol ve kumar gibi bağımlılıklar için de ortak pakette tanı ve tedavi vardır.
Çocuk ve ergenlerin ruh sağlığı sorunlarında (otizm ve yeme bozuklukları dahil) ayakta tedavi, gündüz hastanesinde (hospital de día) psikoterapötik müdahaleler ve gerektiğinde yatış kapsanır.
Bakıma muhtaç bir yakının için hak sahipliği koşullarına (bağımlılık derecesi, İspanya'da beş yıl ikamet; İspanyol vatandaşı değilsen art. 5.2 uyarınca Ley Orgánica 4/2000, uluslararası antlaşmalar ve menşe ülke sözleşmeleri; asilo ve geçici korumada yukarıdaki istisnalar) uyup uymadığını belirle.
Yakınına evde bakıyorsan ve aile ortamında bakım için ekonomik ödeneği tanıyan kararda ana bakım veren olarak belirtildiysen, istihdam politikasında öncelikli grup olma, bakım sorumluluğunu çalışma hayatıyla uyumlaştıran önlemler ve Seguridad Social'a dahil olma haklarından yararlanabilirsin.</t>
        </is>
      </c>
      <c r="P212" s="29" t="n"/>
      <c r="Q212" s="29" t="inlineStr">
        <is>
          <t>Ley 39/2006 art. 5'in güncel metni 23/10/2026'dan itibaren yürürlüktedir; bakım veren haklarını düzenleyen art. 4 bis de 23/10/2026'dan itibaren yürürlüktedir.</t>
        </is>
      </c>
      <c r="R212" s="29" t="n"/>
      <c r="S212" s="29" t="inlineStr">
        <is>
          <t>Bakıma muhtaçlık (dependencia), yaşa, engelliliğe ya da hastalığa bağlı olabilen ve günlük yaşam etkinlikleri için başkalarının bakımına ya da önemli desteğe ihtiyaç doğuran kalıcı bir durumdur. 6 yaşından küçük çocuklar için ayrı bir ek hüküm uygulanır.</t>
        </is>
      </c>
      <c r="T212" s="29" t="n"/>
    </row>
    <row r="213" ht="54" customHeight="1">
      <c r="A213" s="29" t="inlineStr">
        <is>
          <t>sevilla:endulus-saglik-karti-tarjeta-sanitaria-ve-aile-hekimi-secimi</t>
        </is>
      </c>
      <c r="B213" s="29" t="inlineStr">
        <is>
          <t>sevilla</t>
        </is>
      </c>
      <c r="C213" s="29" t="inlineStr">
        <is>
          <t>endulus-saglik-karti-tarjeta-sanitaria-ve-aile-hekimi-secimi</t>
        </is>
      </c>
      <c r="D213" s="29" t="inlineStr">
        <is>
          <t>Endülüs'te kamu sağlık kartı (tarjeta sanitaria) nasıl alınır, aile hekimi ve sağlık merkezi nasıl seçilir?</t>
        </is>
      </c>
      <c r="E213" s="29" t="inlineStr">
        <is>
          <t>İlk kart yalnız sağlık merkezinde başvuruyla alınır; hekim seçimi merkezde ya da Cl@ve gibi güvenli kimlikle çevrim içi yapılır</t>
        </is>
      </c>
      <c r="F213" s="29" t="inlineStr">
        <is>
          <t>İlk tarjeta sanitaria'yı çevrim içi alamazsın; kendi sağlık merkezine (centro de salud) gidip başvurursun. Kartı kamu sağlık kapsamı olan ve Endülüs'te oturan kişi isteyebilir. Merkez, INSS'in verdiği sigortalı ya da yararlanıcı belgesini ve empadronamiento (belediye nüfus kaydı) belgesini ister. Aile hekimini ve merkezi, evinin bağlı olduğu sağlık bölgesindeki (distrito sanitario) profesyoneller arasından seçersin; merkezde başvurursan yanıt 45 günden önce gelir, Cl@ve, dijital sertifika ya da e-DNI'ın varsa seçim ClicSalud+ üzerinden çevrim içi yapılır.</t>
        </is>
      </c>
      <c r="G213" s="29" t="inlineStr">
        <is>
          <t>tarjeta sanitaria, sağlık kartı, centro de salud, aile hekimi, médico de familia, ClicSalud+, empadronamiento, Cl@ve</t>
        </is>
      </c>
      <c r="H213" s="29" t="inlineStr">
        <is>
          <t>new;settled</t>
        </is>
      </c>
      <c r="I213" s="29" t="inlineStr">
        <is>
          <t>sevilla:kaynak:128;sevilla:kaynak:129</t>
        </is>
      </c>
      <c r="J213" s="49" t="n">
        <v>46319</v>
      </c>
      <c r="K213" s="51" t="n">
        <v>9096</v>
      </c>
      <c r="L213" s="29" t="inlineStr">
        <is>
          <t>Hayır</t>
        </is>
      </c>
      <c r="M213" s="29" t="inlineStr">
        <is>
          <t>Taslak</t>
        </is>
      </c>
      <c r="N213" s="29" t="inlineStr">
        <is>
          <t>sevilla:saglik</t>
        </is>
      </c>
      <c r="O213" s="29" t="inlineStr">
        <is>
          <t>Endülüs'teki sağlık merkezini (centro de atención primaria) bul ve ilk başvuru için doğrudan oraya git.
Başvuru formunu (modelo de solicitud) doldur; belgelerin aslını ve fotokopisini götür.
Aile hekimini ve merkezi, evinin bağlı olduğu sağlık bölgesindeki profesyoneller arasından seç; merkezde seçim formunu doldur.
Cl@ve, dijital sertifika ya da e-DNI'ın varsa seçimi ClicSalud+ üzerinden yap, hekim değişikliği hemen işlenir; atama belgesini yazdır ya da kaydet.
Kartla ilgili sorular için merkeze gitmeden önce Salud Responde'yi 955 54 50 60 numarasından arayabilirsin.</t>
        </is>
      </c>
      <c r="P213" s="29" t="inlineStr">
        <is>
          <t>Başvuru formu (modelo de solicitud), doldurulmuş
Başvuru sahibinin DNI'ı
14 yaşından büyük yararlanıcı için DNI; 14 yaşından küçük ya da yeni doğan için Libro de Familia
INSS'in verdiği sigortalı (asegurado) ya da sigortalının yararlanıcısı (beneficiario) olduğunu gösteren belge
Endülüs'te ikameti gösteren empadronamiento belgesi</t>
        </is>
      </c>
      <c r="Q213" s="29" t="inlineStr">
        <is>
          <t>Merkezde yaptığın hekim seçimi başvurusuna 45 günden önce yanıt gelir; çevrim içi seçim hemen işlenir. Hekim değişikliği için son değişiklikten en az üç ay geçmiş olmalı.</t>
        </is>
      </c>
      <c r="R213" s="29" t="n"/>
      <c r="S213" s="29" t="inlineStr">
        <is>
          <t>Hekim talebi, hekimin hasta kotasının dolu olması gibi nedenlerle reddedilebilir. Cl@ve, dijital sertifika ya da e-DNI'ın yoksa hekim ve merkez seçimini yalnızca sağlık merkezinde yapabilirsin; oturmadığın bir yerleşimdeki merkezi seçersen de merkezde yapılır. Hangi merkez ve sağlık bölgesine bağlı olduğun evinin adresine göre değişir. Kartın sanal sürümü (TSV) 26 Mart 2026'dan beri kamu sağlık kapsamı olan ve Endülüs'te oturan kişilere açıktır; Salud Andalucía uygulaması, ClicSalud+ ya da Carpeta ciudadana üzerinden Cl@ve, dijital sertifika veya e-DNI ile etkinleştirilir. TSV için yaş sınırı yoktur, ancak 18 yaş altı için Cl@ve gerekir.</t>
        </is>
      </c>
      <c r="T213" s="29" t="n"/>
    </row>
    <row r="214" ht="54" customHeight="1">
      <c r="A214" s="29" t="inlineStr">
        <is>
          <t>sevilla:sevilla-kamu-hastaneleri-rocio-macarena-valme</t>
        </is>
      </c>
      <c r="B214" s="29" t="inlineStr">
        <is>
          <t>sevilla</t>
        </is>
      </c>
      <c r="C214" s="29" t="inlineStr">
        <is>
          <t>sevilla-kamu-hastaneleri-rocio-macarena-valme</t>
        </is>
      </c>
      <c r="D214" s="29" t="inlineStr">
        <is>
          <t>Sevilla'daki üç büyük kamu hastanesi hangileri, adresleri ve telefonları nedir?</t>
        </is>
      </c>
      <c r="E214" s="29" t="inlineStr">
        <is>
          <t>Virgen del Rocío, Virgen Macarena ve Virgen de Valme: adres ve telefonlar</t>
        </is>
      </c>
      <c r="F214" s="29" t="inlineStr">
        <is>
          <t>Sevilla'da kamu sağlık ağının büyük hastaneleri Virgen del Rocío, Virgen Macarena ve Virgen de Valme'dir. Rocío'nun adresi Avda. Manuel Siurot s/n, 41013 Sevilla, santral numarası 955 01 20 00. Macarena Avenida Doctor Fedriani 3'tedir, telefonu 955 00 80 00. Valme için Sağlık Bakanlığı kataloğu Avenida de Bellavista s/n adresini ve 955 01 51 60 numarasını veriyor. Aynı katalog Sevilla ilinde toplam 29 hastane sayıyor.</t>
        </is>
      </c>
      <c r="G214" s="29" t="inlineStr">
        <is>
          <t>hastane, Virgen del Rocío, Macarena, Valme, hospital, Sevilla hastaneleri</t>
        </is>
      </c>
      <c r="H214" s="29" t="inlineStr">
        <is>
          <t>new;settled</t>
        </is>
      </c>
      <c r="I214" s="29" t="inlineStr">
        <is>
          <t>sevilla:kaynak:225;sevilla:kaynak:232</t>
        </is>
      </c>
      <c r="J214" s="49" t="n">
        <v>46319</v>
      </c>
      <c r="K214" s="51" t="n">
        <v>700</v>
      </c>
      <c r="L214" s="29" t="inlineStr">
        <is>
          <t>Evet</t>
        </is>
      </c>
      <c r="M214" s="29" t="inlineStr">
        <is>
          <t>Taslak</t>
        </is>
      </c>
      <c r="N214" s="29" t="inlineStr">
        <is>
          <t>sevilla:saglik</t>
        </is>
      </c>
      <c r="O214" s="29" t="inlineStr">
        <is>
          <t>Rocío'ya gideceksen santrali 955 01 20 00'dan ara.
Macarena için 955 00 80 00'ı, Valme için 955 01 51 60'ı ara.
Sevilla ilindeki diğer hastaneleri Sağlık Bakanlığı kataloğundan adres ve telefonuyla bul.</t>
        </is>
      </c>
      <c r="P214" s="29" t="n"/>
      <c r="Q214" s="29" t="n"/>
      <c r="R214" s="29" t="n"/>
      <c r="S214" s="29" t="inlineStr">
        <is>
          <t>Katalogdaki yatak sayısı Macarena'da 777, Valme'de 617. Rocío'nun kendi sayfası hastaneyi "Hospital regional" (bölge hastanesi) olarak sınıflandırıyor.</t>
        </is>
      </c>
      <c r="T214" s="29" t="n"/>
    </row>
    <row r="215" ht="54" customHeight="1">
      <c r="A215" s="29" t="inlineStr">
        <is>
          <t>sevilla:virgen-del-rocio-hastane-kampusu-birimleri</t>
        </is>
      </c>
      <c r="B215" s="29" t="inlineStr">
        <is>
          <t>sevilla</t>
        </is>
      </c>
      <c r="C215" s="29" t="inlineStr">
        <is>
          <t>virgen-del-rocio-hastane-kampusu-birimleri</t>
        </is>
      </c>
      <c r="D215" s="29" t="inlineStr">
        <is>
          <t>Virgen del Rocío hastane kampüsünde hangi hastaneler ve muayene merkezleri var?</t>
        </is>
      </c>
      <c r="E215" s="29" t="inlineStr">
        <is>
          <t>Kadın, çocuk, travma ve genel hastane; Doctor Fleming ve Marqués de Paradas muayene merkezleri</t>
        </is>
      </c>
      <c r="F215" s="29" t="inlineStr">
        <is>
          <t>Virgen del Rocío tek bir bina değil, bir hastane topluluğudur. Yatan hasta merkezleri: Hospital de la Mujer, Hospital de Rehabilitación y Traumatología, Hospital Dr. Muñoz Cariñanos, Hospital Duques del Infantado, Hospital General ve Hospital Infantil. Ayakta muayene (consultas externas) için Doctor Fleming ve Virgen de los Reyes (Marqués de Paradas) merkezleri ile Centro de Diagnóstico y Tratamiento var. Genel vatandaş hizmetleri hattı 955 01 25 59.</t>
        </is>
      </c>
      <c r="G215" s="29" t="inlineStr">
        <is>
          <t>Virgen del Rocío, Hospital de la Mujer, Hospital General, consultas externas, Doctor Fleming, Marqués de Paradas</t>
        </is>
      </c>
      <c r="H215" s="29" t="inlineStr">
        <is>
          <t>new;settled</t>
        </is>
      </c>
      <c r="I215" s="29" t="inlineStr">
        <is>
          <t>sevilla:kaynak:225</t>
        </is>
      </c>
      <c r="J215" s="49" t="n">
        <v>46319</v>
      </c>
      <c r="K215" s="51" t="n">
        <v>701</v>
      </c>
      <c r="L215" s="29" t="inlineStr">
        <is>
          <t>Hayır</t>
        </is>
      </c>
      <c r="M215" s="29" t="inlineStr">
        <is>
          <t>Taslak</t>
        </is>
      </c>
      <c r="N215" s="29" t="inlineStr">
        <is>
          <t>sevilla:saglik</t>
        </is>
      </c>
      <c r="O215" s="29" t="inlineStr">
        <is>
          <t>Randevu mektubunda hangi merkezin yazdığına bak; kampüsteki birimler farklı adreslerde.
Ana adres Avda. Manuel Siurot s/n, 41013 Sevilla; santral 955 01 20 00.
Bilgi için Atención a la ciudadanía hattını 955 01 25 59'dan ara.</t>
        </is>
      </c>
      <c r="P215" s="29" t="n"/>
      <c r="Q215" s="29" t="n"/>
      <c r="R215" s="29" t="n"/>
      <c r="S215" s="29" t="inlineStr">
        <is>
          <t>Ruh sağlığı ve diyaliz birimleri de aynı kurumun listesinde ayrı başlıklarla geçiyor.</t>
        </is>
      </c>
      <c r="T215" s="29" t="n"/>
    </row>
    <row r="216" ht="54" customHeight="1">
      <c r="A216" s="29" t="inlineStr">
        <is>
          <t>sevilla:rocio-hospital-infantil-cocuk-acili-kapilari</t>
        </is>
      </c>
      <c r="B216" s="29" t="inlineStr">
        <is>
          <t>sevilla</t>
        </is>
      </c>
      <c r="C216" s="29" t="inlineStr">
        <is>
          <t>rocio-hospital-infantil-cocuk-acili-kapilari</t>
        </is>
      </c>
      <c r="D216" s="29" t="inlineStr">
        <is>
          <t>Çocuğun acile gitmesi gerekirse Hospital Infantil Virgen del Rocío'da nereye girilir, hangi numaralar aranır?</t>
        </is>
      </c>
      <c r="E216" s="29" t="inlineStr">
        <is>
          <t>Calle Luca de Tena s/n: acil ve gözlem 12 numaralı kapıdan; telefonlar tek tek</t>
        </is>
      </c>
      <c r="F216" s="29" t="inlineStr">
        <is>
          <t>Hospital Infantil, C/ Luca de Tena s/n, 41013 Sevilla adresindedir; telefonu 955 01 20 00. Hizmetler girdiğin kapıya göre değişir ve bütün kapılar birbirine bağlı değildir. Acil ve gözlem (Urgencias y Observación) birimine 12 numaralı kapıdan girilir: bilgi 955 01 29 14 ya da 955 01 29 15, kabul 955 01 28 90. Ana kapı hastane yatışı, yoğun bakım, muayene ve ameliyat bölümleri içindir.</t>
        </is>
      </c>
      <c r="G216" s="29" t="inlineStr">
        <is>
          <t>Hospital Infantil, çocuk acili, urgencias pediátricas, Virgen del Rocío, Luca de Tena, çocuk hastanesi</t>
        </is>
      </c>
      <c r="H216" s="29" t="inlineStr">
        <is>
          <t>new;settled</t>
        </is>
      </c>
      <c r="I216" s="29" t="inlineStr">
        <is>
          <t>sevilla:kaynak:227;sevilla:kaynak:228</t>
        </is>
      </c>
      <c r="J216" s="49" t="n">
        <v>46319</v>
      </c>
      <c r="K216" s="51" t="n">
        <v>702</v>
      </c>
      <c r="L216" s="29" t="inlineStr">
        <is>
          <t>Hayır</t>
        </is>
      </c>
      <c r="M216" s="29" t="inlineStr">
        <is>
          <t>Taslak</t>
        </is>
      </c>
      <c r="N216" s="29" t="inlineStr">
        <is>
          <t>sevilla:saglik</t>
        </is>
      </c>
      <c r="O216" s="29" t="inlineStr">
        <is>
          <t>Çocuğu acile götürüyorsan Luca de Tena s/n adresindeki Hospital Infantil'de 12 numaralı kapıyı (Urgencias y Observación) bul.
Kabul için 955 01 28 90, bilgi için 955 01 29 14 / 955 01 29 15 numaralarını ara.
Sosyal hizmet uzmanına (Trabajo Social) 955 01 29 72'den ulaş.
Acil çocuk servisi e-postası urgenciaspediatricas.hur.ssspa@juntadeandalucia.es; randevu değişikliği ve iptali için Salud Responde 955 54 50 60.</t>
        </is>
      </c>
      <c r="P216" s="29" t="n"/>
      <c r="Q216" s="29" t="n"/>
      <c r="R216" s="29" t="n"/>
      <c r="S216" s="29" t="inlineStr">
        <is>
          <t>Acil bekleme salonu aileler için: acil/gözlem 955 01 29 94, yoğun bakım 955 01 29 23.</t>
        </is>
      </c>
      <c r="T216" s="29" t="n"/>
    </row>
    <row r="217" ht="54" customHeight="1">
      <c r="A217" s="29" t="inlineStr">
        <is>
          <t>sevilla:sevilla-kent-ici-saglik-merkezleri-distrito-sevilla</t>
        </is>
      </c>
      <c r="B217" s="29" t="inlineStr">
        <is>
          <t>sevilla</t>
        </is>
      </c>
      <c r="C217" s="29" t="inlineStr">
        <is>
          <t>sevilla-kent-ici-saglik-merkezleri-distrito-sevilla</t>
        </is>
      </c>
      <c r="D217" s="29" t="inlineStr">
        <is>
          <t>Sevilla kent içinde hangi sağlık merkezleri (centro de salud) var, Distrito Sevilla'ya nasıl ulaşılır?</t>
        </is>
      </c>
      <c r="E217" s="29" t="inlineStr">
        <is>
          <t>Alamillo'dan Virgen de África'ya merkezler; Distrito Sevilla Avda. de Jerez'de</t>
        </is>
      </c>
      <c r="F217" s="29" t="inlineStr">
        <is>
          <t>Sevilla şehrinin birinci basamak sağlık hizmetini SAS'ın Distrito Sevilla birimi yürütür; merkezi Avda. de Jerez s/n, 41013 Sevilla'dadır (eski Hospital Militar). Vatandaş hizmetleri hattı 954 54 45 25, santral 954 54 45 40. "Zona básica Sevilla" altında Alamillo, Amate, Bellavista, Cerro del Águila, El Porvenir, Los Bermejales, Pino Montano A ve B, Polígono Sur, Ronda Histórica, San Jerónimo, Torreblanca, Virgen de África gibi merkezler sıralanıyor. Palmete ve Valdezorras'ta ise consultorio (küçük muayenehane) var. Merkez listesi SAS'ın 29 Ocak 2024 tarihli sayfasına dayanır.</t>
        </is>
      </c>
      <c r="G217" s="29" t="inlineStr">
        <is>
          <t>centro de salud, Distrito Sevilla, SAS, aile hekimi, Amate, Pino Montano, Torreblanca, Los Bermejales</t>
        </is>
      </c>
      <c r="H217" s="29" t="inlineStr">
        <is>
          <t>new;settled</t>
        </is>
      </c>
      <c r="I217" s="29" t="inlineStr">
        <is>
          <t>sevilla:kaynak:221</t>
        </is>
      </c>
      <c r="J217" s="49" t="n">
        <v>46319</v>
      </c>
      <c r="K217" s="51" t="n">
        <v>703</v>
      </c>
      <c r="L217" s="29" t="inlineStr">
        <is>
          <t>Hayır</t>
        </is>
      </c>
      <c r="M217" s="29" t="inlineStr">
        <is>
          <t>Taslak</t>
        </is>
      </c>
      <c r="N217" s="29" t="inlineStr">
        <is>
          <t>sevilla:saglik</t>
        </is>
      </c>
      <c r="O217" s="29" t="inlineStr">
        <is>
          <t>Oturduğun mahalledeki merkezi listeden bul.
Distrito Sevilla'nın vatandaş hizmetleri hattını (Atención a la ciudadanía) 954 54 45 25'ten ara.
Sağlık kartını ve hekim seçimini ülke paketindeki Endülüs kartından izle.</t>
        </is>
      </c>
      <c r="P217" s="29" t="n"/>
      <c r="Q217" s="29" t="n"/>
      <c r="R217" s="29" t="n"/>
      <c r="S217" s="29" t="inlineStr">
        <is>
          <t>Listede Aeropuerto Viejo, Palmete ve Valdezorras consultorio olarak, El Gordillo consultorio auxiliar olarak geçiyor.</t>
        </is>
      </c>
      <c r="T217" s="29" t="n"/>
    </row>
    <row r="218" ht="54" customHeight="1">
      <c r="A218" s="29" t="inlineStr">
        <is>
          <t>sevilla:sevilla-cevresi-dos-hermanas-alcala-rinconada-saglik-bolgeleri</t>
        </is>
      </c>
      <c r="B218" s="29" t="inlineStr">
        <is>
          <t>sevilla</t>
        </is>
      </c>
      <c r="C218" s="29" t="inlineStr">
        <is>
          <t>sevilla-cevresi-dos-hermanas-alcala-rinconada-saglik-bolgeleri</t>
        </is>
      </c>
      <c r="D218" s="29" t="inlineStr">
        <is>
          <t>Sevilla çevresinde (Dos Hermanas, Alcalá de Guadaíra, La Rinconada, Carmona) hangi sağlık bölgesine bağlısın?</t>
        </is>
      </c>
      <c r="E218" s="29" t="inlineStr">
        <is>
          <t>Distrito Sevilla Norte ve Área de Gestión Sanitaria Sur de Sevilla: sağlık merkezleri ve telefonlar</t>
        </is>
      </c>
      <c r="F218" s="29" t="inlineStr">
        <is>
          <t>Sevilla çevresinde hangi SAS birimine bağlı olduğun oturduğun ilçeye göre değişir; bu kart iki birimi anlatır. Kuzey için Distrito Sevilla Norte: Bda. Villegas, 41008 Sevilla'da (Edificio Bekinsa II, "Aljarafe ve Sevilla Norte Sağlık Bölgesi" merkezi olarak geçen bina), vatandaş hizmetleri 955 07 42 84. Kuzey listesinde Alcalá del Río, Brenes, Cantillana, Guillena, La Algaba, Lora del Río gibi zonlar da var. Merkezleri arasında La Rinconada'da El Mirador, La Rinconada ve San José de la Rinconada-Los Carteros; ayrıca Carmona, Los Alcores (El Viso del Alcor, Mairena del Alcor) var. Güney için Área de Gestión Sanitaria Sur de Sevilla: Dos Hermanas (Montequinto dahil), Alcalá de Guadaíra, Utrera, Morón; merkez santrali 955 01 50 00. Aljarafe ilçelerinin (ör. Mairena del Aljarafe) sağlık merkezleri bu iki listede yer almaz.</t>
        </is>
      </c>
      <c r="G218" s="29" t="inlineStr">
        <is>
          <t>Dos Hermanas, Alcalá de Guadaíra, La Rinconada, Carmona, Montequinto, Utrera, Sevilla Norte, Sevilla Sur</t>
        </is>
      </c>
      <c r="H218" s="29" t="inlineStr">
        <is>
          <t>new;settled</t>
        </is>
      </c>
      <c r="I218" s="29" t="inlineStr">
        <is>
          <t>sevilla:kaynak:222;sevilla:kaynak:223</t>
        </is>
      </c>
      <c r="J218" s="49" t="n">
        <v>46319</v>
      </c>
      <c r="K218" s="51" t="n">
        <v>704</v>
      </c>
      <c r="L218" s="29" t="inlineStr">
        <is>
          <t>Hayır</t>
        </is>
      </c>
      <c r="M218" s="29" t="inlineStr">
        <is>
          <t>Taslak</t>
        </is>
      </c>
      <c r="N218" s="29" t="inlineStr">
        <is>
          <t>sevilla:saglik</t>
        </is>
      </c>
      <c r="O218" s="29" t="inlineStr">
        <is>
          <t>Oturduğun ilçeyi "zona básica" listelerinde bul; Alcalá de Guadaíra, Dos Hermanas, Utrera ve Morón güney bölgesinde; Alcalá del Río, La Rinconada ve Carmona kuzey bölgesinde.
Kuzey için vatandaş hizmetlerini 955 07 42 84'ten, güney için santrali 955 01 50 00'dan ara.
Sağlık kartı ve hekim seçimi için ülke paketindeki Endülüs kartına bak.</t>
        </is>
      </c>
      <c r="P218" s="29" t="n"/>
      <c r="Q218" s="29" t="n"/>
      <c r="R218" s="29" t="n"/>
      <c r="S218" s="29" t="inlineStr">
        <is>
          <t>Güney birimin hastanesi Virgen de Valme; Lebrija, Morón ve Utrera'da da "Hospital de Alta Resolución" adıyla hastaneler var.</t>
        </is>
      </c>
      <c r="T218" s="29" t="n"/>
    </row>
    <row r="219" ht="54" customHeight="1">
      <c r="A219" s="29" t="inlineStr">
        <is>
          <t>sevilla:saglik-merkezi-randevu-yollari-clicsalud-salud-responde</t>
        </is>
      </c>
      <c r="B219" s="29" t="inlineStr">
        <is>
          <t>sevilla</t>
        </is>
      </c>
      <c r="C219" s="29" t="inlineStr">
        <is>
          <t>saglik-merkezi-randevu-yollari-clicsalud-salud-responde</t>
        </is>
      </c>
      <c r="D219" s="29" t="inlineStr">
        <is>
          <t>Sevilla'da aile hekimi, çocuk hekimi ya da hemşire randevusu hangi yollarla alınır?</t>
        </is>
      </c>
      <c r="E219" s="29" t="inlineStr">
        <is>
          <t>Merkezde, telefonla (Salud Responde), ClicSalud+ internet sitesinde ya da uygulamayla</t>
        </is>
      </c>
      <c r="F219" s="29" t="inlineStr">
        <is>
          <t>Endülüs Sağlık Servisi'ne (SAS) kayıtlıysan randevuyu dört yoldan alabilirsin: sağlık merkezinde yüz yüze ya da telefonla, ClicSalud+ internet portalında, Salud Responde telefon hattında ya da Salud Responde uygulamasında. ClicSalud+ portalı için dijital sertifika, DNIe veya Cl@ve gerekir; sayfa, aile hekimliği randevusu adımında kişiyi kişisel veriyle tanımlamayı da sayıyor. Salud Responde hattı 955 54 50 60, günün 24 saati, yılın her günü. Uygulamayla yalnızca aile hekimliği ve pediatri randevusu alınır; ilk kayıtta sağlık kartı numarası, doğum tarihi ve kimlik belgesi numarası istenir.</t>
        </is>
      </c>
      <c r="G219" s="29" t="inlineStr">
        <is>
          <t>randevu, cita previa, ClicSalud+, Salud Responde, aile hekimi, pediatri, Cl@ve, tarjeta sanitaria</t>
        </is>
      </c>
      <c r="H219" s="29" t="inlineStr">
        <is>
          <t>new;settled</t>
        </is>
      </c>
      <c r="I219" s="29" t="inlineStr">
        <is>
          <t>sevilla:kaynak:229;sevilla:kaynak:230</t>
        </is>
      </c>
      <c r="J219" s="49" t="n">
        <v>46319</v>
      </c>
      <c r="K219" s="51" t="n">
        <v>705</v>
      </c>
      <c r="L219" s="29" t="inlineStr">
        <is>
          <t>Evet</t>
        </is>
      </c>
      <c r="M219" s="29" t="inlineStr">
        <is>
          <t>Taslak</t>
        </is>
      </c>
      <c r="N219" s="29" t="inlineStr">
        <is>
          <t>sevilla:saglik</t>
        </is>
      </c>
      <c r="O219" s="29" t="inlineStr">
        <is>
          <t>Sağlık kartın varsa en kolay yol: Salud Responde'yi 955 54 50 60'tan ara ve aile hekimi, pediatri ya da hemşire randevusu iste.
Dijital sertifikan, DNIe'n ya da Cl@ve'in varsa ClicSalud+'ta kimliğini doğrula, muayene türünü seç, takvimden gün ve saati seç.
Uygulamayı kullanacaksan "Solicitar Cita" düğmesine bas ve yeni profil için kart numaranı, doğum tarihini ve kimlik belgesi numaranı gir.
Randevuyu yazdır ya da indirip sakla.</t>
        </is>
      </c>
      <c r="P219" s="29" t="inlineStr">
        <is>
          <t>Tarjeta sanitaria numarası
Doğum tarihi
Kimlik belgesi numarası (uygulama kaydı için)</t>
        </is>
      </c>
      <c r="Q219" s="29" t="n"/>
      <c r="R219" s="29" t="n"/>
      <c r="S219" s="29" t="inlineStr">
        <is>
          <t>Junta'nın randevu sayfasına göre hastane randevularını sağlık çalışanları ayarlar, doğrudan isteyemezsin; Salud Responde sayfası ise hattan uzman (especialidades) randevusu alınabildiğini söylüyor. Uzman randevusu için 955 54 50 60'ı arayabilirsin.</t>
        </is>
      </c>
      <c r="T219" s="29" t="n"/>
    </row>
    <row r="220" ht="54" customHeight="1">
      <c r="A220" s="29" t="inlineStr">
        <is>
          <t>sevilla:randevu-iptal-degistirme-hastane-randevusu-avisas-justificante</t>
        </is>
      </c>
      <c r="B220" s="29" t="inlineStr">
        <is>
          <t>sevilla</t>
        </is>
      </c>
      <c r="C220" s="29" t="inlineStr">
        <is>
          <t>randevu-iptal-degistirme-hastane-randevusu-avisas-justificante</t>
        </is>
      </c>
      <c r="D220" s="29" t="inlineStr">
        <is>
          <t>Sevilla'da randevumu nasıl iptal eder, hastane randevumu nasıl görür, muayene belgesi (justificante) nasıl alırım?</t>
        </is>
      </c>
      <c r="E220" s="29" t="inlineStr">
        <is>
          <t>ClicSalud+, Salud Andalucía uygulaması ve telefon: iptal, değişiklik, hatırlatma ve belge</t>
        </is>
      </c>
      <c r="F220" s="29" t="inlineStr">
        <is>
          <t>Gelemeyeceksen randevuyu iptal et; sayfa bunu başkalarının yararlanması için istiyor. Aile hekimi randevusunu ClicSalud+ "Agenda sanitaria &gt; Mis citas" bölümünden, Salud Andalucía uygulamasından ya da 955 54 50 60'tan iptal edersin. Hastane ve tetkik randevularını çevrim içi değiştirmek için dijital sertifika, DNIe, Cl@ve veya mobil QR gerekir; görüntüleme tetkiki için ise randevu mektubundaki telefondan merkezi aramalısın. AviSAS ile randevu hatırlatmaları SMS, uygulama ya da e-postayla gelir. ClicSalud+ "Mis citas &gt; Citas pasadas" bölümünden muayeneye gittiğini gösteren, tıbbi bilgi içermeyen elektronik imzalı belge indirilir.</t>
        </is>
      </c>
      <c r="G220" s="29" t="inlineStr">
        <is>
          <t>randevu iptali, AviSAS, justificante, ClicSalud+, Mis citas, hastane randevusu, görüntüleme</t>
        </is>
      </c>
      <c r="H220" s="29" t="inlineStr">
        <is>
          <t>new;settled</t>
        </is>
      </c>
      <c r="I220" s="29" t="inlineStr">
        <is>
          <t>sevilla:kaynak:229</t>
        </is>
      </c>
      <c r="J220" s="49" t="n">
        <v>46319</v>
      </c>
      <c r="K220" s="51" t="n">
        <v>706</v>
      </c>
      <c r="L220" s="29" t="inlineStr">
        <is>
          <t>Hayır</t>
        </is>
      </c>
      <c r="M220" s="29" t="inlineStr">
        <is>
          <t>Taslak</t>
        </is>
      </c>
      <c r="N220" s="29" t="inlineStr">
        <is>
          <t>sevilla:saglik</t>
        </is>
      </c>
      <c r="O220" s="29" t="inlineStr">
        <is>
          <t>Aile hekimi randevusunu iptal etmek için ClicSalud+ web sitesinde Agenda sanitaria &gt; Mis citas yolunu izle ya da 955 54 50 60'ı ara.
Hastane randevusunu görmek için dijital sertifika, DNIe ya da Cl@ve ile ClicSalud+'a gir; değiştirmek için dijital sertifika, DNIe, Cl@ve ya da mobil QR kullan. İstersen Salud Responde'yi ara.
Görüntüleme tetkikinin randevusunu değiştirmek için randevu mektubundaki telefondan merkezi ara.
Hatırlatma için AviSAS'a abone ol ve iletişim bilgilerini sağlık merkezinin gişesinden ya da ClicSalud+'tan güncel tut.
İşyerine ya da okula gösterecek belge gerekiyorsa ClicSalud+ &gt; Mis citas &gt; Citas pasadas bölümünden justificante indir.</t>
        </is>
      </c>
      <c r="P220" s="29" t="n"/>
      <c r="Q220" s="29" t="n"/>
      <c r="R220" s="29" t="n"/>
      <c r="S220" s="29" t="inlineStr">
        <is>
          <t>Kişisel veriyle girersen yalnızca sağlık merkezi randevularının belgesini görürsün; hastane ve tetkik belgeleri için dijital sertifika, DNIe veya Cl@ve gerekir.</t>
        </is>
      </c>
      <c r="T220" s="29" t="n"/>
    </row>
    <row r="221" ht="54" customHeight="1">
      <c r="A221" s="29" t="inlineStr">
        <is>
          <t>sevilla:salud-responde-24-saat-saglik-hatti-ceviri-hizmeti</t>
        </is>
      </c>
      <c r="B221" s="29" t="inlineStr">
        <is>
          <t>sevilla</t>
        </is>
      </c>
      <c r="C221" s="29" t="inlineStr">
        <is>
          <t>salud-responde-24-saat-saglik-hatti-ceviri-hizmeti</t>
        </is>
      </c>
      <c r="D221" s="29" t="inlineStr">
        <is>
          <t>Salud Responde nedir, hangi sağlık işlemlerini telefonla halledebilirim?</t>
        </is>
      </c>
      <c r="E221" s="29" t="inlineStr">
        <is>
          <t>955 54 50 60: 24 saat açık Endülüs sağlık bilgi ve işlem hattı</t>
        </is>
      </c>
      <c r="F221" s="29" t="inlineStr">
        <is>
          <t>Salud Responde, Endülüs'te günün 24 saati, yılın 365 günü açık bir bilgi ve işlem hattıdır. Telefonu 955 54 50 60, e-postası saludresponde@juntadeandalucia.es, ayrıca bir mobil uygulaması var. Bu hattan aile hekimi ve pediatri randevusu, uzman randevusu, hemşire randevusu, sağlık önerisi, ikinci tıbbi görüş işlemi, dil çevirisi hizmeti, hastane seçimi, sağlık kartı bilgisi, grip ve suçiçeği aşı kampanyası ile cinsel ve üreme sağlığı bilgisi alınabilir.</t>
        </is>
      </c>
      <c r="G221" s="29" t="inlineStr">
        <is>
          <t>Salud Responde, 955 545 060, sağlık hattı, tarjeta sanitaria, ikinci görüş, çeviri hizmeti</t>
        </is>
      </c>
      <c r="H221" s="29" t="inlineStr">
        <is>
          <t>new;settled</t>
        </is>
      </c>
      <c r="I221" s="29" t="inlineStr">
        <is>
          <t>sevilla:kaynak:230</t>
        </is>
      </c>
      <c r="J221" s="49" t="n">
        <v>46319</v>
      </c>
      <c r="K221" s="51" t="n">
        <v>707</v>
      </c>
      <c r="L221" s="29" t="inlineStr">
        <is>
          <t>Hayır</t>
        </is>
      </c>
      <c r="M221" s="29" t="inlineStr">
        <is>
          <t>Taslak</t>
        </is>
      </c>
      <c r="N221" s="29" t="inlineStr">
        <is>
          <t>sevilla:saglik</t>
        </is>
      </c>
      <c r="O221" s="29" t="inlineStr">
        <is>
          <t>Randevu, sağlık kartı ya da aşı bilgisi için 955 54 50 60'ı ara.
Yazılı iletişim istersen saludresponde@juntadeandalucia.es adresine e-posta yaz.
Acil durumda Salud Responde'yi değil 112'yi ya da 061'i ara.</t>
        </is>
      </c>
      <c r="P221" s="29" t="n"/>
      <c r="Q221" s="29" t="inlineStr">
        <is>
          <t>7/24</t>
        </is>
      </c>
      <c r="R221" s="29" t="n"/>
      <c r="S221" s="29" t="n"/>
      <c r="T221" s="29" t="n"/>
    </row>
    <row r="222" ht="54" customHeight="1">
      <c r="A222" s="29" t="inlineStr">
        <is>
          <t>sevilla:endulus-acil-061-112-urgencia-emergencia-farki</t>
        </is>
      </c>
      <c r="B222" s="29" t="inlineStr">
        <is>
          <t>sevilla</t>
        </is>
      </c>
      <c r="C222" s="29" t="inlineStr">
        <is>
          <t>endulus-acil-061-112-urgencia-emergencia-farki</t>
        </is>
      </c>
      <c r="D222" s="29" t="inlineStr">
        <is>
          <t>Endülüs'te 061 ile 112 arasındaki fark ne, hafif bir rahatsızlıkta nereye gidilir?</t>
        </is>
      </c>
      <c r="E222" s="29" t="inlineStr">
        <is>
          <t>Acil müdahale gerektiren durum (emergencia) 061; ivedi ama hayati olmayan durum (urgencia) için sağlık merkezi ya da hastane acili</t>
        </is>
      </c>
      <c r="F222" s="29" t="inlineStr">
        <is>
          <t>Endülüs'te iki durum ayrılır. Ateş, ağrı, kusma gibi hızlı muayene isteyen ama hayati tehlikesi olmayan durum "urgencia"dır. Bilinç kaybı, kalp krizi, kalp durması ya da çok kan kaybı gibi hayati tehlike "emergencia"dır; bunda 061'i ara ya da en yakın acile git. 112 Andalucía tek ve ücretsiz numaradır, çağrıları İspanyolca, İngilizce, Fransızca, Almanca ve Arapça yanıtlayan ekip karşılar. Diğer sağlık hizmetleri bilgisi için Salud Responde: 955 54 50 60.</t>
        </is>
      </c>
      <c r="G222" s="29" t="inlineStr">
        <is>
          <t>061, 112, acil, urgencias, emergencia, ambulans, sağlık merkezi acil</t>
        </is>
      </c>
      <c r="H222" s="29" t="inlineStr">
        <is>
          <t>new;settled</t>
        </is>
      </c>
      <c r="I222" s="29" t="inlineStr">
        <is>
          <t>sevilla:kaynak:191</t>
        </is>
      </c>
      <c r="J222" s="49" t="n">
        <v>46319</v>
      </c>
      <c r="K222" s="51" t="n">
        <v>708</v>
      </c>
      <c r="L222" s="29" t="inlineStr">
        <is>
          <t>Hayır</t>
        </is>
      </c>
      <c r="M222" s="29" t="inlineStr">
        <is>
          <t>Taslak</t>
        </is>
      </c>
      <c r="N222" s="29" t="inlineStr">
        <is>
          <t>sevilla:saglik</t>
        </is>
      </c>
      <c r="O222" s="29" t="inlineStr">
        <is>
          <t>Hayati tehlike varsa (bilinç kaybı, kalp krizi, çok kan kaybı) 061'i ara.
Ateş, ağrı, kusma gibi ivedi ama hayati olmayan durumda mesai saatinde acil birimi olan sağlık merkezine, mesai dışında hastane acillerine git.
Aramada üç soruya hazır ol: nereden arıyorsun, ne oldu, kaç kişi etkilendi.
Başka sağlık hizmetleri için Salud Responde'yi 955 54 50 60'tan ara.</t>
        </is>
      </c>
      <c r="P222" s="29" t="n"/>
      <c r="Q222" s="29" t="n"/>
      <c r="R222" s="29" t="n"/>
      <c r="S222" s="29" t="inlineStr">
        <is>
          <t>112 Andalucía yangın, kurtarma, vatandaş güvenliği ve sivil koruma çağrılarını da karşılar.</t>
        </is>
      </c>
      <c r="T222" s="29" t="n"/>
    </row>
    <row r="223" ht="54" customHeight="1">
      <c r="A223" s="29" t="inlineStr">
        <is>
          <t>sevilla:sevilla-nobetci-eczane-farmacia-de-guardia-bulma</t>
        </is>
      </c>
      <c r="B223" s="29" t="inlineStr">
        <is>
          <t>sevilla</t>
        </is>
      </c>
      <c r="C223" s="29" t="inlineStr">
        <is>
          <t>sevilla-nobetci-eczane-farmacia-de-guardia-bulma</t>
        </is>
      </c>
      <c r="D223" s="29" t="inlineStr">
        <is>
          <t>Sevilla'da nöbetçi eczaneyi (farmacia de guardia) nasıl bulurum?</t>
        </is>
      </c>
      <c r="E223" s="29" t="inlineStr">
        <is>
          <t>Sevilla Eczacılar Odası'nın arama sayfası: tarih, ilçe ya da posta koduna göre filtre</t>
        </is>
      </c>
      <c r="F223" s="29" t="inlineStr">
        <is>
          <t>Nöbetçi eczaneyi Sevilla Eczacılar Odası'nın (Colegio Oficial de Farmacéuticos de Sevilla) "Buscador de farmacias" sayfasından bulursun. Sayfada "Farmacias de guardia" seçeneğini işaretle, tarihi seç, sonra yerleşimi (población) ya da posta kodunu (código postal) seç. Haritayı görmek için çerezleri kabul etmen gerekiyor. Her eczane için adres, sabah ve akşam saatleri, nöbet bilgisi ve yol tarifi gösterilir. Eczacılar Odası: C/ Alfonso XII, 51, 41001 Sevilla, telefon (+34) 954 97 96 00.</t>
        </is>
      </c>
      <c r="G223" s="29" t="inlineStr">
        <is>
          <t>nöbetçi eczane, farmacia de guardia, eczane, Colegio de Farmacéuticos, Sevilla eczane</t>
        </is>
      </c>
      <c r="H223" s="29" t="inlineStr">
        <is>
          <t>new;settled</t>
        </is>
      </c>
      <c r="I223" s="29" t="inlineStr">
        <is>
          <t>sevilla:kaynak:233</t>
        </is>
      </c>
      <c r="J223" s="49" t="n">
        <v>46319</v>
      </c>
      <c r="K223" s="51" t="n">
        <v>709</v>
      </c>
      <c r="L223" s="29" t="inlineStr">
        <is>
          <t>Hayır</t>
        </is>
      </c>
      <c r="M223" s="29" t="inlineStr">
        <is>
          <t>Taslak</t>
        </is>
      </c>
      <c r="N223" s="29" t="inlineStr">
        <is>
          <t>sevilla:saglik</t>
        </is>
      </c>
      <c r="O223" s="29" t="inlineStr">
        <is>
          <t>Eczane arama sayfasını aç ve "Farmacias de guardia" filtresini seç.
Tarihi seç; sonra "Por población" (yerleşime göre) ya da "Por código postal" (posta koduna göre) filtreyi seç.
Haritayı kullanmak için çerezleri kabul et.
Seçtiğin eczanenin adresine, saatlerine ve yol tarifine bak.</t>
        </is>
      </c>
      <c r="P223" s="29" t="n"/>
      <c r="Q223" s="29" t="n"/>
      <c r="R223" s="29" t="n"/>
      <c r="S223" s="29" t="n"/>
      <c r="T223" s="29" t="n"/>
    </row>
    <row r="224" ht="54" customHeight="1">
      <c r="A224" s="29" t="inlineStr">
        <is>
          <t>sevilla:oturum-izni-olmayanlar-endulus-saglik-basvurusu-alta-ocasional</t>
        </is>
      </c>
      <c r="B224" s="29" t="inlineStr">
        <is>
          <t>sevilla</t>
        </is>
      </c>
      <c r="C224" s="29" t="inlineStr">
        <is>
          <t>oturum-izni-olmayanlar-endulus-saglik-basvurusu-alta-ocasional</t>
        </is>
      </c>
      <c r="D224" s="29" t="inlineStr">
        <is>
          <t>Oturum izni olmayan biri Endülüs'te kamu sağlık hizmetine nasıl başvurur, acilde tedavi görür mü?</t>
        </is>
      </c>
      <c r="E224" s="29" t="inlineStr">
        <is>
          <t>SAS'a göre fiili ikamet kanıtlanırsa yasal oturum olmasa da hak doğar; acilde geçici kayıt (alta ocasional) açılır</t>
        </is>
      </c>
      <c r="F224" s="29" t="inlineStr">
        <is>
          <t>SAS sayfasına göre, 11 Mart 2026 tarihli 180/2026 sayılı Decreto'ya (kararname) dayanarak yasal oturumu olmayan yabancılar Endülüs'te fiilen oturduklarını kanıtlarlarsa kamu sağlık hizmetinden yararlanır. Başka yoldan bir sağlık güvencen varsa (başka AB ülkesinden hak aktarımı, ikili sözleşmeler, ödemekle yükümlü üçüncü kişi) bu yol geçerli değildir. Ecza katkısı ilaç fiyatının yüzde 40'ıdır. Başvuruyu evine en yakın sağlık merkezinde, herhangi bir resmî kayıt biriminde ya da Junta de Andalucía'nın elektronik genel başvurusu ile yaparsın. Acile gitmen gerekirse başvurudan önce "alta ocasional" (geçici kayıt) açılır; başvuruyu sonra yaparsın.</t>
        </is>
      </c>
      <c r="G224" s="29" t="inlineStr">
        <is>
          <t>kayıt dışı yabancı, oturum izni yok, Decreto 180/2026, alta ocasional, empadronamiento, acil, sağlık hakkı</t>
        </is>
      </c>
      <c r="H224" s="29" t="inlineStr">
        <is>
          <t>new;settled</t>
        </is>
      </c>
      <c r="I224" s="29" t="inlineStr">
        <is>
          <t>sevilla:kaynak:231</t>
        </is>
      </c>
      <c r="J224" s="49" t="n">
        <v>46319</v>
      </c>
      <c r="K224" s="51" t="n">
        <v>710</v>
      </c>
      <c r="L224" s="29" t="inlineStr">
        <is>
          <t>Hayır</t>
        </is>
      </c>
      <c r="M224" s="29" t="inlineStr">
        <is>
          <t>Taslak</t>
        </is>
      </c>
      <c r="N224" s="29" t="inlineStr">
        <is>
          <t>sevilla:saglik</t>
        </is>
      </c>
      <c r="O224" s="29" t="inlineStr">
        <is>
          <t>Başvuru formunu (Solicitud de reconocimiento del derecho a la asistencia) SAS sayfasından indir ve doldur.
Formu evine en yakın sağlık merkezine, herhangi bir resmî kayda ya da Presentación Electrónica General üzerinden ver.
Acil servise gitmen gerekirse bunu önce yaptır: acil serviste geçici kayıt (alta ocasional) açılır, formu sonra verirsin.
Menşe ülkenden sağlık hakkı aktarımı olmadığını gösteren belgeni ekle (AB, İsviçre, Birleşik Krallık, Andorra ve Şili için özellikle önemli).</t>
        </is>
      </c>
      <c r="P224" s="29" t="inlineStr">
        <is>
          <t>Pasaport ya da fotoğraflı resmî kimlik belgesi
En az üç aylık fiili ikameti gösteren nüfus kaydı belgesi (empadronamiento). Nüfus kaydı yaptırman mümkün değilse (adres yok, hukuki engel vb.) kamu kurumu belgesi, konsolosluk seyahat belgesi, okul kaydı ya da sosyal hizmet kaydı gibi alternatifler kabul edilir
Menşe ülkeden sağlık hakkının aktarılmadığını gösteren belge
Formdaki sorumluluk beyanı
18 yaşından küçükler için pasaport yoksa doğum belgesi ya da aile cüzdanı
Yasal olarak kısa süreli kalışla (estancia temporal) girip 90 günü aşmamış yabancılar için Endülüs sosyal hizmetlerinin olumlu raporu</t>
        </is>
      </c>
      <c r="Q224" s="29" t="inlineStr">
        <is>
          <t>Fiili ikamet en az üç ay kanıtlanır. Yasal olarak kısa süreli kalışla girip 90 günü aşmamış kişiler için ayrıca sosyal hizmetlerin olumlu raporu istenir.</t>
        </is>
      </c>
      <c r="R224" s="29" t="inlineStr">
        <is>
          <t>Ecza katkısı: ilaç fiyatının yüzde 40'ı.</t>
        </is>
      </c>
      <c r="S224" s="29" t="inlineStr">
        <is>
          <t>SAS sayfası 15 Mayıs 2026'da güncellendi; dayanak 11 Mart 2026 tarihli Decreto 180/2026.</t>
        </is>
      </c>
      <c r="T224" s="29" t="n"/>
    </row>
    <row r="225" ht="54" customHeight="1">
      <c r="A225" s="29" t="inlineStr">
        <is>
          <t>sevilla:sevilla-ruh-sagligi-024-hatti-ve-ruh-sagligi-birimleri</t>
        </is>
      </c>
      <c r="B225" s="29" t="inlineStr">
        <is>
          <t>sevilla</t>
        </is>
      </c>
      <c r="C225" s="29" t="inlineStr">
        <is>
          <t>sevilla-ruh-sagligi-024-hatti-ve-ruh-sagligi-birimleri</t>
        </is>
      </c>
      <c r="D225" s="29" t="inlineStr">
        <is>
          <t>Sevilla'da ruh sağlığı desteği için hangi numara aranır, Rocío hastanesine bağlı hangi ruh sağlığı birimleri var?</t>
        </is>
      </c>
      <c r="E225" s="29" t="inlineStr">
        <is>
          <t>024 intihar önleme hattı ücretsiz ve gizli; Rocío'ya bağlı bölgesel ruh sağlığı birimleri</t>
        </is>
      </c>
      <c r="F225" s="29" t="inlineStr">
        <is>
          <t>İntihar düşüncesi ya da riski yaşıyorsan veya yakınında biri varsa 024'ü ara: bütün İspanya'da geçerli, ücretsiz, gizli ve günün 24 saati, yılın her günü açık bir hat. Rocío hastanesine bağlı bölgesel ruh sağlığı birimleri (Unidad de Salud Mental Comunitaria) arasında Este-Nervión, Guadalquivir, Mairena del Aljarafe, Oriente, Sanlúcar la Mayor ve Sur var; çocuk ve ergenler için Unidad de Salud Mental Infanto-Juvenil V. del Rocío bulunuyor. Aynı liste yatan hasta, gündüz hastanesi ve rehabilitasyon birimlerini de sayıyor. Bu liste yalnızca Rocío hastanesine bağlı birimleri gösterir.</t>
        </is>
      </c>
      <c r="G225" s="29" t="inlineStr">
        <is>
          <t>ruh sağlığı, 024, intihar önleme, salud mental, depresyon, psikiyatri, çocuk ergen ruh sağlığı</t>
        </is>
      </c>
      <c r="H225" s="29" t="inlineStr">
        <is>
          <t>new;settled</t>
        </is>
      </c>
      <c r="I225" s="29" t="inlineStr">
        <is>
          <t>sevilla:kaynak:230;sevilla:kaynak:225</t>
        </is>
      </c>
      <c r="J225" s="49" t="n">
        <v>46319</v>
      </c>
      <c r="K225" s="51" t="n">
        <v>711</v>
      </c>
      <c r="L225" s="29" t="inlineStr">
        <is>
          <t>Hayır</t>
        </is>
      </c>
      <c r="M225" s="29" t="inlineStr">
        <is>
          <t>Taslak</t>
        </is>
      </c>
      <c r="N225" s="29" t="inlineStr">
        <is>
          <t>sevilla:saglik</t>
        </is>
      </c>
      <c r="O225" s="29" t="inlineStr">
        <is>
          <t>İntihar düşüncesi için 024'ü ara; hat ücretsiz ve gizli.
Yakını için destek arıyorsan da aynı hattı arayabilirsin.
Rocío alanında oturuyorsan sana yakın ruh sağlığı birimini Rocío'nun listesinden bul; başka bir hastane alanındaysan o hastanenin kendi listesine bak.
Çocuk ve ergen için Unidad de Salud Mental Infanto-Juvenil V. del Rocío'ya bak.</t>
        </is>
      </c>
      <c r="P225" s="29" t="n"/>
      <c r="Q225" s="29" t="inlineStr">
        <is>
          <t>7/24</t>
        </is>
      </c>
      <c r="R225" s="29" t="n"/>
      <c r="S225" s="29" t="n"/>
      <c r="T225" s="29" t="n"/>
    </row>
    <row r="226" ht="54" customHeight="1">
      <c r="A226" s="29" t="inlineStr">
        <is>
          <t>sevilla:renfe-bilet-iptal-degisiklik-genc-indirimi</t>
        </is>
      </c>
      <c r="B226" s="29" t="inlineStr">
        <is>
          <t>sevilla</t>
        </is>
      </c>
      <c r="C226" s="29" t="inlineStr">
        <is>
          <t>renfe-bilet-iptal-degisiklik-genc-indirimi</t>
        </is>
      </c>
      <c r="D226" s="29" t="inlineStr">
        <is>
          <t>İspanya'da Renfe AVE ve uzun mesafe biletinde iptal ve değişiklik nasıl işler, gençlere indirim var mı?</t>
        </is>
      </c>
      <c r="E226" s="29" t="inlineStr">
        <is>
          <t>Her bilet satın almadan sonra 2 saat içinde masrafsız iptal edilir; ek esneklik bilet türüne bağlıdır; 14-25 yaş için Más Renfe Joven 50 €</t>
        </is>
      </c>
      <c r="F226" s="29" t="inlineStr">
        <is>
          <t>Her Renfe AVE ve Larga Distancia (uzun mesafe) bileti, satın almadan sonraki 2 saat içinde masrafsız iptal edilebilir; daha fazla esneklik için Básico yerine Elige ya da Prémium bilet almak gerekir. Bilet türleri Básico, Elige Estándar, Elige Confort ve Prémium'dur; AVE Internacional (İspanya-Fransa) hattında Prémium yoktur. Sınırsız ücretsiz değişiklik, Puente AVE, tam iade ve Pack Superflex ekstraları yalnız satın alma anında alınır ve Básico biletlerde bulunmaz. 14-25 yaşındaysan Más Renfe Joven üyeliği (50 €) AVE ve Larga Distancia'da %30, Avant, Media Distancia ve Cercanías/Rodalies'te %25 indirim verir.</t>
        </is>
      </c>
      <c r="G226" s="29" t="inlineStr">
        <is>
          <t>Renfe, AVE, Larga Distancia, tren bileti, iptal, değişiklik, Básico, Elige, Prémium, Más Renfe Joven, Carné Joven, gençlik indirimi</t>
        </is>
      </c>
      <c r="H226" s="29" t="inlineStr">
        <is>
          <t>new;settled</t>
        </is>
      </c>
      <c r="I226" s="29" t="inlineStr">
        <is>
          <t>sevilla:kaynak:110;sevilla:kaynak:111</t>
        </is>
      </c>
      <c r="J226" s="49" t="n">
        <v>46319</v>
      </c>
      <c r="K226" s="51" t="n">
        <v>9085</v>
      </c>
      <c r="L226" s="29" t="inlineStr">
        <is>
          <t>Hayır</t>
        </is>
      </c>
      <c r="M226" s="29" t="inlineStr">
        <is>
          <t>Taslak</t>
        </is>
      </c>
      <c r="N226" s="29" t="inlineStr">
        <is>
          <t>sevilla:ulasim</t>
        </is>
      </c>
      <c r="O226" s="29" t="inlineStr">
        <is>
          <t>Biletini alırken Básico, Elige Estándar, Elige Confort ve Prémium türlerini karşılaştır; esneklik istiyorsan Elige ya da Prémium seç.
Sınırsız ücretsiz değişiklik, Puente AVE, tam iade ya da Pack Superflex istiyorsan bunları bilet satın alırken ekle; sonradan eklenmez.
Vazgeçersen satın almadan sonraki 2 saat içinde iptal et; bu süre içinde masraf çıkmaz.
14-25 yaşındaysan Más Renfe Joven'e üye ol (50 €, 1 yıl geçerli).
Özerk topluluğunun verdiği Carné Joven de indirim sağlar: AVE ve Larga Distancia'da %5, Avant, Media Distancia ve Feve Regionales'te %20.
Yolculukta fotoğraflı, geçerli kimlik belgeni yanında taşı; biletler isme düzenlenir.</t>
        </is>
      </c>
      <c r="P226" s="29" t="inlineStr">
        <is>
          <t>Fotoğraflı geçerli kimlik belgesi: DNI, ehliyet, Tarjeta de Residencia ya da pasaport</t>
        </is>
      </c>
      <c r="Q226" s="29" t="inlineStr">
        <is>
          <t>Masrafsız iptal: satın almadan sonra 2 saat. Más Renfe Joven üyeliği: 1 yıl</t>
        </is>
      </c>
      <c r="R226" s="29" t="inlineStr">
        <is>
          <t>Más Renfe Joven: 50 €. İndirimler: AVE ve Larga Distancia %30; Avant, Media Distancia ve Cercanías/Rodalies %25. Carné Joven: AVE ve Larga Distancia %5; Avant, Media Distancia ve Feve Regionales %20</t>
        </is>
      </c>
      <c r="S226" s="29" t="inlineStr">
        <is>
          <t>Más Renfe Joven ve Carné Joven ile alınan biletlerde değişiklik ve iptal, biletin izin verdiği ölçüde ve masraflı olabilir. ISIC, European Youth Card gibi uluslararası kartlar da geçerlidir. Carné Joven'i özerk topluluk verir; koşulları bölgene göre değişir.</t>
        </is>
      </c>
      <c r="T226" s="29" t="n"/>
    </row>
    <row r="227" ht="54" customHeight="1">
      <c r="A227" s="29" t="inlineStr">
        <is>
          <t>sevilla:otobus-yolcu-haklari-rotar-bagaj-engelli</t>
        </is>
      </c>
      <c r="B227" s="29" t="inlineStr">
        <is>
          <t>sevilla</t>
        </is>
      </c>
      <c r="C227" s="29" t="inlineStr">
        <is>
          <t>otobus-yolcu-haklari-rotar-bagaj-engelli</t>
        </is>
      </c>
      <c r="D227" s="29" t="inlineStr">
        <is>
          <t>İspanya'da uzun mesafe otobüs gecikir ya da iptal olursa, bagaj zarar görürse ve engelli yolcuysam hangi haklarım var?</t>
        </is>
      </c>
      <c r="E227" s="29" t="inlineStr">
        <is>
          <t>AB 181/2011 Tüzüğü: programlı mesafe 250 km ve üzerindeyse, kalkışta 120 dakikadan uzun gecikme ya da iptalde iade veya alternatif yolculuk</t>
        </is>
      </c>
      <c r="F227" s="29" t="inlineStr">
        <is>
          <t>Evet: AB 181/2011 sayılı Tüzük, AB'de kalkış ya da varış noktası olan ve programlı mesafesi 250 km ve üzeri düzenli otobüs hatlarında yolcuya hak tanır; üye devletin muafiyet tanıdığı düzenli ulusal hatlar bunun dışında kalabilir. Kalkış 120 dakikadan fazla gecikirse ya da sefer iptal olursa taşıyıcı hemen iki seçenek sunar: ek ücretsiz devam ya da alternatif güzergâh, veya bilet bedelinin iadesi; seçenek sunulmazsa bilet fiyatının %50'si tutarında tazminat hakkın doğar. Süresi 3 saati aşan yolculukta kalkış 90 dakikadan fazla gecikirse ya da iptal olursa ücretsiz yiyecek-içecek ve gerekirse otel hakkın vardır. Engelli ve hareket kısıtlı yolcuya durak ve araçta ücretsiz yardım yapılır. Bagajda Tüzüğün tazminat hakkı yalnız otobüs kazasından doğan kayıp ya da hasarı kapsar; Tüzük tarifelerde yolcunun uyruğuna göre ayrımcılığı da yasaklar.</t>
        </is>
      </c>
      <c r="G227" s="29" t="inlineStr">
        <is>
          <t>otobüs, autobús, autocar, yolcu hakları, 181/2011, gecikme, iptal, bagaj, engelli, hareket kısıtlı, 250 km</t>
        </is>
      </c>
      <c r="H227" s="29" t="inlineStr">
        <is>
          <t>new;settled</t>
        </is>
      </c>
      <c r="I227" s="29" t="inlineStr">
        <is>
          <t>sevilla:kaynak:112;sevilla:kaynak:113</t>
        </is>
      </c>
      <c r="J227" s="49" t="n">
        <v>46319</v>
      </c>
      <c r="K227" s="51" t="n">
        <v>9086</v>
      </c>
      <c r="L227" s="29" t="inlineStr">
        <is>
          <t>Hayır</t>
        </is>
      </c>
      <c r="M227" s="29" t="inlineStr">
        <is>
          <t>Taslak</t>
        </is>
      </c>
      <c r="N227" s="29" t="inlineStr">
        <is>
          <t>sevilla:ulasim</t>
        </is>
      </c>
      <c r="O227" s="29" t="inlineStr">
        <is>
          <t>Seferin programlı mesafesine bak: 250 km ve üzerindeyse Tüzüğün tamamı uygulanır; daha kısa hatlarda yalnız bazı maddeler (ayrımcılık yasağı, engelli yolcu hakları, bilgi, şikâyet mekanizması) uygulanır.
Kalkış 120 dakikadan fazla gecikir ya da sefer iptal olursa devam/alternatif güzergâh ile iade arasında seç; iade bilet bedelinin tamamını kapsar ve 14 gün içinde ödenir.
Seçenek sana sunulmadıysa taşıyıcıdan bilet fiyatının %50'si tutarında tazminat iste; taşıyıcı bunu talepten itibaren bir ay içinde öder.
Engelliysen ya da hareket kısıtlıysan yardım ihtiyacını taşıyıcıya, istasyon yöneticisine, seyahat acentesine ya da tur operatörüne en az 36 saat önce bildir ve taşıyıcının belirlediği noktada, belirlediği saatte hazır ol (saat belirlenmediyse kalkıştan en az 30 dakika önce); koltukla ilgili özel ihtiyacını rezervasyon ya da bilet alımı sırasında söyle.
Şikâyetini önce taşıyıcıya hizmetin verildiği ya da verilmesi gereken tarihten itibaren 3 ay içinde yap.</t>
        </is>
      </c>
      <c r="P227" s="29" t="n"/>
      <c r="Q227" s="29" t="inlineStr">
        <is>
          <t>Şikâyet: hizmet tarihinden itibaren 3 ay içinde taşıyıcıya; taşıyıcı 1 ay içinde durumu bildirir, nihai yanıt en geç 3 ay içinde verilir. Engelli yardımı: en az 36 saat önceden bildirim</t>
        </is>
      </c>
      <c r="R227" s="29" t="inlineStr">
        <is>
          <t>Otel gideri taşıyıcı tarafından geceliği 80 €, en çok iki geceyle sınırlanabilir (istasyon-otel ulaşımı bu sınıra dahil değildir)</t>
        </is>
      </c>
      <c r="S227" s="29" t="inlineStr">
        <is>
          <t>Bagaj: tazminat hakkı yalnız otobüs kazası sonucu bagaj kaybı ya da hasarı içindir ve ulusal hukuka göre belirlenir; ulusal hukukta konan üst sınır parça başına 1.200 €'dan az olamaz, tekerlekli sandalye ve benzeri ekipman hasarında yenileme ya da onarım bedeli ödenir. Aşırı hava koşulları ya da doğal afet nedeniyle gecikmede taşıyıcı konaklama sağlamakla yükümlü değildir. Üye devletler düzenli ulusal hatları en çok dört yıl, bir kez yenilenebilir süreyle Tüzüğün kapsamı dışında bırakabilir.</t>
        </is>
      </c>
      <c r="T227" s="29" t="n"/>
    </row>
    <row r="228" ht="54" customHeight="1">
      <c r="A228" s="29" t="inlineStr">
        <is>
          <t>sevilla:hiz-siniri-alkol-ehliyet-puani</t>
        </is>
      </c>
      <c r="B228" s="29" t="inlineStr">
        <is>
          <t>sevilla</t>
        </is>
      </c>
      <c r="C228" s="29" t="inlineStr">
        <is>
          <t>hiz-siniri-alkol-ehliyet-puani</t>
        </is>
      </c>
      <c r="D228" s="29" t="inlineStr">
        <is>
          <t>İspanya'da hız sınırları kaç, alkol sınırı nedir ve ehliyet puanı sistemi nasıl işler?</t>
        </is>
      </c>
      <c r="E228" s="29" t="inlineStr">
        <is>
          <t>Şehir içi 20/30/50 km/h; otoyolda otomobil 120, konvansiyonel yolda genelde 90; alkol 0,5 g/l kan, 0,25 mg/l nefes; ehliyet 12 puanla başlar</t>
        </is>
      </c>
      <c r="F228" s="29" t="inlineStr">
        <is>
          <t>Şehir içinde genel sınır yolun yapısına göre 20, 30 ya da 50 km/h'dir; şehir dışında otomobil ve motosiklet için otoyol ve otovíada 120, konvansiyonel yolda 90 km/h'dir; iki yönü fiziksel olarak ayrılmış konvansiyonel yolda yol sahibi otomobil, motosiklet ve 3.500 kg'a kadar karavan için 100 km/h sınırı koyabilir. Alkol sınırı kanda 0,5 gram/litre, nefeste 0,25 miligram/litredir; ağır vasıta, 9'dan fazla yolcu taşıyan, toplu taşıma ve benzeri araç sürücülerinde ve ehliyeti yeni alanlarda 2 yıl boyunca sınır 0,3 g/l kan, 0,15 mg/l nefestir. Ehliyet puanı genelde 12 ile başlar, ehliyeti yeni alanlar ve ehliyeti geri alanlar 8 ile başlar; puan sıfırlanırsa ehliyetin geçerliliğini yitirmesi işlemi başlar ve sürme yasağı bu kararın sana bildirilmesinden sonra başlar. Hız metni Real Decreto 1428/2003'ün BOE konsolide metnine (son güncelleme 26/06/2026; md. 48.1.b'deki değişiklik 01/10/2026'dan beri yürürlükte), puan bilgisi DGT sayfasına (22/09/2026) göredir.</t>
        </is>
      </c>
      <c r="G228" s="29" t="inlineStr">
        <is>
          <t>hız sınırı, alkol sınırı, ehliyet puanı, permiso por puntos, DGT, Reglamento General de Circulación, otoyol, autovía, 1428/2003</t>
        </is>
      </c>
      <c r="H228" s="29" t="inlineStr">
        <is>
          <t>new;settled</t>
        </is>
      </c>
      <c r="I228" s="29" t="inlineStr">
        <is>
          <t>sevilla:kaynak:114;sevilla:kaynak:115</t>
        </is>
      </c>
      <c r="J228" s="49" t="n">
        <v>46319</v>
      </c>
      <c r="K228" s="51" t="n">
        <v>9087</v>
      </c>
      <c r="L228" s="29" t="inlineStr">
        <is>
          <t>Hayır</t>
        </is>
      </c>
      <c r="M228" s="29" t="inlineStr">
        <is>
          <t>Taslak</t>
        </is>
      </c>
      <c r="N228" s="29" t="inlineStr">
        <is>
          <t>sevilla:ulasim</t>
        </is>
      </c>
      <c r="O228" s="29" t="inlineStr">
        <is>
          <t>Şehir içinde yolun yapısına bak: tek yüzeyli (kaldırımla aynı seviyede) yolda 20, yön başına tek şeritli yolda 30, yön başına iki ya da daha fazla şeritli yolda 50 km/h.
Şehir dışında aracının türüne göre sınırı uygula: otomobil, motosiklet, 3.500 kg'a kadar karavan ve pick-up için otoyol/otovía 120, konvansiyonel yol 90 km/h; kamyon ve furgonlar için 90 ve 80; otobüsler için 100 ve 90.
Otobüste ayakta yolcu taşımaya izin varsa ya da otobüste emniyet kemeri yoksa şehir dışında yol türü ne olursa olsun sınır 80 km/h'dir. Okul ve çocuk taşıyan ya da tehlikeli madde taşıyan araçlarda yukarıdaki tablodaki sınır 10 km/h düşürülür (md. 48.1.b, 01/10/2026'dan beri).
Kanında 0,5 g/l ya da nefesinde 0,25 mg/l üzeri alkolle araç kullanma; ehliyeti yeni aldıysan ya da ağır vasıta sürüyorsan sınır 0,3 g/l ve 0,15 mg/l'dir.
Ehliyetinin puanını koru: ağır ihlallerde 2, 3, 4 ya da 6 puan düşer; 3 yıl ihlalsiz sürersen puanın artar.
Puanın sıfırlanırsa ve ehliyetin geçersiz sayıldığı bildirilirse araç sürme; bildirimden sonra sürmek suçtur.</t>
        </is>
      </c>
      <c r="P228" s="29" t="n"/>
      <c r="Q228" s="29" t="inlineStr">
        <is>
          <t>Puan bonusu: 3 yıl ihlalsiz +2 (14 puan), 3 yıl daha ihlalsiz +1 (en çok 15). Yeni sürücüler 2 yıl ihlalsiz sürerse 12 puana çıkar</t>
        </is>
      </c>
      <c r="R228" s="29" t="n"/>
      <c r="S228" s="29" t="inlineStr">
        <is>
          <t>Şehir içinde yetkili belediye genel sınırları işaretle düşürebilir; sınırlar bölgene ve yola göre işaretle değişebilir. Şehir içi otoyol ve otovíada genel sınır 80 km/h, travesíalarda (yerleşim içinden geçen şehirlerarası yol) 50 km/h'dir. Bir günde genel olarak en çok 8 puan kaybedilir; alkol ya da uyuşturucuyla sürme, testi reddetme, izin verilen hızı %50'den fazla aşma gibi çok ağır ihlallerde tüm puanlar tek günde gidebilir. Puanı sıfır olan ehliyetle, kayıp bildirildikten sonra araç sürmek 3-6 ay hapis, 12-24 ay gün-para cezası ya da 31-90 gün kamu yararına çalışma ile cezalandırılır.</t>
        </is>
      </c>
      <c r="T228" s="29" t="n"/>
    </row>
    <row r="229" ht="54" customHeight="1">
      <c r="A229" s="29" t="inlineStr">
        <is>
          <t>sevilla:itv-arac-muayene-periyotlari</t>
        </is>
      </c>
      <c r="B229" s="29" t="inlineStr">
        <is>
          <t>sevilla</t>
        </is>
      </c>
      <c r="C229" s="29" t="inlineStr">
        <is>
          <t>itv-arac-muayene-periyotlari</t>
        </is>
      </c>
      <c r="D229" s="29" t="inlineStr">
        <is>
          <t>İspanya'da ITV araç muayenesi kaç yılda bir yapılır?</t>
        </is>
      </c>
      <c r="E229" s="29" t="inlineStr">
        <is>
          <t>Otomobilde ilk 4 yıl muaf, 4 yıldan sonra 2 yılda bir, 10 yıldan sonra her yıl; periyot aracın türüne göre değişir (RD 920/2017 md. 6)</t>
        </is>
      </c>
      <c r="F229" s="29" t="inlineStr">
        <is>
          <t>İspanya'da tescilli bir otomobil (M1) ilk 4 yıl ITV'den muaftır; 4 yılı geçince 2 yılda bir, 10 yılı geçince her yıl muayeneye girer. Araç yaşı ilk tescil ya da hizmete giriş tarihinden hesaplanır. Motosiklet, hafif ticari araç (N1), otobüs, karavan römorku, taksi ve sürücü kursu araçlarında periyot farklıdır. Muayene sonucu olumluysa geçerlilik süresi, o tarihe periyodun eklenmesiyle bulunur; önceki muayenenin bitişine kalan son 30 takvim gününde yapılırsa süre eski bitiş tarihinden başlar. Bilgi, Real Decreto 920/2017 md. 6'nın BOE konsolide metnine (son güncelleme 18/09/2024) göredir.</t>
        </is>
      </c>
      <c r="G229" s="29" t="inlineStr">
        <is>
          <t>ITV, inspección técnica de vehículos, araç muayenesi, periyot, M1, otomobil, Real Decreto 920/2017, muayene sıklığı</t>
        </is>
      </c>
      <c r="H229" s="29" t="inlineStr">
        <is>
          <t>new;settled</t>
        </is>
      </c>
      <c r="I229" s="29" t="inlineStr">
        <is>
          <t>sevilla:kaynak:116</t>
        </is>
      </c>
      <c r="J229" s="49" t="n">
        <v>46319</v>
      </c>
      <c r="K229" s="51" t="n">
        <v>9088</v>
      </c>
      <c r="L229" s="29" t="inlineStr">
        <is>
          <t>Hayır</t>
        </is>
      </c>
      <c r="M229" s="29" t="inlineStr">
        <is>
          <t>Taslak</t>
        </is>
      </c>
      <c r="N229" s="29" t="inlineStr">
        <is>
          <t>sevilla:ulasim</t>
        </is>
      </c>
      <c r="O229" s="29" t="inlineStr">
        <is>
          <t>Aracının kategorisini ve ilk tescil tarihini belirle; yaş bu tarihten sayılır.
Otomobilsen (M1) 4. yıldan sonra 2 yılda bir, 10. yıldan sonra her yıl muayeneye gir.
Hafif ticari (N1), otobüs (M2, M3), motosiklet, taksi ya da sürücü kursu aracıysan kendi satırındaki periyodu uygula.
Muayeneyi yetkili ITV istasyonunda yaptır; istasyonları bulunduğu özerk topluluğun yetkili organı yetkilendirir.
Muayene süresini kaçırırsan ve kolluk fark ederse sana araca muayene yaptırman için 10 gün verilir; süre dolunca Jefatura de Tráfico (trafik idaresi) aracı resen kayıttan düşürme (baja) işlemini başlatır.</t>
        </is>
      </c>
      <c r="P229" s="29" t="n"/>
      <c r="Q229" s="29" t="inlineStr">
        <is>
          <t>Otomobil (M1): 4 yıla kadar muaf, 4 yıldan sonra 2 yılda bir, 10 yıldan sonra yıllık. Eksik muayene için kolluğun verdiği süre: 10 gün</t>
        </is>
      </c>
      <c r="R229" s="29" t="n"/>
      <c r="S229" s="29" t="inlineStr">
        <is>
          <t>Diğer periyotlar: ciclomotor (L1e) 3 yıla kadar muaf, sonra 2 yılda bir; diğer L (motosiklet, kuadrisiklet) 4 yıla kadar muaf, sonra 2 yılda bir; otobüs (M2, M3) 5 yıla kadar yıllık, sonra 6 aylık; hafif ticari (N1) 2 yıla kadar muaf, 2-6 yıl 2 yılda bir, 6-10 yıl yıllık, 10 yıldan sonra 6 aylık; çekilen karavan (O2) 6 yıla kadar muaf, sonra 2 yılda bir. Taksi, ambulans ve okul servisi olan M1 araçlar 5 yıla kadar yıllık, sonra 6 aylık; sürücü kursu araçlarında (M1, L) 2 yıla kadar muaf, 2-5 yıl yıllık, 5 yıldan sonra 6 aylık. Kaza sonrası önemli hasar ya da güvenlik sistemlerinde değişiklik olursa süreyi beklemeden muayene istenebilir. Ücret ve randevu bölgene göre değişir.</t>
        </is>
      </c>
      <c r="T229" s="29" t="n"/>
    </row>
    <row r="230" ht="54" customHeight="1">
      <c r="A230" s="29" t="inlineStr">
        <is>
          <t>sevilla:ucus-gecikme-iptal-aesa-sikayet</t>
        </is>
      </c>
      <c r="B230" s="29" t="inlineStr">
        <is>
          <t>sevilla</t>
        </is>
      </c>
      <c r="C230" s="29" t="inlineStr">
        <is>
          <t>ucus-gecikme-iptal-aesa-sikayet</t>
        </is>
      </c>
      <c r="D230" s="29" t="inlineStr">
        <is>
          <t>İspanya'dan kalkan uçuşum gecikir ya da iptal olursa tazminatı nasıl isterim, AESA'ya nasıl şikâyet ederim?</t>
        </is>
      </c>
      <c r="E230" s="29" t="inlineStr">
        <is>
          <t>Önce havayoluna yazılı şikâyet; bir ay yanıt yoksa AESA'ya ücretsiz; 3 saat ve üzeri gecikmede olağanüstü durum yoksa 250-600 € tazminat</t>
        </is>
      </c>
      <c r="F230" s="29" t="inlineStr">
        <is>
          <t>Önce havayoluna şikâyet et: olaydan sonra 5 yıl içinde yap; bir ay içinde yanıt gelmezse ya da yanıt yetersizse AESA'ya ücretsiz şikâyet edebilirsin. Nihai varış noktana 3 saat ya da daha geç ulaşırsan sabit tutarlı tazminat (250-600 €) hakkın doğar; havayolu gecikmenin kendi kontrolü dışındaki bir olağanüstü durumdan (ör. kontrolör grevi, kötü hava) kaynaklandığını kanıtlarsa tazminat ödemeyebilir. AESA yolu uçuş tarihi 02/06/2023 ve sonrası olan, İspanya'daki bir havalimanından kalkan yolcular için uyruğa bakılmaksızın açıktır; iptal, 3 saat ve üzeri gecikme, haksız biniş reddi, sınıf değişikliği ve hareket kısıtlı yolcuların hakları şikâyet konusudur. AESA kararı havayolunu bağlar, seni bağlamaz.</t>
        </is>
      </c>
      <c r="G230" s="29" t="inlineStr">
        <is>
          <t>AESA, uçuş gecikmesi, uçuş iptali, tazminat, 261/2004, yolcu hakları, şikâyet, resolución alternativa de litigios, havayolu şikâyeti</t>
        </is>
      </c>
      <c r="H230" s="29" t="inlineStr">
        <is>
          <t>new;settled</t>
        </is>
      </c>
      <c r="I230" s="29" t="inlineStr">
        <is>
          <t>sevilla:kaynak:117;sevilla:kaynak:118</t>
        </is>
      </c>
      <c r="J230" s="49" t="n">
        <v>46319</v>
      </c>
      <c r="K230" s="51" t="n">
        <v>9089</v>
      </c>
      <c r="L230" s="29" t="inlineStr">
        <is>
          <t>Hayır</t>
        </is>
      </c>
      <c r="M230" s="29" t="inlineStr">
        <is>
          <t>Taslak</t>
        </is>
      </c>
      <c r="N230" s="29" t="inlineStr">
        <is>
          <t>sevilla:ulasim</t>
        </is>
      </c>
      <c r="O230" s="29" t="inlineStr">
        <is>
          <t>Havayoluna şikâyetini kendi başvuru kanalından (web sayfası, e-posta, şikâyet formu) ya da AESA'nın yolculara sunduğu havayolu şikâyet formuyla yap; olaydan 5 yıl geçmeden yap ve bileti ile belgeleri sakla.
Havayolundan bir ay içinde yanıt gelmezse ya da yanıt seni tatmin etmezse AESA'ya şikâyet et; bunu havayoluna şikâyet ettiğin tarihten itibaren 1 yıl içinde yap.
AESA'ya elektronik yoldan (dijital sertifika, Cl@ve Permanente ya da Cl@ve'i olmayan yabancılar için önceden kayıt gerektiren e4F; Cl@ve PIN imza vermediği için bununla başvuru baştan sona yapılamaz, çıktısını alıp postayla göndermen gerekir), yarı yüz yüze ya da kâğıtla başvur; yarı yüz yüze yolda imzalı formu 10 gün içinde AESA'ya ulaştır.
Başvuruya kimlik belgesi, biletler ve biniş kartları, havayolu yazışmaları ve varsa masraf faturalarını ekle.
AESA kararını bekle; karar, başvurunun tamamlanmasından itibaren 90 gün içinde sana ve havayoluna gönderilir.</t>
        </is>
      </c>
      <c r="P230" s="29" t="inlineStr">
        <is>
          <t>Şikâyet formu, havayoluna yapılan şikâyet ve varsa yanıt, tüm yolcuların kimlik belgeleri, bilet ve biniş kartları, varsa masraf faturaları</t>
        </is>
      </c>
      <c r="Q230" s="29" t="inlineStr">
        <is>
          <t>Havayoluna şikâyet: olaydan sonra 5 yıl; havayolunun yanıt süresi 1 ay; AESA şikâyeti: havayoluna şikâyetten sonra 1 yıl; AESA karar süresi: 90 gün; karara uyma süresi: 1 ay</t>
        </is>
      </c>
      <c r="R230" s="29" t="inlineStr">
        <is>
          <t>AESA şikâyeti ücretsizdir. Tazminat: 250-600 €</t>
        </is>
      </c>
      <c r="S230" s="29" t="inlineStr">
        <is>
          <t>Gecikme ya da iptalde havayolu olağanüstü durumu kanıtlasa da yiyecek, içecek, otel ve iletişim yardımı hakkın sürer; havayolunun kendi personelinin grevi ya da teknik sorunlar genelde olağanüstü durum sayılmaz. AB dışındaki bir havalimanından İspanya'ya gelen uçuşta AB havayolu taşıyorsa AESA yolu açıktır. Bagaj, hizmet kalitesi, taşıma sözleşmesi ve şartları, tarife ve vergiler, seyahat acentesi ve paket tur konuları AESA'nın bu şikâyet yoluna girmez; uçuş normal yapılıp yolcunun uçmamaya karar verdiği durumlar da girmez. Başka bir AB ülkesinden kalkan uçuşlar için o ülkenin yetkili kuruluşuna başvurulur. Önce mahkemeye başvurulursa AESA şikâyeti kabul edilmez. AESA sayfasında şikâyet sayısındaki artış nedeniyle çözüm sürelerinin uzadığı belirtiliyor. Hareket kısıtlı yolcu en çok iki hareketlilik ekipmanını ek ücretsiz taşıyabilir; ekipman özelliklerini rezervasyonda havayoluna bildirmesi gerekir.</t>
        </is>
      </c>
      <c r="T230" s="29" t="n"/>
    </row>
    <row r="231" ht="54" customHeight="1">
      <c r="A231" s="29" t="inlineStr">
        <is>
          <t>sevilla:ada-ceuta-melilla-yerlesik-ucus-indirimi</t>
        </is>
      </c>
      <c r="B231" s="29" t="inlineStr">
        <is>
          <t>sevilla</t>
        </is>
      </c>
      <c r="C231" s="29" t="inlineStr">
        <is>
          <t>ada-ceuta-melilla-yerlesik-ucus-indirimi</t>
        </is>
      </c>
      <c r="D231" s="29" t="inlineStr">
        <is>
          <t>Adalar, Ceuta ve Melilla ile anakara arasındaki uçuşlarda yerleşik indirimi var mı, Türk vatandaşı yararlanabilir mi?</t>
        </is>
      </c>
      <c r="E231" s="29" t="inlineStr">
        <is>
          <t>Doğrudan hatlarda %75 indirim; Türk vatandaşı için şart uzun dönem oturum ya da AB/AEA/İsviçre vatandaşının aile üyesi olarak oturum hakkı</t>
        </is>
      </c>
      <c r="F231" s="29" t="inlineStr">
        <is>
          <t>Evet: Canarias, Illes Balears, Ceuta ve Melilla'da ikamet eden hak sahipleri için bu bölgeler ile anakara arasındaki doğrudan düzenli uçuşlarda bonificación (indirim) %75'tir ve süresizdir. Türk vatandaşı üçüncü ülke vatandaşıdır; Ley 17/2012 DA 13ª, dört bölge için de aynı kuralla iki yoldan birini arar: ya "residente de larga duración" (uzun dönem oturum sahibi) olursun ya da İspanyol ya da AB/AEA/İsviçre vatandaşının, oturum hakkı ya da kalıcı oturum hakkı olan üçüncü ülke vatandaşı aile üyesisin. Her iki durumda bölgede ikamet ettiğini kanıtlaman gerekir. Yasanın saydığı hak sahipleri şunlardır: İspanyol vatandaşları, AB/AEA/İsviçre vatandaşları, bunların oturum hakkı ya da kalıcı oturum hakkı olan üçüncü ülke vatandaşı aile üyeleri ve uzun dönem oturumlu üçüncü ülke vatandaşları. İndirim, yerleşik kişinin kendi bölgesi ile anakara arasındaki doğrudan yolculuk içindir; uçakta adalar arası uçuşlarda da %75'tir.</t>
        </is>
      </c>
      <c r="G231" s="29" t="inlineStr">
        <is>
          <t>yerleşik indirimi, bonificación, %75, Canarias, Baleares, Ceuta, Melilla, residente de larga duración, uzun dönem oturum, uçuş indirimi, RD 949/2018</t>
        </is>
      </c>
      <c r="H231" s="29" t="inlineStr">
        <is>
          <t>new;settled</t>
        </is>
      </c>
      <c r="I231" s="29" t="inlineStr">
        <is>
          <t>sevilla:kaynak:119;sevilla:kaynak:120</t>
        </is>
      </c>
      <c r="J231" s="49" t="n">
        <v>46319</v>
      </c>
      <c r="K231" s="51" t="n">
        <v>9090</v>
      </c>
      <c r="L231" s="29" t="inlineStr">
        <is>
          <t>Hayır</t>
        </is>
      </c>
      <c r="M231" s="29" t="inlineStr">
        <is>
          <t>Taslak</t>
        </is>
      </c>
      <c r="N231" s="29" t="inlineStr">
        <is>
          <t>sevilla:ulasim</t>
        </is>
      </c>
      <c r="O231" s="29" t="inlineStr">
        <is>
          <t>Bölgeni belirle: indirim Canarias, Illes Balears, Ceuta ve Melilla'da ikamet edenler için, kendi bölgen ile anakara arasındaki doğrudan yolculuklarda geçerlidir (adalar arası uçuşlarda da geçerlidir).
Doğrudan yolculuk seç: doğrudan gidiş yolculuğu, ara iniş olmayan ya da ara inişleri 12 saati aşmayan yolculuktur; hizmetin teknik ihtiyaçlarının ya da mücbir sebebin zorunlu kıldığı ara inişler bu süreye sayılmaz.
Türk vatandaşıysan dört bölgede de şu iki durumdan birinde olman gerekir: uzun dönem oturumlu (residente de larga duración) üçüncü ülke vatandaşı olmak ya da İspanyol ya da AB/AEA/İsviçre vatandaşının oturum hakkı olan üçüncü ülke vatandaşı aile üyesi olmak.
Bölgedeki ikametini yürürlükteki certificado de empadronamiento (belediye ikamet kaydı belgesi) ile kanıtla.
Kimliğini geçerli bir belgeyle kanıtla: uzun dönem oturumluysan statünün yazılı olduğu yabancı kimlik kartı, AB vatandaşının aile üyesiysen aile üyesi oturum kartı.
Hesapta tarife tutarından Ley 21/2003 art. 68.2 d, e, f'deki kamu mali yükümlülükleri düşülür.</t>
        </is>
      </c>
      <c r="P231" s="29" t="inlineStr">
        <is>
          <t>Yürürlükte certificado de empadronamiento; uzun dönem oturumlu için bu statünün yazılı olduğu geçerli yabancı kimlik kartı; AB vatandaşının aile üyesi için geçerli aile üyesi oturum kartı; İspanyol ve AB/AEA/İsviçre vatandaşları için geçerli nüfus cüzdanı (DNI) ya da pasaport</t>
        </is>
      </c>
      <c r="Q231" s="29" t="inlineStr">
        <is>
          <t>RD 949/2018: 29/07/2018'den itibaren yürürlükte, süresiz (carácter indefinido). Ley 17/2012 DA 13ª: %75 bonificación süresiz</t>
        </is>
      </c>
      <c r="R231" s="29" t="inlineStr">
        <is>
          <t>İndirim: %75</t>
        </is>
      </c>
      <c r="S231" s="29" t="inlineStr">
        <is>
          <t>Adalar arası (interinsular) uçuşlarda da %75'tir. Doğrudan gemi seferlerinde de %75 indirim vardır. Aynı yolculukta birden çok uyumlu indirim birikirse toplam indirim tarifenin %85'ini aşamaz.</t>
        </is>
      </c>
      <c r="T231" s="29" t="n"/>
    </row>
    <row r="232" ht="54" customHeight="1">
      <c r="A232" s="29" t="inlineStr">
        <is>
          <t>sevilla:endulus-metropol-ulasim-konsorsiyum-kartlari-ve-interoperabilite</t>
        </is>
      </c>
      <c r="B232" s="29" t="inlineStr">
        <is>
          <t>sevilla</t>
        </is>
      </c>
      <c r="C232" s="29" t="inlineStr">
        <is>
          <t>endulus-metropol-ulasim-konsorsiyum-kartlari-ve-interoperabilite</t>
        </is>
      </c>
      <c r="D232" s="29" t="inlineStr">
        <is>
          <t>Endülüs'te metropol ulaşım konsorsiyumlarının kartı başka konsorsiyumun alanında da geçer mi?</t>
        </is>
      </c>
      <c r="E232" s="29" t="inlineStr">
        <is>
          <t>Kartlar konsorsiyumlar arasında kullanılabilir (interoperabilidad); başka bir alanda tarife o alanın konsorsiyumunun çerçevesine bağlıdır</t>
        </is>
      </c>
      <c r="F232" s="29" t="inlineStr">
        <is>
          <t>Evet, kartlar birbirinin alanında kullanılabilir (interoperabilidad). Endülüs'te birden çok metropol ulaşım konsorsiyumu vardır ve her biri kendi alanında kendi tarife çerçevesini belirler. Başka bir konsorsiyumun alanında kullanırken o konsorsiyumun belirlediği tarifeler geçerlidir.</t>
        </is>
      </c>
      <c r="G232" s="29" t="inlineStr">
        <is>
          <t>ulaşım kartı, Consorcio de Transporte, interoperatividad, tarjeta de transporte, metropol ulaşım, salto, bono</t>
        </is>
      </c>
      <c r="H232" s="29" t="inlineStr">
        <is>
          <t>new;settled</t>
        </is>
      </c>
      <c r="I232" s="29" t="inlineStr">
        <is>
          <t>sevilla:kaynak:138;sevilla:kaynak:139</t>
        </is>
      </c>
      <c r="J232" s="49" t="n">
        <v>46319</v>
      </c>
      <c r="K232" s="51" t="n">
        <v>9102</v>
      </c>
      <c r="L232" s="29" t="inlineStr">
        <is>
          <t>Hayır</t>
        </is>
      </c>
      <c r="M232" s="29" t="inlineStr">
        <is>
          <t>Taslak</t>
        </is>
      </c>
      <c r="N232" s="29" t="inlineStr">
        <is>
          <t>sevilla:ulasim</t>
        </is>
      </c>
      <c r="O232" s="29" t="inlineStr">
        <is>
          <t>Başka bir Endülüs metropol alanına gittiğinde kartını oradaki ulaşımda da kullanabilirsin; orada o alanın konsorsiyumunun belirlediği tarife uygulanır.</t>
        </is>
      </c>
      <c r="P232" s="29" t="n"/>
      <c r="Q232" s="29" t="n"/>
      <c r="R232" s="29" t="n"/>
      <c r="S232" s="29" t="inlineStr">
        <is>
          <t>Tarife ve kart kuralları konsorsiyumdan konsorsiyuma değişir; belirli bir konsorsiyuma ait tutarlar ve kurallar bu kartta yer almaz.</t>
        </is>
      </c>
      <c r="T232" s="29" t="n"/>
    </row>
    <row r="233" ht="54" customHeight="1">
      <c r="A233" s="29" t="inlineStr">
        <is>
          <t>sevilla:metro-sevilla-bilet-turleri-ve-fiyatlari</t>
        </is>
      </c>
      <c r="B233" s="29" t="inlineStr">
        <is>
          <t>sevilla</t>
        </is>
      </c>
      <c r="C233" s="29" t="inlineStr">
        <is>
          <t>metro-sevilla-bilet-turleri-ve-fiyatlari</t>
        </is>
      </c>
      <c r="D233" s="29" t="inlineStr">
        <is>
          <t>Sevilla Metrosu'nda hangi bilet türleri var, yolculuk ne kadar tutar?</t>
        </is>
      </c>
      <c r="E233" s="29" t="inlineStr">
        <is>
          <t>Hat 3 bölgeye ayrılır; ücret bölge geçişi (salto) sayısına göre belirlenir; tek bilet 1,35-1,80 €</t>
        </is>
      </c>
      <c r="F233" s="29" t="inlineStr">
        <is>
          <t>Sevilla Metrosu'nun 1. hattı 3 tarife bölgesine ayrılır ve ücret, kalkış ile varış arasında geçtiğin bölge sınırı sayısına (salto) göre hesaplanır: 0, 1 ya da 2 salto. Tek yolculuk (billete sencillo) 1,35 €, 1,60 € ya da 1,80 €; gidiş-dönüş 2,70, 3,20 ya da 3,60 €; günlük sınırsız bilet (bono de un día) 4,50 €. Sık biniyorsan Bonometro (bakiyeli kart) ya da 30 gün içinde 45 yolculuk veren Bono Plus 45 daha ucuza gelir. Biletler istasyonlardaki otomatlardan alınır. Consorcio ulaşım kartıyla metroda 1 Ocak-31 Aralık 2026 arasında %40 indirimli fiyat uygulanıyor: 0 salto 0,49 €, 1 salto 0,70 €, 2 salto 0,82 €.</t>
        </is>
      </c>
      <c r="G233" s="29" t="inlineStr">
        <is>
          <t>Metro de Sevilla, metro bileti, Bonometro, Bono Plus 45, billete sencillo, ida y vuelta, bono de un día, salto, tarife</t>
        </is>
      </c>
      <c r="H233" s="29" t="inlineStr">
        <is>
          <t>new;settled</t>
        </is>
      </c>
      <c r="I233" s="29" t="inlineStr">
        <is>
          <t>sevilla:kaynak:177;sevilla:kaynak:288</t>
        </is>
      </c>
      <c r="J233" s="49" t="n">
        <v>46320</v>
      </c>
      <c r="K233" s="51" t="n">
        <v>1000</v>
      </c>
      <c r="L233" s="29" t="inlineStr">
        <is>
          <t>Evet</t>
        </is>
      </c>
      <c r="M233" s="29" t="inlineStr">
        <is>
          <t>Taslak</t>
        </is>
      </c>
      <c r="N233" s="29" t="inlineStr">
        <is>
          <t>sevilla:ulasim</t>
        </is>
      </c>
      <c r="O233" s="29" t="inlineStr">
        <is>
          <t>Gideceğin yere kadar kaç bölge sınırı (salto) geçtiğini hesapla; ücret buna göre belirlenir.
İstasyondaki otomattan bilet türünü seç: tek yolculuk, gidiş-dönüş, günlük sınırsız ya da çok yolculuklu.
Sık binecekse Bonometro (en az 10 €, en çok 50 € yüklenir) ya da Bono Plus 45 al.
Giriş ve çıkışta kartı okut; bir yolculuk girişten itibaren en çok 1 saat 30 dakika sürebilir.
Yolculuk boyunca geçerli bilet taşı; biletsiz yolculuk yaptırıma tabidir.
Consorcio kartın varsa metroda da kullanabilirsin; 2026'da kartla ücret yukarıdaki indirimli tutarlardır.</t>
        </is>
      </c>
      <c r="P233" s="29" t="n"/>
      <c r="Q233" s="29" t="inlineStr">
        <is>
          <t>Bir yolculuk, girişte okutmadan itibaren en çok 1 saat 30 dakika</t>
        </is>
      </c>
      <c r="R233" s="29" t="inlineStr">
        <is>
          <t>Tek yolculuk: 0 salto 1,35 €, 1 salto 1,60 €, 2 salto 1,80 €. Gidiş-dönüş: 2,70 / 3,20 / 3,60 €. Bonometro (yolculuk başına): 0,82 / 1,17 / 1,37 €. Bono Plus 45 (30 gün, 45 yolculuk): 30 / 42 / 50 €. Günlük bilet: 4,50 €. İlk kart alımında 0,30 € kart bedeli. Consorcio kartıyla metro, 2026 (%40 indirimli): 0,49 / 0,70 / 0,82 €</t>
        </is>
      </c>
      <c r="S233" s="29" t="inlineStr">
        <is>
          <t>Metro'nun kendi tarife sayfası, 1 Temmuz-31 Aralık 2025 döneminde %40 indirimin yalnız abonman ve çok yolculuklu biletlere (Bonometro, Bono Plus 45) uygulandığını, tek yolculuk, gidiş-dönüş ve günlük biletin kapsam dışı kaldığını yazıyor (örnek: Bono Plus 45 için 18 / 25,20 / 30 €). Tek yolculuk fiyatları Consorcio'nun 2026 tablosunda da aynıdır.</t>
        </is>
      </c>
      <c r="T233" s="29" t="n"/>
    </row>
    <row r="234" ht="54" customHeight="1">
      <c r="A234" s="29" t="inlineStr">
        <is>
          <t>sevilla:metro-sevilla-kart-kullanimi-kayip-grup-bakiye</t>
        </is>
      </c>
      <c r="B234" s="29" t="inlineStr">
        <is>
          <t>sevilla</t>
        </is>
      </c>
      <c r="C234" s="29" t="inlineStr">
        <is>
          <t>metro-sevilla-kart-kullanimi-kayip-grup-bakiye</t>
        </is>
      </c>
      <c r="D234" s="29" t="inlineStr">
        <is>
          <t>Sevilla Metrosu kartı nasıl kullanılır, kaybolursa ya da bozulursa ne olur?</t>
        </is>
      </c>
      <c r="E234" s="29" t="inlineStr">
        <is>
          <t>Kart yeniden yüklenebilir; kayıp ya da çalıntı kart yenilenmez; Bonometro ile 30 kişiye kadar birlikte yolculuk edilir</t>
        </is>
      </c>
      <c r="F234" s="29" t="inlineStr">
        <is>
          <t>Metro biletleri yeniden yüklenebilir ve tekrar kullanılabilir kartlara basılır; ilk alımda 0,30 € kart bedeli ödersin, sonraki yüklemelerde ödemezsin. Kart kaybolur ya da çalınırsa Metro yenisini vermez. Kartın bozulması senden kaynaklanıyorsa Metro kartı değiştirir ama değişim bedelini sen ödersin; kart ilk iki okutmayı doğru yapmışsa sonraki bozulma senden kaynaklanmış sayılır. Senin sorumluluğunda olmayan bozulmada kart ücretsiz değişir. Bonometro, birlikte yolculuk edip birlikte okutmak şartıyla en çok 30 kişi tarafından kullanılabilir; Bono Plus 45 ve günlük bilet tek kişiliktir. Kalan Bonometro bakiyesini müşteri hizmetleri ofisinde başka karta aktarabilirsin.</t>
        </is>
      </c>
      <c r="G234" s="29" t="inlineStr">
        <is>
          <t>Metro kartı, Bonometro, kart kaybı, bakiye aktarma, kart bedeli, Metro de Sevilla müşteri hizmetleri</t>
        </is>
      </c>
      <c r="H234" s="29" t="inlineStr">
        <is>
          <t>new;settled</t>
        </is>
      </c>
      <c r="I234" s="29" t="inlineStr">
        <is>
          <t>sevilla:kaynak:177</t>
        </is>
      </c>
      <c r="J234" s="49" t="n">
        <v>46320</v>
      </c>
      <c r="K234" s="51" t="n">
        <v>1001</v>
      </c>
      <c r="L234" s="29" t="inlineStr">
        <is>
          <t>Hayır</t>
        </is>
      </c>
      <c r="M234" s="29" t="inlineStr">
        <is>
          <t>Taslak</t>
        </is>
      </c>
      <c r="N234" s="29" t="inlineStr">
        <is>
          <t>sevilla:ulasim</t>
        </is>
      </c>
      <c r="O234" s="29" t="inlineStr">
        <is>
          <t>Kartını sakla; yıl içinde bir daha binecekse aynı kartı yükle, yeni kart alma.
Bilet türünü değiştirmek istersen eski yüklemenin tamamen bitmesini ya da süresinin dolmasını bekle; sonra aynı kartta yeni tür seç.
Bonometro ile grup halinde gidiyorsanız hepiniz birlikte giriş ve çıkışta okutun.
Kartın bozulursa Metro'ya götür; ilk iki okutmayı doğru yaptıysan sonraki bozulma sana yazılır ve değişim bedelini sen ödersin, sorumluluğun dışındaki bozulmada değişim ücretsizdir.
Bonometro bakiyeni başka karta taşımak için müşteri hizmetleri ofisine git.</t>
        </is>
      </c>
      <c r="P234" s="29" t="n"/>
      <c r="Q234" s="29" t="n"/>
      <c r="R234" s="29" t="inlineStr">
        <is>
          <t>İlk kart alımında 0,30 €; sonraki yüklemelerde kart bedeli yok</t>
        </is>
      </c>
      <c r="S234" s="29" t="inlineStr">
        <is>
          <t>Kart kaybolursa ya da çalınırsa Metro yenisini vermez.</t>
        </is>
      </c>
      <c r="T234" s="29" t="n"/>
    </row>
    <row r="235" ht="54" customHeight="1">
      <c r="A235" s="29" t="inlineStr">
        <is>
          <t>sevilla:sevilla-consorcio-ulasim-karti-alma-ve-yukleme</t>
        </is>
      </c>
      <c r="B235" s="29" t="inlineStr">
        <is>
          <t>sevilla</t>
        </is>
      </c>
      <c r="C235" s="29" t="inlineStr">
        <is>
          <t>sevilla-consorcio-ulasim-karti-alma-ve-yukleme</t>
        </is>
      </c>
      <c r="D235" s="29" t="inlineStr">
        <is>
          <t>Sevilla'da Consorcio ulaşım kartı (Tarjeta de Transporte Metropolitano) nasıl alınır ve yüklenir?</t>
        </is>
      </c>
      <c r="E235" s="29" t="inlineStr">
        <is>
          <t>Kart 1,50 € karşılığı yetkili noktalarda alınır, en az 5 € yüklenir, bakiye en çok 500 € olur ve süresi dolmaz; kimliğe bağlı değildir</t>
        </is>
      </c>
      <c r="F235" s="29" t="inlineStr">
        <is>
          <t>Consorcio ulaşım kartı (Tarjeta de Transporte), Sevilla metropol alanında metropol otobüslerde, Metro 1. hatta, Renfe Cercanías'ta ve bazı şehir otobüslerinde geçen temassız bir bakiyeli karttır. Kimliğe bağlı olmadığı için herkes kullanabilir. Yetkili satış noktalarından alınır; ilk alımda 1,50 € geri alınmayan yönetim bedeli ödersin. Yüklemeler en az 5 €, toplam bakiye en çok 500 € olabilir; bakiye hiç sona ermez, ama kartı bırakıp iade edersen bakiye geri ödenmez, bu yüzden iade etmeden önce harcaman gerekir. Cercanías istasyonlarındaki bilet otomatlarında da kartla ödeme yapabilirsin.</t>
        </is>
      </c>
      <c r="G235" s="29" t="inlineStr">
        <is>
          <t>Consorcio de Transportes, ulaşım kartı, Tarjeta de Transporte, Sevilla otobüs kartı, bakiyeli kart, kart yükleme, metropol ulaşım</t>
        </is>
      </c>
      <c r="H235" s="29" t="inlineStr">
        <is>
          <t>new;settled</t>
        </is>
      </c>
      <c r="I235" s="29" t="inlineStr">
        <is>
          <t>sevilla:kaynak:178;sevilla:kaynak:287</t>
        </is>
      </c>
      <c r="J235" s="49" t="n">
        <v>46320</v>
      </c>
      <c r="K235" s="51" t="n">
        <v>1002</v>
      </c>
      <c r="L235" s="29" t="inlineStr">
        <is>
          <t>Evet</t>
        </is>
      </c>
      <c r="M235" s="29" t="inlineStr">
        <is>
          <t>Taslak</t>
        </is>
      </c>
      <c r="N235" s="29" t="inlineStr">
        <is>
          <t>sevilla:ulasim</t>
        </is>
      </c>
      <c r="O235" s="29" t="inlineStr">
        <is>
          <t>Kartı Consorcio'nun yetkili satış noktalarından iste.
Kart bedeli olarak 1,50 € (geri alınmaz) ve ilk yükleme için en az 5 € öde.
Bakiye bittikçe satış noktalarında yeniden yükle; her yükleme en az 5 €, toplam bakiye 500 €'yu geçemez.
Yükleme geçmişini görmek istersen Consorcio'nun sitesindeki sorgu formunu doldur: e-posta adresini, kartın sağ alt köşesindeki kart numarasını ve dönemi yaz; yanıt 48 saat içinde e-postayla gelir.
Büyük aileysen kimliğe bağlı özel kartı (tarjeta nominativa familia numerosa) ayrıca al.</t>
        </is>
      </c>
      <c r="P235" s="29" t="n"/>
      <c r="Q235" s="29" t="inlineStr">
        <is>
          <t>Bakiye süresiz geçerlidir; kart iade edilirse bakiye geri ödenmez</t>
        </is>
      </c>
      <c r="R235" s="29" t="inlineStr">
        <is>
          <t>Kart bedeli 1,50 € (geri alınmaz); en az yükleme 5 €; en çok bakiye 500 €</t>
        </is>
      </c>
      <c r="S235" s="29" t="inlineStr">
        <is>
          <t>Consorcio'ya göre kart, entegre tarife sistemi olan diğer metropol alanlarında da kullanılabilir. Kartla Bus+Bici hizmetinden bisiklet alabilir (bisiklet sayısı sınırlı) ve Plaza de Armas otogarındaki Bus+Bici bisiklet parkında elektrikli scooter'ını ücretsiz şarj edebilirsin.</t>
        </is>
      </c>
      <c r="T235" s="29" t="n"/>
    </row>
    <row r="236" ht="54" customHeight="1">
      <c r="A236" s="29" t="inlineStr">
        <is>
          <t>sevilla:sevilla-tarjeta-joven-transporte-30-yas-alti</t>
        </is>
      </c>
      <c r="B236" s="29" t="inlineStr">
        <is>
          <t>sevilla</t>
        </is>
      </c>
      <c r="C236" s="29" t="inlineStr">
        <is>
          <t>sevilla-tarjeta-joven-transporte-30-yas-alti</t>
        </is>
      </c>
      <c r="D236" s="29" t="inlineStr">
        <is>
          <t>Sevilla'da 30 yaş altı için Tarjeta Joven de Transporte nasıl çıkarılır?</t>
        </is>
      </c>
      <c r="E236" s="29" t="inlineStr">
        <is>
          <t>30 yaş altına kişisel kart; yüklemede %25 bonus, yolculuk bedelinde %20 indirim; hazır olduğu en geç 20 iş günü içinde bildirilir</t>
        </is>
      </c>
      <c r="F236" s="29" t="inlineStr">
        <is>
          <t>Tarjeta Joven de Transporte, 30 yaşın altındakiler için fotoğraflı, kişiye özel ve devredilemeyen bir karttır; Sevilla konsorsiyumu dahil Endülüs'teki konsorsiyumların otobüs, metro ve tramvay gibi tüm entegre hizmetlerinde geçer. İndirim, yüklemede %25 bonus olarak verilir ve yolculuk bedelinde %20 indirime denk gelir. Başvuruyu konsorsiyumun sitesinden çevrimiçi ya da basılı formla yüz yüze yapabilirsin; Junta'nın sayfası yüz yüze başvuruda pandemi nedeniyle randevu istendiğini yazıyor; kart hazır olunca e-posta ya da SMS ile haber verilir, ardından satış noktasında etkinleştirip yüklemen gerekir.</t>
        </is>
      </c>
      <c r="G236" s="29" t="inlineStr">
        <is>
          <t>Tarjeta Joven, gençlik ulaşım kartı, 30 yaş altı, Consorcio Sevilla, ulaşım indirimi, DNI NIE</t>
        </is>
      </c>
      <c r="H236" s="29" t="inlineStr">
        <is>
          <t>new;settled</t>
        </is>
      </c>
      <c r="I236" s="29" t="inlineStr">
        <is>
          <t>sevilla:kaynak:179;sevilla:kaynak:180</t>
        </is>
      </c>
      <c r="J236" s="49" t="n">
        <v>46320</v>
      </c>
      <c r="K236" s="51" t="n">
        <v>1003</v>
      </c>
      <c r="L236" s="29" t="inlineStr">
        <is>
          <t>Hayır</t>
        </is>
      </c>
      <c r="M236" s="29" t="inlineStr">
        <is>
          <t>Taslak</t>
        </is>
      </c>
      <c r="N236" s="29" t="inlineStr">
        <is>
          <t>sevilla:ulasim</t>
        </is>
      </c>
      <c r="O236" s="29" t="inlineStr">
        <is>
          <t>Sevilla konsorsiyumunun sitesindeki çevrimiçi formu doldur ya da basılı formu doldurup ofise götür; Junta'nın sayfası, pandemi nedeniyle yüz yüze başvuruda önceden randevu (cita previa) istendiğini yazıyor; ofislerin yeri konsorsiyumun sitesinde yer alıyor.
DNI ya da NIE, yakın tarihli renkli vesikalık fotoğraf ve e-posta ya da cep telefonu bilgisi ekle.
Büyük aile kartın varsa onun kopyasını da ekle.
Kart hazır olunca gelen e-posta ya da SMS'i bekle; haber, başvurudan sonra en çok 20 iş günü içinde verilir.
Kartı evine postayla ya da ofisten aldıktan sonra bir satış noktasında etkinleştirip en az 5 € üzerinde yükle; 1,50 € yönetim bedeli kesilir.</t>
        </is>
      </c>
      <c r="P236" s="29" t="inlineStr">
        <is>
          <t>DNI ya da NIE
Yakın tarihli renkli vesikalık fotoğraf
E-posta adresi ya da cep telefonu
Büyük aile kartı (varsa) kopyası</t>
        </is>
      </c>
      <c r="Q236" s="29" t="inlineStr">
        <is>
          <t>Hazır olduğuna dair haber en çok 20 iş günü içinde verilir</t>
        </is>
      </c>
      <c r="R236" s="29" t="inlineStr">
        <is>
          <t>Yüklemede %25 bonus (yolculuk bedelinde %20 indirim); etkinleştirmede 1,50 € yönetim bedeli kesilir; yükleme en az 5 € üzerinde</t>
        </is>
      </c>
      <c r="S236" s="29" t="inlineStr">
        <is>
          <t>Kart yalnız kendi kullanımın içindir; üzerinde fotoğraf, ad ve DNI/NIE yazar. Hem genç hem büyük aile hakkın varsa büyük aile kartı çıkarılır ve iki bonus üst üste uygulanır.</t>
        </is>
      </c>
      <c r="T236" s="29" t="n"/>
    </row>
    <row r="237" ht="54" customHeight="1">
      <c r="A237" s="29" t="inlineStr">
        <is>
          <t>sevilla:sevilla-cercanias-konsorsiyum-karti-istasyonlari</t>
        </is>
      </c>
      <c r="B237" s="29" t="inlineStr">
        <is>
          <t>sevilla</t>
        </is>
      </c>
      <c r="C237" s="29" t="inlineStr">
        <is>
          <t>sevilla-cercanias-konsorsiyum-karti-istasyonlari</t>
        </is>
      </c>
      <c r="D237" s="29" t="inlineStr">
        <is>
          <t>Sevilla Cercanías trenlerinde Consorcio kartı geçer mi, hangi istasyonlarda?</t>
        </is>
      </c>
      <c r="E237" s="29" t="inlineStr">
        <is>
          <t>1 Ekim 2024'ten beri 22 Cercanías istasyonunda Consorcio kartı geçerli; kartla ücret 0-6 salto için 1,01-4,17 € (3 Temmuz 2026'dan beri)</t>
        </is>
      </c>
      <c r="F237" s="29" t="inlineStr">
        <is>
          <t>Sevilla Cercanías (banliyö treni) yolcuları 1 Ekim 2024'ten itibaren Consorcio ulaşım kartını, otobüs ve metrodaki aynı tarife ve indirimlerle kullanabiliyor. Bu, Junta de Andalucía ile Renfe'nin anlaşmasıyla Cercanías Sevilla çekirdeğindeki 22 istasyon için geçerli; yeşil kart (tarjeta verde) ve Tarjeta Joven de Transporte de kapsanıyor. Ücret, geçtiğin bölge sınırı (salto) sayısına göre hesaplanır; Consorcio'nun Cercanías sayfasındaki 3 Temmuz 2026'dan beri geçerli tabloda kartla ücret 0 salto için 1,01 €, 6 salto için 4,17 €. Önceden kart Cercanías'ta yalnız bakiyeli cüzdan olarak kullanılıyordu, indirim uygulanmıyordu.</t>
        </is>
      </c>
      <c r="G237" s="29" t="inlineStr">
        <is>
          <t>Cercanías Sevilla, Renfe, Consorcio kartı, Santa Justa, San Bernardo, banliyö treni, tarjeta verde</t>
        </is>
      </c>
      <c r="H237" s="29" t="inlineStr">
        <is>
          <t>new;settled</t>
        </is>
      </c>
      <c r="I237" s="29" t="inlineStr">
        <is>
          <t>sevilla:kaynak:181;sevilla:kaynak:289</t>
        </is>
      </c>
      <c r="J237" s="49" t="n">
        <v>46320</v>
      </c>
      <c r="K237" s="51" t="n">
        <v>1004</v>
      </c>
      <c r="L237" s="29" t="inlineStr">
        <is>
          <t>Hayır</t>
        </is>
      </c>
      <c r="M237" s="29" t="inlineStr">
        <is>
          <t>Taslak</t>
        </is>
      </c>
      <c r="N237" s="29" t="inlineStr">
        <is>
          <t>sevilla:ulasim</t>
        </is>
      </c>
      <c r="O237" s="29" t="inlineStr">
        <is>
          <t>Bineceğin istasyonun listede olduğundan emin ol: Santa Justa, San Bernardo, Virgen del Rocío, Jardines de Hércules, Bellavista, Dos Hermanas ve diğerleri (tam liste aşağıda).
Kartını Cercanías istasyonundaki turnikede okut.
Kartı almak ya da yüklemek için istasyondaki otomat ya da gişeyi kullan; otomatlarda bilet ödemesi için de kartı kullanabilirsin.
Ücret, geçtiğin bölge sınırı (salto) sayısına göre hesaplanır; kartla 0 salto 1,01 €, 6 salto 4,17 €.</t>
        </is>
      </c>
      <c r="P237" s="29" t="inlineStr">
        <is>
          <t>Consorcio ulaşım kartı ya da Tarjeta Joven de Transporte</t>
        </is>
      </c>
      <c r="Q237" s="29" t="n"/>
      <c r="R237" s="29" t="inlineStr">
        <is>
          <t>Kartla (3 Temmuz 2026'dan beri), 0-6 salto: 1,01 / 1,07 / 1,22 / 1,69 / 2,30 / 3,14 / 4,17 €. Kartsız tekli bilet, 1-6 bölge: 1,80 / 2,00 / 2,70 / 3,55 / 4,15 / 5,30 €; gidiş-dönüş: 2,55 / 2,65 / 4,10 / 5,20 / 6,20 / 7,95 €</t>
        </is>
      </c>
      <c r="S237" s="29" t="inlineStr">
        <is>
          <t>Kapsanan istasyonlar: Santa Justa, San Bernardo, Virgen del Rocío, Jardines de Hércules, Bellavista, Dos Hermanas, Cantaelgallo, La Rinconada, El Cáñamo, Brenes, Cartuja, Estadio Olímpico, Palacio de Congresos, Padre Pío-Palmete, San Jerónimo, Camas, Valencina-Santiponce, Salteras, Villanueva del Ariscal-Olivares, Sanlúcar la Mayor, Benacazón, Guadajoz. Renfe bilgi hattı: 912 010 010; Cercanías Sevilla e-posta: clientecercaniassevilla@renfe.es.</t>
        </is>
      </c>
      <c r="T237" s="29" t="n"/>
    </row>
    <row r="238" ht="54" customHeight="1">
      <c r="A238" s="29" t="inlineStr">
        <is>
          <t>sevilla:sevilla-havalimani-merkez-ulasim</t>
        </is>
      </c>
      <c r="B238" s="29" t="inlineStr">
        <is>
          <t>sevilla</t>
        </is>
      </c>
      <c r="C238" s="29" t="inlineStr">
        <is>
          <t>sevilla-havalimani-merkez-ulasim</t>
        </is>
      </c>
      <c r="D238" s="29" t="inlineStr">
        <is>
          <t>Sevilla Havalimanı'ndan şehir merkezine nasıl gidilir, ne kadar tutar?</t>
        </is>
      </c>
      <c r="E238" s="29" t="inlineStr">
        <is>
          <t>Havalimanı merkeze 8 km; Plaza de Armas'a EA otobüsü tek bilet 5 €, taksi en az 24,98 €</t>
        </is>
      </c>
      <c r="F238" s="29" t="inlineStr">
        <is>
          <t>Sevilla Havalimanı (San Pablo) A-4 yolunun 532. km'sinde, merkeze 8 km uzaklıkta. Özel araç, kiralık araç ya da taksiyle merkeze yaklaşık 15 dakikada, otobüsle yaklaşık 35 dakikada varırsın. Havalimanından Plaza de Armas'a Especial Aeropuerto (EA) otobüsü gider: tek bilet 5 €, gidiş-dönüş 6 €, aylık kart 41 €. Taksi ücreti yolculuk başına 24,98 €'dan başlar; tarih ve saate göre değişir.</t>
        </is>
      </c>
      <c r="G238" s="29" t="inlineStr">
        <is>
          <t>Sevilla havalimanı, San Pablo, EA otobüsü, Plaza de Armas, havalimanı taksi, havalimanından merkeze</t>
        </is>
      </c>
      <c r="H238" s="29" t="inlineStr">
        <is>
          <t>planning;new</t>
        </is>
      </c>
      <c r="I238" s="29" t="inlineStr">
        <is>
          <t>sevilla:kaynak:184;sevilla:kaynak:287</t>
        </is>
      </c>
      <c r="J238" s="49" t="n">
        <v>46320</v>
      </c>
      <c r="K238" s="51" t="n">
        <v>1005</v>
      </c>
      <c r="L238" s="29" t="inlineStr">
        <is>
          <t>Hayır</t>
        </is>
      </c>
      <c r="M238" s="29" t="inlineStr">
        <is>
          <t>Taslak</t>
        </is>
      </c>
      <c r="N238" s="29" t="inlineStr">
        <is>
          <t>sevilla:ulasim</t>
        </is>
      </c>
      <c r="O238" s="29" t="inlineStr">
        <is>
          <t>Plaza de Armas'a gitmek için EA (Especial Aeropuerto) otobüsüne bin.
Tek bilet 5 €, gidiş-dönüş 6 €; sık gidiyorsan aylık kart 41 €.
Hızlı gitmek istersen taksi al; ücret en az 24,98 € olur ve tarih ile saate göre artar.
Özel ya da kiralık araçla A-4 yolunu kullan; merkeze yaklaşık 15 dakika.</t>
        </is>
      </c>
      <c r="P238" s="29" t="n"/>
      <c r="Q238" s="29" t="inlineStr">
        <is>
          <t>Taksi ve araçla yaklaşık 15 dakika; otobüsle yaklaşık 35 dakika</t>
        </is>
      </c>
      <c r="R238" s="29" t="inlineStr">
        <is>
          <t>EA otobüsü tek bilet 5 €, gidiş-dönüş 6 €, aylık kart 41 €; taksi yolculuk başına en az 24,98 €</t>
        </is>
      </c>
      <c r="S238" s="29" t="inlineStr">
        <is>
          <t>Havalimanının telefonu +34 954 44 90 00. EA otobüsü Plaza de Armas otobüs terminalinde 03, 06, 43, A2 ve A7 hatlarına ve taksi durağına bağlanır. Consorcio kartı TUSSAM şehir otobüslerinde geçer; Consorcio'ya göre özel hizmetler ve havalimanı hizmeti bunun dışındadır.</t>
        </is>
      </c>
      <c r="T238" s="29" t="n"/>
    </row>
    <row r="239" ht="54" customHeight="1">
      <c r="A239" s="29" t="inlineStr">
        <is>
          <t>sevilla:sevilla-santa-justa-san-bernardo-tren-istasyonlari</t>
        </is>
      </c>
      <c r="B239" s="29" t="inlineStr">
        <is>
          <t>sevilla</t>
        </is>
      </c>
      <c r="C239" s="29" t="inlineStr">
        <is>
          <t>sevilla-santa-justa-san-bernardo-tren-istasyonlari</t>
        </is>
      </c>
      <c r="D239" s="29" t="inlineStr">
        <is>
          <t>Sevilla'da Santa Justa ve San Bernardo tren istasyonlarından hangi trenler kalkar?</t>
        </is>
      </c>
      <c r="E239" s="29" t="inlineStr">
        <is>
          <t>Santa Justa yüksek hızlı trenlerin (AVE, Avant), San Bernardo Media Distancia ve Cercanías hatlarının istasyonudur; ikisi de merkeze yakındır</t>
        </is>
      </c>
      <c r="F239" s="29" t="inlineStr">
        <is>
          <t>Sevilla Santa Justa istasyonu (Av. de Kansas City, merkeze 1 km) yüksek hızlı hatların istasyonudur: Córdoba, Madrid, Zaragoza ve Barselona hattında AVE, Málaga'dan Avant trenleri gelir. Yüksek hızlı hatlarda Renfe, Iryo ve Avlo çalışır. San Bernardo istasyonundan (Calle Ramón Carande) Sevilla'yı Cádiz ve Málaga'ya bağlayan Media Distancia trenleri kalkar; istasyon Cercanías Sevilla'nın C-1, C-4 ve C-5 hatlarının da bir parçasıdır ve Metro ile bağlantısı vardır.</t>
        </is>
      </c>
      <c r="G239" s="29" t="inlineStr">
        <is>
          <t>Santa Justa, San Bernardo, AVE, Avant, Iryo, Avlo, Media Distancia, Sevilla tren istasyonu</t>
        </is>
      </c>
      <c r="H239" s="29" t="inlineStr">
        <is>
          <t>planning;new;settled</t>
        </is>
      </c>
      <c r="I239" s="29" t="inlineStr">
        <is>
          <t>sevilla:kaynak:184</t>
        </is>
      </c>
      <c r="J239" s="49" t="n">
        <v>46320</v>
      </c>
      <c r="K239" s="51" t="n">
        <v>1006</v>
      </c>
      <c r="L239" s="29" t="inlineStr">
        <is>
          <t>Hayır</t>
        </is>
      </c>
      <c r="M239" s="29" t="inlineStr">
        <is>
          <t>Taslak</t>
        </is>
      </c>
      <c r="N239" s="29" t="inlineStr">
        <is>
          <t>sevilla:ulasim</t>
        </is>
      </c>
      <c r="O239" s="29" t="inlineStr">
        <is>
          <t>Bilet alırken trenin hangi istasyondan kalktığına bak: Santa Justa'ya Córdoba, Madrid, Zaragoza ve Barselona'dan AVE, Málaga'dan Avant ile yüksek hızlı trenler gelir.
San Bernardo istasyonundan Sevilla'yı Cádiz ve Málaga'ya bağlayan Media Distancia trenleri kalkar; istasyon Cercanías C-1, C-4 ve C-5 hatlarının da parçasıdır.
Santa Justa'dan merkeze 21, 28, 32, C1, C2, A7, A8, EA ve LN otobüsleri ile taksi bağlanır.
San Bernardo'da Metro'ya ve 22, 25, 26, 28, 29, 38, 52, B4, C1, C2, EA, LE, LN, A4, N29 ile T1 hatlarına aktarma yapabilirsin.
Yüksek hızlı hat için Renfe, Iryo ve Avlo seferlerini karşılaştır.</t>
        </is>
      </c>
      <c r="P239" s="29" t="n"/>
      <c r="Q239" s="29" t="n"/>
      <c r="R239" s="29" t="n"/>
      <c r="S239" s="29" t="inlineStr">
        <is>
          <t>Santa Justa telefonu 902 432 343.</t>
        </is>
      </c>
      <c r="T239" s="29" t="n"/>
    </row>
    <row r="240" ht="54" customHeight="1">
      <c r="A240" s="29" t="inlineStr">
        <is>
          <t>sevilla:sevilla-otobus-terminalleri-plaza-de-armas-prado</t>
        </is>
      </c>
      <c r="B240" s="29" t="inlineStr">
        <is>
          <t>sevilla</t>
        </is>
      </c>
      <c r="C240" s="29" t="inlineStr">
        <is>
          <t>sevilla-otobus-terminalleri-plaza-de-armas-prado</t>
        </is>
      </c>
      <c r="D240" s="29" t="inlineStr">
        <is>
          <t>Sevilla'da şehirlerarası otobüsler hangi terminalden kalkar: Plaza de Armas mı, Prado de San Sebastián mı?</t>
        </is>
      </c>
      <c r="E240" s="29" t="inlineStr">
        <is>
          <t>İki terminal de merkezde: Plaza de Armas EA havalimanı otobüsüne, Prado de San Sebastián Metro 1. hattına bağlı</t>
        </is>
      </c>
      <c r="F240" s="29" t="inlineStr">
        <is>
          <t>Sevilla'nın merkezde iki otobüs terminali var ve ikisi de yurt içi ve yurt dışı varışlara bağlar. Plaza de Armas terminali (Cristo de la Expiración, 2) 43 peronludur ve günde ortalama 15.000'den fazla yolcu kullanır; metropol alanın 36 yerleşimine, Almería, Córdoba, Granada, Huelva, Jaén ve Málaga'ya, ulusal ve uluslararası (Fransa, Belçika, Hollanda, Almanya, Portekiz, Romanya, Fas) hatlara buradan gidilir; bekleme salonunda gişeler ve emanet (consigna) vardır. Terminal 03, 06, 43, A2, A7 ve EA şehir hatlarına ve taksi durağına bağlıdır. Prado de San Sebastián terminali (Plaza Prado San Sebastián) Metro 1. hattına, çok sayıda şehir otobüsüne ve taksi duraklarına bağlıdır; Sevilla ilinin Utrera, Morón, Estepa, Carmona, Alcalá de Guadaíra, Écija gibi yerlerine ve Huelva dışındaki Endülüs illerine buradan gidilir.</t>
        </is>
      </c>
      <c r="G240" s="29" t="inlineStr">
        <is>
          <t>otogar, Plaza de Armas, Prado de San Sebastián, şehirlerarası otobüs, Sevilla otobüs terminali</t>
        </is>
      </c>
      <c r="H240" s="29" t="inlineStr">
        <is>
          <t>planning;new</t>
        </is>
      </c>
      <c r="I240" s="29" t="inlineStr">
        <is>
          <t>sevilla:kaynak:184;sevilla:kaynak:291</t>
        </is>
      </c>
      <c r="J240" s="49" t="n">
        <v>46320</v>
      </c>
      <c r="K240" s="51" t="n">
        <v>1007</v>
      </c>
      <c r="L240" s="29" t="inlineStr">
        <is>
          <t>Hayır</t>
        </is>
      </c>
      <c r="M240" s="29" t="inlineStr">
        <is>
          <t>Taslak</t>
        </is>
      </c>
      <c r="N240" s="29" t="inlineStr">
        <is>
          <t>sevilla:ulasim</t>
        </is>
      </c>
      <c r="O240" s="29" t="inlineStr">
        <is>
          <t>Biletini alırken kalkış terminalini kontrol et: Plaza de Armas ya da Prado de San Sebastián.
Plaza de Armas'a şehir içinden 03, 06, 43, A2, A7 veya EA hattıyla gel.
Prado de San Sebastián'a Metro 1. hattıyla ya da şehir otobüsleriyle gel.
Havalimanından gelirken EA otobüsü seni Plaza de Armas'a bırakır.</t>
        </is>
      </c>
      <c r="P240" s="29" t="n"/>
      <c r="Q240" s="29" t="n"/>
      <c r="R240" s="29" t="n"/>
      <c r="S240" s="29" t="inlineStr">
        <is>
          <t>Plaza de Armas telefonu 955 038 665; Prado de San Sebastián telefonu 955 479 290.</t>
        </is>
      </c>
      <c r="T240" s="29" t="n"/>
    </row>
    <row r="241" ht="54" customHeight="1">
      <c r="A241" s="29" t="inlineStr">
        <is>
          <t>sevilla:sevici-kamu-bisikleti-ve-sevilla-bisiklet-yollari</t>
        </is>
      </c>
      <c r="B241" s="29" t="inlineStr">
        <is>
          <t>sevilla</t>
        </is>
      </c>
      <c r="C241" s="29" t="inlineStr">
        <is>
          <t>sevici-kamu-bisikleti-ve-sevilla-bisiklet-yollari</t>
        </is>
      </c>
      <c r="D241" s="29" t="inlineStr">
        <is>
          <t>Sevilla'da kamu bisikleti Sevici ve bisiklet yolları nasıl kullanılır?</t>
        </is>
      </c>
      <c r="E241" s="29" t="inlineStr">
        <is>
          <t>Yaklaşık 200 km bisiklet yolu, 265 Sevici istasyonu (24 saat açık), ilk 30 dakika ücretsiz</t>
        </is>
      </c>
      <c r="F241" s="29" t="inlineStr">
        <is>
          <t>Sevilla düz bir şehir; turizm ofisi yaklaşık 200 km bisiklet yolu ve 24 saat açık 265 Sevici (kamu bisikleti) istasyonu olduğunu bildiriyor. İstasyonlara 2.600 bisiklet dağıtılmış. Sevici'nin uzun süreli ve kısa süreli abonelikleri var ve bisikletin ilk 30 dakikası ücretsizdir. Bisiklet yolu ağı tüm mahallelere ve bazı çevre belediyelere uzanır. San Bernardo-Viapol'daki Metro, tramvay, Cercanías ve otobüs aktarma merkezinde 212 yerli, kapalı ve çatılı güvenli bir bisiklet parkı var; PVerde uygulaması ya da secure.parkingverde.com üzerinden kullanılır.</t>
        </is>
      </c>
      <c r="G241" s="29" t="inlineStr">
        <is>
          <t>Sevici, kamu bisikleti, bisiklet yolu, carril bici, bisiklet kiralama, PVerde, biciestación</t>
        </is>
      </c>
      <c r="H241" s="29" t="inlineStr">
        <is>
          <t>new;settled</t>
        </is>
      </c>
      <c r="I241" s="29" t="inlineStr">
        <is>
          <t>sevilla:kaynak:185</t>
        </is>
      </c>
      <c r="J241" s="49" t="n">
        <v>46319</v>
      </c>
      <c r="K241" s="51" t="n">
        <v>1008</v>
      </c>
      <c r="L241" s="29" t="inlineStr">
        <is>
          <t>Hayır</t>
        </is>
      </c>
      <c r="M241" s="29" t="inlineStr">
        <is>
          <t>Taslak</t>
        </is>
      </c>
      <c r="N241" s="29" t="inlineStr">
        <is>
          <t>sevilla:ulasim</t>
        </is>
      </c>
      <c r="O241" s="29" t="inlineStr">
        <is>
          <t>Sevici abonelik türünü seç: uzun süreli ya da kısa süreli.
Bisikleti en yakın istasyondan al; ilk 30 dakika ücretsizdir.
Bisiklet yollarını kullan; ağ tüm mahallelere ulaşır.
Bisikletini aktarma merkezinde bırakmak istersen San Bernardo-Viapol'daki güvenli parkı PVerde uygulamasıyla ya da secure.parkingverde.com üzerinden kullan.</t>
        </is>
      </c>
      <c r="P241" s="29" t="n"/>
      <c r="Q241" s="29" t="inlineStr">
        <is>
          <t>İlk 30 dakika ücretsiz</t>
        </is>
      </c>
      <c r="R241" s="29" t="n"/>
      <c r="S241" s="29" t="n"/>
      <c r="T241" s="29" t="n"/>
    </row>
    <row r="242" ht="54" customHeight="1">
      <c r="A242" s="29" t="inlineStr">
        <is>
          <t>sevilla:sevilla-bisiklet-ve-elektrikli-scooter-kurallari</t>
        </is>
      </c>
      <c r="B242" s="29" t="inlineStr">
        <is>
          <t>sevilla</t>
        </is>
      </c>
      <c r="C242" s="29" t="inlineStr">
        <is>
          <t>sevilla-bisiklet-ve-elektrikli-scooter-kurallari</t>
        </is>
      </c>
      <c r="D242" s="29" t="inlineStr">
        <is>
          <t>Sevilla'da bisiklet ve elektrikli scooter (VMP) ile nerede gidebilirim, kask zorunlu mu?</t>
        </is>
      </c>
      <c r="E242" s="29" t="inlineStr">
        <is>
          <t>Kaldırımda sürülmez; 16 yaş altı bisiklet kullanıcısına kask zorunlu; VMP onaylı olmalı, 6-25 km/s</t>
        </is>
      </c>
      <c r="F242" s="29" t="inlineStr">
        <is>
          <t>İspanya'da bisiklet ve elektrikli scooter gibi kişisel hareketlilik araçları (VMP) kaldırımda sürülemez; yolda ya da ayrılmış şeritte gidilir. 16 yaş altı bisiklet kullanıcılarında kask zorunludur; diğer bisikletliler için zorunluluk yönetmeliğe bağlıdır. VMP'lerde kask da yönetmelikte belirlendiği ölçüde zorunludur. VMP'ler elektrik motorlu, 6 ile 25 km/s arası hızda ve onaylı (homolog) olmalıdır. Sevilla'da yaklaşık 200 km bisiklet yolu var ve ağ tüm mahallelere ulaşıyor.</t>
        </is>
      </c>
      <c r="G242" s="29" t="inlineStr">
        <is>
          <t>bisiklet kuralları, kask, elektrikli scooter, patinete, VMP, kaldırım, carril bici</t>
        </is>
      </c>
      <c r="H242" s="29" t="inlineStr">
        <is>
          <t>new;settled</t>
        </is>
      </c>
      <c r="I242" s="29" t="inlineStr">
        <is>
          <t>sevilla:kaynak:189;sevilla:kaynak:185</t>
        </is>
      </c>
      <c r="J242" s="49" t="n">
        <v>46320</v>
      </c>
      <c r="K242" s="51" t="n">
        <v>1009</v>
      </c>
      <c r="L242" s="29" t="inlineStr">
        <is>
          <t>Hayır</t>
        </is>
      </c>
      <c r="M242" s="29" t="inlineStr">
        <is>
          <t>Taslak</t>
        </is>
      </c>
      <c r="N242" s="29" t="inlineStr">
        <is>
          <t>sevilla:ulasim</t>
        </is>
      </c>
      <c r="O242" s="29" t="inlineStr">
        <is>
          <t>Bisikletini ya da scooter'ını kaldırımda değil, yolda veya bisiklet şeridinde sür.
16 yaş altındaysan bisiklette kask tak.
Scooter alacaksan elektrik motorlu, 6-25 km/s arası hızlı ve onaylı (homolog) bir model seç.
Kask zorunluluğu için yönetmelikte belirlenen kurala uy.</t>
        </is>
      </c>
      <c r="P242" s="29" t="n"/>
      <c r="Q242" s="29" t="n"/>
      <c r="R242" s="29" t="n"/>
      <c r="S242" s="29" t="inlineStr">
        <is>
          <t>Bunlar DGT'nin ülke düzeyindeki kurallarıdır; DGT'ye göre belediyeler ordonanslarıyla kentin belirli alanları için ek kural koyabilir.</t>
        </is>
      </c>
      <c r="T242" s="29" t="n"/>
    </row>
    <row r="243" ht="54" customHeight="1">
      <c r="A243" s="29" t="inlineStr">
        <is>
          <t>sevilla:sevilla-cartuja-dusuk-emisyon-bolgesi-zbe</t>
        </is>
      </c>
      <c r="B243" s="29" t="inlineStr">
        <is>
          <t>sevilla</t>
        </is>
      </c>
      <c r="C243" s="29" t="inlineStr">
        <is>
          <t>sevilla-cartuja-dusuk-emisyon-bolgesi-zbe</t>
        </is>
      </c>
      <c r="D243" s="29" t="inlineStr">
        <is>
          <t>Sevilla'da Cartuja düşük emisyon bölgeleri (ZBE) için hangi karar alındı, aracımın çevre etiketi neden önemli?</t>
        </is>
      </c>
      <c r="E243" s="29" t="inlineStr">
        <is>
          <t>Cartuja Norte ve Cartuja Sur ZBE sınırları ve rejimi 3 Nisan 2024 tarihli BOP'ta ilan edildi; DGT'ye göre kısıtlamalar çoğunlukla araç etiketine dayanır</t>
        </is>
      </c>
      <c r="F243" s="29" t="inlineStr">
        <is>
          <t>Sevilla belediyesi Cartuja Norte ve Cartuja Sur düşük emisyon bölgelerinin (ZBE) sınırlarını ve bunlara uygulanacak rejimi onayladı; bu onay, 3 Nisan 2024 tarihli Sevilla Eyalet Resmî Gazetesi'nde (BOP, sayı 64) ilan edildi. DGT'ye göre İspanya'daki ZBE kısıtlamalarının çoğu aracın çevre etiketine dayanır; bazı yerlerde kamu ya da özel otoparka park etmek için girmeye izin verilir.</t>
        </is>
      </c>
      <c r="G243" s="29" t="inlineStr">
        <is>
          <t>ZBE, zona de bajas emisiones, Cartuja, çevre etiketi, distintivo ambiental, DGT etiketi, araçla şehre giriş</t>
        </is>
      </c>
      <c r="H243" s="29" t="inlineStr">
        <is>
          <t>planning;new;settled</t>
        </is>
      </c>
      <c r="I243" s="29" t="inlineStr">
        <is>
          <t>sevilla:kaynak:186;sevilla:kaynak:189</t>
        </is>
      </c>
      <c r="J243" s="49" t="n">
        <v>46320</v>
      </c>
      <c r="K243" s="51" t="n">
        <v>1010</v>
      </c>
      <c r="L243" s="29" t="inlineStr">
        <is>
          <t>Hayır</t>
        </is>
      </c>
      <c r="M243" s="29" t="inlineStr">
        <is>
          <t>Taslak</t>
        </is>
      </c>
      <c r="N243" s="29" t="inlineStr">
        <is>
          <t>sevilla:ulasim</t>
        </is>
      </c>
      <c r="O243" s="29" t="inlineStr">
        <is>
          <t>Aracının DGT çevre etiketini (distintivo ambiental) belirle.
Yabancı bir çevre işaretin varsa DGT'nin 'Avrupa'daki işaretlerin eşdeğerliği' (Equivalencia de dispositivos en Europa) bölümüne bak.</t>
        </is>
      </c>
      <c r="P243" s="29" t="n"/>
      <c r="Q243" s="29" t="n"/>
      <c r="R243" s="29" t="n"/>
      <c r="S243" s="29" t="n"/>
      <c r="T243" s="29" t="n"/>
    </row>
    <row r="244" ht="54" customHeight="1">
      <c r="A244" s="29" t="inlineStr">
        <is>
          <t>sevilla:sevilla-park-etmek-mavi-bolge-aussa-otoparklar</t>
        </is>
      </c>
      <c r="B244" s="29" t="inlineStr">
        <is>
          <t>sevilla</t>
        </is>
      </c>
      <c r="C244" s="29" t="inlineStr">
        <is>
          <t>sevilla-park-etmek-mavi-bolge-aussa-otoparklar</t>
        </is>
      </c>
      <c r="D244" s="29" t="inlineStr">
        <is>
          <t>Sevilla'da araç park etmek: mavi bölge (zona regulada) ve AUSSA otoparkları nasıl işler?</t>
        </is>
      </c>
      <c r="E244" s="29" t="inlineStr">
        <is>
          <t>AUSSA'nın sayfasında düzenlemeli bölge ve çok sayıda otopark listelenir; Apparkya uygulamasıyla süre takip edilir</t>
        </is>
      </c>
      <c r="F244" s="29" t="inlineStr">
        <is>
          <t>DGT'ye göre İspanya'da şehir içi park yerleri beyaz çizgilerle belirlenir; park etmenin düzenlendiği bölgeler ise genellikle ORA (Ordenanza Reguladora de Aparcamiento) diye anılır. Düzenlemeli bölgelerde ödeme, park ettiğin bölgeye uygun yakındaki otomatlardan nakit ya da kartla yapılır; mobil uygulamalar da kullanılabilir. Halk arasında 'zona azul' denen bu uygulama için AUSSA'nın sayfasında 'Zona Regulada Sevilla' listeleniyor. AUSSA (Aparcamientos Urbanos, Servicios y Sistemas S.A.), merkezi Sevilla'da olan ve kamuya açık otoparkları işleten bir anonim şirket; sayfasında Sevilla'daki otoparklar arasında Mercado de Triana, Mercado del Arenal, Rafael Salgado, José Laguillo, Cisneo Alto, Torre de la Plata ve Sevilla Havalimanı otoparkı (24Plus) sayılıyor. AUSSA'nın Apparkya uygulamasıyla düzenlemeli bölgede park süresini takip edebilir ve otopark yeri ayırtabilirsin.</t>
        </is>
      </c>
      <c r="G244" s="29" t="inlineStr">
        <is>
          <t>park, aparcamiento, zona azul, ORA, AUSSA, Apparkya, grúa, Sevilla otopark</t>
        </is>
      </c>
      <c r="H244" s="29" t="inlineStr">
        <is>
          <t>new;settled</t>
        </is>
      </c>
      <c r="I244" s="29" t="inlineStr">
        <is>
          <t>sevilla:kaynak:190;sevilla:kaynak:189</t>
        </is>
      </c>
      <c r="J244" s="49" t="n">
        <v>46320</v>
      </c>
      <c r="K244" s="51" t="n">
        <v>1011</v>
      </c>
      <c r="L244" s="29" t="inlineStr">
        <is>
          <t>Hayır</t>
        </is>
      </c>
      <c r="M244" s="29" t="inlineStr">
        <is>
          <t>Taslak</t>
        </is>
      </c>
      <c r="N244" s="29" t="inlineStr">
        <is>
          <t>sevilla:ulasim</t>
        </is>
      </c>
      <c r="O244" s="29" t="inlineStr">
        <is>
          <t>Park etmeden önce yerin beyaz çizgili serbest mi yoksa düzenlemeli (ORA) mı olduğuna bak.
Düzenlemeli bölgede bölgeye uygun otomatı bul ve nakit ya da kartla öde.
Mobil ödemek istersen AUSSA'nın Apparkya uygulamasını indir; süreyi uygulamadan takip et.
Uzun süre park etmek için AUSSA otoparklarından birini seç: Triana, Arenal, Rafael Salgado, José Laguillo, Cisneo Alto, Torre de la Plata.</t>
        </is>
      </c>
      <c r="P244" s="29" t="n"/>
      <c r="Q244" s="29" t="n"/>
      <c r="R244" s="29" t="n"/>
      <c r="S244" s="29" t="inlineStr">
        <is>
          <t>DGT'ye göre park yerlerini belirleyen işaretlerin rengi, park süre sınırı ve ücret belediyeden belediyeye değişir.</t>
        </is>
      </c>
      <c r="T244" s="29" t="n"/>
    </row>
    <row r="245" ht="54" customHeight="1">
      <c r="A245" s="29" t="inlineStr">
        <is>
          <t>sevilla:sevilla-taksi-ve-vtc-kullanimi</t>
        </is>
      </c>
      <c r="B245" s="29" t="inlineStr">
        <is>
          <t>sevilla</t>
        </is>
      </c>
      <c r="C245" s="29" t="inlineStr">
        <is>
          <t>sevilla-taksi-ve-vtc-kullanimi</t>
        </is>
      </c>
      <c r="D245" s="29" t="inlineStr">
        <is>
          <t>Sevilla'da taksi ve VTC (uygulamayla çağrılan araç) nasıl kullanılır?</t>
        </is>
      </c>
      <c r="E245" s="29" t="inlineStr">
        <is>
          <t>Taksi duraktan ya da yoldan çevrilir, tarife belediyece belirlenir; VTC önceden uygulamayla çağrılır; havalimanı taksisi en az 24,98 €</t>
        </is>
      </c>
      <c r="F245" s="29" t="inlineStr">
        <is>
          <t>İspanya'da taksi ücretleri aracın lisansının bağlı olduğu belediye tarafından belirlenir ve yolcunun görebileceği şekilde gösterilmelidir; taban fiyat, ek ücretler ve özel tarifeler yazılı olur. Taksiyi duraktan alabilir ya da yolda durdurabilirsin. VTC hizmetleri ise önceden, kendi uygulamaları üzerinden varış yeri belirtilerek çağrılır; fiyatı şirket sözleşme öncesi belirler. DGT'ye göre taksi ve VTC hizmeti veren araçların arka plakası mavi zemin üstüne beyaz harf, ön plakası beyaz zemin üstüne siyah harftir. Sevilla Havalimanı'ndan taksi yolculuk başına en az 24,98 €'dur.</t>
        </is>
      </c>
      <c r="G245" s="29" t="inlineStr">
        <is>
          <t>taksi, VTC, Uber, Cabify, taksi tarifesi, havalimanı taksisi, mavi plaka</t>
        </is>
      </c>
      <c r="H245" s="29" t="inlineStr">
        <is>
          <t>new;settled</t>
        </is>
      </c>
      <c r="I245" s="29" t="inlineStr">
        <is>
          <t>sevilla:kaynak:189;sevilla:kaynak:184</t>
        </is>
      </c>
      <c r="J245" s="49" t="n">
        <v>46320</v>
      </c>
      <c r="K245" s="51" t="n">
        <v>1012</v>
      </c>
      <c r="L245" s="29" t="inlineStr">
        <is>
          <t>Hayır</t>
        </is>
      </c>
      <c r="M245" s="29" t="inlineStr">
        <is>
          <t>Taslak</t>
        </is>
      </c>
      <c r="N245" s="29" t="inlineStr">
        <is>
          <t>sevilla:ulasim</t>
        </is>
      </c>
      <c r="O245" s="29" t="inlineStr">
        <is>
          <t>Taksiyi duraktan al ya da yolda durdur.
Tarifenin araçta görünür biçimde yazılı olduğundan emin ol: taban fiyat, ek ücretler ve özel tarifeler.
VTC için önce şirketin uygulamasından varış yerini gir; fiyatı çağırmadan önce görürsün.
Havalimanından taksiyle gidiyorsan yolculuk başına en az 24,98 € öde; tarih ve saate göre artar.</t>
        </is>
      </c>
      <c r="P245" s="29" t="n"/>
      <c r="Q245" s="29" t="n"/>
      <c r="R245" s="29" t="inlineStr">
        <is>
          <t>Havalimanından taksi yolculuk başına en az 24,98 €</t>
        </is>
      </c>
      <c r="S245" s="29" t="n"/>
      <c r="T245" s="29" t="n"/>
    </row>
    <row r="246" ht="54" customHeight="1">
      <c r="A246" s="29" t="inlineStr">
        <is>
          <t>sevilla:sevilla-consorcio-karti-nerede-gecer-ve-aktarma-indirimi</t>
        </is>
      </c>
      <c r="B246" s="29" t="inlineStr">
        <is>
          <t>sevilla</t>
        </is>
      </c>
      <c r="C246" s="29" t="inlineStr">
        <is>
          <t>sevilla-consorcio-karti-nerede-gecer-ve-aktarma-indirimi</t>
        </is>
      </c>
      <c r="D246" s="29" t="inlineStr">
        <is>
          <t>Sevilla'da Consorcio ulaşım kartı hangi araçlarda geçer, aktarma indirimi nasıl işler?</t>
        </is>
      </c>
      <c r="E246" s="29" t="inlineStr">
        <is>
          <t>Metropol otobüs, Metro 1. hat, Cercanías ve bazı şehir otobüslerinde geçer; aktarmada 2. etap ücreti, iki etap toplamının en çok %20'si kadar düşer</t>
        </is>
      </c>
      <c r="F246" s="29" t="inlineStr">
        <is>
          <t>Consorcio kartı Sevilla'da metropol otobüslerde, Metro 1. hatta, Renfe Cercanías ağında ve şu şehir otobüslerinde geçer: TUSSAM (özel hizmetler ve havalimanı hizmeti hariç), Metrocentro, Dos Hermanas, Alcalá de Guadaíra, La Rinconada ve Mairena del Alcor. Kuşak (corona) ve salto sistemi yalnız metropol otobüsler için geçerlidir; her ulaşım türünün kendi tarife yapısı vardır. Türler arasında aktarma yaparsan ikinci etabın ücreti aktarma indirimiyle düşer. İndirim, iki etabın toplam ücretinin ulaşım türüne göre en çok %20'si kadardır ve ikinci etabın ücretinden çıkarılır. İlk okutmadan sonraki 120 dakika içindeki ikinci ve sonraki aktarmalarda aynı oran uygulanır.</t>
        </is>
      </c>
      <c r="G246" s="29" t="inlineStr">
        <is>
          <t>Consorcio kartı, aktarma, transbordo, TUSSAM, Metro Sevilla, Cercanías, metropol otobüs, Bus+Bici, Tarjeta de Transporte</t>
        </is>
      </c>
      <c r="H246" s="29" t="inlineStr">
        <is>
          <t>new;settled</t>
        </is>
      </c>
      <c r="I246" s="29" t="inlineStr">
        <is>
          <t>sevilla:kaynak:287</t>
        </is>
      </c>
      <c r="J246" s="49" t="n">
        <v>46320</v>
      </c>
      <c r="K246" s="51" t="n">
        <v>1013</v>
      </c>
      <c r="L246" s="29" t="inlineStr">
        <is>
          <t>Hayır</t>
        </is>
      </c>
      <c r="M246" s="29" t="inlineStr">
        <is>
          <t>Taslak</t>
        </is>
      </c>
      <c r="N246" s="29" t="inlineStr">
        <is>
          <t>sevilla:ulasim</t>
        </is>
      </c>
      <c r="O246" s="29" t="inlineStr">
        <is>
          <t>Gideceğin hat Metro 1. hat, metropol otobüs, Cercanías ya da yukarıda sayılan şehir otobüslerinden biriyse aynı kartı kullan.
TUSSAM'da özel hizmetlerin ve havalimanı hizmetinin kart kapsamı dışında olduğunu bil.
Aktarma yaparsan ikinci etabın ücreti aktarma indirimiyle düşer; ilk okutmadan sonraki 120 dakika içindeki ikinci ve sonraki aktarmalar da aynı oranda indirimli olur.
Bisiklet gerekiyorsa Bus+Bici hizmetinden kartınla bisiklet alabilirsin (bisiklet sayısı sınırlı).</t>
        </is>
      </c>
      <c r="P246" s="29" t="n"/>
      <c r="Q246" s="29" t="inlineStr">
        <is>
          <t>İlk okutmadan sonraki 120 dakika içindeki ikinci ve sonraki aktarmalar aynı oranda indirimli</t>
        </is>
      </c>
      <c r="R246" s="29" t="inlineStr">
        <is>
          <t>Aktarma indirimi: iki etabın toplam ücretinin ulaşım türüne göre en çok %20'si, ikinci etabın ücretinden düşer</t>
        </is>
      </c>
      <c r="S246" s="29" t="inlineStr">
        <is>
          <t>Metro, Cercanías ve şehir otobüslerinin her birinin kendi tarife ve bölge yapısı vardır; metropol otobüsün kuşak ve salto sistemi bunlara uygulanmaz.</t>
        </is>
      </c>
      <c r="T246" s="29" t="n"/>
    </row>
    <row r="247" ht="54" customHeight="1">
      <c r="A247" s="29" t="inlineStr">
        <is>
          <t>sevilla:sevilla-metropol-otobus-tarifesi-kusak-salto-ve-2026-indirimi</t>
        </is>
      </c>
      <c r="B247" s="29" t="inlineStr">
        <is>
          <t>sevilla</t>
        </is>
      </c>
      <c r="C247" s="29" t="inlineStr">
        <is>
          <t>sevilla-metropol-otobus-tarifesi-kusak-salto-ve-2026-indirimi</t>
        </is>
      </c>
      <c r="D247" s="29" t="inlineStr">
        <is>
          <t>Sevilla'da metropol otobüs (Consorcio) ücreti nasıl hesaplanır: kuşak, salto ve 2026 indirimi?</t>
        </is>
      </c>
      <c r="E247" s="29" t="inlineStr">
        <is>
          <t>Alan 6 kuşağa (A-F) ayrılır; kartla 0-5 salto için 1,01-3,14 €, 2026'da %40 indirimle 0,61-1,88 €</t>
        </is>
      </c>
      <c r="F247" s="29" t="inlineStr">
        <is>
          <t>Sevilla Consorcio'su 45 belediyeyi kapsar ve alanı 6 kuşağa (A, B, C, D, E, F) böler; A kuşağı Sevilla belediye sınırıdır. Metropol otobüsün ücreti, yolculukta yaptığın bölge geçişi (salto) sayısına göre belirlenir: 0'dan 5'e kadar. 1 Aralık 2024'ten beri geçerli tarifede tekli bilet 0 salto için 1,55 €, 5 salto için 3,80 €; Consorcio kartıyla 1,01 € ile 3,14 € arasındadır. Consorcio'nun sayfasına göre kartla ücret 1 Ocak-31 Aralık 2026 arasında %40 indirimli: 0,61 € ile 1,88 €; indirimin %20'sini Junta de Andalucía, %20'sini İspanya Ulaştırma Bakanlığı karşılıyor. Yer işgal etmeyen dört yaşından küçük çocuklar bilet almaz.</t>
        </is>
      </c>
      <c r="G247" s="29" t="inlineStr">
        <is>
          <t>metropol otobüs, Consorcio, kuşak, salto, tarife, autobús metropolitano, 2026 indirimi, Tarjeta de Transporte</t>
        </is>
      </c>
      <c r="H247" s="29" t="inlineStr">
        <is>
          <t>new;settled</t>
        </is>
      </c>
      <c r="I247" s="29" t="inlineStr">
        <is>
          <t>sevilla:kaynak:290;sevilla:kaynak:181</t>
        </is>
      </c>
      <c r="J247" s="49" t="n">
        <v>46320</v>
      </c>
      <c r="K247" s="51" t="n">
        <v>1014</v>
      </c>
      <c r="L247" s="29" t="inlineStr">
        <is>
          <t>Hayır</t>
        </is>
      </c>
      <c r="M247" s="29" t="inlineStr">
        <is>
          <t>Taslak</t>
        </is>
      </c>
      <c r="N247" s="29" t="inlineStr">
        <is>
          <t>sevilla:ulasim</t>
        </is>
      </c>
      <c r="O247" s="29" t="inlineStr">
        <is>
          <t>Gideceğin yere kadar kaç bölge geçişi (salto) yapacağını hesapla; A kuşağı Sevilla belediyesidir.
Tekli bilet yerine Consorcio kartıyla bin; kartlı ücret her salto sayısında tekli biletten düşüktür.
Metropol otobüste tekli bilet ve Consorcio kartı geçer; Tarjeta Andalucía 65'in kendi yönetimi ve tarifesi vardır.</t>
        </is>
      </c>
      <c r="P247" s="29" t="n"/>
      <c r="Q247" s="29" t="inlineStr">
        <is>
          <t>Tarife 1 Aralık 2024'ten beri geçerli; kartla %40 indirimli ücret 1 Ocak-31 Aralık 2026 arasında</t>
        </is>
      </c>
      <c r="R247" s="29" t="inlineStr">
        <is>
          <t>Tekli bilet (0-5 salto): 1,55 / 1,70 / 1,80 / 2,35 / 3,00 / 3,80 €. Consorcio kartıyla: 1,01 / 1,07 / 1,22 / 1,69 / 2,30 / 3,14 €. Kartla 2026'da (%40 indirimli): 0,61 / 0,64 / 0,73 / 1,01 / 1,38 / 1,88 €</t>
        </is>
      </c>
      <c r="S247" s="29" t="inlineStr">
        <is>
          <t>Dört yaşından küçük olup yer işgal etmeyen çocuklar bilet almaz.</t>
        </is>
      </c>
      <c r="T247" s="29" t="n"/>
    </row>
    <row r="248" ht="54" customHeight="1">
      <c r="A248" s="29" t="n"/>
      <c r="B248" s="29" t="n"/>
      <c r="C248" s="29" t="n"/>
      <c r="D248" s="29" t="n"/>
      <c r="E248" s="29" t="n"/>
      <c r="F248" s="29" t="n"/>
      <c r="G248" s="29" t="n"/>
      <c r="H248" s="29" t="n"/>
      <c r="I248" s="29" t="n"/>
      <c r="J248" s="49" t="n"/>
      <c r="K248" s="51" t="n"/>
      <c r="L248" s="29" t="n"/>
      <c r="M248" s="29" t="n"/>
      <c r="N248" s="29" t="n"/>
      <c r="O248" s="29" t="n"/>
      <c r="P248" s="29" t="n"/>
      <c r="Q248" s="29" t="n"/>
      <c r="R248" s="29" t="n"/>
      <c r="S248" s="29" t="n"/>
      <c r="T248" s="29" t="n"/>
    </row>
    <row r="249" ht="54" customHeight="1">
      <c r="A249" s="29" t="n"/>
      <c r="B249" s="29" t="n"/>
      <c r="C249" s="29" t="n"/>
      <c r="D249" s="29" t="n"/>
      <c r="E249" s="29" t="n"/>
      <c r="F249" s="29" t="n"/>
      <c r="G249" s="29" t="n"/>
      <c r="H249" s="29" t="n"/>
      <c r="I249" s="29" t="n"/>
      <c r="J249" s="49" t="n"/>
      <c r="K249" s="51" t="n"/>
      <c r="L249" s="29" t="n"/>
      <c r="M249" s="29" t="n"/>
      <c r="N249" s="29" t="n"/>
      <c r="O249" s="29" t="n"/>
      <c r="P249" s="29" t="n"/>
      <c r="Q249" s="29" t="n"/>
      <c r="R249" s="29" t="n"/>
      <c r="S249" s="29" t="n"/>
      <c r="T249" s="29" t="n"/>
    </row>
    <row r="250" ht="54" customHeight="1">
      <c r="A250" s="29" t="n"/>
      <c r="B250" s="29" t="n"/>
      <c r="C250" s="29" t="n"/>
      <c r="D250" s="29" t="n"/>
      <c r="E250" s="29" t="n"/>
      <c r="F250" s="29" t="n"/>
      <c r="G250" s="29" t="n"/>
      <c r="H250" s="29" t="n"/>
      <c r="I250" s="29" t="n"/>
      <c r="J250" s="49" t="n"/>
      <c r="K250" s="51" t="n"/>
      <c r="L250" s="29" t="n"/>
      <c r="M250" s="29" t="n"/>
      <c r="N250" s="29" t="n"/>
      <c r="O250" s="29" t="n"/>
      <c r="P250" s="29" t="n"/>
      <c r="Q250" s="29" t="n"/>
      <c r="R250" s="29" t="n"/>
      <c r="S250" s="29" t="n"/>
      <c r="T250" s="29" t="n"/>
    </row>
    <row r="251" ht="54" customHeight="1">
      <c r="A251" s="29" t="n"/>
      <c r="B251" s="29" t="n"/>
      <c r="C251" s="29" t="n"/>
      <c r="D251" s="29" t="n"/>
      <c r="E251" s="29" t="n"/>
      <c r="F251" s="29" t="n"/>
      <c r="G251" s="29" t="n"/>
      <c r="H251" s="29" t="n"/>
      <c r="I251" s="29" t="n"/>
      <c r="J251" s="49" t="n"/>
      <c r="K251" s="51" t="n"/>
      <c r="L251" s="29" t="n"/>
      <c r="M251" s="29" t="n"/>
      <c r="N251" s="29" t="n"/>
      <c r="O251" s="29" t="n"/>
      <c r="P251" s="29" t="n"/>
      <c r="Q251" s="29" t="n"/>
      <c r="R251" s="29" t="n"/>
      <c r="S251" s="29" t="n"/>
      <c r="T251" s="29" t="n"/>
    </row>
    <row r="252" ht="54" customHeight="1">
      <c r="A252" s="29" t="n"/>
      <c r="B252" s="29" t="n"/>
      <c r="C252" s="29" t="n"/>
      <c r="D252" s="29" t="n"/>
      <c r="E252" s="29" t="n"/>
      <c r="F252" s="29" t="n"/>
      <c r="G252" s="29" t="n"/>
      <c r="H252" s="29" t="n"/>
      <c r="I252" s="29" t="n"/>
      <c r="J252" s="49" t="n"/>
      <c r="K252" s="51" t="n"/>
      <c r="L252" s="29" t="n"/>
      <c r="M252" s="29" t="n"/>
      <c r="N252" s="29" t="n"/>
      <c r="O252" s="29" t="n"/>
      <c r="P252" s="29" t="n"/>
      <c r="Q252" s="29" t="n"/>
      <c r="R252" s="29" t="n"/>
      <c r="S252" s="29" t="n"/>
      <c r="T252" s="29" t="n"/>
    </row>
    <row r="253" ht="54" customHeight="1">
      <c r="A253" s="29" t="n"/>
      <c r="B253" s="29" t="n"/>
      <c r="C253" s="29" t="n"/>
      <c r="D253" s="29" t="n"/>
      <c r="E253" s="29" t="n"/>
      <c r="F253" s="29" t="n"/>
      <c r="G253" s="29" t="n"/>
      <c r="H253" s="29" t="n"/>
      <c r="I253" s="29" t="n"/>
      <c r="J253" s="49" t="n"/>
      <c r="K253" s="51" t="n"/>
      <c r="L253" s="29" t="n"/>
      <c r="M253" s="29" t="n"/>
      <c r="N253" s="29" t="n"/>
      <c r="O253" s="29" t="n"/>
      <c r="P253" s="29" t="n"/>
      <c r="Q253" s="29" t="n"/>
      <c r="R253" s="29" t="n"/>
      <c r="S253" s="29" t="n"/>
      <c r="T253" s="29" t="n"/>
    </row>
    <row r="254" ht="54" customHeight="1">
      <c r="A254" s="29" t="n"/>
      <c r="B254" s="29" t="n"/>
      <c r="C254" s="29" t="n"/>
      <c r="D254" s="29" t="n"/>
      <c r="E254" s="29" t="n"/>
      <c r="F254" s="29" t="n"/>
      <c r="G254" s="29" t="n"/>
      <c r="H254" s="29" t="n"/>
      <c r="I254" s="29" t="n"/>
      <c r="J254" s="49" t="n"/>
      <c r="K254" s="51" t="n"/>
      <c r="L254" s="29" t="n"/>
      <c r="M254" s="29" t="n"/>
      <c r="N254" s="29" t="n"/>
      <c r="O254" s="29" t="n"/>
      <c r="P254" s="29" t="n"/>
      <c r="Q254" s="29" t="n"/>
      <c r="R254" s="29" t="n"/>
      <c r="S254" s="29" t="n"/>
      <c r="T254" s="29" t="n"/>
    </row>
    <row r="255" ht="54" customHeight="1">
      <c r="A255" s="29" t="n"/>
      <c r="B255" s="29" t="n"/>
      <c r="C255" s="29" t="n"/>
      <c r="D255" s="29" t="n"/>
      <c r="E255" s="29" t="n"/>
      <c r="F255" s="29" t="n"/>
      <c r="G255" s="29" t="n"/>
      <c r="H255" s="29" t="n"/>
      <c r="I255" s="29" t="n"/>
      <c r="J255" s="49" t="n"/>
      <c r="K255" s="51" t="n"/>
      <c r="L255" s="29" t="n"/>
      <c r="M255" s="29" t="n"/>
      <c r="N255" s="29" t="n"/>
      <c r="O255" s="29" t="n"/>
      <c r="P255" s="29" t="n"/>
      <c r="Q255" s="29" t="n"/>
      <c r="R255" s="29" t="n"/>
      <c r="S255" s="29" t="n"/>
      <c r="T255" s="29" t="n"/>
    </row>
    <row r="256" ht="54" customHeight="1">
      <c r="A256" s="29" t="n"/>
      <c r="B256" s="29" t="n"/>
      <c r="C256" s="29" t="n"/>
      <c r="D256" s="29" t="n"/>
      <c r="E256" s="29" t="n"/>
      <c r="F256" s="29" t="n"/>
      <c r="G256" s="29" t="n"/>
      <c r="H256" s="29" t="n"/>
      <c r="I256" s="29" t="n"/>
      <c r="J256" s="49" t="n"/>
      <c r="K256" s="51" t="n"/>
      <c r="L256" s="29" t="n"/>
      <c r="M256" s="29" t="n"/>
      <c r="N256" s="29" t="n"/>
      <c r="O256" s="29" t="n"/>
      <c r="P256" s="29" t="n"/>
      <c r="Q256" s="29" t="n"/>
      <c r="R256" s="29" t="n"/>
      <c r="S256" s="29" t="n"/>
      <c r="T256" s="29" t="n"/>
    </row>
    <row r="257" ht="54" customHeight="1">
      <c r="A257" s="29" t="n"/>
      <c r="B257" s="29" t="n"/>
      <c r="C257" s="29" t="n"/>
      <c r="D257" s="29" t="n"/>
      <c r="E257" s="29" t="n"/>
      <c r="F257" s="29" t="n"/>
      <c r="G257" s="29" t="n"/>
      <c r="H257" s="29" t="n"/>
      <c r="I257" s="29" t="n"/>
      <c r="J257" s="49" t="n"/>
      <c r="K257" s="51" t="n"/>
      <c r="L257" s="29" t="n"/>
      <c r="M257" s="29" t="n"/>
      <c r="N257" s="29" t="n"/>
      <c r="O257" s="29" t="n"/>
      <c r="P257" s="29" t="n"/>
      <c r="Q257" s="29" t="n"/>
      <c r="R257" s="29" t="n"/>
      <c r="S257" s="29" t="n"/>
      <c r="T257" s="29" t="n"/>
    </row>
    <row r="258" ht="54" customHeight="1">
      <c r="A258" s="29" t="n"/>
      <c r="B258" s="29" t="n"/>
      <c r="C258" s="29" t="n"/>
      <c r="D258" s="29" t="n"/>
      <c r="E258" s="29" t="n"/>
      <c r="F258" s="29" t="n"/>
      <c r="G258" s="29" t="n"/>
      <c r="H258" s="29" t="n"/>
      <c r="I258" s="29" t="n"/>
      <c r="J258" s="49" t="n"/>
      <c r="K258" s="51" t="n"/>
      <c r="L258" s="29" t="n"/>
      <c r="M258" s="29" t="n"/>
      <c r="N258" s="29" t="n"/>
      <c r="O258" s="29" t="n"/>
      <c r="P258" s="29" t="n"/>
      <c r="Q258" s="29" t="n"/>
      <c r="R258" s="29" t="n"/>
      <c r="S258" s="29" t="n"/>
      <c r="T258" s="29" t="n"/>
    </row>
    <row r="259" ht="54" customHeight="1">
      <c r="A259" s="29" t="n"/>
      <c r="B259" s="29" t="n"/>
      <c r="C259" s="29" t="n"/>
      <c r="D259" s="29" t="n"/>
      <c r="E259" s="29" t="n"/>
      <c r="F259" s="29" t="n"/>
      <c r="G259" s="29" t="n"/>
      <c r="H259" s="29" t="n"/>
      <c r="I259" s="29" t="n"/>
      <c r="J259" s="49" t="n"/>
      <c r="K259" s="51" t="n"/>
      <c r="L259" s="29" t="n"/>
      <c r="M259" s="29" t="n"/>
      <c r="N259" s="29" t="n"/>
      <c r="O259" s="29" t="n"/>
      <c r="P259" s="29" t="n"/>
      <c r="Q259" s="29" t="n"/>
      <c r="R259" s="29" t="n"/>
      <c r="S259" s="29" t="n"/>
      <c r="T259" s="29" t="n"/>
    </row>
    <row r="260" ht="54" customHeight="1">
      <c r="A260" s="29" t="n"/>
      <c r="B260" s="29" t="n"/>
      <c r="C260" s="29" t="n"/>
      <c r="D260" s="29" t="n"/>
      <c r="E260" s="29" t="n"/>
      <c r="F260" s="29" t="n"/>
      <c r="G260" s="29" t="n"/>
      <c r="H260" s="29" t="n"/>
      <c r="I260" s="29" t="n"/>
      <c r="J260" s="49" t="n"/>
      <c r="K260" s="51" t="n"/>
      <c r="L260" s="29" t="n"/>
      <c r="M260" s="29" t="n"/>
      <c r="N260" s="29" t="n"/>
      <c r="O260" s="29" t="n"/>
      <c r="P260" s="29" t="n"/>
      <c r="Q260" s="29" t="n"/>
      <c r="R260" s="29" t="n"/>
      <c r="S260" s="29" t="n"/>
      <c r="T260" s="29" t="n"/>
    </row>
    <row r="261" ht="54" customHeight="1">
      <c r="A261" s="29" t="n"/>
      <c r="B261" s="29" t="n"/>
      <c r="C261" s="29" t="n"/>
      <c r="D261" s="29" t="n"/>
      <c r="E261" s="29" t="n"/>
      <c r="F261" s="29" t="n"/>
      <c r="G261" s="29" t="n"/>
      <c r="H261" s="29" t="n"/>
      <c r="I261" s="29" t="n"/>
      <c r="J261" s="49" t="n"/>
      <c r="K261" s="51" t="n"/>
      <c r="L261" s="29" t="n"/>
      <c r="M261" s="29" t="n"/>
      <c r="N261" s="29" t="n"/>
      <c r="O261" s="29" t="n"/>
      <c r="P261" s="29" t="n"/>
      <c r="Q261" s="29" t="n"/>
      <c r="R261" s="29" t="n"/>
      <c r="S261" s="29" t="n"/>
      <c r="T261" s="29" t="n"/>
    </row>
    <row r="262" ht="54" customHeight="1">
      <c r="A262" s="29" t="n"/>
      <c r="B262" s="29" t="n"/>
      <c r="C262" s="29" t="n"/>
      <c r="D262" s="29" t="n"/>
      <c r="E262" s="29" t="n"/>
      <c r="F262" s="29" t="n"/>
      <c r="G262" s="29" t="n"/>
      <c r="H262" s="29" t="n"/>
      <c r="I262" s="29" t="n"/>
      <c r="J262" s="49" t="n"/>
      <c r="K262" s="51" t="n"/>
      <c r="L262" s="29" t="n"/>
      <c r="M262" s="29" t="n"/>
      <c r="N262" s="29" t="n"/>
      <c r="O262" s="29" t="n"/>
      <c r="P262" s="29" t="n"/>
      <c r="Q262" s="29" t="n"/>
      <c r="R262" s="29" t="n"/>
      <c r="S262" s="29" t="n"/>
      <c r="T262" s="29" t="n"/>
    </row>
    <row r="263" ht="54" customHeight="1">
      <c r="A263" s="29" t="n"/>
      <c r="B263" s="29" t="n"/>
      <c r="C263" s="29" t="n"/>
      <c r="D263" s="29" t="n"/>
      <c r="E263" s="29" t="n"/>
      <c r="F263" s="29" t="n"/>
      <c r="G263" s="29" t="n"/>
      <c r="H263" s="29" t="n"/>
      <c r="I263" s="29" t="n"/>
      <c r="J263" s="49" t="n"/>
      <c r="K263" s="51" t="n"/>
      <c r="L263" s="29" t="n"/>
      <c r="M263" s="29" t="n"/>
      <c r="N263" s="29" t="n"/>
      <c r="O263" s="29" t="n"/>
      <c r="P263" s="29" t="n"/>
      <c r="Q263" s="29" t="n"/>
      <c r="R263" s="29" t="n"/>
      <c r="S263" s="29" t="n"/>
      <c r="T263" s="29" t="n"/>
    </row>
    <row r="264" ht="54" customHeight="1">
      <c r="A264" s="29" t="n"/>
      <c r="B264" s="29" t="n"/>
      <c r="C264" s="29" t="n"/>
      <c r="D264" s="29" t="n"/>
      <c r="E264" s="29" t="n"/>
      <c r="F264" s="29" t="n"/>
      <c r="G264" s="29" t="n"/>
      <c r="H264" s="29" t="n"/>
      <c r="I264" s="29" t="n"/>
      <c r="J264" s="49" t="n"/>
      <c r="K264" s="51" t="n"/>
      <c r="L264" s="29" t="n"/>
      <c r="M264" s="29" t="n"/>
      <c r="N264" s="29" t="n"/>
      <c r="O264" s="29" t="n"/>
      <c r="P264" s="29" t="n"/>
      <c r="Q264" s="29" t="n"/>
      <c r="R264" s="29" t="n"/>
      <c r="S264" s="29" t="n"/>
      <c r="T264" s="29" t="n"/>
    </row>
    <row r="265" ht="54" customHeight="1">
      <c r="A265" s="29" t="n"/>
      <c r="B265" s="29" t="n"/>
      <c r="C265" s="29" t="n"/>
      <c r="D265" s="29" t="n"/>
      <c r="E265" s="29" t="n"/>
      <c r="F265" s="29" t="n"/>
      <c r="G265" s="29" t="n"/>
      <c r="H265" s="29" t="n"/>
      <c r="I265" s="29" t="n"/>
      <c r="J265" s="49" t="n"/>
      <c r="K265" s="51" t="n"/>
      <c r="L265" s="29" t="n"/>
      <c r="M265" s="29" t="n"/>
      <c r="N265" s="29" t="n"/>
      <c r="O265" s="29" t="n"/>
      <c r="P265" s="29" t="n"/>
      <c r="Q265" s="29" t="n"/>
      <c r="R265" s="29" t="n"/>
      <c r="S265" s="29" t="n"/>
      <c r="T265" s="29" t="n"/>
    </row>
    <row r="266" ht="54" customHeight="1">
      <c r="A266" s="29" t="n"/>
      <c r="B266" s="29" t="n"/>
      <c r="C266" s="29" t="n"/>
      <c r="D266" s="29" t="n"/>
      <c r="E266" s="29" t="n"/>
      <c r="F266" s="29" t="n"/>
      <c r="G266" s="29" t="n"/>
      <c r="H266" s="29" t="n"/>
      <c r="I266" s="29" t="n"/>
      <c r="J266" s="49" t="n"/>
      <c r="K266" s="51" t="n"/>
      <c r="L266" s="29" t="n"/>
      <c r="M266" s="29" t="n"/>
      <c r="N266" s="29" t="n"/>
      <c r="O266" s="29" t="n"/>
      <c r="P266" s="29" t="n"/>
      <c r="Q266" s="29" t="n"/>
      <c r="R266" s="29" t="n"/>
      <c r="S266" s="29" t="n"/>
      <c r="T266" s="29" t="n"/>
    </row>
    <row r="267" ht="54" customHeight="1">
      <c r="A267" s="29" t="n"/>
      <c r="B267" s="29" t="n"/>
      <c r="C267" s="29" t="n"/>
      <c r="D267" s="29" t="n"/>
      <c r="E267" s="29" t="n"/>
      <c r="F267" s="29" t="n"/>
      <c r="G267" s="29" t="n"/>
      <c r="H267" s="29" t="n"/>
      <c r="I267" s="29" t="n"/>
      <c r="J267" s="49" t="n"/>
      <c r="K267" s="51" t="n"/>
      <c r="L267" s="29" t="n"/>
      <c r="M267" s="29" t="n"/>
      <c r="N267" s="29" t="n"/>
      <c r="O267" s="29" t="n"/>
      <c r="P267" s="29" t="n"/>
      <c r="Q267" s="29" t="n"/>
      <c r="R267" s="29" t="n"/>
      <c r="S267" s="29" t="n"/>
      <c r="T267" s="29" t="n"/>
    </row>
    <row r="268" ht="54" customHeight="1">
      <c r="A268" s="29" t="n"/>
      <c r="B268" s="29" t="n"/>
      <c r="C268" s="29" t="n"/>
      <c r="D268" s="29" t="n"/>
      <c r="E268" s="29" t="n"/>
      <c r="F268" s="29" t="n"/>
      <c r="G268" s="29" t="n"/>
      <c r="H268" s="29" t="n"/>
      <c r="I268" s="29" t="n"/>
      <c r="J268" s="49" t="n"/>
      <c r="K268" s="51" t="n"/>
      <c r="L268" s="29" t="n"/>
      <c r="M268" s="29" t="n"/>
      <c r="N268" s="29" t="n"/>
      <c r="O268" s="29" t="n"/>
      <c r="P268" s="29" t="n"/>
      <c r="Q268" s="29" t="n"/>
      <c r="R268" s="29" t="n"/>
      <c r="S268" s="29" t="n"/>
      <c r="T268" s="29" t="n"/>
    </row>
    <row r="269" ht="54" customHeight="1">
      <c r="A269" s="29" t="n"/>
      <c r="B269" s="29" t="n"/>
      <c r="C269" s="29" t="n"/>
      <c r="D269" s="29" t="n"/>
      <c r="E269" s="29" t="n"/>
      <c r="F269" s="29" t="n"/>
      <c r="G269" s="29" t="n"/>
      <c r="H269" s="29" t="n"/>
      <c r="I269" s="29" t="n"/>
      <c r="J269" s="49" t="n"/>
      <c r="K269" s="51" t="n"/>
      <c r="L269" s="29" t="n"/>
      <c r="M269" s="29" t="n"/>
      <c r="N269" s="29" t="n"/>
      <c r="O269" s="29" t="n"/>
      <c r="P269" s="29" t="n"/>
      <c r="Q269" s="29" t="n"/>
      <c r="R269" s="29" t="n"/>
      <c r="S269" s="29" t="n"/>
      <c r="T269" s="29" t="n"/>
    </row>
    <row r="270" ht="54" customHeight="1">
      <c r="A270" s="29" t="n"/>
      <c r="B270" s="29" t="n"/>
      <c r="C270" s="29" t="n"/>
      <c r="D270" s="29" t="n"/>
      <c r="E270" s="29" t="n"/>
      <c r="F270" s="29" t="n"/>
      <c r="G270" s="29" t="n"/>
      <c r="H270" s="29" t="n"/>
      <c r="I270" s="29" t="n"/>
      <c r="J270" s="49" t="n"/>
      <c r="K270" s="51" t="n"/>
      <c r="L270" s="29" t="n"/>
      <c r="M270" s="29" t="n"/>
      <c r="N270" s="29" t="n"/>
      <c r="O270" s="29" t="n"/>
      <c r="P270" s="29" t="n"/>
      <c r="Q270" s="29" t="n"/>
      <c r="R270" s="29" t="n"/>
      <c r="S270" s="29" t="n"/>
      <c r="T270" s="29" t="n"/>
    </row>
    <row r="271" ht="54" customHeight="1">
      <c r="A271" s="29" t="n"/>
      <c r="B271" s="29" t="n"/>
      <c r="C271" s="29" t="n"/>
      <c r="D271" s="29" t="n"/>
      <c r="E271" s="29" t="n"/>
      <c r="F271" s="29" t="n"/>
      <c r="G271" s="29" t="n"/>
      <c r="H271" s="29" t="n"/>
      <c r="I271" s="29" t="n"/>
      <c r="J271" s="49" t="n"/>
      <c r="K271" s="51" t="n"/>
      <c r="L271" s="29" t="n"/>
      <c r="M271" s="29" t="n"/>
      <c r="N271" s="29" t="n"/>
      <c r="O271" s="29" t="n"/>
      <c r="P271" s="29" t="n"/>
      <c r="Q271" s="29" t="n"/>
      <c r="R271" s="29" t="n"/>
      <c r="S271" s="29" t="n"/>
      <c r="T271" s="29" t="n"/>
    </row>
    <row r="272" ht="54" customHeight="1">
      <c r="A272" s="29" t="n"/>
      <c r="B272" s="29" t="n"/>
      <c r="C272" s="29" t="n"/>
      <c r="D272" s="29" t="n"/>
      <c r="E272" s="29" t="n"/>
      <c r="F272" s="29" t="n"/>
      <c r="G272" s="29" t="n"/>
      <c r="H272" s="29" t="n"/>
      <c r="I272" s="29" t="n"/>
      <c r="J272" s="49" t="n"/>
      <c r="K272" s="51" t="n"/>
      <c r="L272" s="29" t="n"/>
      <c r="M272" s="29" t="n"/>
      <c r="N272" s="29" t="n"/>
      <c r="O272" s="29" t="n"/>
      <c r="P272" s="29" t="n"/>
      <c r="Q272" s="29" t="n"/>
      <c r="R272" s="29" t="n"/>
      <c r="S272" s="29" t="n"/>
      <c r="T272" s="29" t="n"/>
    </row>
    <row r="273" ht="54" customHeight="1">
      <c r="A273" s="29" t="n"/>
      <c r="B273" s="29" t="n"/>
      <c r="C273" s="29" t="n"/>
      <c r="D273" s="29" t="n"/>
      <c r="E273" s="29" t="n"/>
      <c r="F273" s="29" t="n"/>
      <c r="G273" s="29" t="n"/>
      <c r="H273" s="29" t="n"/>
      <c r="I273" s="29" t="n"/>
      <c r="J273" s="49" t="n"/>
      <c r="K273" s="51" t="n"/>
      <c r="L273" s="29" t="n"/>
      <c r="M273" s="29" t="n"/>
      <c r="N273" s="29" t="n"/>
      <c r="O273" s="29" t="n"/>
      <c r="P273" s="29" t="n"/>
      <c r="Q273" s="29" t="n"/>
      <c r="R273" s="29" t="n"/>
      <c r="S273" s="29" t="n"/>
      <c r="T273" s="29" t="n"/>
    </row>
    <row r="274" ht="54" customHeight="1">
      <c r="A274" s="29" t="n"/>
      <c r="B274" s="29" t="n"/>
      <c r="C274" s="29" t="n"/>
      <c r="D274" s="29" t="n"/>
      <c r="E274" s="29" t="n"/>
      <c r="F274" s="29" t="n"/>
      <c r="G274" s="29" t="n"/>
      <c r="H274" s="29" t="n"/>
      <c r="I274" s="29" t="n"/>
      <c r="J274" s="49" t="n"/>
      <c r="K274" s="51" t="n"/>
      <c r="L274" s="29" t="n"/>
      <c r="M274" s="29" t="n"/>
      <c r="N274" s="29" t="n"/>
      <c r="O274" s="29" t="n"/>
      <c r="P274" s="29" t="n"/>
      <c r="Q274" s="29" t="n"/>
      <c r="R274" s="29" t="n"/>
      <c r="S274" s="29" t="n"/>
      <c r="T274" s="29" t="n"/>
    </row>
    <row r="275" ht="54" customHeight="1">
      <c r="A275" s="29" t="n"/>
      <c r="B275" s="29" t="n"/>
      <c r="C275" s="29" t="n"/>
      <c r="D275" s="29" t="n"/>
      <c r="E275" s="29" t="n"/>
      <c r="F275" s="29" t="n"/>
      <c r="G275" s="29" t="n"/>
      <c r="H275" s="29" t="n"/>
      <c r="I275" s="29" t="n"/>
      <c r="J275" s="49" t="n"/>
      <c r="K275" s="51" t="n"/>
      <c r="L275" s="29" t="n"/>
      <c r="M275" s="29" t="n"/>
      <c r="N275" s="29" t="n"/>
      <c r="O275" s="29" t="n"/>
      <c r="P275" s="29" t="n"/>
      <c r="Q275" s="29" t="n"/>
      <c r="R275" s="29" t="n"/>
      <c r="S275" s="29" t="n"/>
      <c r="T275" s="29" t="n"/>
    </row>
    <row r="276" ht="54" customHeight="1">
      <c r="A276" s="29" t="n"/>
      <c r="B276" s="29" t="n"/>
      <c r="C276" s="29" t="n"/>
      <c r="D276" s="29" t="n"/>
      <c r="E276" s="29" t="n"/>
      <c r="F276" s="29" t="n"/>
      <c r="G276" s="29" t="n"/>
      <c r="H276" s="29" t="n"/>
      <c r="I276" s="29" t="n"/>
      <c r="J276" s="49" t="n"/>
      <c r="K276" s="51" t="n"/>
      <c r="L276" s="29" t="n"/>
      <c r="M276" s="29" t="n"/>
      <c r="N276" s="29" t="n"/>
      <c r="O276" s="29" t="n"/>
      <c r="P276" s="29" t="n"/>
      <c r="Q276" s="29" t="n"/>
      <c r="R276" s="29" t="n"/>
      <c r="S276" s="29" t="n"/>
      <c r="T276" s="29" t="n"/>
    </row>
    <row r="277" ht="54" customHeight="1">
      <c r="A277" s="29" t="n"/>
      <c r="B277" s="29" t="n"/>
      <c r="C277" s="29" t="n"/>
      <c r="D277" s="29" t="n"/>
      <c r="E277" s="29" t="n"/>
      <c r="F277" s="29" t="n"/>
      <c r="G277" s="29" t="n"/>
      <c r="H277" s="29" t="n"/>
      <c r="I277" s="29" t="n"/>
      <c r="J277" s="49" t="n"/>
      <c r="K277" s="51" t="n"/>
      <c r="L277" s="29" t="n"/>
      <c r="M277" s="29" t="n"/>
      <c r="N277" s="29" t="n"/>
      <c r="O277" s="29" t="n"/>
      <c r="P277" s="29" t="n"/>
      <c r="Q277" s="29" t="n"/>
      <c r="R277" s="29" t="n"/>
      <c r="S277" s="29" t="n"/>
      <c r="T277" s="29" t="n"/>
    </row>
    <row r="278" ht="54" customHeight="1">
      <c r="A278" s="29" t="n"/>
      <c r="B278" s="29" t="n"/>
      <c r="C278" s="29" t="n"/>
      <c r="D278" s="29" t="n"/>
      <c r="E278" s="29" t="n"/>
      <c r="F278" s="29" t="n"/>
      <c r="G278" s="29" t="n"/>
      <c r="H278" s="29" t="n"/>
      <c r="I278" s="29" t="n"/>
      <c r="J278" s="49" t="n"/>
      <c r="K278" s="51" t="n"/>
      <c r="L278" s="29" t="n"/>
      <c r="M278" s="29" t="n"/>
      <c r="N278" s="29" t="n"/>
      <c r="O278" s="29" t="n"/>
      <c r="P278" s="29" t="n"/>
      <c r="Q278" s="29" t="n"/>
      <c r="R278" s="29" t="n"/>
      <c r="S278" s="29" t="n"/>
      <c r="T278" s="29" t="n"/>
    </row>
    <row r="279" ht="54" customHeight="1">
      <c r="A279" s="29" t="n"/>
      <c r="B279" s="29" t="n"/>
      <c r="C279" s="29" t="n"/>
      <c r="D279" s="29" t="n"/>
      <c r="E279" s="29" t="n"/>
      <c r="F279" s="29" t="n"/>
      <c r="G279" s="29" t="n"/>
      <c r="H279" s="29" t="n"/>
      <c r="I279" s="29" t="n"/>
      <c r="J279" s="49" t="n"/>
      <c r="K279" s="51" t="n"/>
      <c r="L279" s="29" t="n"/>
      <c r="M279" s="29" t="n"/>
      <c r="N279" s="29" t="n"/>
      <c r="O279" s="29" t="n"/>
      <c r="P279" s="29" t="n"/>
      <c r="Q279" s="29" t="n"/>
      <c r="R279" s="29" t="n"/>
      <c r="S279" s="29" t="n"/>
      <c r="T279" s="29" t="n"/>
    </row>
    <row r="280" ht="54" customHeight="1">
      <c r="A280" s="29" t="n"/>
      <c r="B280" s="29" t="n"/>
      <c r="C280" s="29" t="n"/>
      <c r="D280" s="29" t="n"/>
      <c r="E280" s="29" t="n"/>
      <c r="F280" s="29" t="n"/>
      <c r="G280" s="29" t="n"/>
      <c r="H280" s="29" t="n"/>
      <c r="I280" s="29" t="n"/>
      <c r="J280" s="49" t="n"/>
      <c r="K280" s="51" t="n"/>
      <c r="L280" s="29" t="n"/>
      <c r="M280" s="29" t="n"/>
      <c r="N280" s="29" t="n"/>
      <c r="O280" s="29" t="n"/>
      <c r="P280" s="29" t="n"/>
      <c r="Q280" s="29" t="n"/>
      <c r="R280" s="29" t="n"/>
      <c r="S280" s="29" t="n"/>
      <c r="T280" s="29" t="n"/>
    </row>
    <row r="281" ht="54" customHeight="1">
      <c r="A281" s="29" t="n"/>
      <c r="B281" s="29" t="n"/>
      <c r="C281" s="29" t="n"/>
      <c r="D281" s="29" t="n"/>
      <c r="E281" s="29" t="n"/>
      <c r="F281" s="29" t="n"/>
      <c r="G281" s="29" t="n"/>
      <c r="H281" s="29" t="n"/>
      <c r="I281" s="29" t="n"/>
      <c r="J281" s="49" t="n"/>
      <c r="K281" s="51" t="n"/>
      <c r="L281" s="29" t="n"/>
      <c r="M281" s="29" t="n"/>
      <c r="N281" s="29" t="n"/>
      <c r="O281" s="29" t="n"/>
      <c r="P281" s="29" t="n"/>
      <c r="Q281" s="29" t="n"/>
      <c r="R281" s="29" t="n"/>
      <c r="S281" s="29" t="n"/>
      <c r="T281" s="29" t="n"/>
    </row>
    <row r="282" ht="54" customHeight="1">
      <c r="A282" s="29" t="n"/>
      <c r="B282" s="29" t="n"/>
      <c r="C282" s="29" t="n"/>
      <c r="D282" s="29" t="n"/>
      <c r="E282" s="29" t="n"/>
      <c r="F282" s="29" t="n"/>
      <c r="G282" s="29" t="n"/>
      <c r="H282" s="29" t="n"/>
      <c r="I282" s="29" t="n"/>
      <c r="J282" s="49" t="n"/>
      <c r="K282" s="51" t="n"/>
      <c r="L282" s="29" t="n"/>
      <c r="M282" s="29" t="n"/>
      <c r="N282" s="29" t="n"/>
      <c r="O282" s="29" t="n"/>
      <c r="P282" s="29" t="n"/>
      <c r="Q282" s="29" t="n"/>
      <c r="R282" s="29" t="n"/>
      <c r="S282" s="29" t="n"/>
      <c r="T282" s="29" t="n"/>
    </row>
    <row r="283" ht="54" customHeight="1">
      <c r="A283" s="29" t="n"/>
      <c r="B283" s="29" t="n"/>
      <c r="C283" s="29" t="n"/>
      <c r="D283" s="29" t="n"/>
      <c r="E283" s="29" t="n"/>
      <c r="F283" s="29" t="n"/>
      <c r="G283" s="29" t="n"/>
      <c r="H283" s="29" t="n"/>
      <c r="I283" s="29" t="n"/>
      <c r="J283" s="49" t="n"/>
      <c r="K283" s="51" t="n"/>
      <c r="L283" s="29" t="n"/>
      <c r="M283" s="29" t="n"/>
      <c r="N283" s="29" t="n"/>
      <c r="O283" s="29" t="n"/>
      <c r="P283" s="29" t="n"/>
      <c r="Q283" s="29" t="n"/>
      <c r="R283" s="29" t="n"/>
      <c r="S283" s="29" t="n"/>
      <c r="T283" s="29" t="n"/>
    </row>
    <row r="284" ht="54" customHeight="1">
      <c r="A284" s="29" t="n"/>
      <c r="B284" s="29" t="n"/>
      <c r="C284" s="29" t="n"/>
      <c r="D284" s="29" t="n"/>
      <c r="E284" s="29" t="n"/>
      <c r="F284" s="29" t="n"/>
      <c r="G284" s="29" t="n"/>
      <c r="H284" s="29" t="n"/>
      <c r="I284" s="29" t="n"/>
      <c r="J284" s="49" t="n"/>
      <c r="K284" s="51" t="n"/>
      <c r="L284" s="29" t="n"/>
      <c r="M284" s="29" t="n"/>
      <c r="N284" s="29" t="n"/>
      <c r="O284" s="29" t="n"/>
      <c r="P284" s="29" t="n"/>
      <c r="Q284" s="29" t="n"/>
      <c r="R284" s="29" t="n"/>
      <c r="S284" s="29" t="n"/>
      <c r="T284" s="29" t="n"/>
    </row>
    <row r="285" ht="54" customHeight="1">
      <c r="A285" s="29" t="n"/>
      <c r="B285" s="29" t="n"/>
      <c r="C285" s="29" t="n"/>
      <c r="D285" s="29" t="n"/>
      <c r="E285" s="29" t="n"/>
      <c r="F285" s="29" t="n"/>
      <c r="G285" s="29" t="n"/>
      <c r="H285" s="29" t="n"/>
      <c r="I285" s="29" t="n"/>
      <c r="J285" s="49" t="n"/>
      <c r="K285" s="51" t="n"/>
      <c r="L285" s="29" t="n"/>
      <c r="M285" s="29" t="n"/>
      <c r="N285" s="29" t="n"/>
      <c r="O285" s="29" t="n"/>
      <c r="P285" s="29" t="n"/>
      <c r="Q285" s="29" t="n"/>
      <c r="R285" s="29" t="n"/>
      <c r="S285" s="29" t="n"/>
      <c r="T285" s="29" t="n"/>
    </row>
    <row r="286" ht="54" customHeight="1">
      <c r="A286" s="29" t="n"/>
      <c r="B286" s="29" t="n"/>
      <c r="C286" s="29" t="n"/>
      <c r="D286" s="29" t="n"/>
      <c r="E286" s="29" t="n"/>
      <c r="F286" s="29" t="n"/>
      <c r="G286" s="29" t="n"/>
      <c r="H286" s="29" t="n"/>
      <c r="I286" s="29" t="n"/>
      <c r="J286" s="49" t="n"/>
      <c r="K286" s="51" t="n"/>
      <c r="L286" s="29" t="n"/>
      <c r="M286" s="29" t="n"/>
      <c r="N286" s="29" t="n"/>
      <c r="O286" s="29" t="n"/>
      <c r="P286" s="29" t="n"/>
      <c r="Q286" s="29" t="n"/>
      <c r="R286" s="29" t="n"/>
      <c r="S286" s="29" t="n"/>
      <c r="T286" s="29" t="n"/>
    </row>
    <row r="287" ht="54" customHeight="1">
      <c r="A287" s="29" t="n"/>
      <c r="B287" s="29" t="n"/>
      <c r="C287" s="29" t="n"/>
      <c r="D287" s="29" t="n"/>
      <c r="E287" s="29" t="n"/>
      <c r="F287" s="29" t="n"/>
      <c r="G287" s="29" t="n"/>
      <c r="H287" s="29" t="n"/>
      <c r="I287" s="29" t="n"/>
      <c r="J287" s="49" t="n"/>
      <c r="K287" s="51" t="n"/>
      <c r="L287" s="29" t="n"/>
      <c r="M287" s="29" t="n"/>
      <c r="N287" s="29" t="n"/>
      <c r="O287" s="29" t="n"/>
      <c r="P287" s="29" t="n"/>
      <c r="Q287" s="29" t="n"/>
      <c r="R287" s="29" t="n"/>
      <c r="S287" s="29" t="n"/>
      <c r="T287" s="29" t="n"/>
    </row>
    <row r="288" ht="54" customHeight="1">
      <c r="A288" s="29" t="n"/>
      <c r="B288" s="29" t="n"/>
      <c r="C288" s="29" t="n"/>
      <c r="D288" s="29" t="n"/>
      <c r="E288" s="29" t="n"/>
      <c r="F288" s="29" t="n"/>
      <c r="G288" s="29" t="n"/>
      <c r="H288" s="29" t="n"/>
      <c r="I288" s="29" t="n"/>
      <c r="J288" s="49" t="n"/>
      <c r="K288" s="51" t="n"/>
      <c r="L288" s="29" t="n"/>
      <c r="M288" s="29" t="n"/>
      <c r="N288" s="29" t="n"/>
      <c r="O288" s="29" t="n"/>
      <c r="P288" s="29" t="n"/>
      <c r="Q288" s="29" t="n"/>
      <c r="R288" s="29" t="n"/>
      <c r="S288" s="29" t="n"/>
      <c r="T288" s="29" t="n"/>
    </row>
    <row r="289" ht="54" customHeight="1">
      <c r="A289" s="29" t="n"/>
      <c r="B289" s="29" t="n"/>
      <c r="C289" s="29" t="n"/>
      <c r="D289" s="29" t="n"/>
      <c r="E289" s="29" t="n"/>
      <c r="F289" s="29" t="n"/>
      <c r="G289" s="29" t="n"/>
      <c r="H289" s="29" t="n"/>
      <c r="I289" s="29" t="n"/>
      <c r="J289" s="49" t="n"/>
      <c r="K289" s="51" t="n"/>
      <c r="L289" s="29" t="n"/>
      <c r="M289" s="29" t="n"/>
      <c r="N289" s="29" t="n"/>
      <c r="O289" s="29" t="n"/>
      <c r="P289" s="29" t="n"/>
      <c r="Q289" s="29" t="n"/>
      <c r="R289" s="29" t="n"/>
      <c r="S289" s="29" t="n"/>
      <c r="T289" s="29" t="n"/>
    </row>
    <row r="290" ht="54" customHeight="1">
      <c r="A290" s="29" t="n"/>
      <c r="B290" s="29" t="n"/>
      <c r="C290" s="29" t="n"/>
      <c r="D290" s="29" t="n"/>
      <c r="E290" s="29" t="n"/>
      <c r="F290" s="29" t="n"/>
      <c r="G290" s="29" t="n"/>
      <c r="H290" s="29" t="n"/>
      <c r="I290" s="29" t="n"/>
      <c r="J290" s="49" t="n"/>
      <c r="K290" s="51" t="n"/>
      <c r="L290" s="29" t="n"/>
      <c r="M290" s="29" t="n"/>
      <c r="N290" s="29" t="n"/>
      <c r="O290" s="29" t="n"/>
      <c r="P290" s="29" t="n"/>
      <c r="Q290" s="29" t="n"/>
      <c r="R290" s="29" t="n"/>
      <c r="S290" s="29" t="n"/>
      <c r="T290" s="29" t="n"/>
    </row>
    <row r="291" ht="54" customHeight="1">
      <c r="A291" s="29" t="n"/>
      <c r="B291" s="29" t="n"/>
      <c r="C291" s="29" t="n"/>
      <c r="D291" s="29" t="n"/>
      <c r="E291" s="29" t="n"/>
      <c r="F291" s="29" t="n"/>
      <c r="G291" s="29" t="n"/>
      <c r="H291" s="29" t="n"/>
      <c r="I291" s="29" t="n"/>
      <c r="J291" s="49" t="n"/>
      <c r="K291" s="51" t="n"/>
      <c r="L291" s="29" t="n"/>
      <c r="M291" s="29" t="n"/>
      <c r="N291" s="29" t="n"/>
      <c r="O291" s="29" t="n"/>
      <c r="P291" s="29" t="n"/>
      <c r="Q291" s="29" t="n"/>
      <c r="R291" s="29" t="n"/>
      <c r="S291" s="29" t="n"/>
      <c r="T291" s="29" t="n"/>
    </row>
    <row r="292" ht="54" customHeight="1">
      <c r="A292" s="29" t="n"/>
      <c r="B292" s="29" t="n"/>
      <c r="C292" s="29" t="n"/>
      <c r="D292" s="29" t="n"/>
      <c r="E292" s="29" t="n"/>
      <c r="F292" s="29" t="n"/>
      <c r="G292" s="29" t="n"/>
      <c r="H292" s="29" t="n"/>
      <c r="I292" s="29" t="n"/>
      <c r="J292" s="49" t="n"/>
      <c r="K292" s="51" t="n"/>
      <c r="L292" s="29" t="n"/>
      <c r="M292" s="29" t="n"/>
      <c r="N292" s="29" t="n"/>
      <c r="O292" s="29" t="n"/>
      <c r="P292" s="29" t="n"/>
      <c r="Q292" s="29" t="n"/>
      <c r="R292" s="29" t="n"/>
      <c r="S292" s="29" t="n"/>
      <c r="T292" s="29" t="n"/>
    </row>
    <row r="293" ht="54" customHeight="1">
      <c r="A293" s="29" t="n"/>
      <c r="B293" s="29" t="n"/>
      <c r="C293" s="29" t="n"/>
      <c r="D293" s="29" t="n"/>
      <c r="E293" s="29" t="n"/>
      <c r="F293" s="29" t="n"/>
      <c r="G293" s="29" t="n"/>
      <c r="H293" s="29" t="n"/>
      <c r="I293" s="29" t="n"/>
      <c r="J293" s="49" t="n"/>
      <c r="K293" s="51" t="n"/>
      <c r="L293" s="29" t="n"/>
      <c r="M293" s="29" t="n"/>
      <c r="N293" s="29" t="n"/>
      <c r="O293" s="29" t="n"/>
      <c r="P293" s="29" t="n"/>
      <c r="Q293" s="29" t="n"/>
      <c r="R293" s="29" t="n"/>
      <c r="S293" s="29" t="n"/>
      <c r="T293" s="29" t="n"/>
    </row>
    <row r="294" ht="54" customHeight="1">
      <c r="A294" s="29" t="n"/>
      <c r="B294" s="29" t="n"/>
      <c r="C294" s="29" t="n"/>
      <c r="D294" s="29" t="n"/>
      <c r="E294" s="29" t="n"/>
      <c r="F294" s="29" t="n"/>
      <c r="G294" s="29" t="n"/>
      <c r="H294" s="29" t="n"/>
      <c r="I294" s="29" t="n"/>
      <c r="J294" s="49" t="n"/>
      <c r="K294" s="51" t="n"/>
      <c r="L294" s="29" t="n"/>
      <c r="M294" s="29" t="n"/>
      <c r="N294" s="29" t="n"/>
      <c r="O294" s="29" t="n"/>
      <c r="P294" s="29" t="n"/>
      <c r="Q294" s="29" t="n"/>
      <c r="R294" s="29" t="n"/>
      <c r="S294" s="29" t="n"/>
      <c r="T294" s="29" t="n"/>
    </row>
    <row r="295" ht="54" customHeight="1">
      <c r="A295" s="29" t="n"/>
      <c r="B295" s="29" t="n"/>
      <c r="C295" s="29" t="n"/>
      <c r="D295" s="29" t="n"/>
      <c r="E295" s="29" t="n"/>
      <c r="F295" s="29" t="n"/>
      <c r="G295" s="29" t="n"/>
      <c r="H295" s="29" t="n"/>
      <c r="I295" s="29" t="n"/>
      <c r="J295" s="49" t="n"/>
      <c r="K295" s="51" t="n"/>
      <c r="L295" s="29" t="n"/>
      <c r="M295" s="29" t="n"/>
      <c r="N295" s="29" t="n"/>
      <c r="O295" s="29" t="n"/>
      <c r="P295" s="29" t="n"/>
      <c r="Q295" s="29" t="n"/>
      <c r="R295" s="29" t="n"/>
      <c r="S295" s="29" t="n"/>
      <c r="T295" s="29" t="n"/>
    </row>
    <row r="296" ht="54" customHeight="1">
      <c r="A296" s="29" t="n"/>
      <c r="B296" s="29" t="n"/>
      <c r="C296" s="29" t="n"/>
      <c r="D296" s="29" t="n"/>
      <c r="E296" s="29" t="n"/>
      <c r="F296" s="29" t="n"/>
      <c r="G296" s="29" t="n"/>
      <c r="H296" s="29" t="n"/>
      <c r="I296" s="29" t="n"/>
      <c r="J296" s="49" t="n"/>
      <c r="K296" s="51" t="n"/>
      <c r="L296" s="29" t="n"/>
      <c r="M296" s="29" t="n"/>
      <c r="N296" s="29" t="n"/>
      <c r="O296" s="29" t="n"/>
      <c r="P296" s="29" t="n"/>
      <c r="Q296" s="29" t="n"/>
      <c r="R296" s="29" t="n"/>
      <c r="S296" s="29" t="n"/>
      <c r="T296" s="29" t="n"/>
    </row>
    <row r="297" ht="54" customHeight="1">
      <c r="A297" s="29" t="n"/>
      <c r="B297" s="29" t="n"/>
      <c r="C297" s="29" t="n"/>
      <c r="D297" s="29" t="n"/>
      <c r="E297" s="29" t="n"/>
      <c r="F297" s="29" t="n"/>
      <c r="G297" s="29" t="n"/>
      <c r="H297" s="29" t="n"/>
      <c r="I297" s="29" t="n"/>
      <c r="J297" s="49" t="n"/>
      <c r="K297" s="51" t="n"/>
      <c r="L297" s="29" t="n"/>
      <c r="M297" s="29" t="n"/>
      <c r="N297" s="29" t="n"/>
      <c r="O297" s="29" t="n"/>
      <c r="P297" s="29" t="n"/>
      <c r="Q297" s="29" t="n"/>
      <c r="R297" s="29" t="n"/>
      <c r="S297" s="29" t="n"/>
      <c r="T297" s="29" t="n"/>
    </row>
    <row r="298" ht="54" customHeight="1">
      <c r="A298" s="29" t="n"/>
      <c r="B298" s="29" t="n"/>
      <c r="C298" s="29" t="n"/>
      <c r="D298" s="29" t="n"/>
      <c r="E298" s="29" t="n"/>
      <c r="F298" s="29" t="n"/>
      <c r="G298" s="29" t="n"/>
      <c r="H298" s="29" t="n"/>
      <c r="I298" s="29" t="n"/>
      <c r="J298" s="49" t="n"/>
      <c r="K298" s="51" t="n"/>
      <c r="L298" s="29" t="n"/>
      <c r="M298" s="29" t="n"/>
      <c r="N298" s="29" t="n"/>
      <c r="O298" s="29" t="n"/>
      <c r="P298" s="29" t="n"/>
      <c r="Q298" s="29" t="n"/>
      <c r="R298" s="29" t="n"/>
      <c r="S298" s="29" t="n"/>
      <c r="T298" s="29" t="n"/>
    </row>
    <row r="299" ht="54" customHeight="1">
      <c r="A299" s="29" t="n"/>
      <c r="B299" s="29" t="n"/>
      <c r="C299" s="29" t="n"/>
      <c r="D299" s="29" t="n"/>
      <c r="E299" s="29" t="n"/>
      <c r="F299" s="29" t="n"/>
      <c r="G299" s="29" t="n"/>
      <c r="H299" s="29" t="n"/>
      <c r="I299" s="29" t="n"/>
      <c r="J299" s="49" t="n"/>
      <c r="K299" s="51" t="n"/>
      <c r="L299" s="29" t="n"/>
      <c r="M299" s="29" t="n"/>
      <c r="N299" s="29" t="n"/>
      <c r="O299" s="29" t="n"/>
      <c r="P299" s="29" t="n"/>
      <c r="Q299" s="29" t="n"/>
      <c r="R299" s="29" t="n"/>
      <c r="S299" s="29" t="n"/>
      <c r="T299" s="29" t="n"/>
    </row>
    <row r="300" ht="54" customHeight="1">
      <c r="A300" s="29" t="n"/>
      <c r="B300" s="29" t="n"/>
      <c r="C300" s="29" t="n"/>
      <c r="D300" s="29" t="n"/>
      <c r="E300" s="29" t="n"/>
      <c r="F300" s="29" t="n"/>
      <c r="G300" s="29" t="n"/>
      <c r="H300" s="29" t="n"/>
      <c r="I300" s="29" t="n"/>
      <c r="J300" s="49" t="n"/>
      <c r="K300" s="51" t="n"/>
      <c r="L300" s="29" t="n"/>
      <c r="M300" s="29" t="n"/>
      <c r="N300" s="29" t="n"/>
      <c r="O300" s="29" t="n"/>
      <c r="P300" s="29" t="n"/>
      <c r="Q300" s="29" t="n"/>
      <c r="R300" s="29" t="n"/>
      <c r="S300" s="29" t="n"/>
      <c r="T300" s="29" t="n"/>
    </row>
    <row r="301" ht="54" customHeight="1">
      <c r="A301" s="29" t="n"/>
      <c r="B301" s="29" t="n"/>
      <c r="C301" s="29" t="n"/>
      <c r="D301" s="29" t="n"/>
      <c r="E301" s="29" t="n"/>
      <c r="F301" s="29" t="n"/>
      <c r="G301" s="29" t="n"/>
      <c r="H301" s="29" t="n"/>
      <c r="I301" s="29" t="n"/>
      <c r="J301" s="49" t="n"/>
      <c r="K301" s="51" t="n"/>
      <c r="L301" s="29" t="n"/>
      <c r="M301" s="29" t="n"/>
      <c r="N301" s="29" t="n"/>
      <c r="O301" s="29" t="n"/>
      <c r="P301" s="29" t="n"/>
      <c r="Q301" s="29" t="n"/>
      <c r="R301" s="29" t="n"/>
      <c r="S301" s="29" t="n"/>
      <c r="T301" s="29" t="n"/>
    </row>
    <row r="302" ht="54" customHeight="1">
      <c r="A302" s="29" t="n"/>
      <c r="B302" s="29" t="n"/>
      <c r="C302" s="29" t="n"/>
      <c r="D302" s="29" t="n"/>
      <c r="E302" s="29" t="n"/>
      <c r="F302" s="29" t="n"/>
      <c r="G302" s="29" t="n"/>
      <c r="H302" s="29" t="n"/>
      <c r="I302" s="29" t="n"/>
      <c r="J302" s="49" t="n"/>
      <c r="K302" s="51" t="n"/>
      <c r="L302" s="29" t="n"/>
      <c r="M302" s="29" t="n"/>
      <c r="N302" s="29" t="n"/>
      <c r="O302" s="29" t="n"/>
      <c r="P302" s="29" t="n"/>
      <c r="Q302" s="29" t="n"/>
      <c r="R302" s="29" t="n"/>
      <c r="S302" s="29" t="n"/>
      <c r="T302" s="29" t="n"/>
    </row>
    <row r="303" ht="54" customHeight="1">
      <c r="A303" s="29" t="n"/>
      <c r="B303" s="29" t="n"/>
      <c r="C303" s="29" t="n"/>
      <c r="D303" s="29" t="n"/>
      <c r="E303" s="29" t="n"/>
      <c r="F303" s="29" t="n"/>
      <c r="G303" s="29" t="n"/>
      <c r="H303" s="29" t="n"/>
      <c r="I303" s="29" t="n"/>
      <c r="J303" s="49" t="n"/>
      <c r="K303" s="51" t="n"/>
      <c r="L303" s="29" t="n"/>
      <c r="M303" s="29" t="n"/>
      <c r="N303" s="29" t="n"/>
      <c r="O303" s="29" t="n"/>
      <c r="P303" s="29" t="n"/>
      <c r="Q303" s="29" t="n"/>
      <c r="R303" s="29" t="n"/>
      <c r="S303" s="29" t="n"/>
      <c r="T303" s="29" t="n"/>
    </row>
    <row r="304" ht="54" customHeight="1">
      <c r="A304" s="29" t="n"/>
      <c r="B304" s="29" t="n"/>
      <c r="C304" s="29" t="n"/>
      <c r="D304" s="29" t="n"/>
      <c r="E304" s="29" t="n"/>
      <c r="F304" s="29" t="n"/>
      <c r="G304" s="29" t="n"/>
      <c r="H304" s="29" t="n"/>
      <c r="I304" s="29" t="n"/>
      <c r="J304" s="49" t="n"/>
      <c r="K304" s="51" t="n"/>
      <c r="L304" s="29" t="n"/>
      <c r="M304" s="29" t="n"/>
      <c r="N304" s="29" t="n"/>
      <c r="O304" s="29" t="n"/>
      <c r="P304" s="29" t="n"/>
      <c r="Q304" s="29" t="n"/>
      <c r="R304" s="29" t="n"/>
      <c r="S304" s="29" t="n"/>
      <c r="T304" s="29" t="n"/>
    </row>
    <row r="305" ht="54" customHeight="1">
      <c r="A305" s="29" t="n"/>
      <c r="B305" s="29" t="n"/>
      <c r="C305" s="29" t="n"/>
      <c r="D305" s="29" t="n"/>
      <c r="E305" s="29" t="n"/>
      <c r="F305" s="29" t="n"/>
      <c r="G305" s="29" t="n"/>
      <c r="H305" s="29" t="n"/>
      <c r="I305" s="29" t="n"/>
      <c r="J305" s="49" t="n"/>
      <c r="K305" s="51" t="n"/>
      <c r="L305" s="29" t="n"/>
      <c r="M305" s="29" t="n"/>
      <c r="N305" s="29" t="n"/>
      <c r="O305" s="29" t="n"/>
      <c r="P305" s="29" t="n"/>
      <c r="Q305" s="29" t="n"/>
      <c r="R305" s="29" t="n"/>
      <c r="S305" s="29" t="n"/>
      <c r="T305" s="29" t="n"/>
    </row>
    <row r="306" ht="54" customHeight="1">
      <c r="A306" s="29" t="n"/>
      <c r="B306" s="29" t="n"/>
      <c r="C306" s="29" t="n"/>
      <c r="D306" s="29" t="n"/>
      <c r="E306" s="29" t="n"/>
      <c r="F306" s="29" t="n"/>
      <c r="G306" s="29" t="n"/>
      <c r="H306" s="29" t="n"/>
      <c r="I306" s="29" t="n"/>
      <c r="J306" s="49" t="n"/>
      <c r="K306" s="51" t="n"/>
      <c r="L306" s="29" t="n"/>
      <c r="M306" s="29" t="n"/>
      <c r="N306" s="29" t="n"/>
      <c r="O306" s="29" t="n"/>
      <c r="P306" s="29" t="n"/>
      <c r="Q306" s="29" t="n"/>
      <c r="R306" s="29" t="n"/>
      <c r="S306" s="29" t="n"/>
      <c r="T306" s="29" t="n"/>
    </row>
    <row r="307" ht="54" customHeight="1">
      <c r="A307" s="29" t="n"/>
      <c r="B307" s="29" t="n"/>
      <c r="C307" s="29" t="n"/>
      <c r="D307" s="29" t="n"/>
      <c r="E307" s="29" t="n"/>
      <c r="F307" s="29" t="n"/>
      <c r="G307" s="29" t="n"/>
      <c r="H307" s="29" t="n"/>
      <c r="I307" s="29" t="n"/>
      <c r="J307" s="49" t="n"/>
      <c r="K307" s="51" t="n"/>
      <c r="L307" s="29" t="n"/>
      <c r="M307" s="29" t="n"/>
      <c r="N307" s="29" t="n"/>
      <c r="O307" s="29" t="n"/>
      <c r="P307" s="29" t="n"/>
      <c r="Q307" s="29" t="n"/>
      <c r="R307" s="29" t="n"/>
      <c r="S307" s="29" t="n"/>
      <c r="T307" s="29" t="n"/>
    </row>
  </sheetData>
  <mergeCells count="1">
    <mergeCell ref="A3:H3"/>
  </mergeCells>
  <conditionalFormatting sqref="A8:A307">
    <cfRule type="expression" priority="1" dxfId="1">
      <formula>AND($A8&lt;&gt;"",ISBLANK(A8))</formula>
    </cfRule>
  </conditionalFormatting>
  <conditionalFormatting sqref="B8:B307">
    <cfRule type="expression" priority="2" dxfId="1">
      <formula>AND($A8&lt;&gt;"",ISBLANK(B8))</formula>
    </cfRule>
  </conditionalFormatting>
  <conditionalFormatting sqref="C8:C307">
    <cfRule type="expression" priority="3" dxfId="1">
      <formula>AND($A8&lt;&gt;"",ISBLANK(C8))</formula>
    </cfRule>
  </conditionalFormatting>
  <conditionalFormatting sqref="D8:D307">
    <cfRule type="expression" priority="4" dxfId="1">
      <formula>AND($A8&lt;&gt;"",ISBLANK(D8))</formula>
    </cfRule>
  </conditionalFormatting>
  <conditionalFormatting sqref="F8:F307">
    <cfRule type="expression" priority="5" dxfId="1">
      <formula>AND($A8&lt;&gt;"",ISBLANK(F8))</formula>
    </cfRule>
  </conditionalFormatting>
  <conditionalFormatting sqref="I8:I307">
    <cfRule type="expression" priority="6" dxfId="1">
      <formula>AND($A8&lt;&gt;"",ISBLANK(I8))</formula>
    </cfRule>
  </conditionalFormatting>
  <conditionalFormatting sqref="J8:J307">
    <cfRule type="expression" priority="7" dxfId="1">
      <formula>AND($A8&lt;&gt;"",ISBLANK(J8))</formula>
    </cfRule>
  </conditionalFormatting>
  <conditionalFormatting sqref="K8:K307">
    <cfRule type="expression" priority="8" dxfId="1">
      <formula>AND($A8&lt;&gt;"",ISBLANK(K8))</formula>
    </cfRule>
  </conditionalFormatting>
  <conditionalFormatting sqref="L8:L307">
    <cfRule type="expression" priority="9" dxfId="1">
      <formula>AND($A8&lt;&gt;"",ISBLANK(L8))</formula>
    </cfRule>
  </conditionalFormatting>
  <conditionalFormatting sqref="M8:M307">
    <cfRule type="expression" priority="10" dxfId="1">
      <formula>AND($A8&lt;&gt;"",ISBLANK(M8))</formula>
    </cfRule>
  </conditionalFormatting>
  <conditionalFormatting sqref="N8:N307">
    <cfRule type="expression" priority="11" dxfId="1">
      <formula>AND($A8&lt;&gt;"",ISBLANK(N8))</formula>
    </cfRule>
  </conditionalFormatting>
  <conditionalFormatting sqref="O8:O307">
    <cfRule type="expression" priority="12" dxfId="1">
      <formula>AND($A8&lt;&gt;"",ISBLANK(O8))</formula>
    </cfRule>
  </conditionalFormatting>
  <dataValidations count="2">
    <dataValidation sqref="L8:L307" showDropDown="0" showInputMessage="0" showErrorMessage="0" allowBlank="0" type="list">
      <formula1>"Evet,Hayır"</formula1>
    </dataValidation>
    <dataValidation sqref="M8:M307"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W18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28" customWidth="1" min="5" max="5"/>
    <col width="58" customWidth="1" min="6" max="6"/>
    <col width="28" customWidth="1" min="7" max="7"/>
    <col width="28" customWidth="1" min="8" max="8"/>
    <col width="28" customWidth="1" min="9" max="9"/>
    <col width="20"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58" customWidth="1" min="21" max="21"/>
    <col width="28" customWidth="1" min="22" max="22"/>
    <col width="28" customWidth="1" min="23" max="23"/>
  </cols>
  <sheetData>
    <row r="1" ht="30" customHeight="1">
      <c r="A1" s="2" t="n"/>
      <c r="B1" s="2" t="n"/>
      <c r="C1" s="2" t="n"/>
      <c r="D1" s="2" t="n"/>
      <c r="E1" s="2" t="n"/>
      <c r="F1" s="2" t="n"/>
      <c r="G1" s="2" t="n"/>
      <c r="H1" s="2" t="n"/>
      <c r="I1" s="2" t="n"/>
      <c r="J1" s="2" t="n"/>
      <c r="K1" s="2" t="n"/>
      <c r="L1" s="2" t="n"/>
      <c r="M1" s="2" t="n"/>
      <c r="N1" s="2" t="n"/>
      <c r="O1" s="2" t="n"/>
      <c r="P1" s="2" t="n"/>
      <c r="Q1" s="2" t="n"/>
      <c r="R1" s="2" t="n"/>
      <c r="S1" s="2" t="n"/>
      <c r="T1" s="2" t="n"/>
      <c r="U1" s="2" t="n"/>
      <c r="V1" s="2" t="n"/>
      <c r="W1" s="2" t="n"/>
    </row>
    <row r="2" ht="30" customHeight="1">
      <c r="A2" s="19" t="inlineStr">
        <is>
          <t>Corteqs · Keşif noktaları</t>
        </is>
      </c>
      <c r="B2" s="2" t="n"/>
      <c r="C2" s="2" t="n"/>
      <c r="D2" s="2" t="n"/>
      <c r="E2" s="2" t="n"/>
      <c r="F2" s="2" t="n"/>
      <c r="G2" s="2" t="n"/>
      <c r="H2" s="2" t="n"/>
      <c r="I2" s="2" t="n"/>
      <c r="J2" s="2" t="n"/>
      <c r="K2" s="2" t="n"/>
      <c r="L2" s="2" t="n"/>
      <c r="M2" s="2" t="n"/>
      <c r="N2" s="2" t="n"/>
      <c r="O2" s="2" t="n"/>
      <c r="P2" s="2" t="n"/>
      <c r="Q2" s="2" t="n"/>
      <c r="R2" s="2" t="n"/>
      <c r="S2" s="2" t="n"/>
      <c r="T2" s="2" t="n"/>
      <c r="U2" s="2" t="n"/>
      <c r="V2" s="2" t="n"/>
      <c r="W2" s="2" t="n"/>
    </row>
    <row r="3" ht="36" customHeight="1">
      <c r="A3" s="20" t="inlineStr">
        <is>
          <t>Türkçe başlığı okuyun; veriyi 8. satırdan yazın. 7. satırdaki alan adını ve sayfa adını değiştirmeyin.</t>
        </is>
      </c>
      <c r="I3" s="2" t="n"/>
      <c r="J3" s="2" t="n"/>
      <c r="K3" s="2" t="n"/>
      <c r="L3" s="2" t="n"/>
      <c r="M3" s="2" t="n"/>
      <c r="N3" s="2" t="n"/>
      <c r="O3" s="2" t="n"/>
      <c r="P3" s="2" t="n"/>
      <c r="Q3" s="2" t="n"/>
      <c r="R3" s="2" t="n"/>
      <c r="S3" s="2" t="n"/>
      <c r="T3" s="2" t="n"/>
      <c r="U3" s="2" t="n"/>
      <c r="V3" s="2" t="n"/>
      <c r="W3" s="2" t="n"/>
    </row>
    <row r="4" ht="30" customHeight="1">
      <c r="A4" s="21" t="n"/>
      <c r="B4" s="21" t="n"/>
      <c r="C4" s="21" t="n"/>
      <c r="D4" s="21" t="n"/>
      <c r="E4" s="21" t="n"/>
      <c r="F4" s="21" t="n"/>
      <c r="G4" s="21" t="n"/>
      <c r="H4" s="21" t="n"/>
      <c r="I4" s="21" t="n"/>
      <c r="J4" s="21" t="n"/>
      <c r="K4" s="21" t="n"/>
      <c r="L4" s="21" t="n"/>
      <c r="M4" s="21" t="n"/>
      <c r="N4" s="21" t="n"/>
      <c r="O4" s="21" t="n"/>
      <c r="P4" s="21" t="n"/>
      <c r="Q4" s="21" t="n"/>
      <c r="R4" s="21" t="n"/>
      <c r="S4" s="21" t="n"/>
      <c r="T4" s="21" t="n"/>
      <c r="U4" s="21" t="n"/>
      <c r="V4" s="21" t="n"/>
      <c r="W4" s="21" t="n"/>
    </row>
    <row r="5" ht="26" customHeight="1">
      <c r="A5" s="22" t="inlineStr">
        <is>
          <t>Zorunlu</t>
        </is>
      </c>
      <c r="B5" s="22" t="inlineStr">
        <is>
          <t>Zorunlu</t>
        </is>
      </c>
      <c r="C5" s="22" t="inlineStr">
        <is>
          <t>Zorunlu</t>
        </is>
      </c>
      <c r="D5" s="22" t="inlineStr">
        <is>
          <t>Zorunlu</t>
        </is>
      </c>
      <c r="E5" s="22" t="inlineStr">
        <is>
          <t>İsteğe bağlı</t>
        </is>
      </c>
      <c r="F5" s="22" t="inlineStr">
        <is>
          <t>Zorunlu</t>
        </is>
      </c>
      <c r="G5" s="22" t="inlineStr">
        <is>
          <t>İsteğe bağlı</t>
        </is>
      </c>
      <c r="H5" s="22" t="inlineStr">
        <is>
          <t>İsteğe bağlı · ; ile</t>
        </is>
      </c>
      <c r="I5" s="22" t="inlineStr">
        <is>
          <t>Zorunlu · ; ile</t>
        </is>
      </c>
      <c r="J5" s="22" t="inlineStr">
        <is>
          <t>Zorunlu · tarih</t>
        </is>
      </c>
      <c r="K5" s="22" t="inlineStr">
        <is>
          <t>Zorunlu</t>
        </is>
      </c>
      <c r="L5" s="22" t="inlineStr">
        <is>
          <t>Zorunlu</t>
        </is>
      </c>
      <c r="M5" s="22" t="inlineStr">
        <is>
          <t>Zorunlu</t>
        </is>
      </c>
      <c r="N5" s="22" t="inlineStr">
        <is>
          <t>Zorunlu</t>
        </is>
      </c>
      <c r="O5" s="22" t="inlineStr">
        <is>
          <t>Zorunlu</t>
        </is>
      </c>
      <c r="P5" s="22" t="inlineStr">
        <is>
          <t>Zorunlu</t>
        </is>
      </c>
      <c r="Q5" s="22" t="inlineStr">
        <is>
          <t>Zorunlu</t>
        </is>
      </c>
      <c r="R5" s="22" t="inlineStr">
        <is>
          <t>İsteğe bağlı</t>
        </is>
      </c>
      <c r="S5" s="22" t="inlineStr">
        <is>
          <t>İsteğe bağlı</t>
        </is>
      </c>
      <c r="T5" s="22" t="inlineStr">
        <is>
          <t>İsteğe bağlı</t>
        </is>
      </c>
      <c r="U5" s="22" t="inlineStr">
        <is>
          <t>İsteğe bağlı</t>
        </is>
      </c>
      <c r="V5" s="22" t="inlineStr">
        <is>
          <t>Zorunlu</t>
        </is>
      </c>
      <c r="W5" s="22" t="inlineStr">
        <is>
          <t>İsteğe bağlı</t>
        </is>
      </c>
    </row>
    <row r="6" ht="44" customHeight="1">
      <c r="A6" s="25" t="inlineStr">
        <is>
          <t>İçerik kimliği</t>
        </is>
      </c>
      <c r="B6" s="25" t="inlineStr">
        <is>
          <t>Şehir kimliği</t>
        </is>
      </c>
      <c r="C6" s="25" t="inlineStr">
        <is>
          <t>Adres adı</t>
        </is>
      </c>
      <c r="D6" s="25" t="inlineStr">
        <is>
          <t>Başlık</t>
        </is>
      </c>
      <c r="E6" s="25" t="inlineStr">
        <is>
          <t>Alt başlık</t>
        </is>
      </c>
      <c r="F6" s="25" t="inlineStr">
        <is>
          <t>Türkçe kısa yanıt / özet</t>
        </is>
      </c>
      <c r="G6" s="25" t="inlineStr">
        <is>
          <t>Arama sözcükleri</t>
        </is>
      </c>
      <c r="H6" s="25" t="inlineStr">
        <is>
          <t>Yaşam aşamaları</t>
        </is>
      </c>
      <c r="I6" s="25" t="inlineStr">
        <is>
          <t>Kaynak kimlikleri</t>
        </is>
      </c>
      <c r="J6" s="25" t="inlineStr">
        <is>
          <t>İçerik kontrol tarihi</t>
        </is>
      </c>
      <c r="K6" s="25" t="inlineStr">
        <is>
          <t>Sıra</t>
        </is>
      </c>
      <c r="L6" s="25" t="inlineStr">
        <is>
          <t>Öne çıkar</t>
        </is>
      </c>
      <c r="M6" s="25" t="inlineStr">
        <is>
          <t>Editör durumu</t>
        </is>
      </c>
      <c r="N6" s="25" t="inlineStr">
        <is>
          <t>Keşif grubu</t>
        </is>
      </c>
      <c r="O6" s="25" t="inlineStr">
        <is>
          <t>Mahalle / ilçe</t>
        </is>
      </c>
      <c r="P6" s="25" t="inlineStr">
        <is>
          <t>Ortam</t>
        </is>
      </c>
      <c r="Q6" s="25" t="inlineStr">
        <is>
          <t>Adres / konum</t>
        </is>
      </c>
      <c r="R6" s="25" t="inlineStr">
        <is>
          <t>Enlem</t>
        </is>
      </c>
      <c r="S6" s="25" t="inlineStr">
        <is>
          <t>Boylam</t>
        </is>
      </c>
      <c r="T6" s="25" t="inlineStr">
        <is>
          <t>Ziyaret durumu</t>
        </is>
      </c>
      <c r="U6" s="25" t="inlineStr">
        <is>
          <t>Ziyaret notu</t>
        </is>
      </c>
      <c r="V6" s="25" t="inlineStr">
        <is>
          <t>Derleme / dizin</t>
        </is>
      </c>
      <c r="W6" s="25" t="inlineStr">
        <is>
          <t>Medya eşleştirme anahtarı</t>
        </is>
      </c>
    </row>
    <row r="7" ht="32" customHeight="1">
      <c r="A7" s="28" t="inlineStr">
        <is>
          <t>entry_id</t>
        </is>
      </c>
      <c r="B7" s="28" t="inlineStr">
        <is>
          <t>city_id</t>
        </is>
      </c>
      <c r="C7" s="28" t="inlineStr">
        <is>
          <t>slug</t>
        </is>
      </c>
      <c r="D7" s="28" t="inlineStr">
        <is>
          <t>title</t>
        </is>
      </c>
      <c r="E7" s="28" t="inlineStr">
        <is>
          <t>subtitle</t>
        </is>
      </c>
      <c r="F7" s="28" t="inlineStr">
        <is>
          <t>summary</t>
        </is>
      </c>
      <c r="G7" s="28" t="inlineStr">
        <is>
          <t>keywords</t>
        </is>
      </c>
      <c r="H7" s="28" t="inlineStr">
        <is>
          <t>stages</t>
        </is>
      </c>
      <c r="I7" s="28" t="inlineStr">
        <is>
          <t>source_ids</t>
        </is>
      </c>
      <c r="J7" s="28" t="inlineStr">
        <is>
          <t>reviewed_on</t>
        </is>
      </c>
      <c r="K7" s="28" t="inlineStr">
        <is>
          <t>order</t>
        </is>
      </c>
      <c r="L7" s="28" t="inlineStr">
        <is>
          <t>featured</t>
        </is>
      </c>
      <c r="M7" s="28" t="inlineStr">
        <is>
          <t>editorial_status</t>
        </is>
      </c>
      <c r="N7" s="28" t="inlineStr">
        <is>
          <t>group</t>
        </is>
      </c>
      <c r="O7" s="28" t="inlineStr">
        <is>
          <t>district</t>
        </is>
      </c>
      <c r="P7" s="28" t="inlineStr">
        <is>
          <t>setting</t>
        </is>
      </c>
      <c r="Q7" s="28" t="inlineStr">
        <is>
          <t>location</t>
        </is>
      </c>
      <c r="R7" s="28" t="inlineStr">
        <is>
          <t>latitude</t>
        </is>
      </c>
      <c r="S7" s="28" t="inlineStr">
        <is>
          <t>longitude</t>
        </is>
      </c>
      <c r="T7" s="28" t="inlineStr">
        <is>
          <t>visit_status</t>
        </is>
      </c>
      <c r="U7" s="28" t="inlineStr">
        <is>
          <t>note</t>
        </is>
      </c>
      <c r="V7" s="28" t="inlineStr">
        <is>
          <t>collection</t>
        </is>
      </c>
      <c r="W7" s="28" t="inlineStr">
        <is>
          <t>media_key</t>
        </is>
      </c>
    </row>
    <row r="8" ht="54" customHeight="1">
      <c r="A8" s="29" t="inlineStr">
        <is>
          <t>sevilla:real-alcazar-de-sevilla</t>
        </is>
      </c>
      <c r="B8" s="29" t="inlineStr">
        <is>
          <t>sevilla</t>
        </is>
      </c>
      <c r="C8" s="29" t="inlineStr">
        <is>
          <t>real-alcazar-de-sevilla</t>
        </is>
      </c>
      <c r="D8" s="29" t="inlineStr">
        <is>
          <t>Real Alcázar de Sevilla</t>
        </is>
      </c>
      <c r="E8" s="29" t="inlineStr">
        <is>
          <t>Resmî siteye göre Avrupa'da kullanımda olan en eski saray; Patio de Banderas girişi, Casco Antiguo</t>
        </is>
      </c>
      <c r="F8" s="29" t="inlineStr">
        <is>
          <t>Resmî siteye göre Avrupa'da kullanımda olan en eski saray; 11. yüzyıldan bugüne uzanan yapılarda farklı mimari üsluplar ve egzotik bahçeler var. Bilet gişesi Patio de Banderas'ta, 09:00'dan itibaren açık ve yalnız kredi kartı kabul ediyor; internetten de bilet alınabiliyor. 1 Ekim–31 Mart arasında 09:30–17:00, 1 Nisan–30 Eylül arasında 09:30–19:00 gezilebiliyor. Genel giriş 15,50 euro; 65 yaş üstü, 14–30 yaş öğrenciler ve Avrupa Gençlik Kartı sahipleri 8 euro ödüyor.</t>
        </is>
      </c>
      <c r="G8" s="29" t="inlineStr">
        <is>
          <t>Real Alcázar, Sevilla sarayı, mudéjar saray, Patio de Banderas, bilet, UNESCO</t>
        </is>
      </c>
      <c r="H8" s="29" t="inlineStr">
        <is>
          <t>planning;new;settled</t>
        </is>
      </c>
      <c r="I8" s="29" t="inlineStr">
        <is>
          <t>sevilla:kaynak:315;sevilla:kaynak:205</t>
        </is>
      </c>
      <c r="J8" s="49" t="n">
        <v>46320</v>
      </c>
      <c r="K8" s="51" t="n">
        <v>1</v>
      </c>
      <c r="L8" s="29" t="inlineStr">
        <is>
          <t>Evet</t>
        </is>
      </c>
      <c r="M8" s="29" t="inlineStr">
        <is>
          <t>Taslak</t>
        </is>
      </c>
      <c r="N8" s="29" t="inlineStr">
        <is>
          <t>Tarih ve mimari</t>
        </is>
      </c>
      <c r="O8" s="29" t="inlineStr">
        <is>
          <t>Casco Antiguo</t>
        </is>
      </c>
      <c r="P8" s="29" t="inlineStr">
        <is>
          <t>Karma</t>
        </is>
      </c>
      <c r="Q8" s="29" t="inlineStr">
        <is>
          <t>Patio de Banderas, s/n, 41004 Sevilla</t>
        </is>
      </c>
      <c r="R8" s="50" t="n">
        <v>37.384426</v>
      </c>
      <c r="S8" s="50" t="n">
        <v>-5.991187</v>
      </c>
      <c r="T8" s="29" t="n"/>
      <c r="U8" s="29" t="inlineStr">
        <is>
          <t>Sevilla'da doğanlar ve Sevilla'da yaşayanlar ile 13 yaşına kadar yetişkin eşlikli çocuklar giriş ücreti ödemiyor, ama yine de ücretsiz bilet alınıyor. Genel giriş bileti, belediyenin ICAS kurumunun işlettiği Antiquarium ve Casa Fabiola gibi mekânların ziyaretini de kapsıyor.</t>
        </is>
      </c>
      <c r="V8" s="29" t="inlineStr">
        <is>
          <t>Hayır</t>
        </is>
      </c>
      <c r="W8" s="29" t="n"/>
    </row>
    <row r="9" ht="54" customHeight="1">
      <c r="A9" s="29" t="inlineStr">
        <is>
          <t>sevilla:palacio-de-las-duenas</t>
        </is>
      </c>
      <c r="B9" s="29" t="inlineStr">
        <is>
          <t>sevilla</t>
        </is>
      </c>
      <c r="C9" s="29" t="inlineStr">
        <is>
          <t>palacio-de-las-duenas</t>
        </is>
      </c>
      <c r="D9" s="29" t="inlineStr">
        <is>
          <t>Palacio de las Dueñas</t>
        </is>
      </c>
      <c r="E9" s="29" t="inlineStr">
        <is>
          <t>Casa de Alba'nın tarihî konutu; gotik-mudéjar ve Rönesans saray, bahçe ve sanat koleksiyonu</t>
        </is>
      </c>
      <c r="F9" s="29" t="inlineStr">
        <is>
          <t>Alba Hanesi'nin (Casa de Alba) tarihî konutu olan saray, gotik-mudéjar ile Rönesans mimarisini bir araya getiriyor. Bahçeler Rönesans ve İslami üslupları dünyanın dört yanından bitki türleriyle birleştiriyor. Koleksiyon 1.400'den fazla eserden oluşuyor; Anguissola ve Sorolla gibi sanatçıların işleri var. Adres C/ Dueñas, 5, 41003 Sevilla.</t>
        </is>
      </c>
      <c r="G9" s="29" t="inlineStr">
        <is>
          <t>Palacio de las Dueñas, Casa de Alba, Dueñas Sarayı, Sorolla, saray bahçesi, müze</t>
        </is>
      </c>
      <c r="H9" s="29" t="inlineStr">
        <is>
          <t>planning;new;settled</t>
        </is>
      </c>
      <c r="I9" s="29" t="inlineStr">
        <is>
          <t>sevilla:kaynak:316;sevilla:kaynak:438</t>
        </is>
      </c>
      <c r="J9" s="49" t="n">
        <v>46320</v>
      </c>
      <c r="K9" s="51" t="n">
        <v>2</v>
      </c>
      <c r="L9" s="29" t="inlineStr">
        <is>
          <t>Hayır</t>
        </is>
      </c>
      <c r="M9" s="29" t="inlineStr">
        <is>
          <t>Taslak</t>
        </is>
      </c>
      <c r="N9" s="29" t="inlineStr">
        <is>
          <t>Tarih ve mimari</t>
        </is>
      </c>
      <c r="O9" s="29" t="inlineStr">
        <is>
          <t>San Lorenzo</t>
        </is>
      </c>
      <c r="P9" s="29" t="inlineStr">
        <is>
          <t>Karma</t>
        </is>
      </c>
      <c r="Q9" s="29" t="inlineStr">
        <is>
          <t>C/ Dueñas, 5, 41003 Sevilla</t>
        </is>
      </c>
      <c r="R9" s="50" t="n">
        <v>37.394722</v>
      </c>
      <c r="S9" s="50" t="n">
        <v>-5.989167</v>
      </c>
      <c r="T9" s="29" t="n"/>
      <c r="U9" s="29" t="inlineStr">
        <is>
          <t>Telefon hattı pazartesi–perşembe 10:00–18:00, cuma 10:00–15:00 açık: +34 954214828. Sitede sesli rehber (audioguía) uygulaması var.</t>
        </is>
      </c>
      <c r="V9" s="29" t="inlineStr">
        <is>
          <t>Hayır</t>
        </is>
      </c>
      <c r="W9" s="29" t="n"/>
    </row>
    <row r="10" ht="54" customHeight="1">
      <c r="A10" s="29" t="inlineStr">
        <is>
          <t>sevilla:palacio-de-la-condesa-de-lebrija</t>
        </is>
      </c>
      <c r="B10" s="29" t="inlineStr">
        <is>
          <t>sevilla</t>
        </is>
      </c>
      <c r="C10" s="29" t="inlineStr">
        <is>
          <t>palacio-de-la-condesa-de-lebrija</t>
        </is>
      </c>
      <c r="D10" s="29" t="inlineStr">
        <is>
          <t>Palacio de la Condesa de Lebrija</t>
        </is>
      </c>
      <c r="E10" s="29" t="inlineStr">
        <is>
          <t>Roma mozaikleriyle ünlü saray; Calle Cuna'da kapalı alan müzesi</t>
        </is>
      </c>
      <c r="F10" s="29" t="inlineStr">
        <is>
          <t>Saray, Yunan ve Roma dönemi eserlerinden Sorolla'ya uzanan bir koleksiyon barındırıyor; yerlerde ve duvarlarda yaklaşık 580 metrekarelik Roma mozaiği var ve site bunu dünyadaki en önemli özel mozaik koleksiyonu olarak tanıtıyor. Kapı Calle Cuna 8'de. Yetişkin bileti 15 euro, 6–12 yaş çocuk 6 euro, 15 kişiyi aşan gruplar kişi başı 11 euro. Eylül–Haziran arası her gün 10:00–18:00 açık.</t>
        </is>
      </c>
      <c r="G10" s="29" t="inlineStr">
        <is>
          <t>Palacio de Lebrija, Roma mozaikleri, Condesa de Lebrija, Calle Cuna, saray müzesi</t>
        </is>
      </c>
      <c r="H10" s="29" t="inlineStr">
        <is>
          <t>planning;new;settled</t>
        </is>
      </c>
      <c r="I10" s="29" t="inlineStr">
        <is>
          <t>sevilla:kaynak:317;sevilla:kaynak:377</t>
        </is>
      </c>
      <c r="J10" s="49" t="n">
        <v>46320</v>
      </c>
      <c r="K10" s="51" t="n">
        <v>3</v>
      </c>
      <c r="L10" s="29" t="inlineStr">
        <is>
          <t>Hayır</t>
        </is>
      </c>
      <c r="M10" s="29" t="inlineStr">
        <is>
          <t>Taslak</t>
        </is>
      </c>
      <c r="N10" s="29" t="inlineStr">
        <is>
          <t>Tarih ve mimari</t>
        </is>
      </c>
      <c r="O10" s="29" t="inlineStr">
        <is>
          <t>Casco Antiguo</t>
        </is>
      </c>
      <c r="P10" s="29" t="inlineStr">
        <is>
          <t>Kapalı alan</t>
        </is>
      </c>
      <c r="Q10" s="29" t="inlineStr">
        <is>
          <t>Calle Cuna nº8, 41004 Sevilla</t>
        </is>
      </c>
      <c r="R10" s="50" t="n">
        <v>37.392133</v>
      </c>
      <c r="S10" s="50" t="n">
        <v>-5.993824</v>
      </c>
      <c r="T10" s="29" t="n"/>
      <c r="U10" s="29" t="inlineStr">
        <is>
          <t>Cuma günleri 10:00'daki ücretsiz giriş rezervasyonsuz ve kontenjanlı; yalnız zemin kat için geçerli ve grup kabul etmiyor. Son giriş kapanıştan 45 dakika önce. Temmuz–Ağustos'ta yaz saatleri uygulanıyor: sitenin bir sayfası 10:00–15:00, bir başkası 10:00–14:30 yazıyor.</t>
        </is>
      </c>
      <c r="V10" s="29" t="inlineStr">
        <is>
          <t>Hayır</t>
        </is>
      </c>
      <c r="W10" s="29" t="n"/>
    </row>
    <row r="11" ht="54" customHeight="1">
      <c r="A11" s="29" t="inlineStr">
        <is>
          <t>sevilla:iglesia-del-divino-salvador</t>
        </is>
      </c>
      <c r="B11" s="29" t="inlineStr">
        <is>
          <t>sevilla</t>
        </is>
      </c>
      <c r="C11" s="29" t="inlineStr">
        <is>
          <t>iglesia-del-divino-salvador</t>
        </is>
      </c>
      <c r="D11" s="29" t="inlineStr">
        <is>
          <t>Iglesia del Divino Salvador</t>
        </is>
      </c>
      <c r="E11" s="29" t="inlineStr">
        <is>
          <t>Eski Muvahhid camisinin yerinde yükselen barok kilise; Plaza del Salvador, Casco Antiguo</t>
        </is>
      </c>
      <c r="F11" s="29" t="inlineStr">
        <is>
          <t>1679–1712 arasında, Roma ve Vizigot yapılarının üzerindeki eski Muvahhid camisinin kalıntıları üzerine inşa edilen kolej kilisesi. Dışı manyerist, içi barok: Cayetano de Acosta'nın ana sunak perdesi, Juan de Mesa ve Martínez Montañés'in eserleri ve görkemli kubbesi öne çıkıyor. Pazartesi–cumartesi 10:15–18:00 arası genel ziyarete açık, son giriş kapanıştan 30 dakika önce.</t>
        </is>
      </c>
      <c r="G11" s="29" t="inlineStr">
        <is>
          <t>Iglesia del Salvador, Divino Salvador, barok kilise, Huella de lo Sagrado, Semana Santa, Plaza del Salvador</t>
        </is>
      </c>
      <c r="H11" s="29" t="inlineStr">
        <is>
          <t>planning;new;settled</t>
        </is>
      </c>
      <c r="I11" s="29" t="inlineStr">
        <is>
          <t>sevilla:kaynak:318</t>
        </is>
      </c>
      <c r="J11" s="49" t="n">
        <v>46320</v>
      </c>
      <c r="K11" s="51" t="n">
        <v>4</v>
      </c>
      <c r="L11" s="29" t="inlineStr">
        <is>
          <t>Hayır</t>
        </is>
      </c>
      <c r="M11" s="29" t="inlineStr">
        <is>
          <t>Taslak</t>
        </is>
      </c>
      <c r="N11" s="29" t="inlineStr">
        <is>
          <t>Tarih ve mimari</t>
        </is>
      </c>
      <c r="O11" s="29" t="inlineStr">
        <is>
          <t>Casco Antiguo</t>
        </is>
      </c>
      <c r="P11" s="29" t="inlineStr">
        <is>
          <t>Kapalı alan</t>
        </is>
      </c>
      <c r="Q11" s="29" t="inlineStr">
        <is>
          <t>Plaza del Salvador, s/n, Casco Antiguo, 41004 Sevilla</t>
        </is>
      </c>
      <c r="R11" s="50" t="n">
        <v>37.389979</v>
      </c>
      <c r="S11" s="50" t="n">
        <v>-5.992596</v>
      </c>
      <c r="T11" s="29" t="n"/>
      <c r="U11" s="29" t="inlineStr">
        <is>
          <t>Altındaki yeraltı müzesi 'Huella de lo Sagrado' ile mahzen, Virgen de las Aguas camarín'i ve çatı turları cuma ve cumartesi 21:00 ile 21:30'da yapılıyor. Kilise ibadete açık olduğu için sessiz girmen bekleniyor.</t>
        </is>
      </c>
      <c r="V11" s="29" t="inlineStr">
        <is>
          <t>Hayır</t>
        </is>
      </c>
      <c r="W11" s="29" t="n"/>
    </row>
    <row r="12" ht="54" customHeight="1">
      <c r="A12" s="29" t="inlineStr">
        <is>
          <t>sevilla:metropol-parasol-antiquarium</t>
        </is>
      </c>
      <c r="B12" s="29" t="inlineStr">
        <is>
          <t>sevilla</t>
        </is>
      </c>
      <c r="C12" s="29" t="inlineStr">
        <is>
          <t>metropol-parasol-antiquarium</t>
        </is>
      </c>
      <c r="D12" s="29" t="inlineStr">
        <is>
          <t>Metropol Parasol (Setas) y Antiquarium</t>
        </is>
      </c>
      <c r="E12" s="29" t="inlineStr">
        <is>
          <t>Setas'ın altındaki yeraltı arkeoloji müzesi; Plaza de la Encarnación</t>
        </is>
      </c>
      <c r="F12" s="29" t="inlineStr">
        <is>
          <t>Antiquarium, Metropol Parasol (Setas) kompleksinin altında, Plaza de la Encarnación'da bir yeraltı müzesi. 2011'de açıldı; yükseltilmiş geçitlerde yürürken 1. yüzyıl Roma evlerinden 12. yüzyıl İslami kalıntılara iki bin yılı aşkın bir geçmişi izliyorsun. Neptün'ün aşklarını gösteren mozaik ve Roma hamamları en çok anılan parçalar. Salı–cumartesi 10:00–20:00, pazar ve resmî tatillerde 10:00–14:00 açık; pazartesi kapalı.</t>
        </is>
      </c>
      <c r="G12" s="29" t="inlineStr">
        <is>
          <t>Antiquarium, Metropol Parasol, Setas, Roma kalıntıları, Plaza de la Encarnación, yeraltı müzesi</t>
        </is>
      </c>
      <c r="H12" s="29" t="inlineStr">
        <is>
          <t>planning;new;settled</t>
        </is>
      </c>
      <c r="I12" s="29" t="inlineStr">
        <is>
          <t>sevilla:kaynak:319;sevilla:kaynak:205</t>
        </is>
      </c>
      <c r="J12" s="49" t="n">
        <v>46320</v>
      </c>
      <c r="K12" s="51" t="n">
        <v>5</v>
      </c>
      <c r="L12" s="29" t="inlineStr">
        <is>
          <t>Hayır</t>
        </is>
      </c>
      <c r="M12" s="29" t="inlineStr">
        <is>
          <t>Taslak</t>
        </is>
      </c>
      <c r="N12" s="29" t="inlineStr">
        <is>
          <t>Tarih ve mimari</t>
        </is>
      </c>
      <c r="O12" s="29" t="inlineStr">
        <is>
          <t>Casco Antiguo</t>
        </is>
      </c>
      <c r="P12" s="29" t="inlineStr">
        <is>
          <t>Karma</t>
        </is>
      </c>
      <c r="Q12" s="29" t="inlineStr">
        <is>
          <t>Plaza de la Encarnación s/n, Sevilla</t>
        </is>
      </c>
      <c r="R12" s="50" t="n">
        <v>37.393253</v>
      </c>
      <c r="S12" s="50" t="n">
        <v>-5.991881</v>
      </c>
      <c r="T12" s="29" t="n"/>
      <c r="U12" s="29" t="inlineStr">
        <is>
          <t>Sevilla'da yaşayanlar için giriş ücretsiz. Son giriş kapanıştan 30 dakika önce. Real Alcázar'ın resmî sayfasına göre Alcázar genel giriş bileti Antiquarium ziyaretini de kapsıyor.</t>
        </is>
      </c>
      <c r="V12" s="29" t="inlineStr">
        <is>
          <t>Hayır</t>
        </is>
      </c>
      <c r="W12" s="29" t="n"/>
    </row>
    <row r="13" ht="54" customHeight="1">
      <c r="A13" s="29" t="inlineStr">
        <is>
          <t>sevilla:palacio-de-san-telmo</t>
        </is>
      </c>
      <c r="B13" s="29" t="inlineStr">
        <is>
          <t>sevilla</t>
        </is>
      </c>
      <c r="C13" s="29" t="inlineStr">
        <is>
          <t>palacio-de-san-telmo</t>
        </is>
      </c>
      <c r="D13" s="29" t="inlineStr">
        <is>
          <t>Palacio de San Telmo</t>
        </is>
      </c>
      <c r="E13" s="29" t="inlineStr">
        <is>
          <t>Endülüs Özerk Yönetimi Başkanlığı'nın merkezi; ücretsiz rehberli turlarla gezilen barok saray</t>
        </is>
      </c>
      <c r="F13" s="29" t="inlineStr">
        <is>
          <t>17. yüzyılda denizci okulu olarak kurulan, sonra Montpensier Dükleri'nin konutu olan barok saray bugün Endülüs Özerk Yönetimi (Junta de Andalucía) Başkanlığı'nın merkezi. Sürekli açık bir müze değil; 'San Telmo Abierto' programıyla yaklaşık bir buçuk saatlik ücretsiz rehberli turlar yapılıyor ve önceden yer ayırtmak gerekiyor. Mermer cephe kapısı ve yan cephedeki 12 ünlü Sevillalının heykel galerisi sokaktan da görülebiliyor.</t>
        </is>
      </c>
      <c r="G13" s="29" t="inlineStr">
        <is>
          <t>Palacio de San Telmo, San Telmo Abierto, Junta de Andalucía, rehberli tur, barok saray</t>
        </is>
      </c>
      <c r="H13" s="29" t="inlineStr">
        <is>
          <t>planning;new;settled</t>
        </is>
      </c>
      <c r="I13" s="29" t="inlineStr">
        <is>
          <t>sevilla:kaynak:322;sevilla:kaynak:379</t>
        </is>
      </c>
      <c r="J13" s="49" t="n">
        <v>46320</v>
      </c>
      <c r="K13" s="51" t="n">
        <v>6</v>
      </c>
      <c r="L13" s="29" t="inlineStr">
        <is>
          <t>Hayır</t>
        </is>
      </c>
      <c r="M13" s="29" t="inlineStr">
        <is>
          <t>Taslak</t>
        </is>
      </c>
      <c r="N13" s="29" t="inlineStr">
        <is>
          <t>Tarih ve mimari</t>
        </is>
      </c>
      <c r="O13" s="29" t="inlineStr">
        <is>
          <t>Casco Antiguo</t>
        </is>
      </c>
      <c r="P13" s="29" t="inlineStr">
        <is>
          <t>Karma</t>
        </is>
      </c>
      <c r="Q13" s="29" t="inlineStr">
        <is>
          <t>Avenida de Roma, s/n, 41013 Sevilla</t>
        </is>
      </c>
      <c r="R13" s="50" t="n">
        <v>37.380278</v>
      </c>
      <c r="S13" s="50" t="n">
        <v>-5.993611</v>
      </c>
      <c r="T13" s="29" t="n"/>
      <c r="U13" s="29" t="inlineStr">
        <is>
          <t>Bireysel rezervasyon telefonla (+34 955 001 010, pazartesi–perşembe 9:00–17:00, cuma 9:00–15:00) ya da santelmoabierto@juntadeandalucia.es adresinden yapılıyor; grup rezervasyonu (en çok 25 kişi) telefonla. Her katılımcının adı soyadı ve kimlik olarak DNI, pasaport ya da oturma kartı (Tarjeta de Residente) bilgisi isteniyor. Bavul sokulamıyor, emanet yok; bazı salonlara ince topuklu ayakkabıyla girilemiyor.</t>
        </is>
      </c>
      <c r="V13" s="29" t="inlineStr">
        <is>
          <t>Hayır</t>
        </is>
      </c>
      <c r="W13" s="29" t="n"/>
    </row>
    <row r="14" ht="54" customHeight="1">
      <c r="A14" s="29" t="inlineStr">
        <is>
          <t>sevilla:basilica-del-gran-poder</t>
        </is>
      </c>
      <c r="B14" s="29" t="inlineStr">
        <is>
          <t>sevilla</t>
        </is>
      </c>
      <c r="C14" s="29" t="inlineStr">
        <is>
          <t>basilica-del-gran-poder</t>
        </is>
      </c>
      <c r="D14" s="29" t="inlineStr">
        <is>
          <t>Basílica del Gran Poder</t>
        </is>
      </c>
      <c r="E14" s="29" t="inlineStr">
        <is>
          <t>Juan de Mesa'nın 1620 tarihli Cristo del Gran Poder heykelinin evi; Plaza de San Lorenzo</t>
        </is>
      </c>
      <c r="F14" s="29" t="inlineStr">
        <is>
          <t>Juan de Mesa'nın 1620'de yonttuğu Nazareno, yani Cristo del Gran Poder, Kutsal Cuma sabaha karşı yapılan alayla çıkıyor ve Sevilla'da çok sayıda müridi var. Tarihselci tarzda 1960–1965 arasında yapılan bazilikanın hazine salonunda kardeşliğin (hermandad) iki alay platformu, yani Rab'bin ve Meryem'in 'paso'ları kurulu olarak sergileniyor; yanlarda ziynet eşyaları ve alay sancakları var.</t>
        </is>
      </c>
      <c r="G14" s="29" t="inlineStr">
        <is>
          <t>Gran Poder, Basílica del Gran Poder, Juan de Mesa, Semana Santa, hermandad, San Lorenzo</t>
        </is>
      </c>
      <c r="H14" s="29" t="inlineStr">
        <is>
          <t>planning;new;settled</t>
        </is>
      </c>
      <c r="I14" s="29" t="inlineStr">
        <is>
          <t>sevilla:kaynak:323</t>
        </is>
      </c>
      <c r="J14" s="49" t="n">
        <v>46320</v>
      </c>
      <c r="K14" s="51" t="n">
        <v>7</v>
      </c>
      <c r="L14" s="29" t="inlineStr">
        <is>
          <t>Hayır</t>
        </is>
      </c>
      <c r="M14" s="29" t="inlineStr">
        <is>
          <t>Taslak</t>
        </is>
      </c>
      <c r="N14" s="29" t="inlineStr">
        <is>
          <t>Tarih ve mimari</t>
        </is>
      </c>
      <c r="O14" s="29" t="inlineStr">
        <is>
          <t>San Lorenzo</t>
        </is>
      </c>
      <c r="P14" s="29" t="inlineStr">
        <is>
          <t>Kapalı alan</t>
        </is>
      </c>
      <c r="Q14" s="29" t="inlineStr">
        <is>
          <t>Plaza de San Lorenzo, 13, Sevilla</t>
        </is>
      </c>
      <c r="R14" s="50" t="n">
        <v>37.397161</v>
      </c>
      <c r="S14" s="50" t="n">
        <v>-5.996064</v>
      </c>
      <c r="T14" s="29" t="n"/>
      <c r="U14" s="29" t="inlineStr">
        <is>
          <t>Bazilikanın bilgi kartında kardeşliğin sitesi gran-poder.es ve telefon 954915686 veriliyor.</t>
        </is>
      </c>
      <c r="V14" s="29" t="inlineStr">
        <is>
          <t>Hayır</t>
        </is>
      </c>
      <c r="W14" s="29" t="n"/>
    </row>
    <row r="15" ht="54" customHeight="1">
      <c r="A15" s="29" t="inlineStr">
        <is>
          <t>sevilla:capilla-de-los-marineros</t>
        </is>
      </c>
      <c r="B15" s="29" t="inlineStr">
        <is>
          <t>sevilla</t>
        </is>
      </c>
      <c r="C15" s="29" t="inlineStr">
        <is>
          <t>capilla-de-los-marineros</t>
        </is>
      </c>
      <c r="D15" s="29" t="inlineStr">
        <is>
          <t>Capilla de los Marineros</t>
        </is>
      </c>
      <c r="E15" s="29" t="inlineStr">
        <is>
          <t>Esperanza de Triana kardeşliğinin evi; Calle Pureza, Triana</t>
        </is>
      </c>
      <c r="F15" s="29" t="inlineStr">
        <is>
          <t>Triana'da Calle Pureza'daki bu şapel, Hermandad de la Esperanza de Triana'nın merkezi. 1759'da, eski denizciler okulunun (Colegio de Mareantes) şapelinin yerinde yapıldı; Fransız işgalinden sonra depo, Anglikan kilisesi ve tiyatro olarak da kullanıldı. Kardeşlik 1953'te binayı geri kazanmaya karar verdi, 1962'de yeniden kutsandı ve 2010'da genişletilip yeniden açıldı.</t>
        </is>
      </c>
      <c r="G15" s="29" t="inlineStr">
        <is>
          <t>Capilla de los Marineros, Esperanza de Triana, Calle Pureza, Triana, hermandad</t>
        </is>
      </c>
      <c r="H15" s="29" t="inlineStr">
        <is>
          <t>new;settled</t>
        </is>
      </c>
      <c r="I15" s="29" t="inlineStr">
        <is>
          <t>sevilla:kaynak:324</t>
        </is>
      </c>
      <c r="J15" s="49" t="n">
        <v>46320</v>
      </c>
      <c r="K15" s="51" t="n">
        <v>8</v>
      </c>
      <c r="L15" s="29" t="inlineStr">
        <is>
          <t>Hayır</t>
        </is>
      </c>
      <c r="M15" s="29" t="inlineStr">
        <is>
          <t>Taslak</t>
        </is>
      </c>
      <c r="N15" s="29" t="inlineStr">
        <is>
          <t>Tarih ve mimari</t>
        </is>
      </c>
      <c r="O15" s="29" t="inlineStr">
        <is>
          <t>Triana</t>
        </is>
      </c>
      <c r="P15" s="29" t="inlineStr">
        <is>
          <t>Kapalı alan</t>
        </is>
      </c>
      <c r="Q15" s="29" t="inlineStr">
        <is>
          <t>Calle Pureza, 53, Triana, Sevilla</t>
        </is>
      </c>
      <c r="R15" s="50" t="n">
        <v>37.384</v>
      </c>
      <c r="S15" s="50" t="n">
        <v>-6.00102</v>
      </c>
      <c r="T15" s="29" t="n"/>
      <c r="U15" s="29" t="inlineStr">
        <is>
          <t>Şapelin bilgi kartında kardeşliğin sitesi esperanzadetriana.es ve telefon 954 33 26 45 veriliyor.</t>
        </is>
      </c>
      <c r="V15" s="29" t="inlineStr">
        <is>
          <t>Hayır</t>
        </is>
      </c>
      <c r="W15" s="29" t="n"/>
    </row>
    <row r="16" ht="54" customHeight="1">
      <c r="A16" s="29" t="inlineStr">
        <is>
          <t>sevilla:basilica-del-cachorro</t>
        </is>
      </c>
      <c r="B16" s="29" t="inlineStr">
        <is>
          <t>sevilla</t>
        </is>
      </c>
      <c r="C16" s="29" t="inlineStr">
        <is>
          <t>basilica-del-cachorro</t>
        </is>
      </c>
      <c r="D16" s="29" t="inlineStr">
        <is>
          <t>Basílica del Cristo de la Expiración (El Cachorro)</t>
        </is>
      </c>
      <c r="E16" s="29" t="inlineStr">
        <is>
          <t>Ruiz Gijón'un 1682 tarihli 'El Cachorro' heykeli; Calle Castilla, Triana</t>
        </is>
      </c>
      <c r="F16" s="29" t="inlineStr">
        <is>
          <t>Francisco Antonio Ruiz Gijón'un 1682'de yonttuğu Cristo de la Expiración, halk arasındaki adıyla 'El Cachorro', Sevilla barok heykelciliğinin sonu sayılan eser olarak anılıyor. Adın iki açıklaması var: teolojik anlatıma göre Mesih 'Yahuda Aslanı'nın yavrusu'; halk anlatısına göre ise Triana'lı bir Çingene'nin lakabı. Aynı tapınakta Luis Álvarez Duarte'nin 1973'te yaptığı Virgen del Patrocinio de duruyor.</t>
        </is>
      </c>
      <c r="G16" s="29" t="inlineStr">
        <is>
          <t>El Cachorro, Cristo de la Expiración, Basílica del Cachorro, Triana, Ruiz Gijón, Semana Santa</t>
        </is>
      </c>
      <c r="H16" s="29" t="inlineStr">
        <is>
          <t>new;settled</t>
        </is>
      </c>
      <c r="I16" s="29" t="inlineStr">
        <is>
          <t>sevilla:kaynak:325</t>
        </is>
      </c>
      <c r="J16" s="49" t="n">
        <v>46320</v>
      </c>
      <c r="K16" s="51" t="n">
        <v>9</v>
      </c>
      <c r="L16" s="29" t="inlineStr">
        <is>
          <t>Hayır</t>
        </is>
      </c>
      <c r="M16" s="29" t="inlineStr">
        <is>
          <t>Taslak</t>
        </is>
      </c>
      <c r="N16" s="29" t="inlineStr">
        <is>
          <t>Tarih ve mimari</t>
        </is>
      </c>
      <c r="O16" s="29" t="inlineStr">
        <is>
          <t>Triana</t>
        </is>
      </c>
      <c r="P16" s="29" t="inlineStr">
        <is>
          <t>Kapalı alan</t>
        </is>
      </c>
      <c r="Q16" s="29" t="inlineStr">
        <is>
          <t>C/ Castilla, 182, Triana, Sevilla</t>
        </is>
      </c>
      <c r="R16" s="50" t="n">
        <v>37.389575</v>
      </c>
      <c r="S16" s="50" t="n">
        <v>-6.010942</v>
      </c>
      <c r="T16" s="29" t="n"/>
      <c r="U16" s="29" t="inlineStr">
        <is>
          <t>Bazilikanın bilgi kartında kardeşliğin sitesi hermandaddelcachorro.org ve telefon 954333341 veriliyor.</t>
        </is>
      </c>
      <c r="V16" s="29" t="inlineStr">
        <is>
          <t>Hayır</t>
        </is>
      </c>
      <c r="W16" s="29" t="n"/>
    </row>
    <row r="17" ht="54" customHeight="1">
      <c r="A17" s="29" t="inlineStr">
        <is>
          <t>sevilla:plaza-de-espana</t>
        </is>
      </c>
      <c r="B17" s="29" t="inlineStr">
        <is>
          <t>sevilla</t>
        </is>
      </c>
      <c r="C17" s="29" t="inlineStr">
        <is>
          <t>plaza-de-espana</t>
        </is>
      </c>
      <c r="D17" s="29" t="inlineStr">
        <is>
          <t>Plaza de España</t>
        </is>
      </c>
      <c r="E17" s="29" t="inlineStr">
        <is>
          <t>1929 İber-Amerikan Fuarı için yapılan yarım daire meydan; Parque de María Luisa kenarı</t>
        </is>
      </c>
      <c r="F17" s="29" t="inlineStr">
        <is>
          <t>1914–1928 arasında inşa edilen, Aníbal González'in 1929 İber-Amerikan Fuarı için tasarladığı bölgeselci (regionalista) mimari örneği; Sevilla'nın en simgesel ve en çok ziyaret edilen yerlerinden biri. Yarım daire biçimi Amerika'ya uzanan bir kucaklamayı simgeliyor; meydanı çevreleyen kanalda kayık kiralanabiliyor. İspanya'nın 48 ilini sahnelerle gösteren çini sıralar görülmesi gereken önemli bir nokta. Pazartesiden pazara 8:00–24:00 arasında girilebiliyor.</t>
        </is>
      </c>
      <c r="G17" s="29" t="inlineStr">
        <is>
          <t>Plaza de España, Aníbal González, azulejo, 1929 Fuarı, Parque de María Luisa, kayık</t>
        </is>
      </c>
      <c r="H17" s="29" t="inlineStr">
        <is>
          <t>planning;new;settled</t>
        </is>
      </c>
      <c r="I17" s="29" t="inlineStr">
        <is>
          <t>sevilla:kaynak:326</t>
        </is>
      </c>
      <c r="J17" s="49" t="n">
        <v>46320</v>
      </c>
      <c r="K17" s="51" t="n">
        <v>10</v>
      </c>
      <c r="L17" s="29" t="inlineStr">
        <is>
          <t>Evet</t>
        </is>
      </c>
      <c r="M17" s="29" t="inlineStr">
        <is>
          <t>Taslak</t>
        </is>
      </c>
      <c r="N17" s="29" t="inlineStr">
        <is>
          <t>Tarih ve mimari</t>
        </is>
      </c>
      <c r="O17" s="29" t="inlineStr">
        <is>
          <t>Sur</t>
        </is>
      </c>
      <c r="P17" s="29" t="inlineStr">
        <is>
          <t>Açık hava</t>
        </is>
      </c>
      <c r="Q17" s="29" t="inlineStr">
        <is>
          <t>Avenida de Isabel la Católica s/n, 41004 Sevilla</t>
        </is>
      </c>
      <c r="R17" s="50" t="n">
        <v>37.37708</v>
      </c>
      <c r="S17" s="50" t="n">
        <v>-5.986901</v>
      </c>
      <c r="T17" s="29" t="n"/>
      <c r="U17" s="29" t="inlineStr">
        <is>
          <t>Yazın konserler, özellikle Íconica festivali, olduğunda meydana ve parka giriş kapatılabiliyor. Dört köprü İspanya'nın tarihî krallıklarına adanmış: Castilla, León, Aragón ve Navarra.</t>
        </is>
      </c>
      <c r="V17" s="29" t="inlineStr">
        <is>
          <t>Hayır</t>
        </is>
      </c>
      <c r="W17" s="29" t="n"/>
    </row>
    <row r="18" ht="54" customHeight="1">
      <c r="A18" s="29" t="inlineStr">
        <is>
          <t>sevilla:archivo-general-de-indias</t>
        </is>
      </c>
      <c r="B18" s="29" t="inlineStr">
        <is>
          <t>sevilla</t>
        </is>
      </c>
      <c r="C18" s="29" t="inlineStr">
        <is>
          <t>archivo-general-de-indias</t>
        </is>
      </c>
      <c r="D18" s="29" t="inlineStr">
        <is>
          <t>Archivo General de Indias</t>
        </is>
      </c>
      <c r="E18" s="29" t="inlineStr">
        <is>
          <t>İspanyol imparatorluğunun Amerika belgeleri arşivi; UNESCO alanı, ücretsiz giriş</t>
        </is>
      </c>
      <c r="F18" s="29" t="inlineStr">
        <is>
          <t>III. Carlos'un 1785'te kurduğu arşiv, Catedral ile Real Alcázar arasında; İspanya'nın sömürgeleriyle ilgili belgeleri bir araya getiriyor. Yapıyı Juan de Herrera tasarladı ve 1987'de Catedral ile Alcázar'la birlikte UNESCO Dünya Mirası'na girdi. Ana salonun ahşap rafları ve vitrinlerde Kolomb, Magellan ve Pizarro imzalı belgeler görülüyor. Salı–cumartesi 9:30–17:00, pazar ve resmî tatillerde 10:00–14:00 açık; pazartesi kapalı; giriş ücretsiz.</t>
        </is>
      </c>
      <c r="G18" s="29" t="inlineStr">
        <is>
          <t>Archivo General de Indias, AGI, UNESCO, Juan de Herrera, Kolomb belgeleri, ücretsiz müze</t>
        </is>
      </c>
      <c r="H18" s="29" t="inlineStr">
        <is>
          <t>planning;new;settled</t>
        </is>
      </c>
      <c r="I18" s="29" t="inlineStr">
        <is>
          <t>sevilla:kaynak:328;sevilla:kaynak:378</t>
        </is>
      </c>
      <c r="J18" s="49" t="n">
        <v>46320</v>
      </c>
      <c r="K18" s="51" t="n">
        <v>12</v>
      </c>
      <c r="L18" s="29" t="inlineStr">
        <is>
          <t>Hayır</t>
        </is>
      </c>
      <c r="M18" s="29" t="inlineStr">
        <is>
          <t>Taslak</t>
        </is>
      </c>
      <c r="N18" s="29" t="inlineStr">
        <is>
          <t>Tarih ve mimari</t>
        </is>
      </c>
      <c r="O18" s="29" t="inlineStr">
        <is>
          <t>Casco Antiguo</t>
        </is>
      </c>
      <c r="P18" s="29" t="inlineStr">
        <is>
          <t>Kapalı alan</t>
        </is>
      </c>
      <c r="Q18" s="29" t="inlineStr">
        <is>
          <t>Av. de la Constitución s/n, 41004 Sevilla</t>
        </is>
      </c>
      <c r="R18" s="50" t="n">
        <v>37.384778</v>
      </c>
      <c r="S18" s="50" t="n">
        <v>-5.993083</v>
      </c>
      <c r="T18" s="29" t="n"/>
      <c r="U18" s="29" t="inlineStr">
        <is>
          <t>Arşivin duyurularındaki kitap tanıtımı ve konferanslar Edificio de la Cilla'nın salonunda (Calle Santo Tomás, 5) yapılıyor; duyurulan etkinliklerde giriş kontenjan dolana kadar serbest. Telefon +34 954 50 05 28.</t>
        </is>
      </c>
      <c r="V18" s="29" t="inlineStr">
        <is>
          <t>Hayır</t>
        </is>
      </c>
      <c r="W18" s="29" t="n"/>
    </row>
    <row r="19" ht="54" customHeight="1">
      <c r="A19" s="29" t="inlineStr">
        <is>
          <t>sevilla:puente-de-triana</t>
        </is>
      </c>
      <c r="B19" s="29" t="inlineStr">
        <is>
          <t>sevilla</t>
        </is>
      </c>
      <c r="C19" s="29" t="inlineStr">
        <is>
          <t>puente-de-triana</t>
        </is>
      </c>
      <c r="D19" s="29" t="inlineStr">
        <is>
          <t>Puente de Triana (Isabel II)</t>
        </is>
      </c>
      <c r="E19" s="29" t="inlineStr">
        <is>
          <t>Guadalquivir üzerindeki 1852 tarihli demir köprü; Triana'ya geçişin simgesi</t>
        </is>
      </c>
      <c r="F19" s="29" t="inlineStr">
        <is>
          <t>Resmî adı Puente de Isabel II olan köprü, Kraliçe II. Isabel döneminde 1852'de tamamlandı ve 23 Şubat 1852'de askerî geçit töreniyle açıldı. Sevilla'nın ilk kalıcı metal köprüsü: taş ayaklar üzerinde demir yapı, ahşap yok. Ortasından Giralda'yı, Torre del Oro'yu ve nehri görürsün; Triana ucunda Plaza del Altozano, Calle Betis ve Triana Pazarı başlıyor. Köprü günün 24 saati açık.</t>
        </is>
      </c>
      <c r="G19" s="29" t="inlineStr">
        <is>
          <t>Puente de Triana, Puente de Isabel II, Triana, Guadalquivir, demir köprü, Plaza del Altozano</t>
        </is>
      </c>
      <c r="H19" s="29" t="inlineStr">
        <is>
          <t>planning;new;settled</t>
        </is>
      </c>
      <c r="I19" s="29" t="inlineStr">
        <is>
          <t>sevilla:kaynak:330</t>
        </is>
      </c>
      <c r="J19" s="49" t="n">
        <v>46320</v>
      </c>
      <c r="K19" s="51" t="n">
        <v>13</v>
      </c>
      <c r="L19" s="29" t="inlineStr">
        <is>
          <t>Hayır</t>
        </is>
      </c>
      <c r="M19" s="29" t="inlineStr">
        <is>
          <t>Taslak</t>
        </is>
      </c>
      <c r="N19" s="29" t="inlineStr">
        <is>
          <t>Tarih ve mimari</t>
        </is>
      </c>
      <c r="O19" s="29" t="inlineStr">
        <is>
          <t>Triana</t>
        </is>
      </c>
      <c r="P19" s="29" t="inlineStr">
        <is>
          <t>Açık hava</t>
        </is>
      </c>
      <c r="Q19" s="29" t="inlineStr">
        <is>
          <t>Puente de Isabel II, 30, 41010 Sevilla; Triana ucunda Plaza del Altozano</t>
        </is>
      </c>
      <c r="R19" s="50" t="n">
        <v>37.38633</v>
      </c>
      <c r="S19" s="50" t="n">
        <v>-6.002374</v>
      </c>
      <c r="T19" s="29" t="n"/>
      <c r="U19" s="29" t="inlineStr">
        <is>
          <t>Köprü 1976–1977 arasında kapsamlı onarıma girdi; tabliye değiştirildi ve demir kemerler o günden beri yapısal değil, süs ve miras öğesi olarak duruyor. 13 Nisan 1976'da Monumento Histórico Nacional ilan edildi.</t>
        </is>
      </c>
      <c r="V19" s="29" t="inlineStr">
        <is>
          <t>Hayır</t>
        </is>
      </c>
      <c r="W19" s="29" t="n"/>
    </row>
    <row r="20" ht="54" customHeight="1">
      <c r="A20" s="29" t="inlineStr">
        <is>
          <t>sevilla:muralla-de-la-macarena</t>
        </is>
      </c>
      <c r="B20" s="29" t="inlineStr">
        <is>
          <t>sevilla</t>
        </is>
      </c>
      <c r="C20" s="29" t="inlineStr">
        <is>
          <t>muralla-de-la-macarena</t>
        </is>
      </c>
      <c r="D20" s="29" t="inlineStr">
        <is>
          <t>Puerta y muralla de la Macarena</t>
        </is>
      </c>
      <c r="E20" s="29" t="inlineStr">
        <is>
          <t>12. yüzyıldan kalma Muvahhid sur parçası ve Arco de la Macarena; Macarena Bazilikası yanı</t>
        </is>
      </c>
      <c r="F20" s="29" t="inlineStr">
        <is>
          <t>Basílica de la Macarena'nın yanında, 12. yüzyıl Muvahhid surlarının en iyi korunmuş parçalarından biri duruyor; kuleleri ve sur duvarları ortaçağ Sevilla'sını gösteriyor. Surun yanında 100 metreyi aşan bir kesim ayakta ve Arco de la Macarena şehrin eski kapılarından biri. Hemen yanındaki bazilika 1949'da açıldı ve Esperanza Macarena kardeşliğine ev sahipliği yapıyor; bazilika pazartesiden pazara 9:00–14:00 ve 17:00–21:00 arasında açık.</t>
        </is>
      </c>
      <c r="G20" s="29" t="inlineStr">
        <is>
          <t>Muralla de la Macarena, Arco de la Macarena, Muvahhid sur, Basílica de la Macarena, Esperanza Macarena</t>
        </is>
      </c>
      <c r="H20" s="29" t="inlineStr">
        <is>
          <t>planning;new;settled</t>
        </is>
      </c>
      <c r="I20" s="29" t="inlineStr">
        <is>
          <t>sevilla:kaynak:300</t>
        </is>
      </c>
      <c r="J20" s="49" t="n">
        <v>46320</v>
      </c>
      <c r="K20" s="51" t="n">
        <v>14</v>
      </c>
      <c r="L20" s="29" t="inlineStr">
        <is>
          <t>Hayır</t>
        </is>
      </c>
      <c r="M20" s="29" t="inlineStr">
        <is>
          <t>Taslak</t>
        </is>
      </c>
      <c r="N20" s="29" t="inlineStr">
        <is>
          <t>Tarih ve mimari</t>
        </is>
      </c>
      <c r="O20" s="29" t="inlineStr">
        <is>
          <t>Macarena</t>
        </is>
      </c>
      <c r="P20" s="29" t="inlineStr">
        <is>
          <t>Açık hava</t>
        </is>
      </c>
      <c r="Q20" s="29" t="inlineStr">
        <is>
          <t>Pl. de la Esperanza Macarena, 1, Casco Antiguo, 41002 Sevilla</t>
        </is>
      </c>
      <c r="R20" s="50" t="n">
        <v>37.402786</v>
      </c>
      <c r="S20" s="50" t="n">
        <v>-5.989233</v>
      </c>
      <c r="T20" s="29" t="n"/>
      <c r="U20" s="29" t="inlineStr">
        <is>
          <t>Bazilikanın müzesinde kardeşliğin alay giysileri, paso'ları ve litürjik eşyaları sergileniyor. Telefon +34 954 90 18 00; kardeşliğin sitesi hermandaddelamacarena.es.</t>
        </is>
      </c>
      <c r="V20" s="29" t="inlineStr">
        <is>
          <t>Hayır</t>
        </is>
      </c>
      <c r="W20" s="29" t="n"/>
    </row>
    <row r="21" ht="54" customHeight="1">
      <c r="A21" s="29" t="inlineStr">
        <is>
          <t>sevilla:cementerio-de-san-fernando</t>
        </is>
      </c>
      <c r="B21" s="29" t="inlineStr">
        <is>
          <t>sevilla</t>
        </is>
      </c>
      <c r="C21" s="29" t="inlineStr">
        <is>
          <t>cementerio-de-san-fernando</t>
        </is>
      </c>
      <c r="D21" s="29" t="inlineStr">
        <is>
          <t>Cementerio de San Fernando</t>
        </is>
      </c>
      <c r="E21" s="29" t="inlineStr">
        <is>
          <t>Sevilla'nın 'açık hava müzesi' sayılan tarihî mezarlığı; Avda. Doctor Fedriani</t>
        </is>
      </c>
      <c r="F21" s="29" t="inlineStr">
        <is>
          <t>Kentin kuzeyinde, Hospital de San Lázaro'nun yanındaki mezarlık, geniş caddelerde sıralanan mezar ve mausoleumlarıyla 'açık hava müzesi' diye anılıyor. Antonio Susillo'nun Cristo de las Mieles heykeli, boğa güreşçileri Joselito el Gallo, Paquirri ve Belmonte'nin mezarları, Juanita Reina ve Plaza de España'nın mimarı Aníbal González'in mausoleumu gezinin öne çıkanları. Her gün 8:00–16:00 açık.</t>
        </is>
      </c>
      <c r="G21" s="29" t="inlineStr">
        <is>
          <t>Cementerio de San Fernando, Cristo de las Mieles, Pico Reja, Susillo, mezarlık turu, Macarena</t>
        </is>
      </c>
      <c r="H21" s="29" t="inlineStr">
        <is>
          <t>new;settled</t>
        </is>
      </c>
      <c r="I21" s="29" t="inlineStr">
        <is>
          <t>sevilla:kaynak:332</t>
        </is>
      </c>
      <c r="J21" s="49" t="n">
        <v>46320</v>
      </c>
      <c r="K21" s="51" t="n">
        <v>15</v>
      </c>
      <c r="L21" s="29" t="inlineStr">
        <is>
          <t>Hayır</t>
        </is>
      </c>
      <c r="M21" s="29" t="inlineStr">
        <is>
          <t>Taslak</t>
        </is>
      </c>
      <c r="N21" s="29" t="inlineStr">
        <is>
          <t>Tarih ve mimari</t>
        </is>
      </c>
      <c r="O21" s="29" t="inlineStr">
        <is>
          <t>Macarena</t>
        </is>
      </c>
      <c r="P21" s="29" t="inlineStr">
        <is>
          <t>Açık hava</t>
        </is>
      </c>
      <c r="Q21" s="29" t="inlineStr">
        <is>
          <t>Avda. Doctor Fedriani, s/n, 41009 Sevilla</t>
        </is>
      </c>
      <c r="R21" s="50" t="n">
        <v>37.418572</v>
      </c>
      <c r="S21" s="50" t="n">
        <v>-5.982097</v>
      </c>
      <c r="T21" s="29" t="n"/>
      <c r="U21" s="29" t="inlineStr">
        <is>
          <t>Pico Reja toplu mezarı İspanya'nın en önemli hafıza alanlarından biri sayılıyor. Sitede sakin, kalabalık olmayan ve merkezin temposundan uzak bir yer diye anılıyor. Telefon 955473275 / 955473276.</t>
        </is>
      </c>
      <c r="V21" s="29" t="inlineStr">
        <is>
          <t>Hayır</t>
        </is>
      </c>
      <c r="W21" s="29" t="n"/>
    </row>
    <row r="22" ht="54" customHeight="1">
      <c r="A22" s="29" t="inlineStr">
        <is>
          <t>sevilla:plaza-de-toros-de-la-maestranza</t>
        </is>
      </c>
      <c r="B22" s="29" t="inlineStr">
        <is>
          <t>sevilla</t>
        </is>
      </c>
      <c r="C22" s="29" t="inlineStr">
        <is>
          <t>plaza-de-toros-de-la-maestranza</t>
        </is>
      </c>
      <c r="D22" s="29" t="inlineStr">
        <is>
          <t>Plaza de Toros de la Real Maestranza</t>
        </is>
      </c>
      <c r="E22" s="29" t="inlineStr">
        <is>
          <t>İspanya'nın en eski boğa güreşi arenalarından biri; Museo Taurino ile gezilebilir</t>
        </is>
      </c>
      <c r="F22" s="29" t="inlineStr">
        <is>
          <t>Real Maestranza de Caballería'nın 18. yüzyılda yapımını başlattığı, 1881'de tamamlanan geç barok tarzdaki boğa güreşi arenası. Güreşler özellikle Nisan Fuarı ve San Miguel Fuarı'nda yapılıyor; arena ayrıca Museo Taurino'ya ev sahipliği yapıyor. Müzede Goya, Fortuny ve Benlliure'nin boğa güreşi resimleri, Patio de Caballos ve Capilla de los Toreros gezinin parçası. Her gün 9:30–21:30 açık; boğa güreşi olan günlerde ziyaret 9:30–15:30 arası, gişeler kapanıştan 30 dakika önce kapanıyor, 25 Aralık kapalı. Ziyaret bileti genel 10 euro.</t>
        </is>
      </c>
      <c r="G22" s="29" t="inlineStr">
        <is>
          <t>Plaza de Toros de la Maestranza, Museo Taurino, Real Maestranza, Feria de Abril, Capilla de los Toreros</t>
        </is>
      </c>
      <c r="H22" s="29" t="inlineStr">
        <is>
          <t>planning;new;settled</t>
        </is>
      </c>
      <c r="I22" s="29" t="inlineStr">
        <is>
          <t>sevilla:kaynak:333;sevilla:kaynak:342</t>
        </is>
      </c>
      <c r="J22" s="49" t="n">
        <v>46320</v>
      </c>
      <c r="K22" s="51" t="n">
        <v>16</v>
      </c>
      <c r="L22" s="29" t="inlineStr">
        <is>
          <t>Hayır</t>
        </is>
      </c>
      <c r="M22" s="29" t="inlineStr">
        <is>
          <t>Taslak</t>
        </is>
      </c>
      <c r="N22" s="29" t="inlineStr">
        <is>
          <t>Tarih ve mimari</t>
        </is>
      </c>
      <c r="O22" s="29" t="inlineStr">
        <is>
          <t>Arenal</t>
        </is>
      </c>
      <c r="P22" s="29" t="inlineStr">
        <is>
          <t>Karma</t>
        </is>
      </c>
      <c r="Q22" s="29" t="inlineStr">
        <is>
          <t>Paseo de Cristóbal Colón, 12, Casco Antiguo, 41001 Sevilla</t>
        </is>
      </c>
      <c r="R22" s="50" t="n">
        <v>37.385959</v>
      </c>
      <c r="S22" s="50" t="n">
        <v>-5.998407</v>
      </c>
      <c r="T22" s="29" t="n"/>
      <c r="U22" s="29" t="inlineStr">
        <is>
          <t>Seniors, öğrenci ve gençler için bilet 6 euro, 7–11 yaş çocuklar için 3,5 euro. Sesli rehber birkaç dilde mevcut. Telefon +34 954 50 13 82.</t>
        </is>
      </c>
      <c r="V22" s="29" t="inlineStr">
        <is>
          <t>Hayır</t>
        </is>
      </c>
      <c r="W22" s="29" t="n"/>
    </row>
    <row r="23" ht="54" customHeight="1">
      <c r="A23" s="29" t="inlineStr">
        <is>
          <t>sevilla:costurero-de-la-reina</t>
        </is>
      </c>
      <c r="B23" s="29" t="inlineStr">
        <is>
          <t>sevilla</t>
        </is>
      </c>
      <c r="C23" s="29" t="inlineStr">
        <is>
          <t>costurero-de-la-reina</t>
        </is>
      </c>
      <c r="D23" s="29" t="inlineStr">
        <is>
          <t>Costurero de la Reina</t>
        </is>
      </c>
      <c r="E23" s="29" t="inlineStr">
        <is>
          <t>Parque de María Luisa karşısında neomudéjar köşk; Paseo de las Delicias</t>
        </is>
      </c>
      <c r="F23" s="29" t="inlineStr">
        <is>
          <t>Montpensier Dükü'nün siparişiyle 1893'te Juan Talavera y de la Vega'ya yaptırılan, çıplak tuğlası, kuleleri ve sekizgen planıyla masal köşkü gibi duran neomudéjar yapı. Parque de María Luisa'nın karşısında, Jardín de las Delicias'in küçük bir dinlenme köşkü olarak tasarlandı. İçinde bir turizm danışma noktası (Punto de Información Turística) çalışıyor; sayfaya göre her gün 9:30–14:30 arasında açık.</t>
        </is>
      </c>
      <c r="G23" s="29" t="inlineStr">
        <is>
          <t>Costurero de la Reina, neomudéjar, Montpensier, Paseo de las Delicias, turizm danışma noktası</t>
        </is>
      </c>
      <c r="H23" s="29" t="inlineStr">
        <is>
          <t>planning;new;settled</t>
        </is>
      </c>
      <c r="I23" s="29" t="inlineStr">
        <is>
          <t>sevilla:kaynak:335</t>
        </is>
      </c>
      <c r="J23" s="49" t="n">
        <v>46320</v>
      </c>
      <c r="K23" s="51" t="n">
        <v>18</v>
      </c>
      <c r="L23" s="29" t="inlineStr">
        <is>
          <t>Hayır</t>
        </is>
      </c>
      <c r="M23" s="29" t="inlineStr">
        <is>
          <t>Taslak</t>
        </is>
      </c>
      <c r="N23" s="29" t="inlineStr">
        <is>
          <t>Tarih ve mimari</t>
        </is>
      </c>
      <c r="O23" s="29" t="inlineStr">
        <is>
          <t>Sur</t>
        </is>
      </c>
      <c r="P23" s="29" t="inlineStr">
        <is>
          <t>Karma</t>
        </is>
      </c>
      <c r="Q23" s="29" t="inlineStr">
        <is>
          <t>Paseo de las Delicias 9, 41013 Sevilla</t>
        </is>
      </c>
      <c r="R23" s="50" t="n">
        <v>37.37604</v>
      </c>
      <c r="S23" s="50" t="n">
        <v>-5.991518</v>
      </c>
      <c r="T23" s="29" t="n"/>
      <c r="U23" s="29" t="inlineStr">
        <is>
          <t>Kraliçe Mercedes'in burayı dinlenme ve dikiş köşkü olarak kullandığı anlatılıyor, ama bunun kanıtı yok. Bina her zaman halka açık değil; belediyenin düzenlediği sergi ve etkinlikler bazen burada yapılıyor.</t>
        </is>
      </c>
      <c r="V23" s="29" t="inlineStr">
        <is>
          <t>Hayır</t>
        </is>
      </c>
      <c r="W23" s="29" t="n"/>
    </row>
    <row r="24" ht="54" customHeight="1">
      <c r="A24" s="29" t="inlineStr">
        <is>
          <t>sevilla:espacio-santa-clara</t>
        </is>
      </c>
      <c r="B24" s="29" t="inlineStr">
        <is>
          <t>sevilla</t>
        </is>
      </c>
      <c r="C24" s="29" t="inlineStr">
        <is>
          <t>espacio-santa-clara</t>
        </is>
      </c>
      <c r="D24" s="29" t="inlineStr">
        <is>
          <t>Espacio Santa Clara (Antiguo Monasterio)</t>
        </is>
      </c>
      <c r="E24" s="29" t="inlineStr">
        <is>
          <t>Eski Santa Clara manastırında çağdaş sanat ve kültür merkezi; Calle Becas</t>
        </is>
      </c>
      <c r="F24" s="29" t="inlineStr">
        <is>
          <t>13. yüzyıl sonunda Muvahhid sarayının üzerinde kurulan Santa Clara manastırı, rahibeler 1998'de ayrıldıktan sonra restore edilip 2010'da kültür merkezi olarak açıldı. Gotik-mudéjar, Rönesans ve barok öğeleri birleştiriyor; çağdaş sanat sergileri, konserler, edebiyat ve sahne etkinlikleri ile flamenkoya özel önem veriliyor. 16. yüzyıl Rönesans avlusu, Torre de Don Fadrique ve Luis Gordillo salonu gezinin öne çıkanları. Salı–cumartesi 10:00–14:00 ve 17:00–20:00, pazar sabahları açık.</t>
        </is>
      </c>
      <c r="G24" s="29" t="inlineStr">
        <is>
          <t>Espacio Santa Clara, Torre de Don Fadrique, ICAS, kültür merkezi, manastır, Calle Becas</t>
        </is>
      </c>
      <c r="H24" s="29" t="inlineStr">
        <is>
          <t>new;settled</t>
        </is>
      </c>
      <c r="I24" s="29" t="inlineStr">
        <is>
          <t>sevilla:kaynak:336</t>
        </is>
      </c>
      <c r="J24" s="49" t="n">
        <v>46320</v>
      </c>
      <c r="K24" s="51" t="n">
        <v>19</v>
      </c>
      <c r="L24" s="29" t="inlineStr">
        <is>
          <t>Hayır</t>
        </is>
      </c>
      <c r="M24" s="29" t="inlineStr">
        <is>
          <t>Taslak</t>
        </is>
      </c>
      <c r="N24" s="29" t="inlineStr">
        <is>
          <t>Tarih ve mimari</t>
        </is>
      </c>
      <c r="O24" s="29" t="inlineStr">
        <is>
          <t>San Julián</t>
        </is>
      </c>
      <c r="P24" s="29" t="inlineStr">
        <is>
          <t>Karma</t>
        </is>
      </c>
      <c r="Q24" s="29" t="inlineStr">
        <is>
          <t>C/ Becas, s/n, 41002 Sevilla</t>
        </is>
      </c>
      <c r="R24" s="50" t="n">
        <v>37.399787</v>
      </c>
      <c r="S24" s="50" t="n">
        <v>-5.995726</v>
      </c>
      <c r="T24" s="29" t="n"/>
      <c r="U24" s="29" t="inlineStr">
        <is>
          <t>Sergi ve etkinlik programı sezona göre değişiyor; ICAS Sevilla sitesinde yayımlanıyor. Telefon +34 955 47 13 56. Sitede avlu ve salonlar için en az bir saat ayırmak öneriliyor.</t>
        </is>
      </c>
      <c r="V24" s="29" t="inlineStr">
        <is>
          <t>Hayır</t>
        </is>
      </c>
      <c r="W24" s="29" t="n"/>
    </row>
    <row r="25" ht="54" customHeight="1">
      <c r="A25" s="29" t="inlineStr">
        <is>
          <t>sevilla:parque-de-maria-luisa</t>
        </is>
      </c>
      <c r="B25" s="29" t="inlineStr">
        <is>
          <t>sevilla</t>
        </is>
      </c>
      <c r="C25" s="29" t="inlineStr">
        <is>
          <t>parque-de-maria-luisa</t>
        </is>
      </c>
      <c r="D25" s="29" t="inlineStr">
        <is>
          <t>Parque de María Luisa</t>
        </is>
      </c>
      <c r="E25" s="29" t="inlineStr">
        <is>
          <t>1929 Fuarı'nın tarihî bahçesi; Plaza de España ve Plaza de América bu parkta</t>
        </is>
      </c>
      <c r="F25" s="29" t="inlineStr">
        <is>
          <t>34 hektarı aşan, Tarihî Bahçe (Jardín Histórico) statüsünde korunan park, eskiden Palacio de San Telmo'nun özel bahçesiydi. Fransız peyzaj mimarı Jean-Claude Nicolas Forestier 1912–1922 arasında Hispano-Arap ilhamlı romantik bir bahçeye dönüştürdü; 1929 İber-Amerikan Fuarı parkın bugünkü yapılarının çoğunu bıraktı. Fuente de las Ranas, Isleta de los Patos ve Glorieta de Bécquer en bilinen köşeleri; parkta Arkeoloji Müzesi ile Halk Sanatları ve Gelenekleri Müzesi de var. Her gün 8:00–24:00 açık.</t>
        </is>
      </c>
      <c r="G25" s="29" t="inlineStr">
        <is>
          <t>Parque de María Luisa, Forestier, Glorieta de Bécquer, Fuente de las Ranas, Plaza de América, tarihî bahçe</t>
        </is>
      </c>
      <c r="H25" s="29" t="inlineStr">
        <is>
          <t>new;settled</t>
        </is>
      </c>
      <c r="I25" s="29" t="inlineStr">
        <is>
          <t>sevilla:kaynak:351</t>
        </is>
      </c>
      <c r="J25" s="49" t="n">
        <v>46320</v>
      </c>
      <c r="K25" s="51" t="n">
        <v>20</v>
      </c>
      <c r="L25" s="29" t="inlineStr">
        <is>
          <t>Hayır</t>
        </is>
      </c>
      <c r="M25" s="29" t="inlineStr">
        <is>
          <t>Taslak</t>
        </is>
      </c>
      <c r="N25" s="29" t="inlineStr">
        <is>
          <t>Doğa ve açık hava</t>
        </is>
      </c>
      <c r="O25" s="29" t="inlineStr">
        <is>
          <t>Sur</t>
        </is>
      </c>
      <c r="P25" s="29" t="inlineStr">
        <is>
          <t>Açık hava</t>
        </is>
      </c>
      <c r="Q25" s="29" t="inlineStr">
        <is>
          <t>Avda. de la Borbolla, Avda. de María Luisa, Paseo de las Delicias ve Avda. de Portugal arasında, Sevilla</t>
        </is>
      </c>
      <c r="R25" s="50" t="n">
        <v>37.375741</v>
      </c>
      <c r="S25" s="50" t="n">
        <v>-5.988889</v>
      </c>
      <c r="T25" s="29" t="n"/>
      <c r="U25" s="29" t="inlineStr">
        <is>
          <t>Parkta yürüyüşün yanında bisiklet ve at arabası seçenekleri var. Monte Gurugú tepeciği parkı yukarıdan görmek için işaretleniyor. Telefon +34 955 47 32 32.</t>
        </is>
      </c>
      <c r="V25" s="29" t="inlineStr">
        <is>
          <t>Hayır</t>
        </is>
      </c>
      <c r="W25" s="29" t="n"/>
    </row>
    <row r="26" ht="54" customHeight="1">
      <c r="A26" s="29" t="inlineStr">
        <is>
          <t>sevilla:jardines-de-la-buhaira</t>
        </is>
      </c>
      <c r="B26" s="29" t="inlineStr">
        <is>
          <t>sevilla</t>
        </is>
      </c>
      <c r="C26" s="29" t="inlineStr">
        <is>
          <t>jardines-de-la-buhaira</t>
        </is>
      </c>
      <c r="D26" s="29" t="inlineStr">
        <is>
          <t>Jardines de la Buhaira</t>
        </is>
      </c>
      <c r="E26" s="29" t="inlineStr">
        <is>
          <t>12. yüzyıl Muvahhid dinlenme bahçesinden kalan park; Nervión semti</t>
        </is>
      </c>
      <c r="F26" s="29" t="inlineStr">
        <is>
          <t>12. yüzyılda Muvahhid 'almunia'sı, yani su ve yeşille çevrili bir dinlenme bahçesi olarak doğan alan, bugün Nervión'da sakin bir şehir parkı. Adı 'küçük deniz' anlamına gelen al-buhayra'dan geliyor ve bugün de manzaraya damgasını vuran büyük havuzdan kaynaklanıyor. Zaman içinde kraliyet bostanından (huerta real) tarihî bahçeye, oradan bugünkü parka dönüştü. Adres Av. de la Buhaira, 41018 Sevilla.</t>
        </is>
      </c>
      <c r="G26" s="29" t="inlineStr">
        <is>
          <t>Jardines de la Buhaira, Buhaira, Muvahhid bahçesi, Nervión, almunia, şehir parkı</t>
        </is>
      </c>
      <c r="H26" s="29" t="inlineStr">
        <is>
          <t>new;settled</t>
        </is>
      </c>
      <c r="I26" s="29" t="inlineStr">
        <is>
          <t>sevilla:kaynak:352</t>
        </is>
      </c>
      <c r="J26" s="49" t="n">
        <v>46320</v>
      </c>
      <c r="K26" s="51" t="n">
        <v>21</v>
      </c>
      <c r="L26" s="29" t="inlineStr">
        <is>
          <t>Hayır</t>
        </is>
      </c>
      <c r="M26" s="29" t="inlineStr">
        <is>
          <t>Taslak</t>
        </is>
      </c>
      <c r="N26" s="29" t="inlineStr">
        <is>
          <t>Doğa ve açık hava</t>
        </is>
      </c>
      <c r="O26" s="29" t="inlineStr">
        <is>
          <t>Nervión</t>
        </is>
      </c>
      <c r="P26" s="29" t="inlineStr">
        <is>
          <t>Açık hava</t>
        </is>
      </c>
      <c r="Q26" s="29" t="inlineStr">
        <is>
          <t>Av. de la Buhaira, 41018 Sevilla</t>
        </is>
      </c>
      <c r="R26" s="50" t="n">
        <v>37.38278</v>
      </c>
      <c r="S26" s="50" t="n">
        <v>-5.97909</v>
      </c>
      <c r="T26" s="29" t="n"/>
      <c r="U26" s="29" t="n"/>
      <c r="V26" s="29" t="inlineStr">
        <is>
          <t>Hayır</t>
        </is>
      </c>
      <c r="W26" s="29" t="n"/>
    </row>
    <row r="27" ht="54" customHeight="1">
      <c r="A27" s="29" t="inlineStr">
        <is>
          <t>sevilla:jardines-de-murillo</t>
        </is>
      </c>
      <c r="B27" s="29" t="inlineStr">
        <is>
          <t>sevilla</t>
        </is>
      </c>
      <c r="C27" s="29" t="inlineStr">
        <is>
          <t>jardines-de-murillo</t>
        </is>
      </c>
      <c r="D27" s="29" t="inlineStr">
        <is>
          <t>Jardines de Murillo</t>
        </is>
      </c>
      <c r="E27" s="29" t="inlineStr">
        <is>
          <t>Santa Cruz ile Alcázar surları arasında 1915 tasarımlı bölgeselci bahçe</t>
        </is>
      </c>
      <c r="F27" s="29" t="inlineStr">
        <is>
          <t>Eskiden Alcázar'ın meyve bahçesinin parçası olan alan, 1911'de Kral XIII. Alfonso tarafından belediyeye bırakıldı; 1915'te Juan Talavera y Heredia yürüyüş yollarını, çini banklı meydancıkları ve çeşmeleri tasarladı. Albero yollar, çini bankalar, portakal ve manolya ağaçları ile bölgeselci bir bahçe. Plaza de Refinadores ucunda Don Juan Tenorio anıtı var. Kışın 8:00–22:00, yazın 8:00–24:00 açık.</t>
        </is>
      </c>
      <c r="G27" s="29" t="inlineStr">
        <is>
          <t>Jardines de Murillo, Santa Cruz, Colón anıtı, Plaza de Refinadores, çini bank, Alcázar surları</t>
        </is>
      </c>
      <c r="H27" s="29" t="inlineStr">
        <is>
          <t>new;settled</t>
        </is>
      </c>
      <c r="I27" s="29" t="inlineStr">
        <is>
          <t>sevilla:kaynak:353</t>
        </is>
      </c>
      <c r="J27" s="49" t="n">
        <v>46320</v>
      </c>
      <c r="K27" s="51" t="n">
        <v>22</v>
      </c>
      <c r="L27" s="29" t="inlineStr">
        <is>
          <t>Hayır</t>
        </is>
      </c>
      <c r="M27" s="29" t="inlineStr">
        <is>
          <t>Taslak</t>
        </is>
      </c>
      <c r="N27" s="29" t="inlineStr">
        <is>
          <t>Doğa ve açık hava</t>
        </is>
      </c>
      <c r="O27" s="29" t="inlineStr">
        <is>
          <t>Santa Cruz</t>
        </is>
      </c>
      <c r="P27" s="29" t="inlineStr">
        <is>
          <t>Açık hava</t>
        </is>
      </c>
      <c r="Q27" s="29" t="inlineStr">
        <is>
          <t>Calle Nicolás Antonio, Plaza de Refinadores ve Jardines de Catalina de Ribera arasında, Sevilla</t>
        </is>
      </c>
      <c r="R27" s="50" t="n">
        <v>37.383458</v>
      </c>
      <c r="S27" s="50" t="n">
        <v>-5.987913</v>
      </c>
      <c r="T27" s="29" t="n"/>
      <c r="U27" s="29" t="inlineStr">
        <is>
          <t>Yaz öğle saatlerinde gölgeye rağmen sıcak yoğun. Parkın ortasındaki Cristóbal Colón anıtı Aralık 2024'te restore edildi; ana çeşme ve dört ikincil çeşme 2023'te 1917'deki görünümüne döndürüldü.</t>
        </is>
      </c>
      <c r="V27" s="29" t="inlineStr">
        <is>
          <t>Hayır</t>
        </is>
      </c>
      <c r="W27" s="29" t="n"/>
    </row>
    <row r="28" ht="54" customHeight="1">
      <c r="A28" s="29" t="inlineStr">
        <is>
          <t>sevilla:jardines-de-las-delicias</t>
        </is>
      </c>
      <c r="B28" s="29" t="inlineStr">
        <is>
          <t>sevilla</t>
        </is>
      </c>
      <c r="C28" s="29" t="inlineStr">
        <is>
          <t>jardines-de-las-delicias</t>
        </is>
      </c>
      <c r="D28" s="29" t="inlineStr">
        <is>
          <t>Jardines de las Delicias</t>
        </is>
      </c>
      <c r="E28" s="29" t="inlineStr">
        <is>
          <t>1826–1829 yapımı romantik Amerikan bitkili bahçe; Avenida de la Palmera</t>
        </is>
      </c>
      <c r="F28" s="29" t="inlineStr">
        <is>
          <t>Claudio Boutelou yönetiminde 1826'da başlayıp 1829'da biten bahçe, geniş peyzaj alanlarıyla okumak ve dinlenmek için daha içe dönük küçük meydancıkları dengeli biçimde bir araya getiriyor. Dikim için Amerika kökenli çok sayıda bitki getirildi ve bugün yüzden fazla tür görülebiliyor: kara akasya, mersin, jakaranda, ombú, bougainvillea ve turunç gibi. Giriş ücretsiz.</t>
        </is>
      </c>
      <c r="G28" s="29" t="inlineStr">
        <is>
          <t>Jardines de las Delicias, Claudio Boutelou, jakaranda, ombú, Avenida de la Palmera, ücretsiz park</t>
        </is>
      </c>
      <c r="H28" s="29" t="inlineStr">
        <is>
          <t>new;settled</t>
        </is>
      </c>
      <c r="I28" s="29" t="inlineStr">
        <is>
          <t>sevilla:kaynak:354</t>
        </is>
      </c>
      <c r="J28" s="49" t="n">
        <v>46320</v>
      </c>
      <c r="K28" s="51" t="n">
        <v>23</v>
      </c>
      <c r="L28" s="29" t="inlineStr">
        <is>
          <t>Hayır</t>
        </is>
      </c>
      <c r="M28" s="29" t="inlineStr">
        <is>
          <t>Taslak</t>
        </is>
      </c>
      <c r="N28" s="29" t="inlineStr">
        <is>
          <t>Doğa ve açık hava</t>
        </is>
      </c>
      <c r="O28" s="29" t="inlineStr">
        <is>
          <t>Sur</t>
        </is>
      </c>
      <c r="P28" s="29" t="inlineStr">
        <is>
          <t>Açık hava</t>
        </is>
      </c>
      <c r="Q28" s="29" t="inlineStr">
        <is>
          <t>Av. de la Palmera, 41013 Sevilla</t>
        </is>
      </c>
      <c r="R28" s="50" t="n">
        <v>37.370914</v>
      </c>
      <c r="S28" s="50" t="n">
        <v>-5.989925</v>
      </c>
      <c r="T28" s="29" t="n"/>
      <c r="U28" s="29" t="inlineStr">
        <is>
          <t>Bahçede geniş peyzaj alanlarının yanında küçük meydancıklar yürüyüş, okuma ve meditasyon için daha uygun, içe dönük köşeler oluşturuyor.</t>
        </is>
      </c>
      <c r="V28" s="29" t="inlineStr">
        <is>
          <t>Hayır</t>
        </is>
      </c>
      <c r="W28" s="29" t="n"/>
    </row>
    <row r="29" ht="54" customHeight="1">
      <c r="A29" s="29" t="inlineStr">
        <is>
          <t>sevilla:paseo-catalina-de-ribera</t>
        </is>
      </c>
      <c r="B29" s="29" t="inlineStr">
        <is>
          <t>sevilla</t>
        </is>
      </c>
      <c r="C29" s="29" t="inlineStr">
        <is>
          <t>paseo-catalina-de-ribera</t>
        </is>
      </c>
      <c r="D29" s="29" t="inlineStr">
        <is>
          <t>Paseo de Catalina de Ribera</t>
        </is>
      </c>
      <c r="E29" s="29" t="inlineStr">
        <is>
          <t>Alcázar'ın eski Huerta del Retiro'sundan doğan bahçe; Santa Cruz yanı</t>
        </is>
      </c>
      <c r="F29" s="29" t="inlineStr">
        <is>
          <t>1862'de Patrimonio Real'in, Alcázar'a bağlı Huerta del Retiro'nun büyük bir bölümünü belediyeye bırakmasıyla ortaya çıkan bahçe. 1898'de adını, Hospital de las Cinco Llagas'ı (bugünkü Endülüs Parlamentosu) kuran Catalina de Ribera'dan aldı. Bugünkü düzeni 1920'den sonra mimar Juan Talavera'nın yönetiminde kuruldu; Catalina de Ribera anıtı en bilinen öğelerinden biri. Giriş ücretsiz.</t>
        </is>
      </c>
      <c r="G29" s="29" t="inlineStr">
        <is>
          <t>Catalina de Ribera, Jardines de Catalina de Ribera, Huerta del Retiro, Santa Cruz, ücretsiz bahçe</t>
        </is>
      </c>
      <c r="H29" s="29" t="inlineStr">
        <is>
          <t>new;settled</t>
        </is>
      </c>
      <c r="I29" s="29" t="inlineStr">
        <is>
          <t>sevilla:kaynak:355</t>
        </is>
      </c>
      <c r="J29" s="49" t="n">
        <v>46320</v>
      </c>
      <c r="K29" s="51" t="n">
        <v>24</v>
      </c>
      <c r="L29" s="29" t="inlineStr">
        <is>
          <t>Hayır</t>
        </is>
      </c>
      <c r="M29" s="29" t="inlineStr">
        <is>
          <t>Taslak</t>
        </is>
      </c>
      <c r="N29" s="29" t="inlineStr">
        <is>
          <t>Doğa ve açık hava</t>
        </is>
      </c>
      <c r="O29" s="29" t="inlineStr">
        <is>
          <t>Santa Cruz</t>
        </is>
      </c>
      <c r="P29" s="29" t="inlineStr">
        <is>
          <t>Açık hava</t>
        </is>
      </c>
      <c r="Q29" s="29" t="inlineStr">
        <is>
          <t>Paseo de Catalina de Ribera, 3, 41004 Sevilla</t>
        </is>
      </c>
      <c r="R29" s="50" t="n">
        <v>37.383125</v>
      </c>
      <c r="S29" s="50" t="n">
        <v>-5.988419</v>
      </c>
      <c r="T29" s="29" t="n"/>
      <c r="U29" s="29" t="inlineStr">
        <is>
          <t>Bahçede zakkum, Kanarya palmiyesi, yucca, akantus, portakal ve yasemin gibi bitkiler görülüyor.</t>
        </is>
      </c>
      <c r="V29" s="29" t="inlineStr">
        <is>
          <t>Hayır</t>
        </is>
      </c>
      <c r="W29" s="29" t="n"/>
    </row>
    <row r="30" ht="54" customHeight="1">
      <c r="A30" s="29" t="inlineStr">
        <is>
          <t>sevilla:parque-del-alamillo</t>
        </is>
      </c>
      <c r="B30" s="29" t="inlineStr">
        <is>
          <t>sevilla</t>
        </is>
      </c>
      <c r="C30" s="29" t="inlineStr">
        <is>
          <t>parque-del-alamillo</t>
        </is>
      </c>
      <c r="D30" s="29" t="inlineStr">
        <is>
          <t>Parque del Alamillo</t>
        </is>
      </c>
      <c r="E30" s="29" t="inlineStr">
        <is>
          <t>Isla de la Cartuja'da Junta de Andalucía'nın işlettiği geniş doğa parkı; aktivite ve spor olanakları</t>
        </is>
      </c>
      <c r="F30" s="29" t="inlineStr">
        <is>
          <t>Cortijo del Alamillo çevresinde, Isla de la Cartuja'da yer alan park; nehir ormanı, Akdeniz meşeliği, turunçgil ve sebze bahçesi gibi farklı peyzajları bir arada sunuyor. Parkın sitesinde tren, doğum günü organizasyonu, bisiklet ve kart kiralama, fidanlık ve botanik rota gezileri, arkeoloji, paten, köpek bölgesi, restoran, su sporları ve oryantiring parkurları etkinlik olarak sıralanıyor.</t>
        </is>
      </c>
      <c r="G30" s="29" t="inlineStr">
        <is>
          <t>Parque del Alamillo, Cartuja, doğa parkı, bisiklet kiralama, botanik rota, oryantiring</t>
        </is>
      </c>
      <c r="H30" s="29" t="inlineStr">
        <is>
          <t>new;settled</t>
        </is>
      </c>
      <c r="I30" s="29" t="inlineStr">
        <is>
          <t>sevilla:kaynak:356</t>
        </is>
      </c>
      <c r="J30" s="49" t="n">
        <v>46320</v>
      </c>
      <c r="K30" s="51" t="n">
        <v>25</v>
      </c>
      <c r="L30" s="29" t="inlineStr">
        <is>
          <t>Hayır</t>
        </is>
      </c>
      <c r="M30" s="29" t="inlineStr">
        <is>
          <t>Taslak</t>
        </is>
      </c>
      <c r="N30" s="29" t="inlineStr">
        <is>
          <t>Doğa ve açık hava</t>
        </is>
      </c>
      <c r="O30" s="29" t="inlineStr">
        <is>
          <t>Isla de la Cartuja</t>
        </is>
      </c>
      <c r="P30" s="29" t="inlineStr">
        <is>
          <t>Açık hava</t>
        </is>
      </c>
      <c r="Q30" s="29" t="inlineStr">
        <is>
          <t>Parque del Alamillo, Cortijo del Alamillo, Isla de la Cartuja, 41092 Sevilla</t>
        </is>
      </c>
      <c r="R30" s="50" t="n">
        <v>37.4173</v>
      </c>
      <c r="S30" s="50" t="n">
        <v>-5.99723</v>
      </c>
      <c r="T30" s="29" t="n"/>
      <c r="U30" s="29" t="inlineStr">
        <is>
          <t>Telefon 955 516 141; güvenlik hattı 608890299.</t>
        </is>
      </c>
      <c r="V30" s="29" t="inlineStr">
        <is>
          <t>Hayır</t>
        </is>
      </c>
      <c r="W30" s="29" t="n"/>
    </row>
    <row r="31" ht="54" customHeight="1">
      <c r="A31" s="29" t="inlineStr">
        <is>
          <t>sevilla:parque-infanta-elena</t>
        </is>
      </c>
      <c r="B31" s="29" t="inlineStr">
        <is>
          <t>sevilla</t>
        </is>
      </c>
      <c r="C31" s="29" t="inlineStr">
        <is>
          <t>parque-infanta-elena</t>
        </is>
      </c>
      <c r="D31" s="29" t="inlineStr">
        <is>
          <t>Parque Infanta Elena</t>
        </is>
      </c>
      <c r="E31" s="29" t="inlineStr">
        <is>
          <t>Sevilla Este'nin geniş şehir parkı; göl, oyun alanı ve bisiklet yolları</t>
        </is>
      </c>
      <c r="F31" s="29" t="inlineStr">
        <is>
          <t>1995'te açılan, 35 hektardan büyük park Sevilla Este'de, doğu Sevilla'nın en büyük kent parklarından biri. Geniş çimenlikler, yerli ağaçlı alanlar ve ördek ile kaplumbağaların görüldüğü yapay bir göl var; spor sahaları, bisiklet yolları, çocuk oyun alanları ve piknik masaları da bulunuyor. Her gün 8:00–22:00 açık.</t>
        </is>
      </c>
      <c r="G31" s="29" t="inlineStr">
        <is>
          <t>Parque Infanta Elena, Sevilla Este, şehir parkı, bisiklet, piknik, çocuk oyun alanı</t>
        </is>
      </c>
      <c r="H31" s="29" t="inlineStr">
        <is>
          <t>new;settled</t>
        </is>
      </c>
      <c r="I31" s="29" t="inlineStr">
        <is>
          <t>sevilla:kaynak:357</t>
        </is>
      </c>
      <c r="J31" s="49" t="n">
        <v>46320</v>
      </c>
      <c r="K31" s="51" t="n">
        <v>26</v>
      </c>
      <c r="L31" s="29" t="inlineStr">
        <is>
          <t>Hayır</t>
        </is>
      </c>
      <c r="M31" s="29" t="inlineStr">
        <is>
          <t>Taslak</t>
        </is>
      </c>
      <c r="N31" s="29" t="inlineStr">
        <is>
          <t>Doğa ve açık hava</t>
        </is>
      </c>
      <c r="O31" s="29" t="inlineStr">
        <is>
          <t>Sevilla Este</t>
        </is>
      </c>
      <c r="P31" s="29" t="inlineStr">
        <is>
          <t>Açık hava</t>
        </is>
      </c>
      <c r="Q31" s="29" t="inlineStr">
        <is>
          <t>Calle Dr. Miguel Ríos Sarmiento, 41020 Sevilla</t>
        </is>
      </c>
      <c r="R31" s="50" t="n">
        <v>37.391903</v>
      </c>
      <c r="S31" s="50" t="n">
        <v>-5.925462</v>
      </c>
      <c r="T31" s="29" t="n"/>
      <c r="U31" s="29" t="inlineStr">
        <is>
          <t>Bisiklet, scooter ve evcil hayvanla park kurallarına uyulması koşuluyla girilebiliyor. Birçok bölgede gölge az, bu yüzden şapka, güneş kremi ve su getirmen öneriliyor.</t>
        </is>
      </c>
      <c r="V31" s="29" t="inlineStr">
        <is>
          <t>Hayır</t>
        </is>
      </c>
      <c r="W31" s="29" t="n"/>
    </row>
    <row r="32" ht="54" customHeight="1">
      <c r="A32" s="29" t="inlineStr">
        <is>
          <t>sevilla:alameda-de-hercules</t>
        </is>
      </c>
      <c r="B32" s="29" t="inlineStr">
        <is>
          <t>sevilla</t>
        </is>
      </c>
      <c r="C32" s="29" t="inlineStr">
        <is>
          <t>alameda-de-hercules</t>
        </is>
      </c>
      <c r="D32" s="29" t="inlineStr">
        <is>
          <t>Alameda de Hércules</t>
        </is>
      </c>
      <c r="E32" s="29" t="inlineStr">
        <is>
          <t>Avrupa'nın en eski halk gezi alanı sayılan ağaçlı meydan; Casco Antiguo'nun kuzeyi</t>
        </is>
      </c>
      <c r="F32" s="29" t="inlineStr">
        <is>
          <t>1574'te Conde de Barajas tarafından açılan bu ağaçlı meydan, Avrupa'nın en eski kamusal 'alameda'sı (kavaklı gezinti alanı) sayılıyor. Adını güney ucundaki, tepesinde Herkül ve Julius Caesar heykelleri olan iki Roma sütunundan alıyor. 2008'de yenilendi ve bugün terasları, müzik mekânları, sokak sanatı ve kültür etkinlikleriyle Sevilla'nın alternatif yüzü; çocuk parkından bara kadar her yaştan insana hitap ediyor.</t>
        </is>
      </c>
      <c r="G32" s="29" t="inlineStr">
        <is>
          <t>Alameda de Hércules, Herkül sütunları, Casco Antiguo, tapas, sokak sanatı, alternatif Sevilla</t>
        </is>
      </c>
      <c r="H32" s="29" t="inlineStr">
        <is>
          <t>new;settled</t>
        </is>
      </c>
      <c r="I32" s="29" t="inlineStr">
        <is>
          <t>sevilla:kaynak:301</t>
        </is>
      </c>
      <c r="J32" s="49" t="n">
        <v>46320</v>
      </c>
      <c r="K32" s="51" t="n">
        <v>27</v>
      </c>
      <c r="L32" s="29" t="inlineStr">
        <is>
          <t>Hayır</t>
        </is>
      </c>
      <c r="M32" s="29" t="inlineStr">
        <is>
          <t>Taslak</t>
        </is>
      </c>
      <c r="N32" s="29" t="inlineStr">
        <is>
          <t>Doğa ve açık hava</t>
        </is>
      </c>
      <c r="O32" s="29" t="inlineStr">
        <is>
          <t>Casco Antiguo</t>
        </is>
      </c>
      <c r="P32" s="29" t="inlineStr">
        <is>
          <t>Açık hava</t>
        </is>
      </c>
      <c r="Q32" s="29" t="inlineStr">
        <is>
          <t>Alameda de Hércules, s/n, 41002 Sevilla</t>
        </is>
      </c>
      <c r="R32" s="50" t="n">
        <v>37.3986</v>
      </c>
      <c r="S32" s="50" t="n">
        <v>-5.99381</v>
      </c>
      <c r="T32" s="29" t="n"/>
      <c r="U32" s="29" t="inlineStr">
        <is>
          <t>Sütunlar bugünkü yerine 16. yüzyılda Calle Mármoles'teki eski tapınaktan taşındı. Ortaçağda burası Laguna de la Feria idi; bugün altında şehri sellerden koruyan bir fırtına tankı var.</t>
        </is>
      </c>
      <c r="V32" s="29" t="inlineStr">
        <is>
          <t>Hayır</t>
        </is>
      </c>
      <c r="W32" s="29" t="n"/>
    </row>
    <row r="33" ht="54" customHeight="1">
      <c r="A33" s="29" t="inlineStr">
        <is>
          <t>sevilla:real-alcazar-jardines</t>
        </is>
      </c>
      <c r="B33" s="29" t="inlineStr">
        <is>
          <t>sevilla</t>
        </is>
      </c>
      <c r="C33" s="29" t="inlineStr">
        <is>
          <t>real-alcazar-jardines</t>
        </is>
      </c>
      <c r="D33" s="29" t="inlineStr">
        <is>
          <t>Jardines del Real Alcázar</t>
        </is>
      </c>
      <c r="E33" s="29" t="inlineStr">
        <is>
          <t>Real Alcázar'ın egzotik bahçeleri; yaz konser dizisi 'Noches en los Jardines'</t>
        </is>
      </c>
      <c r="F33" s="29" t="inlineStr">
        <is>
          <t>Real Alcázar'ın resmî sitesi saray mimarisinin yanında 'jardines exóticos' (egzotik bahçeler) diye tanıttığı bahçeleri öne çıkarıyor. Bahçeler her yaz 'Noches en los Jardines' konser dizisine sahne oluyor; dizinin 27. edisyonu haziran–eylül arasında 63 konser olarak duyuruldu.</t>
        </is>
      </c>
      <c r="G33" s="29" t="inlineStr">
        <is>
          <t>Jardines del Real Alcázar, Noches en los Jardines, Alcázar bahçeleri, yaz konserleri, egzotik bahçe</t>
        </is>
      </c>
      <c r="H33" s="29" t="inlineStr">
        <is>
          <t>planning;new;settled</t>
        </is>
      </c>
      <c r="I33" s="29" t="inlineStr">
        <is>
          <t>sevilla:kaynak:358;sevilla:kaynak:205</t>
        </is>
      </c>
      <c r="J33" s="49" t="n">
        <v>46320</v>
      </c>
      <c r="K33" s="51" t="n">
        <v>28</v>
      </c>
      <c r="L33" s="29" t="inlineStr">
        <is>
          <t>Hayır</t>
        </is>
      </c>
      <c r="M33" s="29" t="inlineStr">
        <is>
          <t>Taslak</t>
        </is>
      </c>
      <c r="N33" s="29" t="inlineStr">
        <is>
          <t>Doğa ve açık hava</t>
        </is>
      </c>
      <c r="O33" s="29" t="inlineStr">
        <is>
          <t>Casco Antiguo</t>
        </is>
      </c>
      <c r="P33" s="29" t="inlineStr">
        <is>
          <t>Açık hava</t>
        </is>
      </c>
      <c r="Q33" s="29" t="inlineStr">
        <is>
          <t>Patio de Banderas, s/n, 41004 Sevilla</t>
        </is>
      </c>
      <c r="R33" s="50" t="n">
        <v>37.383386</v>
      </c>
      <c r="S33" s="50" t="n">
        <v>-5.990397</v>
      </c>
      <c r="T33" s="29" t="n"/>
      <c r="U33" s="29" t="inlineStr">
        <is>
          <t>Bilet gişesi Patio de Banderas'ta; sesli rehbere telefondan QR kodla ulaşılıyor.</t>
        </is>
      </c>
      <c r="V33" s="29" t="inlineStr">
        <is>
          <t>Hayır</t>
        </is>
      </c>
      <c r="W33" s="29" t="n"/>
    </row>
    <row r="34" ht="54" customHeight="1">
      <c r="A34" s="29" t="inlineStr">
        <is>
          <t>sevilla:guadalquivir-paseo-de-las-delicias</t>
        </is>
      </c>
      <c r="B34" s="29" t="inlineStr">
        <is>
          <t>sevilla</t>
        </is>
      </c>
      <c r="C34" s="29" t="inlineStr">
        <is>
          <t>guadalquivir-paseo-de-las-delicias</t>
        </is>
      </c>
      <c r="D34" s="29" t="inlineStr">
        <is>
          <t>Río Guadalquivir (Paseo de las Delicias)</t>
        </is>
      </c>
      <c r="E34" s="29" t="inlineStr">
        <is>
          <t>Sevilla'nın nehri; Paseo de las Delicias boyunca kıyı yürüyüşü</t>
        </is>
      </c>
      <c r="F34" s="29" t="inlineStr">
        <is>
          <t>Guadalquivir, İspanya'da önemli ölçüde nehir trafiği olan tek nehir; bugün denizden Sevilla'ya kadar gemi geçebiliyor, Romalılar zamanında Córdoba'ya kadar çıkılıyordu. Sevilla'da nehir yatağı kanallar ve kilitler (esclusas) yapılarak, nehir tabanı taranarak değiştirildi. Nehir Sevilla'dan sonra Marismas del Guadalquivir bataklık bölgesine bölünüp Sanlúcar de Barrameda yakınında Atlas Okyanusu'na ulaşıyor ve Doñana Milli Parkı'nın yanından geçiyor. Kıyıda Paseo de las Delicias boyunca yürümek ücretsiz.</t>
        </is>
      </c>
      <c r="G34" s="29" t="inlineStr">
        <is>
          <t>Guadalquivir, Paseo de las Delicias, nehir kıyısı, kıyı yürüyüşü, ücretsiz, Doñana</t>
        </is>
      </c>
      <c r="H34" s="29" t="inlineStr">
        <is>
          <t>new;settled</t>
        </is>
      </c>
      <c r="I34" s="29" t="inlineStr">
        <is>
          <t>sevilla:kaynak:359</t>
        </is>
      </c>
      <c r="J34" s="49" t="n">
        <v>46320</v>
      </c>
      <c r="K34" s="51" t="n">
        <v>29</v>
      </c>
      <c r="L34" s="29" t="inlineStr">
        <is>
          <t>Hayır</t>
        </is>
      </c>
      <c r="M34" s="29" t="inlineStr">
        <is>
          <t>Taslak</t>
        </is>
      </c>
      <c r="N34" s="29" t="inlineStr">
        <is>
          <t>Doğa ve açık hava</t>
        </is>
      </c>
      <c r="O34" s="29" t="inlineStr">
        <is>
          <t>Sur</t>
        </is>
      </c>
      <c r="P34" s="29" t="inlineStr">
        <is>
          <t>Açık hava</t>
        </is>
      </c>
      <c r="Q34" s="29" t="inlineStr">
        <is>
          <t>Paseo de las Delicias, Sevilla</t>
        </is>
      </c>
      <c r="R34" s="50" t="n">
        <v>37.380147</v>
      </c>
      <c r="S34" s="50" t="n">
        <v>-5.994379</v>
      </c>
      <c r="T34" s="29" t="n"/>
      <c r="U34" s="29" t="inlineStr">
        <is>
          <t>Nehrin kaynağı Cazorla Dağları'nda, Quesada belediye sınırlarındaki Cañada de las Fuentes.</t>
        </is>
      </c>
      <c r="V34" s="29" t="inlineStr">
        <is>
          <t>Hayır</t>
        </is>
      </c>
      <c r="W34" s="29" t="n"/>
    </row>
    <row r="35" ht="54" customHeight="1">
      <c r="A35" s="29" t="inlineStr">
        <is>
          <t>sevilla:museo-de-bellas-artes-de-sevilla</t>
        </is>
      </c>
      <c r="B35" s="29" t="inlineStr">
        <is>
          <t>sevilla</t>
        </is>
      </c>
      <c r="C35" s="29" t="inlineStr">
        <is>
          <t>museo-de-bellas-artes-de-sevilla</t>
        </is>
      </c>
      <c r="D35" s="29" t="inlineStr">
        <is>
          <t>Museo de Bellas Artes de Sevilla</t>
        </is>
      </c>
      <c r="E35" s="29" t="inlineStr">
        <is>
          <t>Eski Merced Calzada manastırında Murillo ve Zurbarán'ın Sevilla barok koleksiyonu</t>
        </is>
      </c>
      <c r="F35" s="29" t="inlineStr">
        <is>
          <t>Müze 1835'te kuruldu, 1841'de resmen açıldı; Rönesans ve barok öğeleri taşıyan eski Merced Calzada manastırında, 14 tematik salonda 13. yüzyıldan 20. yüzyıla uzanan eserleri sergiliyor. Murillo, Zurbarán, Valdés Leal, Velázquez ve El Greco'nun tabloları öne çıkıyor. Salı–cumartesi 9:00–21:00, pazar ve açık olan resmî tatillerde 9:00–15:00 açık, pazartesi kapalı; ağustosta salı–pazar ve resmî tatillerde 9:00–15:00. Rampa ve asansör olduğu için tekerlekli sandalyeyle gezilebiliyor.</t>
        </is>
      </c>
      <c r="G35" s="29" t="inlineStr">
        <is>
          <t>Sevilla müzesi, Murillo, Zurbarán, barok resim, güzel sanatlar müzesi, Museo de Bellas Artes</t>
        </is>
      </c>
      <c r="H35" s="29" t="inlineStr">
        <is>
          <t>planning;new;settled</t>
        </is>
      </c>
      <c r="I35" s="29" t="inlineStr">
        <is>
          <t>sevilla:kaynak:337</t>
        </is>
      </c>
      <c r="J35" s="49" t="n">
        <v>46320</v>
      </c>
      <c r="K35" s="51" t="n">
        <v>41</v>
      </c>
      <c r="L35" s="29" t="inlineStr">
        <is>
          <t>Evet</t>
        </is>
      </c>
      <c r="M35" s="29" t="inlineStr">
        <is>
          <t>Taslak</t>
        </is>
      </c>
      <c r="N35" s="29" t="inlineStr">
        <is>
          <t>Müzeler</t>
        </is>
      </c>
      <c r="O35" s="29" t="inlineStr">
        <is>
          <t>Casco Antiguo</t>
        </is>
      </c>
      <c r="P35" s="29" t="inlineStr">
        <is>
          <t>Kapalı alan</t>
        </is>
      </c>
      <c r="Q35" s="29" t="inlineStr">
        <is>
          <t>Plaza del Museo, 9, Casco Antiguo, 41001 Sevilla</t>
        </is>
      </c>
      <c r="R35" s="50" t="n">
        <v>37.392654</v>
      </c>
      <c r="S35" s="50" t="n">
        <v>-6.000126</v>
      </c>
      <c r="T35" s="29" t="n"/>
      <c r="U35" s="29" t="inlineStr">
        <is>
          <t>Flaş yasak, salonlarda yiyecek ve içecek götürülmüyor. Ana salonlar için en az bir buçuk saat ayır. Plaza del Museo'da her pazar yerel sanat pazarı kuruluyor.</t>
        </is>
      </c>
      <c r="V35" s="29" t="inlineStr">
        <is>
          <t>Hayır</t>
        </is>
      </c>
      <c r="W35" s="29" t="n"/>
    </row>
    <row r="36" ht="54" customHeight="1">
      <c r="A36" s="29" t="inlineStr">
        <is>
          <t>sevilla:museo-arqueologico-de-sevilla</t>
        </is>
      </c>
      <c r="B36" s="29" t="inlineStr">
        <is>
          <t>sevilla</t>
        </is>
      </c>
      <c r="C36" s="29" t="inlineStr">
        <is>
          <t>museo-arqueologico-de-sevilla</t>
        </is>
      </c>
      <c r="D36" s="29" t="inlineStr">
        <is>
          <t>Museo Arqueológico de Sevilla</t>
        </is>
      </c>
      <c r="E36" s="29" t="inlineStr">
        <is>
          <t>Maria Luisa Parkı'ndaki Plaza de América'da Itálica buluntuları ve Sevilla ilinin arkeolojisi</t>
        </is>
      </c>
      <c r="F36" s="29" t="inlineStr">
        <is>
          <t>Müze, Aníbal González'in 1929 İbero-Amerikan Sergisi için tasarladığı Güzel Sanatlar pavyonunda yer alıyor. Sevilla ilinin tarih öncesinden Orta Çağ'a uzanan buluntularını gösteriyor: Fenike ve Tartessos kültürleri, çoğu Itálica'dan gelen Roma eserleri, Hadrianus dönemi heykelleri, Vizigot ve İslami parçalar. Turismo de Sevilla'nın müze sayfası, müzenin yapım çalışmaları nedeniyle kapalı olduğunu yazıyor.</t>
        </is>
      </c>
      <c r="G36" s="29" t="inlineStr">
        <is>
          <t>Sevilla arkeoloji müzesi, Itálica, Plaza de América, Tartessos, Roma heykelleri</t>
        </is>
      </c>
      <c r="H36" s="29" t="inlineStr">
        <is>
          <t>planning;new</t>
        </is>
      </c>
      <c r="I36" s="29" t="inlineStr">
        <is>
          <t>sevilla:kaynak:338</t>
        </is>
      </c>
      <c r="J36" s="49" t="n">
        <v>46320</v>
      </c>
      <c r="K36" s="51" t="n">
        <v>42</v>
      </c>
      <c r="L36" s="29" t="inlineStr">
        <is>
          <t>Hayır</t>
        </is>
      </c>
      <c r="M36" s="29" t="inlineStr">
        <is>
          <t>Taslak</t>
        </is>
      </c>
      <c r="N36" s="29" t="inlineStr">
        <is>
          <t>Müzeler</t>
        </is>
      </c>
      <c r="O36" s="29" t="inlineStr">
        <is>
          <t>Parque de María Luisa</t>
        </is>
      </c>
      <c r="P36" s="29" t="inlineStr">
        <is>
          <t>Kapalı alan</t>
        </is>
      </c>
      <c r="Q36" s="29" t="inlineStr">
        <is>
          <t>Plaza de América, s/n</t>
        </is>
      </c>
      <c r="R36" s="50" t="n">
        <v>37.370939</v>
      </c>
      <c r="S36" s="50" t="n">
        <v>-5.987089</v>
      </c>
      <c r="T36" s="29" t="inlineStr">
        <is>
          <t>Yapım çalışmaları nedeniyle kapalı</t>
        </is>
      </c>
      <c r="U36" s="29" t="inlineStr">
        <is>
          <t>25 Ekim 2026 itibarıyla Turismo de Sevilla'nın müze sayfası müzenin yapım çalışmaları nedeniyle kapalı olduğunu yazıyor. Araştırmacı başvuruları için investigacion.mase.ccul@juntadeandalucia.es, uzmanlaşmış ziyaretler için difusion.mase.ccul@juntadeandalucia.es adresine yazılıyor; telefon 954 786 474.</t>
        </is>
      </c>
      <c r="V36" s="29" t="inlineStr">
        <is>
          <t>Hayır</t>
        </is>
      </c>
      <c r="W36" s="29" t="n"/>
    </row>
    <row r="37" ht="54" customHeight="1">
      <c r="A37" s="29" t="inlineStr">
        <is>
          <t>sevilla:museo-de-artes-y-costumbres-populares</t>
        </is>
      </c>
      <c r="B37" s="29" t="inlineStr">
        <is>
          <t>sevilla</t>
        </is>
      </c>
      <c r="C37" s="29" t="inlineStr">
        <is>
          <t>museo-de-artes-y-costumbres-populares</t>
        </is>
      </c>
      <c r="D37" s="29" t="inlineStr">
        <is>
          <t>Museo de Artes y Costumbres Populares</t>
        </is>
      </c>
      <c r="E37" s="29" t="inlineStr">
        <is>
          <t>Plaza de América'daki Mudéjar Pavyonu'nda Endülüs halk seramiği ve gelenekleri</t>
        </is>
      </c>
      <c r="F37" s="29" t="inlineStr">
        <is>
          <t>Müze, María Luisa Parkı içindeki Plaza de América'da, Aníbal González'in 1914'te tuğla ve seramik süslemeli Mudéjar üslubunda yaptığı pavyonda. 1973'ün 4 Mart'ında müze olarak kapılarını açtı; birinci kat ve yarı bodrum kat sergi için donatılmış, ayrıca bir görsel-işitsel salonu ve konferans salonu var. Sahip olduğu Endülüs halk seramiği koleksiyonu, Hamburg Müzesi'ndekiyle birlikte Avrupa'nın en eksiksizleri arasında anılıyor.</t>
        </is>
      </c>
      <c r="G37" s="29" t="inlineStr">
        <is>
          <t>halk sanatları müzesi, Endülüs seramiği, Mudéjar Pavyonu, Plaza de América, María Luisa Parkı</t>
        </is>
      </c>
      <c r="H37" s="29" t="inlineStr">
        <is>
          <t>new;settled</t>
        </is>
      </c>
      <c r="I37" s="29" t="inlineStr">
        <is>
          <t>sevilla:kaynak:339</t>
        </is>
      </c>
      <c r="J37" s="49" t="n">
        <v>46320</v>
      </c>
      <c r="K37" s="51" t="n">
        <v>43</v>
      </c>
      <c r="L37" s="29" t="inlineStr">
        <is>
          <t>Hayır</t>
        </is>
      </c>
      <c r="M37" s="29" t="inlineStr">
        <is>
          <t>Taslak</t>
        </is>
      </c>
      <c r="N37" s="29" t="inlineStr">
        <is>
          <t>Müzeler</t>
        </is>
      </c>
      <c r="O37" s="29" t="inlineStr">
        <is>
          <t>Parque de María Luisa</t>
        </is>
      </c>
      <c r="P37" s="29" t="inlineStr">
        <is>
          <t>Kapalı alan</t>
        </is>
      </c>
      <c r="Q37" s="29" t="inlineStr">
        <is>
          <t>Plaza América s/n</t>
        </is>
      </c>
      <c r="R37" s="50" t="n">
        <v>37.372183</v>
      </c>
      <c r="S37" s="50" t="n">
        <v>-5.987861</v>
      </c>
      <c r="T37" s="29" t="n"/>
      <c r="U37" s="29" t="inlineStr">
        <is>
          <t>Binanın 5.496 m²'lik alanı kalıcı sergiye ve hizmetlere ayrılmış. Telefon 955 54 29 51.</t>
        </is>
      </c>
      <c r="V37" s="29" t="inlineStr">
        <is>
          <t>Hayır</t>
        </is>
      </c>
      <c r="W37" s="29" t="n"/>
    </row>
    <row r="38" ht="54" customHeight="1">
      <c r="A38" s="29" t="inlineStr">
        <is>
          <t>sevilla:museo-del-baile-flamenco</t>
        </is>
      </c>
      <c r="B38" s="29" t="inlineStr">
        <is>
          <t>sevilla</t>
        </is>
      </c>
      <c r="C38" s="29" t="inlineStr">
        <is>
          <t>museo-del-baile-flamenco</t>
        </is>
      </c>
      <c r="D38" s="29" t="inlineStr">
        <is>
          <t>Museo del Baile Flamenco</t>
        </is>
      </c>
      <c r="E38" s="29" t="inlineStr">
        <is>
          <t>Cristina Hoyos'un kurduğu, 18. yüzyıl konağında etkileşimli flamenko müzesi ve canlı gösteri</t>
        </is>
      </c>
      <c r="F38" s="29" t="inlineStr">
        <is>
          <t>Dansçı Cristina Hoyos'un kurduğu müze, Roma tapınağı kalıntıları üzerine yapılmış 18. yüzyıldan kalma bir saray-konakta, tarihî merkezde. Etkileşimli sergi flamenkonun tarihini, köklerini ve tekniklerini anlatıyor; Écija tarzı avluda canlı gösteriler, tarihî bodrumda ise "Poemas Flamencos" adlı küçük gösteri yapılıyor. Her gün 11:00–18:00 arası açık.</t>
        </is>
      </c>
      <c r="G38" s="29" t="inlineStr">
        <is>
          <t>flamenko müzesi, Cristina Hoyos, flamenko gösterisi, Sevilla, UNESCO somut olmayan miras</t>
        </is>
      </c>
      <c r="H38" s="29" t="inlineStr">
        <is>
          <t>planning;new</t>
        </is>
      </c>
      <c r="I38" s="29" t="inlineStr">
        <is>
          <t>sevilla:kaynak:340</t>
        </is>
      </c>
      <c r="J38" s="49" t="n">
        <v>46320</v>
      </c>
      <c r="K38" s="51" t="n">
        <v>44</v>
      </c>
      <c r="L38" s="29" t="inlineStr">
        <is>
          <t>Evet</t>
        </is>
      </c>
      <c r="M38" s="29" t="inlineStr">
        <is>
          <t>Taslak</t>
        </is>
      </c>
      <c r="N38" s="29" t="inlineStr">
        <is>
          <t>Müzeler</t>
        </is>
      </c>
      <c r="O38" s="29" t="inlineStr">
        <is>
          <t>Casco Antiguo</t>
        </is>
      </c>
      <c r="P38" s="29" t="inlineStr">
        <is>
          <t>Kapalı alan</t>
        </is>
      </c>
      <c r="Q38" s="29" t="inlineStr">
        <is>
          <t>Calle Manuel Rojas Marcos, 3</t>
        </is>
      </c>
      <c r="R38" s="50" t="n">
        <v>37.389046</v>
      </c>
      <c r="S38" s="50" t="n">
        <v>-5.991231</v>
      </c>
      <c r="T38" s="29" t="n"/>
      <c r="U38" s="29" t="inlineStr">
        <is>
          <t>Gösteri biletini özellikle yoğun sezonda ve hafta sonları önceden al. Sesli rehberi telefondan kullanacaksan kulaklık getir; atölye ve usta dersleri de var.</t>
        </is>
      </c>
      <c r="V38" s="29" t="inlineStr">
        <is>
          <t>Hayır</t>
        </is>
      </c>
      <c r="W38" s="29" t="n"/>
    </row>
    <row r="39" ht="54" customHeight="1">
      <c r="A39" s="29" t="inlineStr">
        <is>
          <t>sevilla:casa-fabiola-coleccion-bellver</t>
        </is>
      </c>
      <c r="B39" s="29" t="inlineStr">
        <is>
          <t>sevilla</t>
        </is>
      </c>
      <c r="C39" s="29" t="inlineStr">
        <is>
          <t>casa-fabiola-coleccion-bellver</t>
        </is>
      </c>
      <c r="D39" s="29" t="inlineStr">
        <is>
          <t>Casa Fabiola - Colección Bellver</t>
        </is>
      </c>
      <c r="E39" s="29" t="inlineStr">
        <is>
          <t>Santa Cruz yakınında Mariano Bellver'in 19. yüzyıl Sevilla resim koleksiyonu</t>
        </is>
      </c>
      <c r="F39" s="29" t="inlineStr">
        <is>
          <t>19. yüzyıldan kalma bir konak, belediye tarafından restore edilip 2018'de sergi alanı olarak açıldı. Mariano Bellver'in bağışladığı 500'den fazla eser var; ağırlık 19. yüzyıl Sevilla yaşamını anlatan romantik ve costumbrista resimlerde, ayrıca heykel, seramik, saat ve mobilya sergileniyor. Salı–pazar 11:00–19:00 açık, pazartesi kapalı.</t>
        </is>
      </c>
      <c r="G39" s="29" t="inlineStr">
        <is>
          <t>Casa Fabiola, Bellver koleksiyonu, 19. yüzyıl resmi, costumbrismo, Santa Cruz</t>
        </is>
      </c>
      <c r="H39" s="29" t="inlineStr">
        <is>
          <t>new;settled</t>
        </is>
      </c>
      <c r="I39" s="29" t="inlineStr">
        <is>
          <t>sevilla:kaynak:334;sevilla:kaynak:205</t>
        </is>
      </c>
      <c r="J39" s="49" t="n">
        <v>46320</v>
      </c>
      <c r="K39" s="51" t="n">
        <v>46</v>
      </c>
      <c r="L39" s="29" t="inlineStr">
        <is>
          <t>Hayır</t>
        </is>
      </c>
      <c r="M39" s="29" t="inlineStr">
        <is>
          <t>Taslak</t>
        </is>
      </c>
      <c r="N39" s="29" t="inlineStr">
        <is>
          <t>Müzeler</t>
        </is>
      </c>
      <c r="O39" s="29" t="inlineStr">
        <is>
          <t>Santa Cruz</t>
        </is>
      </c>
      <c r="P39" s="29" t="inlineStr">
        <is>
          <t>Kapalı alan</t>
        </is>
      </c>
      <c r="Q39" s="29" t="inlineStr">
        <is>
          <t>Calle Fabiola, 5</t>
        </is>
      </c>
      <c r="R39" s="50" t="n">
        <v>37.387281</v>
      </c>
      <c r="S39" s="50" t="n">
        <v>-5.989267</v>
      </c>
      <c r="T39" s="29" t="n"/>
      <c r="U39" s="29" t="inlineStr">
        <is>
          <t>Rehberli turlar salı–pazar 11:30, 13:00, 16:00 ve 18:00'de; rezervasyon için 660 676 183 (salı–cuma 11:00–14:00 arası aranıyor). Hafta sonları 11:00'de aile turu var. Resmî tatillerde saatler için telefonla sor: +34 955 470 295 ya da +34 955 470 311. Real Alcázar'ın resmî sayfasına göre Alcázar genel giriş bileti bu müzeyi de kapsıyor.</t>
        </is>
      </c>
      <c r="V39" s="29" t="inlineStr">
        <is>
          <t>Hayır</t>
        </is>
      </c>
      <c r="W39" s="29" t="n"/>
    </row>
    <row r="40" ht="54" customHeight="1">
      <c r="A40" s="29" t="inlineStr">
        <is>
          <t>sevilla:centro-ceramica-triana</t>
        </is>
      </c>
      <c r="B40" s="29" t="inlineStr">
        <is>
          <t>sevilla</t>
        </is>
      </c>
      <c r="C40" s="29" t="inlineStr">
        <is>
          <t>centro-ceramica-triana</t>
        </is>
      </c>
      <c r="D40" s="29" t="inlineStr">
        <is>
          <t>Centro Cerámica Triana</t>
        </is>
      </c>
      <c r="E40" s="29" t="inlineStr">
        <is>
          <t>Triana'da eski Santa Ana çini fabrikasında seramik geleneğinin müzesi</t>
        </is>
      </c>
      <c r="F40" s="29" t="inlineStr">
        <is>
          <t>Triana semtindeki eski Santa Ana çini fabrikasının kalıntıları üzerinde kurulu merkez, Triana seramiğinin tarihini ve üretim tekniklerini anlatıyor. Orijinal fırınlar, kalıplar, aletler ve eski fotoğraflar sergileniyor; merkezin dükkânında yerel seramikçilerin ürünleri satılıyor. Salı–pazar 10:00–19:00 açık.</t>
        </is>
      </c>
      <c r="G40" s="29" t="inlineStr">
        <is>
          <t>Triana seramiği, çini, Santa Ana fabrikası, azulejo, seramik müzesi</t>
        </is>
      </c>
      <c r="H40" s="29" t="inlineStr">
        <is>
          <t>new;settled</t>
        </is>
      </c>
      <c r="I40" s="29" t="inlineStr">
        <is>
          <t>sevilla:kaynak:341</t>
        </is>
      </c>
      <c r="J40" s="49" t="n">
        <v>46320</v>
      </c>
      <c r="K40" s="51" t="n">
        <v>47</v>
      </c>
      <c r="L40" s="29" t="inlineStr">
        <is>
          <t>Hayır</t>
        </is>
      </c>
      <c r="M40" s="29" t="inlineStr">
        <is>
          <t>Taslak</t>
        </is>
      </c>
      <c r="N40" s="29" t="inlineStr">
        <is>
          <t>Müzeler</t>
        </is>
      </c>
      <c r="O40" s="29" t="inlineStr">
        <is>
          <t>Triana</t>
        </is>
      </c>
      <c r="P40" s="29" t="inlineStr">
        <is>
          <t>Kapalı alan</t>
        </is>
      </c>
      <c r="Q40" s="29" t="inlineStr">
        <is>
          <t>C/ Callao 16</t>
        </is>
      </c>
      <c r="R40" s="50" t="n">
        <v>37.385656</v>
      </c>
      <c r="S40" s="50" t="n">
        <v>-6.004614</v>
      </c>
      <c r="T40" s="29" t="n"/>
      <c r="U40" s="29" t="inlineStr">
        <is>
          <t>Tamamen kapalı mekân olduğu için çok sıcak günlerde iyi bir alternatif; çocuklu aileler ve okul grupları için de uygun görülüyor. Telefon +34 955 47 42 93.</t>
        </is>
      </c>
      <c r="V40" s="29" t="inlineStr">
        <is>
          <t>Hayır</t>
        </is>
      </c>
      <c r="W40" s="29" t="n"/>
    </row>
    <row r="41" ht="54" customHeight="1">
      <c r="A41" s="29" t="inlineStr">
        <is>
          <t>sevilla:museo-taurino-real-maestranza</t>
        </is>
      </c>
      <c r="B41" s="29" t="inlineStr">
        <is>
          <t>sevilla</t>
        </is>
      </c>
      <c r="C41" s="29" t="inlineStr">
        <is>
          <t>museo-taurino-real-maestranza</t>
        </is>
      </c>
      <c r="D41" s="29" t="inlineStr">
        <is>
          <t>Museo Taurino de la Real Maestranza</t>
        </is>
      </c>
      <c r="E41" s="29" t="inlineStr">
        <is>
          <t>İspanya'nın en eski boğa arenalarından Real Maestranza'nın müzesi, El Arenal</t>
        </is>
      </c>
      <c r="F41" s="29" t="inlineStr">
        <is>
          <t>Real Maestranza de Caballería boğa arenası İspanya'nın en eski arenalarından biri sayılıyor ve Nisan Fuarı'ndaki boğa güreşlerine ev sahipliği yapıyor; müze arenanın içinde. Pazartesi–pazar 9:30–21:30 açık, boğa güreşi olan günlerde 9:30–15:30. Genel giriş 10 euro, yaşlı, öğrenci ve gençler için 6 euro.</t>
        </is>
      </c>
      <c r="G41" s="29" t="inlineStr">
        <is>
          <t>Real Maestranza, boğa arenası, Museo Taurino, Nisan Fuarı, El Arenal</t>
        </is>
      </c>
      <c r="H41" s="29" t="inlineStr">
        <is>
          <t>planning;new</t>
        </is>
      </c>
      <c r="I41" s="29" t="inlineStr">
        <is>
          <t>sevilla:kaynak:342;sevilla:kaynak:333</t>
        </is>
      </c>
      <c r="J41" s="49" t="n">
        <v>46320</v>
      </c>
      <c r="K41" s="51" t="n">
        <v>48</v>
      </c>
      <c r="L41" s="29" t="inlineStr">
        <is>
          <t>Hayır</t>
        </is>
      </c>
      <c r="M41" s="29" t="inlineStr">
        <is>
          <t>Taslak</t>
        </is>
      </c>
      <c r="N41" s="29" t="inlineStr">
        <is>
          <t>Müzeler</t>
        </is>
      </c>
      <c r="O41" s="29" t="inlineStr">
        <is>
          <t>El Arenal</t>
        </is>
      </c>
      <c r="P41" s="29" t="inlineStr">
        <is>
          <t>Kapalı alan</t>
        </is>
      </c>
      <c r="Q41" s="29" t="inlineStr">
        <is>
          <t>Paseo de Cristóbal Colón, 12</t>
        </is>
      </c>
      <c r="R41" s="50" t="n">
        <v>37.385861</v>
      </c>
      <c r="S41" s="50" t="n">
        <v>-5.999</v>
      </c>
      <c r="T41" s="29" t="n"/>
      <c r="U41" s="29" t="inlineStr">
        <is>
          <t>Kapalı gün: 25 Aralık. 7–11 yaş çocuklar 3,5 euro, 0–6 yaş ücretsiz. Gruplar için (+34) 954 22 45 77 aranıyor.</t>
        </is>
      </c>
      <c r="V41" s="29" t="inlineStr">
        <is>
          <t>Evet</t>
        </is>
      </c>
      <c r="W41" s="29" t="n"/>
    </row>
    <row r="42" ht="54" customHeight="1">
      <c r="A42" s="29" t="inlineStr">
        <is>
          <t>sevilla:museo-historico-militar-sevilla</t>
        </is>
      </c>
      <c r="B42" s="29" t="inlineStr">
        <is>
          <t>sevilla</t>
        </is>
      </c>
      <c r="C42" s="29" t="inlineStr">
        <is>
          <t>museo-historico-militar-sevilla</t>
        </is>
      </c>
      <c r="D42" s="29" t="inlineStr">
        <is>
          <t>Museo Histórico Militar de Sevilla</t>
        </is>
      </c>
      <c r="E42" s="29" t="inlineStr">
        <is>
          <t>Plaza de España içinde, Puerta de Aragón yanında askerî tarih müzesi</t>
        </is>
      </c>
      <c r="F42" s="29" t="inlineStr">
        <is>
          <t>Müze, Plaza de España'nın içinde Kuzey Kulesi ile Puerta de Aragón arasında, 18 Aralık 1992'de açıldı. Eserlerin büyük kısmı eski Sevilla Topçu Atölyesi'nden geliyor; maketlerden şehrin çeşitli yerlerindeki tarihî askerî çalışma odalarına (despacho) ve radyo mikrofonlarına kadar çok çeşitli parça var. Ocak–Haziran 2000'de yenilenip iki kat eklendi. Kütüphane, görsel-işitsel salon, restorasyon atölyesi ve rehberli ziyaret hizmetleri var.</t>
        </is>
      </c>
      <c r="G42" s="29" t="inlineStr">
        <is>
          <t>askerî müze, Plaza de España, Puerta de Aragón, Museo Militar Regional, Sevilla</t>
        </is>
      </c>
      <c r="H42" s="29" t="inlineStr">
        <is>
          <t>new;settled</t>
        </is>
      </c>
      <c r="I42" s="29" t="inlineStr">
        <is>
          <t>sevilla:kaynak:343</t>
        </is>
      </c>
      <c r="J42" s="49" t="n">
        <v>46320</v>
      </c>
      <c r="K42" s="51" t="n">
        <v>49</v>
      </c>
      <c r="L42" s="29" t="inlineStr">
        <is>
          <t>Hayır</t>
        </is>
      </c>
      <c r="M42" s="29" t="inlineStr">
        <is>
          <t>Taslak</t>
        </is>
      </c>
      <c r="N42" s="29" t="inlineStr">
        <is>
          <t>Müzeler</t>
        </is>
      </c>
      <c r="O42" s="29" t="inlineStr">
        <is>
          <t>Parque de María Luisa</t>
        </is>
      </c>
      <c r="P42" s="29" t="inlineStr">
        <is>
          <t>Kapalı alan</t>
        </is>
      </c>
      <c r="Q42" s="29" t="inlineStr">
        <is>
          <t>Avenida de Portugal, s/n; Plaza de España, Puerta de Aragón</t>
        </is>
      </c>
      <c r="R42" s="50" t="n">
        <v>37.378307</v>
      </c>
      <c r="S42" s="50" t="n">
        <v>-5.987091</v>
      </c>
      <c r="T42" s="29" t="n"/>
      <c r="U42" s="29" t="inlineStr">
        <is>
          <t>Ziyaret saatleri ve giriş koşulları için müzenin telefonu: 954 938 283.</t>
        </is>
      </c>
      <c r="V42" s="29" t="inlineStr">
        <is>
          <t>Hayır</t>
        </is>
      </c>
      <c r="W42" s="29" t="n"/>
    </row>
    <row r="43" ht="54" customHeight="1">
      <c r="A43" s="29" t="inlineStr">
        <is>
          <t>sevilla:museo-maritimo-torre-del-oro</t>
        </is>
      </c>
      <c r="B43" s="29" t="inlineStr">
        <is>
          <t>sevilla</t>
        </is>
      </c>
      <c r="C43" s="29" t="inlineStr">
        <is>
          <t>museo-maritimo-torre-del-oro</t>
        </is>
      </c>
      <c r="D43" s="29" t="inlineStr">
        <is>
          <t>Museo Marítimo Torre del Oro</t>
        </is>
      </c>
      <c r="E43" s="29" t="inlineStr">
        <is>
          <t>Guadalquivir kıyısındaki 13. yüzyıl Altın Kule'de denizcilik müzesi ve panoramik teras</t>
        </is>
      </c>
      <c r="F43" s="29" t="inlineStr">
        <is>
          <t>Müze, 13. yüzyıl başında Muvahhidler'in nehir girişini denetlemek için yaptığı savunma kulesi Torre del Oro'nun içinde; kule zamanla depo, şapel ve hapishane olarak da kullanıldı. Müze 1944'te açıldı. İki sergi katı ve panoramik bir terası var: alt katta kulenin tarihi ve ilk buharlı gemi "Real Fernando"un maketi, üst katta Armada tarihi, deniz haritaları ve seyir aletleri. Hafta içi 9:30–19:00, hafta sonu ve resmî tatillerde 10:30–19:00 açık, son giriş 18:30. Giriş serbest, gönüllü bağış isteniyor.</t>
        </is>
      </c>
      <c r="G43" s="29" t="inlineStr">
        <is>
          <t>Torre del Oro, denizcilik müzesi, Altın Kule, Guadalquivir, Armada</t>
        </is>
      </c>
      <c r="H43" s="29" t="inlineStr">
        <is>
          <t>planning;new</t>
        </is>
      </c>
      <c r="I43" s="29" t="inlineStr">
        <is>
          <t>sevilla:kaynak:344;sevilla:kaynak:327</t>
        </is>
      </c>
      <c r="J43" s="49" t="n">
        <v>46320</v>
      </c>
      <c r="K43" s="51" t="n">
        <v>50</v>
      </c>
      <c r="L43" s="29" t="inlineStr">
        <is>
          <t>Hayır</t>
        </is>
      </c>
      <c r="M43" s="29" t="inlineStr">
        <is>
          <t>Taslak</t>
        </is>
      </c>
      <c r="N43" s="29" t="inlineStr">
        <is>
          <t>Müzeler</t>
        </is>
      </c>
      <c r="O43" s="29" t="inlineStr">
        <is>
          <t>El Arenal</t>
        </is>
      </c>
      <c r="P43" s="29" t="inlineStr">
        <is>
          <t>Kapalı alan</t>
        </is>
      </c>
      <c r="Q43" s="29" t="inlineStr">
        <is>
          <t>Paseo Cristobal Colón, s/n, 41001 Sevilla</t>
        </is>
      </c>
      <c r="R43" s="50" t="n">
        <v>37.382417</v>
      </c>
      <c r="S43" s="50" t="n">
        <v>-5.996333</v>
      </c>
      <c r="T43" s="29" t="n"/>
      <c r="U43" s="29" t="inlineStr">
        <is>
          <t>Müzenin duyurusuna göre cumartesi ve pazar 14:00–15:00 arası kapalı. Kapalı günler: 1 ve 6 Ocak, Kutsal Cuma, 1 Mayıs ve 25 Aralık; 5 Ocak'ta 14:00'e kadar açık. Otobüs C4 kulenin önüne geliyor; grup rezervasyonu torreoro@fn.mde.es adresinden, ama hafta sonu ve tatillerde grup kabul edilmiyor. Görme engelliler için her eserin QR kodu var. Telefon +34 954 22 24 19.</t>
        </is>
      </c>
      <c r="V43" s="29" t="inlineStr">
        <is>
          <t>Hayır</t>
        </is>
      </c>
      <c r="W43" s="29" t="n"/>
    </row>
    <row r="44" ht="54" customHeight="1">
      <c r="A44" s="29" t="inlineStr">
        <is>
          <t>sevilla:museo-historia-de-la-farmacia-us</t>
        </is>
      </c>
      <c r="B44" s="29" t="inlineStr">
        <is>
          <t>sevilla</t>
        </is>
      </c>
      <c r="C44" s="29" t="inlineStr">
        <is>
          <t>museo-historia-de-la-farmacia-us</t>
        </is>
      </c>
      <c r="D44" s="29" t="inlineStr">
        <is>
          <t>Museo de Historia de la Farmacia de Sevilla</t>
        </is>
      </c>
      <c r="E44" s="29" t="inlineStr">
        <is>
          <t>Sevilla Üniversitesi Eczacılık Fakültesi bodrumunda 19. yüzyıl eczane koleksiyonu</t>
        </is>
      </c>
      <c r="F44" s="29" t="inlineStr">
        <is>
          <t>Sevilla Üniversitesi'nin Eczacılık Fakültesi'nin bodrum katındaki müze, 19. yüzyıl ve 20. yüzyıl başı eczacılık uygulamalarını gösteriyor: Antigua Farmacia del Salvador, Feria 116'daki eski eczane, laboratuvar ve rebotica bölümleri. Aynı zamanda eğitim ve araştırma birimi. Ziyaret önceden randevuyla; tüm şehir halkına ücretsiz açık olduğu belirtiliyor.</t>
        </is>
      </c>
      <c r="G44" s="29" t="inlineStr">
        <is>
          <t>eczacılık tarihi müzesi, Sevilla Üniversitesi, antik eczane, rebotica</t>
        </is>
      </c>
      <c r="H44" s="29" t="inlineStr">
        <is>
          <t>settled</t>
        </is>
      </c>
      <c r="I44" s="29" t="inlineStr">
        <is>
          <t>sevilla:kaynak:345</t>
        </is>
      </c>
      <c r="J44" s="49" t="n">
        <v>46320</v>
      </c>
      <c r="K44" s="51" t="n">
        <v>51</v>
      </c>
      <c r="L44" s="29" t="inlineStr">
        <is>
          <t>Hayır</t>
        </is>
      </c>
      <c r="M44" s="29" t="inlineStr">
        <is>
          <t>Taslak</t>
        </is>
      </c>
      <c r="N44" s="29" t="inlineStr">
        <is>
          <t>Müzeler</t>
        </is>
      </c>
      <c r="O44" s="29" t="inlineStr">
        <is>
          <t>Sur</t>
        </is>
      </c>
      <c r="P44" s="29" t="inlineStr">
        <is>
          <t>Kapalı alan</t>
        </is>
      </c>
      <c r="Q44" s="29" t="inlineStr">
        <is>
          <t>C/ Profesor García González, 2, 41012 Sevilla</t>
        </is>
      </c>
      <c r="R44" s="50" t="n">
        <v>37.361052</v>
      </c>
      <c r="S44" s="50" t="n">
        <v>-5.988291</v>
      </c>
      <c r="T44" s="29" t="n"/>
      <c r="U44" s="29" t="inlineStr">
        <is>
          <t>Ziyaret için grup bilgilerini antonioramos@us.es adresine yazman gerekiyor; telefon 954 556 705.</t>
        </is>
      </c>
      <c r="V44" s="29" t="inlineStr">
        <is>
          <t>Hayır</t>
        </is>
      </c>
      <c r="W44" s="29" t="n"/>
    </row>
    <row r="45" ht="54" customHeight="1">
      <c r="A45" s="29" t="inlineStr">
        <is>
          <t>sevilla:caac-centro-andaluz-arte-contemporaneo</t>
        </is>
      </c>
      <c r="B45" s="29" t="inlineStr">
        <is>
          <t>sevilla</t>
        </is>
      </c>
      <c r="C45" s="29" t="inlineStr">
        <is>
          <t>caac-centro-andaluz-arte-contemporaneo</t>
        </is>
      </c>
      <c r="D45" s="29" t="inlineStr">
        <is>
          <t>CAAC - Centro Andaluz de Arte Contemporáneo</t>
        </is>
      </c>
      <c r="E45" s="29" t="inlineStr">
        <is>
          <t>Cartuja Adası'nda eski Cartuja manastırında çağdaş sanat merkezi</t>
        </is>
      </c>
      <c r="F45" s="29" t="inlineStr">
        <is>
          <t>Endülüs Çağdaş Sanat Merkezi, Cartuja Adası'ndaki Monasterio de La Cartuja yerleşkesinde. Alan Muvahhid dönemi çömlek fırınlarından Santa María de las Cuevas hermitage'ına ve 1400'de kurulan manastıra uzanan uzun bir geçmişe sahip; 15. yüzyıl sonunda Kartuziyen tarikatı buraya yerleşti.</t>
        </is>
      </c>
      <c r="G45" s="29" t="inlineStr">
        <is>
          <t>CAAC, çağdaş sanat, Cartuja manastırı, Isla de la Cartuja, Monasterio de La Cartuja</t>
        </is>
      </c>
      <c r="H45" s="29" t="inlineStr">
        <is>
          <t>new;settled</t>
        </is>
      </c>
      <c r="I45" s="29" t="inlineStr">
        <is>
          <t>sevilla:kaynak:346</t>
        </is>
      </c>
      <c r="J45" s="49" t="n">
        <v>46320</v>
      </c>
      <c r="K45" s="51" t="n">
        <v>52</v>
      </c>
      <c r="L45" s="29" t="inlineStr">
        <is>
          <t>Hayır</t>
        </is>
      </c>
      <c r="M45" s="29" t="inlineStr">
        <is>
          <t>Taslak</t>
        </is>
      </c>
      <c r="N45" s="29" t="inlineStr">
        <is>
          <t>Sanat ve sergiler</t>
        </is>
      </c>
      <c r="O45" s="29" t="inlineStr">
        <is>
          <t>Isla de la Cartuja</t>
        </is>
      </c>
      <c r="P45" s="29" t="inlineStr">
        <is>
          <t>Karma</t>
        </is>
      </c>
      <c r="Q45" s="29" t="inlineStr">
        <is>
          <t>Calle Américo Vespucio, 2</t>
        </is>
      </c>
      <c r="R45" s="50" t="n">
        <v>37.39804</v>
      </c>
      <c r="S45" s="50" t="n">
        <v>-6.00772</v>
      </c>
      <c r="T45" s="29" t="n"/>
      <c r="U45" s="29" t="inlineStr">
        <is>
          <t>Telefon 955 037 070.</t>
        </is>
      </c>
      <c r="V45" s="29" t="inlineStr">
        <is>
          <t>Hayır</t>
        </is>
      </c>
      <c r="W45" s="29" t="n"/>
    </row>
    <row r="46" ht="54" customHeight="1">
      <c r="A46" s="29" t="inlineStr">
        <is>
          <t>sevilla:caixaforum-sevilla</t>
        </is>
      </c>
      <c r="B46" s="29" t="inlineStr">
        <is>
          <t>sevilla</t>
        </is>
      </c>
      <c r="C46" s="29" t="inlineStr">
        <is>
          <t>caixaforum-sevilla</t>
        </is>
      </c>
      <c r="D46" s="29" t="inlineStr">
        <is>
          <t>CaixaForum Sevilla</t>
        </is>
      </c>
      <c r="E46" s="29" t="inlineStr">
        <is>
          <t>Torre Sevilla'da geçici sergiler, konferans ve konserler için kültür merkezi</t>
        </is>
      </c>
      <c r="F46" s="29" t="inlineStr">
        <is>
          <t>Fundación «la Caixa» tarafından işletilen merkez, Torre Sevilla alışveriş merkezinin içinde; Guillermo Vázquez Consuegra'nın tasarımı. İki sergi salonu, 276 kişilik bir oditoryum, iki çok amaçlı sınıf, kafeterya ve kitapçı var; programda eski, modern ve çağdaş sanat sergileri, atölyeler, konserler, sinema ve konferanslar yer alıyor. Pazartesi–cuma 9:00–20:00, hafta sonu ve tatillerde 10:00–20:00 açık; genel giriş 6 euro.</t>
        </is>
      </c>
      <c r="G46" s="29" t="inlineStr">
        <is>
          <t>CaixaForum, Torre Sevilla, geçici sergi, kültür merkezi, Cartuja</t>
        </is>
      </c>
      <c r="H46" s="29" t="inlineStr">
        <is>
          <t>new;settled</t>
        </is>
      </c>
      <c r="I46" s="29" t="inlineStr">
        <is>
          <t>sevilla:kaynak:347</t>
        </is>
      </c>
      <c r="J46" s="49" t="n">
        <v>46320</v>
      </c>
      <c r="K46" s="51" t="n">
        <v>53</v>
      </c>
      <c r="L46" s="29" t="inlineStr">
        <is>
          <t>Hayır</t>
        </is>
      </c>
      <c r="M46" s="29" t="inlineStr">
        <is>
          <t>Taslak</t>
        </is>
      </c>
      <c r="N46" s="29" t="inlineStr">
        <is>
          <t>Sanat ve sergiler</t>
        </is>
      </c>
      <c r="O46" s="29" t="inlineStr">
        <is>
          <t>Isla de la Cartuja</t>
        </is>
      </c>
      <c r="P46" s="29" t="inlineStr">
        <is>
          <t>Kapalı alan</t>
        </is>
      </c>
      <c r="Q46" s="29" t="inlineStr">
        <is>
          <t>C/ López Pintado, s/n</t>
        </is>
      </c>
      <c r="R46" s="50" t="n">
        <v>37.391881</v>
      </c>
      <c r="S46" s="50" t="n">
        <v>-6.009608</v>
      </c>
      <c r="T46" s="29" t="n"/>
      <c r="U46" s="29" t="inlineStr">
        <is>
          <t>Telefon 955 65 76 11.</t>
        </is>
      </c>
      <c r="V46" s="29" t="inlineStr">
        <is>
          <t>Hayır</t>
        </is>
      </c>
      <c r="W46" s="29" t="n"/>
    </row>
    <row r="47" ht="54" customHeight="1">
      <c r="A47" s="29" t="inlineStr">
        <is>
          <t>sevilla:real-academia-bellas-artes-sevilla</t>
        </is>
      </c>
      <c r="B47" s="29" t="inlineStr">
        <is>
          <t>sevilla</t>
        </is>
      </c>
      <c r="C47" s="29" t="inlineStr">
        <is>
          <t>real-academia-bellas-artes-sevilla</t>
        </is>
      </c>
      <c r="D47" s="29" t="inlineStr">
        <is>
          <t>Real Academia de Bellas Artes de Santa Isabel de Hungría</t>
        </is>
      </c>
      <c r="E47" s="29" t="inlineStr">
        <is>
          <t>Murillo'nun 1660 okulunun mirasçısı akademi, Casco Antiguo'da Pinelo Sarayı'nda</t>
        </is>
      </c>
      <c r="F47" s="29" t="inlineStr">
        <is>
          <t>Akademi, 1660'ta Murillo, Herrera el Mozo ve Valdés Leal'ın Casa Lonja'da kurduğu sanat okulunun mirasçısı olarak kendini tanımlıyor. Bugün Calle Abades 14'teki Casa-Palacio de los Pinelo'da; mimarlık, heykel, resim, müzik, arkeoloji ve sahne sanatları bölümlerinden oluşan 40 asıl üyesi var. Sevilla Güzel Sanatlar Müzesi'nin kurulmasında da rol oynamış bir kurum.</t>
        </is>
      </c>
      <c r="G47" s="29" t="inlineStr">
        <is>
          <t>Real Academia de Bellas Artes, Murillo, Pinelo Sarayı, Calle Abades, sanat akademisi</t>
        </is>
      </c>
      <c r="H47" s="29" t="inlineStr">
        <is>
          <t>settled</t>
        </is>
      </c>
      <c r="I47" s="29" t="inlineStr">
        <is>
          <t>sevilla:kaynak:348</t>
        </is>
      </c>
      <c r="J47" s="49" t="n">
        <v>46320</v>
      </c>
      <c r="K47" s="51" t="n">
        <v>54</v>
      </c>
      <c r="L47" s="29" t="inlineStr">
        <is>
          <t>Hayır</t>
        </is>
      </c>
      <c r="M47" s="29" t="inlineStr">
        <is>
          <t>Taslak</t>
        </is>
      </c>
      <c r="N47" s="29" t="inlineStr">
        <is>
          <t>Sanat ve sergiler</t>
        </is>
      </c>
      <c r="O47" s="29" t="inlineStr">
        <is>
          <t>Casco Antiguo</t>
        </is>
      </c>
      <c r="P47" s="29" t="inlineStr">
        <is>
          <t>Kapalı alan</t>
        </is>
      </c>
      <c r="Q47" s="29" t="inlineStr">
        <is>
          <t>Calle Abades, 14</t>
        </is>
      </c>
      <c r="R47" s="50" t="n">
        <v>37.3877</v>
      </c>
      <c r="S47" s="50" t="n">
        <v>-5.99106</v>
      </c>
      <c r="T47" s="29" t="n"/>
      <c r="U47" s="29" t="n"/>
      <c r="V47" s="29" t="inlineStr">
        <is>
          <t>Hayır</t>
        </is>
      </c>
      <c r="W47" s="29" t="n"/>
    </row>
    <row r="48" ht="54" customHeight="1">
      <c r="A48" s="29" t="inlineStr">
        <is>
          <t>sevilla:palacio-marqueses-de-la-algaba</t>
        </is>
      </c>
      <c r="B48" s="29" t="inlineStr">
        <is>
          <t>sevilla</t>
        </is>
      </c>
      <c r="C48" s="29" t="inlineStr">
        <is>
          <t>palacio-marqueses-de-la-algaba</t>
        </is>
      </c>
      <c r="D48" s="29" t="inlineStr">
        <is>
          <t>Palacio de los Marqueses de la Algaba (Centro Mudéjar)</t>
        </is>
      </c>
      <c r="E48" s="29" t="inlineStr">
        <is>
          <t>Feria Pazarı'nın arkasında 15. yüzyıldan kalma Mudéjar saray ve Mudéjar Sanat Merkezi</t>
        </is>
      </c>
      <c r="F48" s="29" t="inlineStr">
        <is>
          <t>15. yüzyıldan kalma saray, Sevilla'nın sivil Mudéjar sanatının en iyi örneklerinden biri sayılıyor; gotik-Mudéjar bir portali bugün de duruyor. Uzun bir yıkım sürecinden sonra restore edildi, 2013'ten beri Sevilla Mudéjar Sanat Merkezi'ne ev sahipliği yapıyor; aynı bina belediyenin Eğitim, Vatandaş Katılımı ve Belediye Binaları biriminin de merkezi. Mercado de la calle Feria'nın hemen arkasında.</t>
        </is>
      </c>
      <c r="G48" s="29" t="inlineStr">
        <is>
          <t>Mudéjar, Marqueses de la Algaba, Centro de Arte Mudéjar, Calle Feria, saray</t>
        </is>
      </c>
      <c r="H48" s="29" t="inlineStr">
        <is>
          <t>new;settled</t>
        </is>
      </c>
      <c r="I48" s="29" t="inlineStr">
        <is>
          <t>sevilla:kaynak:349</t>
        </is>
      </c>
      <c r="J48" s="49" t="n">
        <v>46320</v>
      </c>
      <c r="K48" s="51" t="n">
        <v>55</v>
      </c>
      <c r="L48" s="29" t="inlineStr">
        <is>
          <t>Hayır</t>
        </is>
      </c>
      <c r="M48" s="29" t="inlineStr">
        <is>
          <t>Taslak</t>
        </is>
      </c>
      <c r="N48" s="29" t="inlineStr">
        <is>
          <t>Sanat ve sergiler</t>
        </is>
      </c>
      <c r="O48" s="29" t="inlineStr">
        <is>
          <t>San Gil</t>
        </is>
      </c>
      <c r="P48" s="29" t="inlineStr">
        <is>
          <t>Kapalı alan</t>
        </is>
      </c>
      <c r="Q48" s="29" t="inlineStr">
        <is>
          <t>Plaza Calderón de la Barca s/n</t>
        </is>
      </c>
      <c r="R48" s="50" t="n">
        <v>37.399506</v>
      </c>
      <c r="S48" s="50" t="n">
        <v>-5.990702</v>
      </c>
      <c r="T48" s="29" t="n"/>
      <c r="U48" s="29" t="inlineStr">
        <is>
          <t>Açılış saatleri için telefon 955 472 097.</t>
        </is>
      </c>
      <c r="V48" s="29" t="inlineStr">
        <is>
          <t>Hayır</t>
        </is>
      </c>
      <c r="W48" s="29" t="n"/>
    </row>
    <row r="49" ht="54" customHeight="1">
      <c r="A49" s="29" t="inlineStr">
        <is>
          <t>sevilla:casa-de-la-provincia-sevilla</t>
        </is>
      </c>
      <c r="B49" s="29" t="inlineStr">
        <is>
          <t>sevilla</t>
        </is>
      </c>
      <c r="C49" s="29" t="inlineStr">
        <is>
          <t>casa-de-la-provincia-sevilla</t>
        </is>
      </c>
      <c r="D49" s="29" t="inlineStr">
        <is>
          <t>Casa de la Provincia</t>
        </is>
      </c>
      <c r="E49" s="29" t="inlineStr">
        <is>
          <t>Plaza del Triunfo'da sergi salonları, kütüphanesi ve etkinlik mekânı</t>
        </is>
      </c>
      <c r="F49" s="29" t="inlineStr">
        <is>
          <t>Plaza del Triunfo'daki Casa de la Provincia, sergi salonlarını halka açıyor. Kalıcı sergilerde Imprenta San Eloy koleksiyonu ve Despacho Museo var, bir kütüphane ve sanal ziyaret de sunuluyor. Sergiler salı–cumartesi 10:00–14:00 ve 18:00–21:00, pazar ve resmî tatillerde 10:00–14:00 açık; pazartesi kapalı.</t>
        </is>
      </c>
      <c r="G49" s="29" t="inlineStr">
        <is>
          <t>Casa de la Provincia, sergi, Plaza del Triunfo, kütüphane</t>
        </is>
      </c>
      <c r="H49" s="29" t="inlineStr">
        <is>
          <t>new;settled</t>
        </is>
      </c>
      <c r="I49" s="29" t="inlineStr">
        <is>
          <t>sevilla:kaynak:350;sevilla:kaynak:443</t>
        </is>
      </c>
      <c r="J49" s="49" t="n">
        <v>46320</v>
      </c>
      <c r="K49" s="51" t="n">
        <v>56</v>
      </c>
      <c r="L49" s="29" t="inlineStr">
        <is>
          <t>Hayır</t>
        </is>
      </c>
      <c r="M49" s="29" t="inlineStr">
        <is>
          <t>Taslak</t>
        </is>
      </c>
      <c r="N49" s="29" t="inlineStr">
        <is>
          <t>Sanat ve sergiler</t>
        </is>
      </c>
      <c r="O49" s="29" t="inlineStr">
        <is>
          <t>Casco Antiguo</t>
        </is>
      </c>
      <c r="P49" s="29" t="inlineStr">
        <is>
          <t>Kapalı alan</t>
        </is>
      </c>
      <c r="Q49" s="29" t="inlineStr">
        <is>
          <t>Plaza del Triunfo, 1, 41004 Sevilla</t>
        </is>
      </c>
      <c r="R49" s="50" t="n">
        <v>37.385429</v>
      </c>
      <c r="S49" s="50" t="n">
        <v>-5.992224</v>
      </c>
      <c r="T49" s="29" t="n"/>
      <c r="U49" s="29" t="inlineStr">
        <is>
          <t>Sitede kitap sunumu, müzik ve toplantı gibi etkinlikler listeleniyor; örneğin 18 Kasım 2026'da bir kitap sunumu var. Telefon 954 22 28 70.</t>
        </is>
      </c>
      <c r="V49" s="29" t="inlineStr">
        <is>
          <t>Hayır</t>
        </is>
      </c>
      <c r="W49" s="29" t="n"/>
    </row>
    <row r="50" ht="54" customHeight="1">
      <c r="A50" s="29" t="inlineStr">
        <is>
          <t>sevilla:acuario-de-sevilla</t>
        </is>
      </c>
      <c r="B50" s="29" t="inlineStr">
        <is>
          <t>sevilla</t>
        </is>
      </c>
      <c r="C50" s="29" t="inlineStr">
        <is>
          <t>acuario-de-sevilla</t>
        </is>
      </c>
      <c r="D50" s="29" t="inlineStr">
        <is>
          <t>Acuario de Sevilla</t>
        </is>
      </c>
      <c r="E50" s="29" t="inlineStr">
        <is>
          <t>Guadalquivir kıyısında Magellan'ın dünya turunu izleyen okyanus akvaryumu</t>
        </is>
      </c>
      <c r="F50" s="29" t="inlineStr">
        <is>
          <t>Muelle de las Delicias'ta, Delicias Bahçesi ile Guadalquivir arasındaki akvaryum, Magellan'ın ilk dünya seferinin izini sürerek Guadalquivir, Atlantik, tropik orman, okyanus, denizanası ve Afrika savanı gibi ekosistemleri geziyor. Her gün açık: hafta içi 10:00–18:00, hafta sonu 10:00–19:00. Biletçi ve gezi girişi kapanıştan bir saat önce kapanıyor.</t>
        </is>
      </c>
      <c r="G50" s="29" t="inlineStr">
        <is>
          <t>Sevilla akvaryumu, Acuario de Sevilla, aile, Guadalquivir, Muelle de las Delicias</t>
        </is>
      </c>
      <c r="H50" s="29" t="inlineStr">
        <is>
          <t>new;settled</t>
        </is>
      </c>
      <c r="I50" s="29" t="inlineStr">
        <is>
          <t>sevilla:kaynak:360;sevilla:kaynak:376</t>
        </is>
      </c>
      <c r="J50" s="49" t="n">
        <v>46320</v>
      </c>
      <c r="K50" s="51" t="n">
        <v>57</v>
      </c>
      <c r="L50" s="29" t="inlineStr">
        <is>
          <t>Hayır</t>
        </is>
      </c>
      <c r="M50" s="29" t="inlineStr">
        <is>
          <t>Taslak</t>
        </is>
      </c>
      <c r="N50" s="29" t="inlineStr">
        <is>
          <t>Çocuklarla keşif</t>
        </is>
      </c>
      <c r="O50" s="29" t="inlineStr">
        <is>
          <t>Sur</t>
        </is>
      </c>
      <c r="P50" s="29" t="inlineStr">
        <is>
          <t>Kapalı alan</t>
        </is>
      </c>
      <c r="Q50" s="29" t="inlineStr">
        <is>
          <t>Muelle de las Delicias, s/n (41012 Sevilla)</t>
        </is>
      </c>
      <c r="R50" s="50" t="n">
        <v>37.3705</v>
      </c>
      <c r="S50" s="50" t="n">
        <v>-5.99108</v>
      </c>
      <c r="T50" s="29" t="n"/>
      <c r="U50" s="29" t="inlineStr">
        <is>
          <t>Tussam 3, 6 ve 34 numaralı hatların La Palmera durağı var; en yakın metro durağı Puerta Jerez, yürüyerek yaklaşık 15 dakika. Bisiklet park yeri girişte, kapının yanındaki otopark ise akvaryuma ait değil. Yıllık geçiş (Pase Anual) satılıyor, okullar için ayrı programlar var. Telefon 955 44 15 41.</t>
        </is>
      </c>
      <c r="V50" s="29" t="inlineStr">
        <is>
          <t>Hayır</t>
        </is>
      </c>
      <c r="W50" s="29" t="n"/>
    </row>
    <row r="51" ht="54" customHeight="1">
      <c r="A51" s="29" t="inlineStr">
        <is>
          <t>sevilla:museo-de-las-ilusiones</t>
        </is>
      </c>
      <c r="B51" s="29" t="inlineStr">
        <is>
          <t>sevilla</t>
        </is>
      </c>
      <c r="C51" s="29" t="inlineStr">
        <is>
          <t>museo-de-las-ilusiones</t>
        </is>
      </c>
      <c r="D51" s="29" t="inlineStr">
        <is>
          <t>Museo de las Ilusiones (MOI)</t>
        </is>
      </c>
      <c r="E51" s="29" t="inlineStr">
        <is>
          <t>San Eloy Caddesi'nde optik yanılsama ve hologram denemeleriyle etkileşimli müze</t>
        </is>
      </c>
      <c r="F51" s="29" t="inlineStr">
        <is>
          <t>Sevilla'nın merkezinde, tüm yaşlara uygun etkileşimli bir deneyim müzesi. 60'tan fazla gösteride optik yanılsamalar, hologramlar, dönen odalar, bulmacalar ve imkânsız açılar var; ziyaretçi dokunabiliyor, fotoğraf çekebiliyor. Önerilen gezi süresi yaklaşık 45 dakika. Bilgi için moisevilla.es.</t>
        </is>
      </c>
      <c r="G51" s="29" t="inlineStr">
        <is>
          <t>Museo de las Ilusiones, optik yanılsama, çocuklarla Sevilla, etkileşimli müze, MOI</t>
        </is>
      </c>
      <c r="H51" s="29" t="inlineStr">
        <is>
          <t>new;settled</t>
        </is>
      </c>
      <c r="I51" s="29" t="inlineStr">
        <is>
          <t>sevilla:kaynak:361</t>
        </is>
      </c>
      <c r="J51" s="49" t="n">
        <v>46320</v>
      </c>
      <c r="K51" s="51" t="n">
        <v>58</v>
      </c>
      <c r="L51" s="29" t="inlineStr">
        <is>
          <t>Hayır</t>
        </is>
      </c>
      <c r="M51" s="29" t="inlineStr">
        <is>
          <t>Taslak</t>
        </is>
      </c>
      <c r="N51" s="29" t="inlineStr">
        <is>
          <t>Çocuklarla keşif</t>
        </is>
      </c>
      <c r="O51" s="29" t="inlineStr">
        <is>
          <t>Casco Antiguo</t>
        </is>
      </c>
      <c r="P51" s="29" t="inlineStr">
        <is>
          <t>Kapalı alan</t>
        </is>
      </c>
      <c r="Q51" s="29" t="inlineStr">
        <is>
          <t>c/ San Eloy 28, 41001 Sevilla</t>
        </is>
      </c>
      <c r="R51" s="50" t="n">
        <v>37.392041</v>
      </c>
      <c r="S51" s="50" t="n">
        <v>-5.996661</v>
      </c>
      <c r="T51" s="29" t="n"/>
      <c r="U51" s="29" t="inlineStr">
        <is>
          <t>Grup ziyaretleri için info@moisevilla.es adresine yazılıyor.</t>
        </is>
      </c>
      <c r="V51" s="29" t="inlineStr">
        <is>
          <t>Hayır</t>
        </is>
      </c>
      <c r="W51" s="29" t="n"/>
    </row>
    <row r="52" ht="54" customHeight="1">
      <c r="A52" s="29" t="inlineStr">
        <is>
          <t>sevilla:estadio-sanchez-pizjuan-tur</t>
        </is>
      </c>
      <c r="B52" s="29" t="inlineStr">
        <is>
          <t>sevilla</t>
        </is>
      </c>
      <c r="C52" s="29" t="inlineStr">
        <is>
          <t>estadio-sanchez-pizjuan-tur</t>
        </is>
      </c>
      <c r="D52" s="29" t="inlineStr">
        <is>
          <t>Estadio Ramón Sánchez-Pizjuán (Sevilla FC turu)</t>
        </is>
      </c>
      <c r="E52" s="29" t="inlineStr">
        <is>
          <t>Nervión'da Sevilla FC stadyum turu: kulüp müzesi, soyunma odaları, saha</t>
        </is>
      </c>
      <c r="F52" s="29" t="inlineStr">
        <is>
          <t>Sevilla FC Stadium Club Tour, Ramón Sánchez-Pizjuán stadyumunu kulüp tarihi müzesi, onur locası, basın odası, soyunma odası, oyuncu tüneli, yedek kulübeleri ve saha kenarıyla baştan sona geziyor; sanal gerçeklik gözlüğüyle stadyum deneyimi de eklenebiliyor. Bireysel bilet 14 euro; aile paketi, grup ve okul gruplarına özel fiyatlar var.</t>
        </is>
      </c>
      <c r="G52" s="29" t="inlineStr">
        <is>
          <t>Sevilla FC, stadyum turu, Sánchez-Pizjuán, futbol müzesi, Nervión</t>
        </is>
      </c>
      <c r="H52" s="29" t="inlineStr">
        <is>
          <t>new;settled</t>
        </is>
      </c>
      <c r="I52" s="29" t="inlineStr">
        <is>
          <t>sevilla:kaynak:362</t>
        </is>
      </c>
      <c r="J52" s="49" t="n">
        <v>46320</v>
      </c>
      <c r="K52" s="51" t="n">
        <v>59</v>
      </c>
      <c r="L52" s="29" t="inlineStr">
        <is>
          <t>Hayır</t>
        </is>
      </c>
      <c r="M52" s="29" t="inlineStr">
        <is>
          <t>Taslak</t>
        </is>
      </c>
      <c r="N52" s="29" t="inlineStr">
        <is>
          <t>Spor</t>
        </is>
      </c>
      <c r="O52" s="29" t="inlineStr">
        <is>
          <t>Nervión</t>
        </is>
      </c>
      <c r="P52" s="29" t="inlineStr">
        <is>
          <t>Karma</t>
        </is>
      </c>
      <c r="Q52" s="29" t="inlineStr">
        <is>
          <t>Calle Sevilla Fútbol Club, s/n, 41005 Sevilla</t>
        </is>
      </c>
      <c r="R52" s="50" t="n">
        <v>37.383878</v>
      </c>
      <c r="S52" s="50" t="n">
        <v>-5.970467</v>
      </c>
      <c r="T52" s="29" t="n"/>
      <c r="U52" s="29" t="inlineStr">
        <is>
          <t>Günlük tur saatleri kulübün sitesi sevillafc.es'te; grup soruları stadiumtour@sevillafc.com adresine. Telefon +34 954 53 53 53.</t>
        </is>
      </c>
      <c r="V52" s="29" t="inlineStr">
        <is>
          <t>Hayır</t>
        </is>
      </c>
      <c r="W52" s="29" t="n"/>
    </row>
    <row r="53" ht="54" customHeight="1">
      <c r="A53" s="29" t="inlineStr">
        <is>
          <t>sevilla:estadio-la-cartuja</t>
        </is>
      </c>
      <c r="B53" s="29" t="inlineStr">
        <is>
          <t>sevilla</t>
        </is>
      </c>
      <c r="C53" s="29" t="inlineStr">
        <is>
          <t>estadio-la-cartuja</t>
        </is>
      </c>
      <c r="D53" s="29" t="inlineStr">
        <is>
          <t>Estadio La Cartuja</t>
        </is>
      </c>
      <c r="E53" s="29" t="inlineStr">
        <is>
          <t>Cartuja Adası'nın kuzeyinde etkinlik stadyumu</t>
        </is>
      </c>
      <c r="F53" s="29" t="inlineStr">
        <is>
          <t>Estadio La Cartuja, Isla de la Cartuja'nın kuzey sektöründe bir etkinlik stadyumu. Resmî sitenin iletişim sayfası etkinlik düzenlemek isteyenler için bir form sunuyor; stadyumun adresi Puerta 5, 4. kat olarak veriliyor.</t>
        </is>
      </c>
      <c r="G53" s="29" t="inlineStr">
        <is>
          <t>Estadio La Cartuja, Cartuja Adası, stadyum, etkinlik</t>
        </is>
      </c>
      <c r="H53" s="29" t="inlineStr">
        <is>
          <t>planning;new</t>
        </is>
      </c>
      <c r="I53" s="29" t="inlineStr">
        <is>
          <t>sevilla:kaynak:363</t>
        </is>
      </c>
      <c r="J53" s="49" t="n">
        <v>46320</v>
      </c>
      <c r="K53" s="51" t="n">
        <v>60</v>
      </c>
      <c r="L53" s="29" t="inlineStr">
        <is>
          <t>Hayır</t>
        </is>
      </c>
      <c r="M53" s="29" t="inlineStr">
        <is>
          <t>Taslak</t>
        </is>
      </c>
      <c r="N53" s="29" t="inlineStr">
        <is>
          <t>Spor</t>
        </is>
      </c>
      <c r="O53" s="29" t="inlineStr">
        <is>
          <t>Isla de la Cartuja</t>
        </is>
      </c>
      <c r="P53" s="29" t="inlineStr">
        <is>
          <t>Açık hava</t>
        </is>
      </c>
      <c r="Q53" s="29" t="inlineStr">
        <is>
          <t>Puerta 5. 4ª Planta. Isla de la Cartuja. Sector Norte. 41092 Sevilla</t>
        </is>
      </c>
      <c r="R53" s="50" t="n">
        <v>37.417236</v>
      </c>
      <c r="S53" s="50" t="n">
        <v>-6.004564</v>
      </c>
      <c r="T53" s="29" t="n"/>
      <c r="U53" s="29" t="inlineStr">
        <is>
          <t>Telefon (+34) 954 489 400; genel e-posta estadio@estadiolacartuja.es.</t>
        </is>
      </c>
      <c r="V53" s="29" t="inlineStr">
        <is>
          <t>Hayır</t>
        </is>
      </c>
      <c r="W53" s="29" t="n"/>
    </row>
    <row r="54" ht="54" customHeight="1">
      <c r="A54" s="29" t="inlineStr">
        <is>
          <t>sevilla:centro-nautico-alamillo</t>
        </is>
      </c>
      <c r="B54" s="29" t="inlineStr">
        <is>
          <t>sevilla</t>
        </is>
      </c>
      <c r="C54" s="29" t="inlineStr">
        <is>
          <t>centro-nautico-alamillo</t>
        </is>
      </c>
      <c r="D54" s="29" t="inlineStr">
        <is>
          <t>Centro Náutico Alamillo (kano, kürek, paddle)</t>
        </is>
      </c>
      <c r="E54" s="29" t="inlineStr">
        <is>
          <t>Alamillo Parkı'nda Guadalquivir üzerinde kayak, paddle sörf, kürek ve kano</t>
        </is>
      </c>
      <c r="F54" s="29" t="inlineStr">
        <is>
          <t>Federación Andaluza de Remo'nun işlettiği tesis, Guadalquivir'de her seviyeye kayak, paddle sörf, kürek ve kano deneyimi sunuyor; başlangıç için rehberli seanslar var. Bazı günlük etkinliklere bireysel, gruplara ise istedikleri gün ve saate rezervasyon yapılıyor. Hafta içi 10:00–14:00 ve 16:00–20:00 açık; hafta sonu saatleri sezona göre değişiyor.</t>
        </is>
      </c>
      <c r="G54" s="29" t="inlineStr">
        <is>
          <t>kano, paddle sörf, kürek, Alamillo Parkı, Guadalquivir, su sporları</t>
        </is>
      </c>
      <c r="H54" s="29" t="inlineStr">
        <is>
          <t>new;settled</t>
        </is>
      </c>
      <c r="I54" s="29" t="inlineStr">
        <is>
          <t>sevilla:kaynak:364</t>
        </is>
      </c>
      <c r="J54" s="49" t="n">
        <v>46320</v>
      </c>
      <c r="K54" s="51" t="n">
        <v>61</v>
      </c>
      <c r="L54" s="29" t="inlineStr">
        <is>
          <t>Hayır</t>
        </is>
      </c>
      <c r="M54" s="29" t="inlineStr">
        <is>
          <t>Taslak</t>
        </is>
      </c>
      <c r="N54" s="29" t="inlineStr">
        <is>
          <t>Spor</t>
        </is>
      </c>
      <c r="O54" s="29" t="inlineStr">
        <is>
          <t>Isla de la Cartuja</t>
        </is>
      </c>
      <c r="P54" s="29" t="inlineStr">
        <is>
          <t>Açık hava</t>
        </is>
      </c>
      <c r="Q54" s="29" t="inlineStr">
        <is>
          <t>Parque del Alamillo (Parking Los Olmos)</t>
        </is>
      </c>
      <c r="R54" s="50" t="n"/>
      <c r="S54" s="50" t="n"/>
      <c r="T54" s="29" t="n"/>
      <c r="U54" s="29" t="inlineStr">
        <is>
          <t>Rezervasyon telefonla: 682 49 39 66. Tesisin kendi sitesi centronauticoalamillo.com.</t>
        </is>
      </c>
      <c r="V54" s="29" t="inlineStr">
        <is>
          <t>Hayır</t>
        </is>
      </c>
      <c r="W54" s="29" t="n"/>
    </row>
    <row r="55" ht="54" customHeight="1">
      <c r="A55" s="29" t="inlineStr">
        <is>
          <t>sevilla:teatro-de-la-maestranza</t>
        </is>
      </c>
      <c r="B55" s="29" t="inlineStr">
        <is>
          <t>sevilla</t>
        </is>
      </c>
      <c r="C55" s="29" t="inlineStr">
        <is>
          <t>teatro-de-la-maestranza</t>
        </is>
      </c>
      <c r="D55" s="29" t="inlineStr">
        <is>
          <t>Teatro de la Maestranza</t>
        </is>
      </c>
      <c r="E55" s="29" t="inlineStr">
        <is>
          <t>Guadalquivir kıyısında 1991'den beri opera, senfoni ve dans sahnesi, El Arenal</t>
        </is>
      </c>
      <c r="F55" s="29" t="inlineStr">
        <is>
          <t>Yuvarlak bir yapıdaki tiyatro, Guadalquivir kıyısında boğa arenasının yanında; 1991'de açıldı ve akustiğiyle tanınıyor. 1.800 kişilik salonunda opera, senfoni ve dans programları sunuluyor; Sevilla Kraliyet Orkestrası'nın (ROSS) evi ve Flamenko Bienali'nin düzenli mekânlarından. Yapı eski Maestranza de Artillería arazisinde ve 19. yüzyıldan kalma neoklasik cepheyi ana girişi olarak koruyor.</t>
        </is>
      </c>
      <c r="G55" s="29" t="inlineStr">
        <is>
          <t>Teatro de la Maestranza, opera, ROSS, senfoni, Flamenko Bienali, El Arenal</t>
        </is>
      </c>
      <c r="H55" s="29" t="inlineStr">
        <is>
          <t>new;settled</t>
        </is>
      </c>
      <c r="I55" s="29" t="inlineStr">
        <is>
          <t>sevilla:kaynak:374;sevilla:kaynak:375</t>
        </is>
      </c>
      <c r="J55" s="49" t="n">
        <v>46320</v>
      </c>
      <c r="K55" s="51" t="n">
        <v>62</v>
      </c>
      <c r="L55" s="29" t="inlineStr">
        <is>
          <t>Hayır</t>
        </is>
      </c>
      <c r="M55" s="29" t="inlineStr">
        <is>
          <t>Taslak</t>
        </is>
      </c>
      <c r="N55" s="29" t="inlineStr">
        <is>
          <t>Sahne ve müzik</t>
        </is>
      </c>
      <c r="O55" s="29" t="inlineStr">
        <is>
          <t>El Arenal</t>
        </is>
      </c>
      <c r="P55" s="29" t="inlineStr">
        <is>
          <t>Kapalı alan</t>
        </is>
      </c>
      <c r="Q55" s="29" t="inlineStr">
        <is>
          <t>Paseo de Cristóbal Colón, 22, 41001 Sevilla</t>
        </is>
      </c>
      <c r="R55" s="50" t="n">
        <v>37.3838</v>
      </c>
      <c r="S55" s="50" t="n">
        <v>-5.99713</v>
      </c>
      <c r="T55" s="29" t="n"/>
      <c r="U55" s="29" t="inlineStr">
        <is>
          <t>Telefon +34 954 223 344. Yanındaki boğa arenasıyla aynı adı paylaşıyor.</t>
        </is>
      </c>
      <c r="V55" s="29" t="inlineStr">
        <is>
          <t>Hayır</t>
        </is>
      </c>
      <c r="W55" s="29" t="n"/>
    </row>
    <row r="56" ht="54" customHeight="1">
      <c r="A56" s="29" t="inlineStr">
        <is>
          <t>sevilla:teatro-lope-de-vega</t>
        </is>
      </c>
      <c r="B56" s="29" t="inlineStr">
        <is>
          <t>sevilla</t>
        </is>
      </c>
      <c r="C56" s="29" t="inlineStr">
        <is>
          <t>teatro-lope-de-vega</t>
        </is>
      </c>
      <c r="D56" s="29" t="inlineStr">
        <is>
          <t>Teatro Lope de Vega</t>
        </is>
      </c>
      <c r="E56" s="29" t="inlineStr">
        <is>
          <t>María Luisa Parkı yanında 1929 İbero-Amerikan Sergisi'nden kalma neobarok tiyatro</t>
        </is>
      </c>
      <c r="F56" s="29" t="inlineStr">
        <is>
          <t>Avenida de María Luisa'daki neobarok tiyatro 1929'da yapıldı; büyük kubbeli salon İbero-Amerikan Sergisi'nin Casino'sundan kalma ve bugün onur girişi olarak kullanılıyor. Mimar Vicente Traver'in yaptığı salon 1.100 seyirci alıyordu; 1980'lerde belediye tiyatrosu oldu. Tiyatro, dans, opera, caz ve flamenko programları sunuyor. Turizm portalı, tiyatronun sezon başına 180'den fazla gösteri sunduğunu ve 100.000'in üzerinde seyirci çektiğini yazıyor.</t>
        </is>
      </c>
      <c r="G56" s="29" t="inlineStr">
        <is>
          <t>Teatro Lope de Vega, tiyatro, neobarok, İbero-Amerikan Sergisi, María Luisa</t>
        </is>
      </c>
      <c r="H56" s="29" t="inlineStr">
        <is>
          <t>new;settled</t>
        </is>
      </c>
      <c r="I56" s="29" t="inlineStr">
        <is>
          <t>sevilla:kaynak:366;sevilla:kaynak:419</t>
        </is>
      </c>
      <c r="J56" s="49" t="n">
        <v>46320</v>
      </c>
      <c r="K56" s="51" t="n">
        <v>63</v>
      </c>
      <c r="L56" s="29" t="inlineStr">
        <is>
          <t>Hayır</t>
        </is>
      </c>
      <c r="M56" s="29" t="inlineStr">
        <is>
          <t>Taslak</t>
        </is>
      </c>
      <c r="N56" s="29" t="inlineStr">
        <is>
          <t>Sahne ve müzik</t>
        </is>
      </c>
      <c r="O56" s="29" t="inlineStr">
        <is>
          <t>Parque de María Luisa</t>
        </is>
      </c>
      <c r="P56" s="29" t="inlineStr">
        <is>
          <t>Kapalı alan</t>
        </is>
      </c>
      <c r="Q56" s="29" t="inlineStr">
        <is>
          <t>Avenida de María Luisa, s/n</t>
        </is>
      </c>
      <c r="R56" s="50" t="n">
        <v>37.37856048</v>
      </c>
      <c r="S56" s="50" t="n">
        <v>-5.990896374</v>
      </c>
      <c r="T56" s="29" t="n"/>
      <c r="U56" s="29" t="inlineStr">
        <is>
          <t>1 Eylül 2026 itibarıyla El Español haberine göre tiyatro, belediyenin 10 milyon euroluk kapsamlı yenilemesinin ardından Eylül'de yeniden açılıyor. Telefon 955 47 28 28.</t>
        </is>
      </c>
      <c r="V56" s="29" t="inlineStr">
        <is>
          <t>Hayır</t>
        </is>
      </c>
      <c r="W56" s="29" t="n"/>
    </row>
    <row r="57" ht="54" customHeight="1">
      <c r="A57" s="29" t="inlineStr">
        <is>
          <t>sevilla:el-patio-sevillano</t>
        </is>
      </c>
      <c r="B57" s="29" t="inlineStr">
        <is>
          <t>sevilla</t>
        </is>
      </c>
      <c r="C57" s="29" t="inlineStr">
        <is>
          <t>el-patio-sevillano</t>
        </is>
      </c>
      <c r="D57" s="29" t="inlineStr">
        <is>
          <t>El Patio Sevillano</t>
        </is>
      </c>
      <c r="E57" s="29" t="inlineStr">
        <is>
          <t>Paseo de Colón'da 1952'den beri flamenko gösterisi sunan tablao</t>
        </is>
      </c>
      <c r="F57" s="29" t="inlineStr">
        <is>
          <t>1952'de kurulan tablao, kendi sitesine göre Sevilla'nın en eski flamenko gösteri mekânı; Triana Köprüsü, Maestranza boğa arenası ve Torre del Oro'nun yakınında. Sitede, tarih belirtilmeden, dört bilet seçeneği listeleniyor: yalnız gösteri 30 euro, bir içecekli gösteri 40 euro, tapas yemekli gösteri 65 euro ve menülü yemekli gösteri 80 euro (kişi başı).</t>
        </is>
      </c>
      <c r="G57" s="29" t="inlineStr">
        <is>
          <t>flamenko tablao, El Patio Sevillano, flamenko gösterisi, Paseo de Colón, Sevilla</t>
        </is>
      </c>
      <c r="H57" s="29" t="inlineStr">
        <is>
          <t>planning;new</t>
        </is>
      </c>
      <c r="I57" s="29" t="inlineStr">
        <is>
          <t>sevilla:kaynak:367;sevilla:kaynak:441</t>
        </is>
      </c>
      <c r="J57" s="49" t="n">
        <v>46320</v>
      </c>
      <c r="K57" s="51" t="n">
        <v>64</v>
      </c>
      <c r="L57" s="29" t="inlineStr">
        <is>
          <t>Hayır</t>
        </is>
      </c>
      <c r="M57" s="29" t="inlineStr">
        <is>
          <t>Taslak</t>
        </is>
      </c>
      <c r="N57" s="29" t="inlineStr">
        <is>
          <t>Sahne ve müzik</t>
        </is>
      </c>
      <c r="O57" s="29" t="inlineStr">
        <is>
          <t>El Arenal</t>
        </is>
      </c>
      <c r="P57" s="29" t="inlineStr">
        <is>
          <t>Kapalı alan</t>
        </is>
      </c>
      <c r="Q57" s="29" t="inlineStr">
        <is>
          <t>Paseo Cristóbal Colón, 11 A 41001 SEVILLA</t>
        </is>
      </c>
      <c r="R57" s="50" t="n">
        <v>37.384719</v>
      </c>
      <c r="S57" s="50" t="n">
        <v>-5.997953</v>
      </c>
      <c r="T57" s="29" t="n"/>
      <c r="U57" s="29" t="inlineStr">
        <is>
          <t>Tapas menüsü 3 soğuk ve 3 sıcak tapas ile tatlı ve içeceği kapsıyor; 80 euroluk menü ise başlangıç mezeleri (entremeses), iki yemek (altı seçenek), tatlı ve içecek içeriyor. Rezervasyon e-postası booking@elpatiosevillano.com, telefon +34 954 21 41 20.</t>
        </is>
      </c>
      <c r="V57" s="29" t="inlineStr">
        <is>
          <t>Hayır</t>
        </is>
      </c>
      <c r="W57" s="29" t="n"/>
    </row>
    <row r="58" ht="54" customHeight="1">
      <c r="A58" s="29" t="inlineStr">
        <is>
          <t>sevilla:cartuja-center-cite</t>
        </is>
      </c>
      <c r="B58" s="29" t="inlineStr">
        <is>
          <t>sevilla</t>
        </is>
      </c>
      <c r="C58" s="29" t="inlineStr">
        <is>
          <t>cartuja-center-cite</t>
        </is>
      </c>
      <c r="D58" s="29" t="inlineStr">
        <is>
          <t>Cartuja Center CITE</t>
        </is>
      </c>
      <c r="E58" s="29" t="inlineStr">
        <is>
          <t>Cartuja Adası'nda 2.000'den fazla kişilik konser ve tiyatro salonu</t>
        </is>
      </c>
      <c r="F58" s="29" t="inlineStr">
        <is>
          <t>2017'de açılan Cartuja Center CITE (Kültür, İnovasyon ve Sahne Teknolojisi), Cartuja Adası'ndaki modern bir sahne yapısı; 2.000'den fazla kişilik ana salonunda konser, müzikal, tiyatro, fuar ve profesyonel etkinlikler yapılıyor. Cephesi gösteriye göre renk değiştiriyor. Sabit açılış saati yok, program etkinliklere göre.</t>
        </is>
      </c>
      <c r="G58" s="29" t="inlineStr">
        <is>
          <t>Cartuja Center, konser salonu, müzikal, Cartuja Adası, CITE</t>
        </is>
      </c>
      <c r="H58" s="29" t="inlineStr">
        <is>
          <t>planning;new</t>
        </is>
      </c>
      <c r="I58" s="29" t="inlineStr">
        <is>
          <t>sevilla:kaynak:368</t>
        </is>
      </c>
      <c r="J58" s="49" t="n">
        <v>46320</v>
      </c>
      <c r="K58" s="51" t="n">
        <v>65</v>
      </c>
      <c r="L58" s="29" t="inlineStr">
        <is>
          <t>Hayır</t>
        </is>
      </c>
      <c r="M58" s="29" t="inlineStr">
        <is>
          <t>Taslak</t>
        </is>
      </c>
      <c r="N58" s="29" t="inlineStr">
        <is>
          <t>Sahne ve müzik</t>
        </is>
      </c>
      <c r="O58" s="29" t="inlineStr">
        <is>
          <t>Isla de la Cartuja</t>
        </is>
      </c>
      <c r="P58" s="29" t="inlineStr">
        <is>
          <t>Kapalı alan</t>
        </is>
      </c>
      <c r="Q58" s="29" t="inlineStr">
        <is>
          <t>C/ Leonardo da Vinci, 7, 41092 Sevilla</t>
        </is>
      </c>
      <c r="R58" s="50" t="n">
        <v>37.40537323585269</v>
      </c>
      <c r="S58" s="50" t="n">
        <v>-6.00789724211186</v>
      </c>
      <c r="T58" s="29" t="n"/>
      <c r="U58" s="29" t="inlineStr">
        <is>
          <t>Katılımcılar için özel otopark var, kafeterya ve bekleme alanları gösteri öncesi kullanılabiliyor. Telefon +34 955 54 35 00.</t>
        </is>
      </c>
      <c r="V58" s="29" t="inlineStr">
        <is>
          <t>Hayır</t>
        </is>
      </c>
      <c r="W58" s="29" t="n"/>
    </row>
    <row r="59" ht="54" customHeight="1">
      <c r="A59" s="29" t="inlineStr">
        <is>
          <t>sevilla:teatro-central-sevilla</t>
        </is>
      </c>
      <c r="B59" s="29" t="inlineStr">
        <is>
          <t>sevilla</t>
        </is>
      </c>
      <c r="C59" s="29" t="inlineStr">
        <is>
          <t>teatro-central-sevilla</t>
        </is>
      </c>
      <c r="D59" s="29" t="inlineStr">
        <is>
          <t>Teatro Central</t>
        </is>
      </c>
      <c r="E59" s="29" t="inlineStr">
        <is>
          <t>Cartuja Adası'nda dans, çağdaş müzik ve caz sahnesi</t>
        </is>
      </c>
      <c r="F59" s="29" t="inlineStr">
        <is>
          <t>Teatro Central, Cartuja Adası'ndaki Calle José de Gálvez'de; Sala A ve Sala Manuel Llanes adlı sahnelerde program sunuyor. Sayfadaki programa göre dans ve çağdaş müzik, "Filmoteca en el Central 26/27" sinema dizisi ve Kasım 2026'da "Jazz en Noviembre" festivali yer alıyor.</t>
        </is>
      </c>
      <c r="G59" s="29" t="inlineStr">
        <is>
          <t>Teatro Central, dans, caz festivali, Filmoteca, Cartuja Adası</t>
        </is>
      </c>
      <c r="H59" s="29" t="inlineStr">
        <is>
          <t>planning;new</t>
        </is>
      </c>
      <c r="I59" s="29" t="inlineStr">
        <is>
          <t>sevilla:kaynak:369</t>
        </is>
      </c>
      <c r="J59" s="49" t="n">
        <v>46320</v>
      </c>
      <c r="K59" s="51" t="n">
        <v>66</v>
      </c>
      <c r="L59" s="29" t="inlineStr">
        <is>
          <t>Hayır</t>
        </is>
      </c>
      <c r="M59" s="29" t="inlineStr">
        <is>
          <t>Taslak</t>
        </is>
      </c>
      <c r="N59" s="29" t="inlineStr">
        <is>
          <t>Sahne ve müzik</t>
        </is>
      </c>
      <c r="O59" s="29" t="inlineStr">
        <is>
          <t>Isla de la Cartuja</t>
        </is>
      </c>
      <c r="P59" s="29" t="inlineStr">
        <is>
          <t>Kapalı alan</t>
        </is>
      </c>
      <c r="Q59" s="29" t="inlineStr">
        <is>
          <t>Calle José de Gálvez, 6, 41092 Sevilla</t>
        </is>
      </c>
      <c r="R59" s="50" t="n">
        <v>37.40816558</v>
      </c>
      <c r="S59" s="50" t="n">
        <v>-5.995985149</v>
      </c>
      <c r="T59" s="29" t="n"/>
      <c r="U59" s="29" t="inlineStr">
        <is>
          <t>Sayfadaki 30–31 Ekim programında Laila Tafur/Enrique del Castillo (Sala Manuel Llanes) ve Marcat Dance "Pueblo" (Sala A) gösterileri 23 euro. Programdaki Mark Guiliana ve Carla Bley–Charlie Haden anması gibi caz konserleri Kasım ayında.</t>
        </is>
      </c>
      <c r="V59" s="29" t="inlineStr">
        <is>
          <t>Hayır</t>
        </is>
      </c>
      <c r="W59" s="29" t="n"/>
    </row>
    <row r="60" ht="54" customHeight="1">
      <c r="A60" s="29" t="inlineStr">
        <is>
          <t>sevilla:auditorio-cartuja-sevilla</t>
        </is>
      </c>
      <c r="B60" s="29" t="inlineStr">
        <is>
          <t>sevilla</t>
        </is>
      </c>
      <c r="C60" s="29" t="inlineStr">
        <is>
          <t>auditorio-cartuja-sevilla</t>
        </is>
      </c>
      <c r="D60" s="29" t="inlineStr">
        <is>
          <t>Ibercaja Auditorio Cartuja</t>
        </is>
      </c>
      <c r="E60" s="29" t="inlineStr">
        <is>
          <t>Cartuja Adası'nda konser ve etkinlik salonu</t>
        </is>
      </c>
      <c r="F60" s="29" t="inlineStr">
        <is>
          <t>Cartuja Adası'ndaki C. Albert Einstein adresinde bulunan salon, konser ve diğer etkinlikler için etkinlik düzenlemek isteyenler için bir iletişim sayfası yayımlıyor. Telefon +34 954 722 968; sitedeki sohbet hattı hafta içi 8:00–16:00 yanıt veriyor.</t>
        </is>
      </c>
      <c r="G60" s="29" t="inlineStr">
        <is>
          <t>Auditorio Cartuja, Ibercaja, konser salonu, Cartuja Adası, etkinlik</t>
        </is>
      </c>
      <c r="H60" s="29" t="inlineStr">
        <is>
          <t>planning;new</t>
        </is>
      </c>
      <c r="I60" s="29" t="inlineStr">
        <is>
          <t>sevilla:kaynak:370</t>
        </is>
      </c>
      <c r="J60" s="49" t="n">
        <v>46320</v>
      </c>
      <c r="K60" s="51" t="n">
        <v>67</v>
      </c>
      <c r="L60" s="29" t="inlineStr">
        <is>
          <t>Hayır</t>
        </is>
      </c>
      <c r="M60" s="29" t="inlineStr">
        <is>
          <t>Taslak</t>
        </is>
      </c>
      <c r="N60" s="29" t="inlineStr">
        <is>
          <t>Sahne ve müzik</t>
        </is>
      </c>
      <c r="O60" s="29" t="inlineStr">
        <is>
          <t>Isla de la Cartuja</t>
        </is>
      </c>
      <c r="P60" s="29" t="inlineStr">
        <is>
          <t>Kapalı alan</t>
        </is>
      </c>
      <c r="Q60" s="29" t="inlineStr">
        <is>
          <t>C. Albert Einstein, s/n, 41092 Sevilla</t>
        </is>
      </c>
      <c r="R60" s="50" t="n">
        <v>37.40456088888889</v>
      </c>
      <c r="S60" s="50" t="n">
        <v>-6.006209</v>
      </c>
      <c r="T60" s="29" t="n"/>
      <c r="U60" s="29" t="inlineStr">
        <is>
          <t>Sitesinde salon Ibercaja Auditorio Cartuja adıyla karşılıyor.</t>
        </is>
      </c>
      <c r="V60" s="29" t="inlineStr">
        <is>
          <t>Hayır</t>
        </is>
      </c>
      <c r="W60" s="29" t="n"/>
    </row>
    <row r="61" ht="54" customHeight="1">
      <c r="A61" s="29" t="inlineStr">
        <is>
          <t>sevilla:mercado-de-triana</t>
        </is>
      </c>
      <c r="B61" s="29" t="inlineStr">
        <is>
          <t>sevilla</t>
        </is>
      </c>
      <c r="C61" s="29" t="inlineStr">
        <is>
          <t>mercado-de-triana</t>
        </is>
      </c>
      <c r="D61" s="29" t="inlineStr">
        <is>
          <t>Mercado de Triana</t>
        </is>
      </c>
      <c r="E61" s="29" t="inlineStr">
        <is>
          <t>Plaza del Altozano'da San Jorge Kalesi kalıntıları üzerinde tarihî hâl pazarı</t>
        </is>
      </c>
      <c r="F61" s="29" t="inlineStr">
        <is>
          <t>Triana'nın merkezindeki pazar yeri 1823 kökenli ve Inkvizisyon merkezi olan San Jorge Kalesi'nin arazisinde; 2001'de tamamen yenilenip yeniden açıldı. Yaklaşık 4.000 m² alanda 100'e yakın tezgâh var: meyve, sebze, balık, et, ekmek, otlar, çiçek, tapas barları ve kafeler. Zemin katta Castillo de San Jorge Yorum Merkezi kalıntıları gösteriyor. Pazartesi–cumartesi 9:00–00:00, pazar ve resmî tatillerde 9:00–17:00 açık.</t>
        </is>
      </c>
      <c r="G61" s="29" t="inlineStr">
        <is>
          <t>Mercado de Triana, hâl pazarı, tapas, San Jorge Kalesi, Triana</t>
        </is>
      </c>
      <c r="H61" s="29" t="inlineStr">
        <is>
          <t>new;settled</t>
        </is>
      </c>
      <c r="I61" s="29" t="inlineStr">
        <is>
          <t>sevilla:kaynak:371</t>
        </is>
      </c>
      <c r="J61" s="49" t="n">
        <v>46320</v>
      </c>
      <c r="K61" s="51" t="n">
        <v>68</v>
      </c>
      <c r="L61" s="29" t="inlineStr">
        <is>
          <t>Hayır</t>
        </is>
      </c>
      <c r="M61" s="29" t="inlineStr">
        <is>
          <t>Taslak</t>
        </is>
      </c>
      <c r="N61" s="29" t="inlineStr">
        <is>
          <t>Yeme ve içme</t>
        </is>
      </c>
      <c r="O61" s="29" t="inlineStr">
        <is>
          <t>Triana</t>
        </is>
      </c>
      <c r="P61" s="29" t="inlineStr">
        <is>
          <t>Kapalı alan</t>
        </is>
      </c>
      <c r="Q61" s="29" t="inlineStr">
        <is>
          <t>C. San Jorge, 6</t>
        </is>
      </c>
      <c r="R61" s="50" t="n">
        <v>37.385680555556</v>
      </c>
      <c r="S61" s="50" t="n">
        <v>-6.0034416666667</v>
      </c>
      <c r="T61" s="29" t="n"/>
      <c r="U61" s="29" t="inlineStr">
        <is>
          <t>Gerçek pazar havasını görmek için hafta içi sabah gitmek öneriliyor. Barda salmorejo, kızarmış balık ve kroket denenebiliyor. Telefon +34 674 074 099.</t>
        </is>
      </c>
      <c r="V61" s="29" t="inlineStr">
        <is>
          <t>Hayır</t>
        </is>
      </c>
      <c r="W61" s="29" t="n"/>
    </row>
    <row r="62" ht="54" customHeight="1">
      <c r="A62" s="29" t="inlineStr">
        <is>
          <t>sevilla:mercado-de-la-calle-feria</t>
        </is>
      </c>
      <c r="B62" s="29" t="inlineStr">
        <is>
          <t>sevilla</t>
        </is>
      </c>
      <c r="C62" s="29" t="inlineStr">
        <is>
          <t>mercado-de-la-calle-feria</t>
        </is>
      </c>
      <c r="D62" s="29" t="inlineStr">
        <is>
          <t>Mercado de la calle Feria</t>
        </is>
      </c>
      <c r="E62" s="29" t="inlineStr">
        <is>
          <t>Sevilla'nın en eski belediye pazarlarından biri, 1719'dan beri Feria semtinde</t>
        </is>
      </c>
      <c r="F62" s="29" t="inlineStr">
        <is>
          <t>Calle Feria'daki hâl pazarı, 1719'da belediyenin ilk pazar pavyonunu kurmasından bu yana işlevini sürdürüyor; bugünkü yapı 1925'ten, 1984'te tamamen yenilendi. Balık, et, sebze, meyve, şarküteri ve çiçek tezgâhlarının yanında kafeler ve gurme dükkânlar var. Salı–çarşamba 12:30–18:00, perşembe–cumartesi 13:00–00:00, pazar 13:00–18:00 açık. Sitede ayrıca günlük pazar havasını görmek için sabah 9:00–14:00 arasında gitmen öneriliyor.</t>
        </is>
      </c>
      <c r="G62" s="29" t="inlineStr">
        <is>
          <t>Mercado de la Feria, Calle Feria, hâl pazarı, Jueves bit pazarı, Sevilla</t>
        </is>
      </c>
      <c r="H62" s="29" t="inlineStr">
        <is>
          <t>new;settled</t>
        </is>
      </c>
      <c r="I62" s="29" t="inlineStr">
        <is>
          <t>sevilla:kaynak:312</t>
        </is>
      </c>
      <c r="J62" s="49" t="n">
        <v>46320</v>
      </c>
      <c r="K62" s="51" t="n">
        <v>69</v>
      </c>
      <c r="L62" s="29" t="inlineStr">
        <is>
          <t>Hayır</t>
        </is>
      </c>
      <c r="M62" s="29" t="inlineStr">
        <is>
          <t>Taslak</t>
        </is>
      </c>
      <c r="N62" s="29" t="inlineStr">
        <is>
          <t>Yeme ve içme</t>
        </is>
      </c>
      <c r="O62" s="29" t="inlineStr">
        <is>
          <t>Feria</t>
        </is>
      </c>
      <c r="P62" s="29" t="inlineStr">
        <is>
          <t>Kapalı alan</t>
        </is>
      </c>
      <c r="Q62" s="29" t="inlineStr">
        <is>
          <t>Calle Feria, 98</t>
        </is>
      </c>
      <c r="R62" s="50" t="n">
        <v>37.39949</v>
      </c>
      <c r="S62" s="50" t="n">
        <v>-5.99155</v>
      </c>
      <c r="T62" s="29" t="n"/>
      <c r="U62" s="29" t="inlineStr">
        <is>
          <t>Her perşembe antika ve ilginç eşyaların satıldığı geleneksel Jueves pazarı kuruluyor. Hemen yakında Omnium Sanctorum Kilisesi ve Plaza de Calderón de la Barca var. Telefon +34 633 548 347.</t>
        </is>
      </c>
      <c r="V62" s="29" t="inlineStr">
        <is>
          <t>Hayır</t>
        </is>
      </c>
      <c r="W62" s="29" t="n"/>
    </row>
    <row r="63" ht="54" customHeight="1">
      <c r="A63" s="29" t="inlineStr">
        <is>
          <t>sevilla:el-rinconcillo</t>
        </is>
      </c>
      <c r="B63" s="29" t="inlineStr">
        <is>
          <t>sevilla</t>
        </is>
      </c>
      <c r="C63" s="29" t="inlineStr">
        <is>
          <t>el-rinconcillo</t>
        </is>
      </c>
      <c r="D63" s="29" t="inlineStr">
        <is>
          <t>El Rinconcillo</t>
        </is>
      </c>
      <c r="E63" s="29" t="inlineStr">
        <is>
          <t>Calle Gerona'da kendi sitesine göre 1670'ten beri tapas barı ve restoran</t>
        </is>
      </c>
      <c r="F63" s="29" t="inlineStr">
        <is>
          <t>El Rinconcillo kendi sitesinde 1670'ten beri nesillerdir hizmet verdiğini, Sevilla'nın merkezinde Calle Gerona 40'ta bulunduğunu yazıyor. Barın popüler tapasları öne çıkıyor. Rezervasyonlar yalnız restoran bölümü için geçerli, tapas bölümü için rezervasyon yapılmıyor; onay e-postası gelmeden rezervasyon geçerli sayılmıyor.</t>
        </is>
      </c>
      <c r="G63" s="29" t="inlineStr">
        <is>
          <t>El Rinconcillo, tapas, Calle Gerona, tapas barı</t>
        </is>
      </c>
      <c r="H63" s="29" t="inlineStr">
        <is>
          <t>planning;new</t>
        </is>
      </c>
      <c r="I63" s="29" t="inlineStr">
        <is>
          <t>sevilla:kaynak:372</t>
        </is>
      </c>
      <c r="J63" s="49" t="n">
        <v>46320</v>
      </c>
      <c r="K63" s="51" t="n">
        <v>70</v>
      </c>
      <c r="L63" s="29" t="inlineStr">
        <is>
          <t>Hayır</t>
        </is>
      </c>
      <c r="M63" s="29" t="inlineStr">
        <is>
          <t>Taslak</t>
        </is>
      </c>
      <c r="N63" s="29" t="inlineStr">
        <is>
          <t>Yeme ve içme</t>
        </is>
      </c>
      <c r="O63" s="29" t="inlineStr">
        <is>
          <t>Casco Antiguo</t>
        </is>
      </c>
      <c r="P63" s="29" t="inlineStr">
        <is>
          <t>Kapalı alan</t>
        </is>
      </c>
      <c r="Q63" s="29" t="inlineStr">
        <is>
          <t>Calle Gerona, 40</t>
        </is>
      </c>
      <c r="R63" s="50" t="n">
        <v>37.393348</v>
      </c>
      <c r="S63" s="50" t="n">
        <v>-5.988403</v>
      </c>
      <c r="T63" s="29" t="n"/>
      <c r="U63" s="29" t="inlineStr">
        <is>
          <t>Telefonlar +34 954 223 183 ve +34 628 150 995.</t>
        </is>
      </c>
      <c r="V63" s="29" t="inlineStr">
        <is>
          <t>Hayır</t>
        </is>
      </c>
      <c r="W63" s="29" t="n"/>
    </row>
    <row r="64" ht="54" customHeight="1">
      <c r="A64" s="29" t="inlineStr">
        <is>
          <t>sevilla:bodega-gongora</t>
        </is>
      </c>
      <c r="B64" s="29" t="inlineStr">
        <is>
          <t>sevilla</t>
        </is>
      </c>
      <c r="C64" s="29" t="inlineStr">
        <is>
          <t>bodega-gongora</t>
        </is>
      </c>
      <c r="D64" s="29" t="inlineStr">
        <is>
          <t>Bodega Góngora</t>
        </is>
      </c>
      <c r="E64" s="29" t="inlineStr">
        <is>
          <t>Casco Antiguo'da 1939'dan beri tapas ve şarap, Calle Albareda</t>
        </is>
      </c>
      <c r="F64" s="29" t="inlineStr">
        <is>
          <t>Bodega Góngora, 1939'da büyükbaba tarafından Aljarafe'deki 1682 kurulu Bodega Góngora'nın şarap dükkânı olarak açıldı; üç kuşaktır aile işletmesi. Menüde karidesli ensaladilla, İber şarküterisi, salmorejo, gambas al ajillo ve kızartmalar (karışık balık, puntillitas, adobo, alioli ile morina) öne çıkıyor. Her gün 12:30–23:30 açık.</t>
        </is>
      </c>
      <c r="G64" s="29" t="inlineStr">
        <is>
          <t>Bodega Góngora, tapas, tarihî bodega, Casco Antiguo, Sevilla yemeği</t>
        </is>
      </c>
      <c r="H64" s="29" t="inlineStr">
        <is>
          <t>planning;new</t>
        </is>
      </c>
      <c r="I64" s="29" t="inlineStr">
        <is>
          <t>sevilla:kaynak:373;sevilla:kaynak:444</t>
        </is>
      </c>
      <c r="J64" s="49" t="n">
        <v>46320</v>
      </c>
      <c r="K64" s="51" t="n">
        <v>71</v>
      </c>
      <c r="L64" s="29" t="inlineStr">
        <is>
          <t>Hayır</t>
        </is>
      </c>
      <c r="M64" s="29" t="inlineStr">
        <is>
          <t>Taslak</t>
        </is>
      </c>
      <c r="N64" s="29" t="inlineStr">
        <is>
          <t>Yeme ve içme</t>
        </is>
      </c>
      <c r="O64" s="29" t="inlineStr">
        <is>
          <t>Casco Antiguo</t>
        </is>
      </c>
      <c r="P64" s="29" t="inlineStr">
        <is>
          <t>Kapalı alan</t>
        </is>
      </c>
      <c r="Q64" s="29" t="inlineStr">
        <is>
          <t>C. Albareda, 5, Casco Antiguo, 41001 Sevilla</t>
        </is>
      </c>
      <c r="R64" s="50" t="n">
        <v>37.389452</v>
      </c>
      <c r="S64" s="50" t="n">
        <v>-5.994774</v>
      </c>
      <c r="T64" s="29" t="n"/>
      <c r="U64" s="29" t="inlineStr">
        <is>
          <t>Aynı ailenin ikinci mekânı La Bodeguita del Góngora, C/ General Polavieja, 17'de ve aynı saatlerde açık. Telefon 954 22 11 19.</t>
        </is>
      </c>
      <c r="V64" s="29" t="inlineStr">
        <is>
          <t>Hayır</t>
        </is>
      </c>
      <c r="W64" s="29" t="n"/>
    </row>
    <row r="65" ht="54" customHeight="1">
      <c r="A65" s="29" t="inlineStr">
        <is>
          <t>sevilla:catedral-de-sevilla-giralda</t>
        </is>
      </c>
      <c r="B65" s="29" t="inlineStr">
        <is>
          <t>sevilla</t>
        </is>
      </c>
      <c r="C65" s="29" t="inlineStr">
        <is>
          <t>catedral-de-sevilla-giralda</t>
        </is>
      </c>
      <c r="D65" s="29" t="inlineStr">
        <is>
          <t>Catedral de Sevilla y Giralda</t>
        </is>
      </c>
      <c r="E65" s="29" t="inlineStr">
        <is>
          <t>Dünyanın en büyük gotik katedrali ve eski minareden kalma Giralda kulesi, Plaza del Triunfo'da</t>
        </is>
      </c>
      <c r="F65" s="29" t="inlineStr">
        <is>
          <t>Catedral de Santa María de la Sede, 12. yüzyıl Muvahhid ulu camisinin yerine 1401'de başlayan inşaatla yükselmiş; 23.000 m²'yi aşan alanıyla dünyanın en büyük gotik katedrali olarak anılıyor ve 1987'den beri UNESCO Dünya Mirası'nın parçası. Karşısındaki Giralda eski bir İslami minare; yaklaşık 95 m yüksekliğinde ve 35 rampayla çıkılıyor. Genel ziyaret pazartesi–cumartesi 10:45–19:00, pazar 14:30–19:00; kasalar 18:00'de kapanıyor. Genel giriş online 13 €, kasada 14 €; tüm ziyaretin yaklaşık 75 dakika sürdüğü belirtiliyor.</t>
        </is>
      </c>
      <c r="G65" s="29" t="inlineStr">
        <is>
          <t>Sevilla katedrali, Giralda, Catedral de Sevilla, UNESCO, Colón mezarı, gotik katedral</t>
        </is>
      </c>
      <c r="H65" s="29" t="inlineStr">
        <is>
          <t>planning;new;settled</t>
        </is>
      </c>
      <c r="I65" s="29" t="inlineStr">
        <is>
          <t>sevilla:kaynak:381;sevilla:kaynak:206</t>
        </is>
      </c>
      <c r="J65" s="49" t="n">
        <v>46320</v>
      </c>
      <c r="K65" s="51" t="n">
        <v>81</v>
      </c>
      <c r="L65" s="29" t="inlineStr">
        <is>
          <t>Evet</t>
        </is>
      </c>
      <c r="M65" s="29" t="inlineStr">
        <is>
          <t>Taslak</t>
        </is>
      </c>
      <c r="N65" s="29" t="inlineStr">
        <is>
          <t>Tarih ve mimari</t>
        </is>
      </c>
      <c r="O65" s="29" t="inlineStr">
        <is>
          <t>Casco Antiguo</t>
        </is>
      </c>
      <c r="P65" s="29" t="inlineStr">
        <is>
          <t>Karma</t>
        </is>
      </c>
      <c r="Q65" s="29" t="inlineStr">
        <is>
          <t>Avenida de la Constitución, s/n</t>
        </is>
      </c>
      <c r="R65" s="50" t="n">
        <v>37.385742</v>
      </c>
      <c r="S65" s="50" t="n">
        <v>-5.993096</v>
      </c>
      <c r="T65" s="29" t="n"/>
      <c r="U65" s="29" t="inlineStr">
        <is>
          <t>Ziyaret Giralda kulesiyle başlıyor ve kulenin ayrı bir giriş kontrolü var. Pazar günleri 17:00'den itibaren Puerta del Príncipe kasasından ücretsiz giriş bileti veriliyor (ayin takvimine bağlı). 13 yaşına kadar çocuklar yetişkin eşliğinde ücretsiz giriyor; yaşı resmî belgeyle kanıtlaman gerekiyor.</t>
        </is>
      </c>
      <c r="V65" s="29" t="inlineStr">
        <is>
          <t>Hayır</t>
        </is>
      </c>
      <c r="W65" s="29" t="n"/>
    </row>
    <row r="66" ht="54" customHeight="1">
      <c r="A66" s="29" t="inlineStr">
        <is>
          <t>sevilla:casa-de-pilatos</t>
        </is>
      </c>
      <c r="B66" s="29" t="inlineStr">
        <is>
          <t>sevilla</t>
        </is>
      </c>
      <c r="C66" s="29" t="inlineStr">
        <is>
          <t>casa-de-pilatos</t>
        </is>
      </c>
      <c r="D66" s="29" t="inlineStr">
        <is>
          <t>Casa de Pilatos</t>
        </is>
      </c>
      <c r="E66" s="29" t="inlineStr">
        <is>
          <t>Santa Cruz yakınında mudéjar-Rönesans üslubunda 15. yüzyıl sarayı; avlular, çiniler ve heykeller</t>
        </is>
      </c>
      <c r="F66" s="29" t="inlineStr">
        <is>
          <t>Enríquez de Ribera ailesinin 15. yüzyılda yaptırdığı saray, Endülüs mudéjar-Rönesans üslubunun en iyi örneği sayılıyor; gotik, İslami, Rönesans ve barok öğeler iç içe. Ana avlu, 150'den fazla desenli Sevilla çinileri, oyma ahşap tavanlar, ahşap kubbeli imparatorluk merdiveni ve Altın Salon başlıca duraklar. Adres Plaza de Pilatos 1; her gün 9:00–18:00 açık. Ziyaret yalnız zemin kat ve bahçelerle ya da üst kat odalarını da kapsayan tam turla yapılabiliyor.</t>
        </is>
      </c>
      <c r="G66" s="29" t="inlineStr">
        <is>
          <t>Casa de Pilatos, Sevilla sarayı, mudéjar, Rönesans, azulejo, Medinaceli, Santa Cruz</t>
        </is>
      </c>
      <c r="H66" s="29" t="inlineStr">
        <is>
          <t>planning;new;settled</t>
        </is>
      </c>
      <c r="I66" s="29" t="inlineStr">
        <is>
          <t>sevilla:kaynak:382</t>
        </is>
      </c>
      <c r="J66" s="49" t="n">
        <v>46320</v>
      </c>
      <c r="K66" s="51" t="n">
        <v>82</v>
      </c>
      <c r="L66" s="29" t="inlineStr">
        <is>
          <t>Evet</t>
        </is>
      </c>
      <c r="M66" s="29" t="inlineStr">
        <is>
          <t>Taslak</t>
        </is>
      </c>
      <c r="N66" s="29" t="inlineStr">
        <is>
          <t>Tarih ve mimari</t>
        </is>
      </c>
      <c r="O66" s="29" t="inlineStr">
        <is>
          <t>Santa Cruz</t>
        </is>
      </c>
      <c r="P66" s="29" t="inlineStr">
        <is>
          <t>Karma</t>
        </is>
      </c>
      <c r="Q66" s="29" t="inlineStr">
        <is>
          <t>Plaza de Pilatos, 1, 41003 Sevilla</t>
        </is>
      </c>
      <c r="R66" s="50" t="n">
        <v>37.390269</v>
      </c>
      <c r="S66" s="50" t="n">
        <v>-5.986989</v>
      </c>
      <c r="T66" s="29" t="n"/>
      <c r="U66" s="29" t="inlineStr">
        <is>
          <t>Sevilla'daki ilk Via Crucis bu avludan çıktı; ilk istasyon cephede hâlâ görülüyor. Lawrence of Arabia ve 1492: La conquista del paraíso bu sarayda çekildi. Yoğun sezonda biletleri online almak öneriliyor.</t>
        </is>
      </c>
      <c r="V66" s="29" t="inlineStr">
        <is>
          <t>Hayır</t>
        </is>
      </c>
      <c r="W66" s="29" t="n"/>
    </row>
    <row r="67" ht="54" customHeight="1">
      <c r="A67" s="29" t="inlineStr">
        <is>
          <t>sevilla:basilica-de-la-macarena</t>
        </is>
      </c>
      <c r="B67" s="29" t="inlineStr">
        <is>
          <t>sevilla</t>
        </is>
      </c>
      <c r="C67" s="29" t="inlineStr">
        <is>
          <t>basilica-de-la-macarena</t>
        </is>
      </c>
      <c r="D67" s="29" t="inlineStr">
        <is>
          <t>Basílica de la Macarena</t>
        </is>
      </c>
      <c r="E67" s="29" t="inlineStr">
        <is>
          <t>Esperanza Macarena Meryem heykelinin evi; yanında 12. yüzyıldan kalma Muvahhid surları</t>
        </is>
      </c>
      <c r="F67" s="29" t="inlineStr">
        <is>
          <t>Basílica de la Macarena 1949'da açıldı ve Semana Santa'nın en tanınmış kardeşliklerinden Hermandad de la Esperanza Macarena'ya ev sahipliği yapıyor; 17. yüzyıla ait, yapımcısı bilinmeyen Meryem heykeli burada duruyor. Bazilikanın müzesinde kardeşliğin alay eşyaları sergileniyor. Hemen yanında 100 metreyi aşan bir Muvahhid sur bölümü ve Arco de la Macarena var. Adres Plaza de la Esperanza Macarena 1; her gün 9:00–14:00 ve 17:00–21:00 açık.</t>
        </is>
      </c>
      <c r="G67" s="29" t="inlineStr">
        <is>
          <t>Macarena, Esperanza Macarena, Semana Santa, Muvahhid surları, Arco de la Macarena, bazilika</t>
        </is>
      </c>
      <c r="H67" s="29" t="inlineStr">
        <is>
          <t>planning;new;settled</t>
        </is>
      </c>
      <c r="I67" s="29" t="inlineStr">
        <is>
          <t>sevilla:kaynak:300</t>
        </is>
      </c>
      <c r="J67" s="49" t="n">
        <v>46320</v>
      </c>
      <c r="K67" s="51" t="n">
        <v>83</v>
      </c>
      <c r="L67" s="29" t="inlineStr">
        <is>
          <t>Hayır</t>
        </is>
      </c>
      <c r="M67" s="29" t="inlineStr">
        <is>
          <t>Taslak</t>
        </is>
      </c>
      <c r="N67" s="29" t="inlineStr">
        <is>
          <t>Tarih ve mimari</t>
        </is>
      </c>
      <c r="O67" s="29" t="inlineStr">
        <is>
          <t>Macarena</t>
        </is>
      </c>
      <c r="P67" s="29" t="inlineStr">
        <is>
          <t>Kapalı alan</t>
        </is>
      </c>
      <c r="Q67" s="29" t="inlineStr">
        <is>
          <t>Pl. de la Esperanza Macarena, 1, Casco Antiguo, 41002 Sevilla</t>
        </is>
      </c>
      <c r="R67" s="50" t="n">
        <v>37.4025</v>
      </c>
      <c r="S67" s="50" t="n">
        <v>-5.989444</v>
      </c>
      <c r="T67" s="29" t="n"/>
      <c r="U67" s="29" t="inlineStr">
        <is>
          <t>Büyük Perhiz, Kutsal Hafta ve Meryem bayramlarında bazilikada olağan düzeni değiştiren törenler yapılıyor. Telefon +34 954 90 18 00.</t>
        </is>
      </c>
      <c r="V67" s="29" t="inlineStr">
        <is>
          <t>Hayır</t>
        </is>
      </c>
      <c r="W67" s="29" t="n"/>
    </row>
    <row r="68" ht="54" customHeight="1">
      <c r="A68" s="29" t="inlineStr">
        <is>
          <t>sevilla:casa-de-la-memoria-al-andalus</t>
        </is>
      </c>
      <c r="B68" s="29" t="inlineStr">
        <is>
          <t>sevilla</t>
        </is>
      </c>
      <c r="C68" s="29" t="inlineStr">
        <is>
          <t>casa-de-la-memoria-al-andalus</t>
        </is>
      </c>
      <c r="D68" s="29" t="inlineStr">
        <is>
          <t>Casa de la Memoria de Al-Andalus</t>
        </is>
      </c>
      <c r="E68" s="29" t="inlineStr">
        <is>
          <t>Calle Cuna'da klimalı, geleneksel flamenko gösterisi salonu</t>
        </is>
      </c>
      <c r="F68" s="29" t="inlineStr">
        <is>
          <t>Centro Cultural Flamenco Casa de la Memoria, Calle Cuna 6'daki klimalı salonunda geleneksel flamenko gösterisi sunuyor; bir müze değil, gösteri mekânı. Standart seanslar 18:00–19:00 ve 19:30–20:30; yılın dönemine göre 16:30, 21:00 ve 22:30'da ek seanslar olabiliyor. Genel giriş 24 €, öğrenci ve 'residentes' 20 € (kaynak 'residentes'in kimleri kapsadığını açıklamıyor), 6–11 yaş çocuk 15 €.</t>
        </is>
      </c>
      <c r="G68" s="29" t="inlineStr">
        <is>
          <t>flamenko, tablao, Casa de la Memoria, Al-Andalus, Sevilla flamenko gösterisi, Calle Cuna</t>
        </is>
      </c>
      <c r="H68" s="29" t="inlineStr">
        <is>
          <t>planning;new;settled</t>
        </is>
      </c>
      <c r="I68" s="29" t="inlineStr">
        <is>
          <t>sevilla:kaynak:384</t>
        </is>
      </c>
      <c r="J68" s="49" t="n">
        <v>46320</v>
      </c>
      <c r="K68" s="51" t="n">
        <v>85</v>
      </c>
      <c r="L68" s="29" t="inlineStr">
        <is>
          <t>Hayır</t>
        </is>
      </c>
      <c r="M68" s="29" t="inlineStr">
        <is>
          <t>Taslak</t>
        </is>
      </c>
      <c r="N68" s="29" t="inlineStr">
        <is>
          <t>Sahne ve müzik</t>
        </is>
      </c>
      <c r="O68" s="29" t="inlineStr">
        <is>
          <t>Casco Antiguo</t>
        </is>
      </c>
      <c r="P68" s="29" t="inlineStr">
        <is>
          <t>Kapalı alan</t>
        </is>
      </c>
      <c r="Q68" s="29" t="inlineStr">
        <is>
          <t>Calle Cuna Nº 6, 41004 Sevilla</t>
        </is>
      </c>
      <c r="R68" s="50" t="n">
        <v>37.392361</v>
      </c>
      <c r="S68" s="50" t="n">
        <v>-5.993778</v>
      </c>
      <c r="T68" s="29" t="n"/>
      <c r="U68" s="29" t="inlineStr">
        <is>
          <t>6 yaş altı çocuklar için gösteri önerilmiyor. Öğrenci, çocuk ve diğer indirimler için gişede belge gösterilmesi gerekiyor. Ön rezervasyon gösteriden 24 saat öncesine kadar iptal edilirse tutarın tamamı aynı ödeme yöntemiyle iade ediliyor; daha geç iptalde iade yok. Telefon (+34) 954 560 670.</t>
        </is>
      </c>
      <c r="V68" s="29" t="inlineStr">
        <is>
          <t>Hayır</t>
        </is>
      </c>
      <c r="W68" s="29" t="n"/>
    </row>
    <row r="69" ht="54" customHeight="1">
      <c r="A69" s="29" t="inlineStr">
        <is>
          <t>sevilla:musan-museo-del-santo-angel</t>
        </is>
      </c>
      <c r="B69" s="29" t="inlineStr">
        <is>
          <t>sevilla</t>
        </is>
      </c>
      <c r="C69" s="29" t="inlineStr">
        <is>
          <t>musan-museo-del-santo-angel</t>
        </is>
      </c>
      <c r="D69" s="29" t="inlineStr">
        <is>
          <t>Museo del Convento Santo Ángel Custodio</t>
        </is>
      </c>
      <c r="E69" s="29" t="inlineStr">
        <is>
          <t>Calle Rioja'daki Santo Ángel Custodio Manastırı'nın müzesi</t>
        </is>
      </c>
      <c r="F69" s="29" t="inlineStr">
        <is>
          <t>Santo Ángel Custodio manastırının müzesi, Calle Rioja 23'te. Müze pazartesi–cumartesi 11:00–13:00 ve 17:00–19:00 arası açık, giriş 5 €. Grup ziyareti için önceden randevu gerekiyor; telefon 954 22 86 75.</t>
        </is>
      </c>
      <c r="G69" s="29" t="inlineStr">
        <is>
          <t>Santo Ángel, manastır müzesi, Calle Rioja, Convento Santo Ángel Custodio</t>
        </is>
      </c>
      <c r="H69" s="29" t="inlineStr">
        <is>
          <t>planning;new;settled</t>
        </is>
      </c>
      <c r="I69" s="29" t="inlineStr">
        <is>
          <t>sevilla:kaynak:385</t>
        </is>
      </c>
      <c r="J69" s="49" t="n">
        <v>46320</v>
      </c>
      <c r="K69" s="51" t="n">
        <v>86</v>
      </c>
      <c r="L69" s="29" t="inlineStr">
        <is>
          <t>Hayır</t>
        </is>
      </c>
      <c r="M69" s="29" t="inlineStr">
        <is>
          <t>Taslak</t>
        </is>
      </c>
      <c r="N69" s="29" t="inlineStr">
        <is>
          <t>Müzeler</t>
        </is>
      </c>
      <c r="O69" s="29" t="inlineStr">
        <is>
          <t>Casco Antiguo</t>
        </is>
      </c>
      <c r="P69" s="29" t="inlineStr">
        <is>
          <t>Kapalı alan</t>
        </is>
      </c>
      <c r="Q69" s="29" t="inlineStr">
        <is>
          <t>Calle Rioja, 23, 41001 Sevilla</t>
        </is>
      </c>
      <c r="R69" s="50" t="n">
        <v>37.390947</v>
      </c>
      <c r="S69" s="50" t="n">
        <v>-5.995768</v>
      </c>
      <c r="T69" s="29" t="n"/>
      <c r="U69" s="29" t="n"/>
      <c r="V69" s="29" t="inlineStr">
        <is>
          <t>Hayır</t>
        </is>
      </c>
      <c r="W69" s="29" t="n"/>
    </row>
    <row r="70" ht="54" customHeight="1">
      <c r="A70" s="29" t="inlineStr">
        <is>
          <t>sevilla:galeria-rafael-ortiz</t>
        </is>
      </c>
      <c r="B70" s="29" t="inlineStr">
        <is>
          <t>sevilla</t>
        </is>
      </c>
      <c r="C70" s="29" t="inlineStr">
        <is>
          <t>galeria-rafael-ortiz</t>
        </is>
      </c>
      <c r="D70" s="29" t="inlineStr">
        <is>
          <t>Galería Rafael Ortiz</t>
        </is>
      </c>
      <c r="E70" s="29" t="inlineStr">
        <is>
          <t>Mármoles sokağında 1984'ten beri çağdaş sanat galerisi</t>
        </is>
      </c>
      <c r="F70" s="29" t="inlineStr">
        <is>
          <t>1984'te kurulan galeri, ulusal ve uluslararası çağdaş sanatı tanıtıyor; genç, orta kuşak ve köklü sanatçılarla çalışıyor. Adres Mármoles 12, 41004. Pazartesi–cuma 11:00–13:30 ve 18:00–21:00 açık; cumartesi yalnız randevuyla.</t>
        </is>
      </c>
      <c r="G70" s="29" t="inlineStr">
        <is>
          <t>Galería Rafael Ortiz, çağdaş sanat, Sevilla galeri, Mármoles, sanat galerisi</t>
        </is>
      </c>
      <c r="H70" s="29" t="inlineStr">
        <is>
          <t>planning;new;settled</t>
        </is>
      </c>
      <c r="I70" s="29" t="inlineStr">
        <is>
          <t>sevilla:kaynak:386</t>
        </is>
      </c>
      <c r="J70" s="49" t="n">
        <v>46320</v>
      </c>
      <c r="K70" s="51" t="n">
        <v>87</v>
      </c>
      <c r="L70" s="29" t="inlineStr">
        <is>
          <t>Hayır</t>
        </is>
      </c>
      <c r="M70" s="29" t="inlineStr">
        <is>
          <t>Taslak</t>
        </is>
      </c>
      <c r="N70" s="29" t="inlineStr">
        <is>
          <t>Sanat ve sergiler</t>
        </is>
      </c>
      <c r="O70" s="29" t="inlineStr">
        <is>
          <t>Casco Antiguo</t>
        </is>
      </c>
      <c r="P70" s="29" t="inlineStr">
        <is>
          <t>Kapalı alan</t>
        </is>
      </c>
      <c r="Q70" s="29" t="inlineStr">
        <is>
          <t>Mármoles 12, 41004 Sevilla</t>
        </is>
      </c>
      <c r="R70" s="50" t="n">
        <v>37.388361</v>
      </c>
      <c r="S70" s="50" t="n">
        <v>-5.99</v>
      </c>
      <c r="T70" s="29" t="n"/>
      <c r="U70" s="29" t="inlineStr">
        <is>
          <t>Ağustos ve eylülün ilk yarısında ziyaret yalnız randevuyla: info@galeriarafaelortiz.com. Galerinin Madrid'de Huertas 61'de ikinci bir mekânı (R.O. Proyectos) var. Telefon +34 954 214 874, WhatsApp +34 628 320 419.</t>
        </is>
      </c>
      <c r="V70" s="29" t="inlineStr">
        <is>
          <t>Hayır</t>
        </is>
      </c>
      <c r="W70" s="29" t="n"/>
    </row>
    <row r="71" ht="54" customHeight="1">
      <c r="A71" s="29" t="inlineStr">
        <is>
          <t>sevilla:isla-magica</t>
        </is>
      </c>
      <c r="B71" s="29" t="inlineStr">
        <is>
          <t>sevilla</t>
        </is>
      </c>
      <c r="C71" s="29" t="inlineStr">
        <is>
          <t>isla-magica</t>
        </is>
      </c>
      <c r="D71" s="29" t="inlineStr">
        <is>
          <t>Isla Mágica</t>
        </is>
      </c>
      <c r="E71" s="29" t="inlineStr">
        <is>
          <t>Isla de la Cartuja'da tema parkı ve Agua Mágica su parkı, kent merkezine yakın</t>
        </is>
      </c>
      <c r="F71" s="29" t="inlineStr">
        <is>
          <t>Isla Mágica ve Agua Mágica, Isla de la Cartuja'da kent merkezinde; park kapısından tarihî merkeze yürüyerek 5 dakika. Ana giriş Rotonda Isla Mágica, 41092; posta adresi Avenida de los Descubrimientos s/n. Santa Justa tren istasyonundan C2, iki otogardan C3 otobüsüyle gelinebiliyor; C1 ve C2 parkın kapısında duruyor.</t>
        </is>
      </c>
      <c r="G71" s="29" t="inlineStr">
        <is>
          <t>Isla Mágica, Agua Mágica, tema parkı, Cartuja, çocuklarla Sevilla, su parkı</t>
        </is>
      </c>
      <c r="H71" s="29" t="inlineStr">
        <is>
          <t>planning;new;settled</t>
        </is>
      </c>
      <c r="I71" s="29" t="inlineStr">
        <is>
          <t>sevilla:kaynak:389;sevilla:kaynak:417</t>
        </is>
      </c>
      <c r="J71" s="49" t="n">
        <v>46320</v>
      </c>
      <c r="K71" s="51" t="n">
        <v>90</v>
      </c>
      <c r="L71" s="29" t="inlineStr">
        <is>
          <t>Hayır</t>
        </is>
      </c>
      <c r="M71" s="29" t="inlineStr">
        <is>
          <t>Taslak</t>
        </is>
      </c>
      <c r="N71" s="29" t="inlineStr">
        <is>
          <t>Çocuklarla keşif</t>
        </is>
      </c>
      <c r="O71" s="29" t="inlineStr">
        <is>
          <t>Isla de la Cartuja</t>
        </is>
      </c>
      <c r="P71" s="29" t="inlineStr">
        <is>
          <t>Açık hava</t>
        </is>
      </c>
      <c r="Q71" s="29" t="inlineStr">
        <is>
          <t>Rotonda Isla Mágica (Isla de la Cartuja), 41092 Sevilla</t>
        </is>
      </c>
      <c r="R71" s="50" t="n">
        <v>37.40833</v>
      </c>
      <c r="S71" s="50" t="n">
        <v>-6.00028</v>
      </c>
      <c r="T71" s="29" t="n"/>
      <c r="U71" s="29" t="inlineStr">
        <is>
          <t>25 Ekim 2026 itibarıyla park Halloween sezonunda: 3 Ekim-8 Kasım 2026 (Isla Mágica'nın sitesi). Parkın kendi, gözetimli ve geniş bir otoparkı var. Havalimanı arabayla yaklaşık 10 dakika mesafede.</t>
        </is>
      </c>
      <c r="V71" s="29" t="inlineStr">
        <is>
          <t>Hayır</t>
        </is>
      </c>
      <c r="W71" s="29" t="n"/>
    </row>
    <row r="72" ht="54" customHeight="1">
      <c r="A72" s="29" t="inlineStr">
        <is>
          <t>sevilla:casa-de-la-ciencia</t>
        </is>
      </c>
      <c r="B72" s="29" t="inlineStr">
        <is>
          <t>sevilla</t>
        </is>
      </c>
      <c r="C72" s="29" t="inlineStr">
        <is>
          <t>casa-de-la-ciencia</t>
        </is>
      </c>
      <c r="D72" s="29" t="inlineStr">
        <is>
          <t>Casa de la Ciencia (Pabellón de Perú)</t>
        </is>
      </c>
      <c r="E72" s="29" t="inlineStr">
        <is>
          <t>CSIC'in bilim müzesi ve planetaryumu; 1929 sergisinden kalma Pabellón de Perú'da</t>
        </is>
      </c>
      <c r="F72" s="29" t="inlineStr">
        <is>
          <t>CSIC'in bilim iletişim müzesi, 1929 İber-Amerikan Sergisi için yapılan Pabellón de Perú'da, Avenida de María Luisa'da. Kalıcı sergiler arasında Andalucía'daki deniz memelileri, 540 milyon yıllık jeoloji tarihi ve omurgasız canlılar var; 23 metre çaplı kubbeli planetaryum 3 yaşından itibaren çocuklara uygun gösteriler yapıyor. Salı–pazar 10:00–20:00 açık, tatil olmayan pazartesiler kapalı; genel giriş 3 €.</t>
        </is>
      </c>
      <c r="G72" s="29" t="inlineStr">
        <is>
          <t>Casa de la Ciencia, CSIC, planetaryum, bilim müzesi, Pabellón de Perú, çocuklarla Sevilla</t>
        </is>
      </c>
      <c r="H72" s="29" t="inlineStr">
        <is>
          <t>planning;new;settled</t>
        </is>
      </c>
      <c r="I72" s="29" t="inlineStr">
        <is>
          <t>sevilla:kaynak:390</t>
        </is>
      </c>
      <c r="J72" s="49" t="n">
        <v>46320</v>
      </c>
      <c r="K72" s="51" t="n">
        <v>91</v>
      </c>
      <c r="L72" s="29" t="inlineStr">
        <is>
          <t>Hayır</t>
        </is>
      </c>
      <c r="M72" s="29" t="inlineStr">
        <is>
          <t>Taslak</t>
        </is>
      </c>
      <c r="N72" s="29" t="inlineStr">
        <is>
          <t>Çocuklarla keşif</t>
        </is>
      </c>
      <c r="O72" s="29" t="inlineStr">
        <is>
          <t>Sur</t>
        </is>
      </c>
      <c r="P72" s="29" t="inlineStr">
        <is>
          <t>Kapalı alan</t>
        </is>
      </c>
      <c r="Q72" s="29" t="inlineStr">
        <is>
          <t>Avda. Mª Luisa, S/N, Pabellón de Perú</t>
        </is>
      </c>
      <c r="R72" s="50" t="n">
        <v>37.37769444444444</v>
      </c>
      <c r="S72" s="50" t="n">
        <v>-5.991197222222223</v>
      </c>
      <c r="T72" s="29" t="n"/>
      <c r="U72" s="29" t="inlineStr">
        <is>
          <t>Müze her yıl güncel bilim konulu geçici sergiler ekliyor; atölye, konuşma ve açık hava etkinlikleri düzenleniyor. Telefon 954 23 23 49.</t>
        </is>
      </c>
      <c r="V72" s="29" t="inlineStr">
        <is>
          <t>Hayır</t>
        </is>
      </c>
      <c r="W72" s="29" t="n"/>
    </row>
    <row r="73" ht="54" customHeight="1">
      <c r="A73" s="29" t="inlineStr">
        <is>
          <t>sevilla:estadio-benito-villamarin-tur</t>
        </is>
      </c>
      <c r="B73" s="29" t="inlineStr">
        <is>
          <t>sevilla</t>
        </is>
      </c>
      <c r="C73" s="29" t="inlineStr">
        <is>
          <t>estadio-benito-villamarin-tur</t>
        </is>
      </c>
      <c r="D73" s="29" t="inlineStr">
        <is>
          <t>Betis Tour - Estadio La Cartuja</t>
        </is>
      </c>
      <c r="E73" s="29" t="inlineStr">
        <is>
          <t>Real Betis stadyum turu; Villamarín yenilenirken Estadio La Cartuja'da yapılıyor</t>
        </is>
      </c>
      <c r="F73" s="29" t="inlineStr">
        <is>
          <t>Betis Tour Experience, Benito Villamarín'in yenilenmesi sürerken yeni stadyum Estadio La Cartuja'da yapılıyor ve yaklaşık 50 dakika sürüyor: resmî kupalar, kulüp arşivinden parçalar, büyük ekranlar, video mapping, soyunma odası, tünel ve yedek kulübelerinden saha manzarası. Yetişkin bileti online 12 €, stadyum gişesinde 14 €; 14 yaş altı 8 €; 'Soy Bético' kart sahibi online 8 €, gişede 10 € (kart ve kimliği tur girişinde göstermen gerekiyor); 3 yaş altı ücretsiz. Buluşma noktası Estadio La Cartuja'nın 2 numaralı kapısı (Palco Presidencial girişi), Isla de la Cartuja Sector Norte, 41092.</t>
        </is>
      </c>
      <c r="G73" s="29" t="inlineStr">
        <is>
          <t>Betis, Real Betis, stadyum turu, Benito Villamarín, Estadio La Cartuja, Sevilla futbol</t>
        </is>
      </c>
      <c r="H73" s="29" t="inlineStr">
        <is>
          <t>planning;new;settled</t>
        </is>
      </c>
      <c r="I73" s="29" t="inlineStr">
        <is>
          <t>sevilla:kaynak:391;sevilla:kaynak:420</t>
        </is>
      </c>
      <c r="J73" s="49" t="n">
        <v>46320</v>
      </c>
      <c r="K73" s="51" t="n">
        <v>92</v>
      </c>
      <c r="L73" s="29" t="inlineStr">
        <is>
          <t>Hayır</t>
        </is>
      </c>
      <c r="M73" s="29" t="inlineStr">
        <is>
          <t>Taslak</t>
        </is>
      </c>
      <c r="N73" s="29" t="inlineStr">
        <is>
          <t>Spor</t>
        </is>
      </c>
      <c r="O73" s="29" t="inlineStr">
        <is>
          <t>Isla de la Cartuja</t>
        </is>
      </c>
      <c r="P73" s="29" t="inlineStr">
        <is>
          <t>Karma</t>
        </is>
      </c>
      <c r="Q73" s="29" t="inlineStr">
        <is>
          <t>Estadio La Cartuja, Puerta 2 (Palco Presidencial), Isla de la Cartuja, Sector Norte, 41092</t>
        </is>
      </c>
      <c r="R73" s="50" t="n">
        <v>37.417236</v>
      </c>
      <c r="S73" s="50" t="n">
        <v>-6.004564</v>
      </c>
      <c r="T73" s="29" t="n"/>
      <c r="U73" s="29" t="inlineStr">
        <is>
          <t>25 Ekim 2026 itibarıyla tur, Benito Villamarín yenilenirken Estadio La Cartuja'da yapılıyor; giriş 2 numaralı kapıdan (Real Betis'in sitesi). Tur iletişimi için resmî sayfa betistour@realbetisbalompie.es ve 696 809 797 (WhatsApp) veriyor.</t>
        </is>
      </c>
      <c r="V73" s="29" t="inlineStr">
        <is>
          <t>Hayır</t>
        </is>
      </c>
      <c r="W73" s="29" t="n"/>
    </row>
    <row r="74" ht="54" customHeight="1">
      <c r="A74" s="29" t="inlineStr">
        <is>
          <t>sevilla:tablao-los-gallos</t>
        </is>
      </c>
      <c r="B74" s="29" t="inlineStr">
        <is>
          <t>sevilla</t>
        </is>
      </c>
      <c r="C74" s="29" t="inlineStr">
        <is>
          <t>tablao-los-gallos</t>
        </is>
      </c>
      <c r="D74" s="29" t="inlineStr">
        <is>
          <t>Tablao Flamenco Los Gallos</t>
        </is>
      </c>
      <c r="E74" s="29" t="inlineStr">
        <is>
          <t>Santa Cruz Mahallesi'nde 1966'dan beri geleneksel flamenko tablaosu</t>
        </is>
      </c>
      <c r="F74" s="29" t="inlineStr">
        <is>
          <t>Los Gallos, Plaza de Santa Cruz 11'de, Santa Cruz Mahallesi'nde 1966'da kurulmuş bir tablao; kendini saf, geleneksel flamenkoya adamış. Salon küçük, ahşap ve tuğladan; seyirci sanatçılara birkaç metre uzaklıkta oturuyor. Telefon (+34) 954 216 981, e-posta info@tablaolosgallos.com; rezervasyon tablaonun web sitesinden yapılıyor.</t>
        </is>
      </c>
      <c r="G74" s="29" t="inlineStr">
        <is>
          <t>Los Gallos, tablao, flamenko, Santa Cruz, Plaza de Santa Cruz, flamenko gösterisi</t>
        </is>
      </c>
      <c r="H74" s="29" t="inlineStr">
        <is>
          <t>planning;new;settled</t>
        </is>
      </c>
      <c r="I74" s="29" t="inlineStr">
        <is>
          <t>sevilla:kaynak:392</t>
        </is>
      </c>
      <c r="J74" s="49" t="n">
        <v>46320</v>
      </c>
      <c r="K74" s="51" t="n">
        <v>93</v>
      </c>
      <c r="L74" s="29" t="inlineStr">
        <is>
          <t>Hayır</t>
        </is>
      </c>
      <c r="M74" s="29" t="inlineStr">
        <is>
          <t>Taslak</t>
        </is>
      </c>
      <c r="N74" s="29" t="inlineStr">
        <is>
          <t>Sahne ve müzik</t>
        </is>
      </c>
      <c r="O74" s="29" t="inlineStr">
        <is>
          <t>Santa Cruz</t>
        </is>
      </c>
      <c r="P74" s="29" t="inlineStr">
        <is>
          <t>Kapalı alan</t>
        </is>
      </c>
      <c r="Q74" s="29" t="inlineStr">
        <is>
          <t>Plaza de Santa Cruz, 11, 41004 Sevilla</t>
        </is>
      </c>
      <c r="R74" s="50" t="n">
        <v>37.3851</v>
      </c>
      <c r="S74" s="50" t="n">
        <v>-5.98867</v>
      </c>
      <c r="T74" s="29" t="n"/>
      <c r="U74" s="29" t="inlineStr">
        <is>
          <t>Tablaonun sitesi 60. yıl için 18–21 Haziran'da María Moreno ve Patricia Guerrero'nun özel gösterisini duyuruyor (sayfada yıl yazmıyor); özel programlarda önceden rezervasyon yapılmasını öneriyor.</t>
        </is>
      </c>
      <c r="V74" s="29" t="inlineStr">
        <is>
          <t>Hayır</t>
        </is>
      </c>
      <c r="W74" s="29" t="n"/>
    </row>
    <row r="75" ht="54" customHeight="1">
      <c r="A75" s="29" t="inlineStr">
        <is>
          <t>sevilla:tablao-el-arenal</t>
        </is>
      </c>
      <c r="B75" s="29" t="inlineStr">
        <is>
          <t>sevilla</t>
        </is>
      </c>
      <c r="C75" s="29" t="inlineStr">
        <is>
          <t>tablao-el-arenal</t>
        </is>
      </c>
      <c r="D75" s="29" t="inlineStr">
        <is>
          <t>Tablao Flamenco El Arenal</t>
        </is>
      </c>
      <c r="E75" s="29" t="inlineStr">
        <is>
          <t>Maestranza Boğa Arenası ile Maestranza Tiyatrosu arasında flamenko tablaosu</t>
        </is>
      </c>
      <c r="F75" s="29" t="inlineStr">
        <is>
          <t>Tablao Flamenco El Arenal, Calle Rodo 7'de; Maestranza Boğa Arenası ile Teatro de la Maestranza'nın arasında, tablaonun tanıtımına göre Katedral ve Giralda'ya birkaç adım mesafede. Gösteri, menü ve müsaitlik soruları ile rezervasyon için telefon (+34) 954 216 492 ya da sitedeki iletişim formu kullanılabiliyor.</t>
        </is>
      </c>
      <c r="G75" s="29" t="inlineStr">
        <is>
          <t>Tablao El Arenal, flamenko, Calle Rodo, Maestranza, Sevilla flamenko gösterisi</t>
        </is>
      </c>
      <c r="H75" s="29" t="inlineStr">
        <is>
          <t>planning;new;settled</t>
        </is>
      </c>
      <c r="I75" s="29" t="inlineStr">
        <is>
          <t>sevilla:kaynak:393</t>
        </is>
      </c>
      <c r="J75" s="49" t="n">
        <v>46320</v>
      </c>
      <c r="K75" s="51" t="n">
        <v>94</v>
      </c>
      <c r="L75" s="29" t="inlineStr">
        <is>
          <t>Hayır</t>
        </is>
      </c>
      <c r="M75" s="29" t="inlineStr">
        <is>
          <t>Taslak</t>
        </is>
      </c>
      <c r="N75" s="29" t="inlineStr">
        <is>
          <t>Sahne ve müzik</t>
        </is>
      </c>
      <c r="O75" s="29" t="inlineStr">
        <is>
          <t>El Arenal</t>
        </is>
      </c>
      <c r="P75" s="29" t="inlineStr">
        <is>
          <t>Kapalı alan</t>
        </is>
      </c>
      <c r="Q75" s="29" t="inlineStr">
        <is>
          <t>Calle Rodo 7, Casco Antiguo, 41001 Sevilla</t>
        </is>
      </c>
      <c r="R75" s="50" t="n">
        <v>37.385106</v>
      </c>
      <c r="S75" s="50" t="n">
        <v>-5.997045</v>
      </c>
      <c r="T75" s="29" t="n"/>
      <c r="U75" s="29" t="inlineStr">
        <is>
          <t>Tablao gösterilerinin yanında menü seçenekleri de sunuyor; menü ve müsaitlik sorularını rezervasyon sırasında iletebilirsin.</t>
        </is>
      </c>
      <c r="V75" s="29" t="inlineStr">
        <is>
          <t>Hayır</t>
        </is>
      </c>
      <c r="W75" s="29" t="n"/>
    </row>
    <row r="76" ht="54" customHeight="1">
      <c r="A76" s="29" t="inlineStr">
        <is>
          <t>sevilla:fundacion-cajasol-sevilla</t>
        </is>
      </c>
      <c r="B76" s="29" t="inlineStr">
        <is>
          <t>sevilla</t>
        </is>
      </c>
      <c r="C76" s="29" t="inlineStr">
        <is>
          <t>fundacion-cajasol-sevilla</t>
        </is>
      </c>
      <c r="D76" s="29" t="inlineStr">
        <is>
          <t>Teatro Cajasol (Fundación Cajasol)</t>
        </is>
      </c>
      <c r="E76" s="29" t="inlineStr">
        <is>
          <t>Fundación Cajasol'un tiyatro salonu; Calle Chicarreros 1 girişi</t>
        </is>
      </c>
      <c r="F76" s="29" t="inlineStr">
        <is>
          <t>Teatro Cajasol'a Calle Chicarreros 1'den giriliyor; vakfın ana binası Plaza de San Francisco 1'deki 16. yüzyıl yapısı. Cajasol, Sevilla'nın yanı sıra Huelva, Cádiz, Córdoba ve Jerez de la Frontera'da da merkezlere sahip.</t>
        </is>
      </c>
      <c r="G76" s="29" t="inlineStr">
        <is>
          <t>Teatro Cajasol, Fundación Cajasol, Chicarreros, Sevilla tiyatro, Plaza de San Francisco</t>
        </is>
      </c>
      <c r="H76" s="29" t="inlineStr">
        <is>
          <t>planning;new;settled</t>
        </is>
      </c>
      <c r="I76" s="29" t="inlineStr">
        <is>
          <t>sevilla:kaynak:387</t>
        </is>
      </c>
      <c r="J76" s="49" t="n">
        <v>46320</v>
      </c>
      <c r="K76" s="51" t="n">
        <v>95</v>
      </c>
      <c r="L76" s="29" t="inlineStr">
        <is>
          <t>Hayır</t>
        </is>
      </c>
      <c r="M76" s="29" t="inlineStr">
        <is>
          <t>Taslak</t>
        </is>
      </c>
      <c r="N76" s="29" t="inlineStr">
        <is>
          <t>Sahne ve müzik</t>
        </is>
      </c>
      <c r="O76" s="29" t="inlineStr">
        <is>
          <t>Casco Antiguo</t>
        </is>
      </c>
      <c r="P76" s="29" t="inlineStr">
        <is>
          <t>Kapalı alan</t>
        </is>
      </c>
      <c r="Q76" s="29" t="inlineStr">
        <is>
          <t>Teatro Cajasol: Acceso por c/ Chicarreros, nº 1, Sevilla</t>
        </is>
      </c>
      <c r="R76" s="50" t="n">
        <v>37.388764</v>
      </c>
      <c r="S76" s="50" t="n">
        <v>-5.993477</v>
      </c>
      <c r="T76" s="29" t="n"/>
      <c r="U76" s="29" t="inlineStr">
        <is>
          <t>Álvarez Quintero girişli Sala literaria Bécquer'de bir kütüphane var; kullanıcı olarak kayıt yaptırılabiliyor.</t>
        </is>
      </c>
      <c r="V76" s="29" t="inlineStr">
        <is>
          <t>Hayır</t>
        </is>
      </c>
      <c r="W76" s="29" t="n"/>
    </row>
    <row r="77" ht="54" customHeight="1">
      <c r="A77" s="29" t="inlineStr">
        <is>
          <t>sevilla:confiteria-la-campana</t>
        </is>
      </c>
      <c r="B77" s="29" t="inlineStr">
        <is>
          <t>sevilla</t>
        </is>
      </c>
      <c r="C77" s="29" t="inlineStr">
        <is>
          <t>confiteria-la-campana</t>
        </is>
      </c>
      <c r="D77" s="29" t="inlineStr">
        <is>
          <t>Confitería La Campana</t>
        </is>
      </c>
      <c r="E77" s="29" t="inlineStr">
        <is>
          <t>Calle Sierpes 1-3'te pastane ve şekerleme dükkânı</t>
        </is>
      </c>
      <c r="F77" s="29" t="inlineStr">
        <is>
          <t>Pastelería y Confitería La Campana, Sevilla'nın merkezinde, Calle Sierpes 1-3'te.</t>
        </is>
      </c>
      <c r="G77" s="29" t="inlineStr">
        <is>
          <t>La Campana, pastane, confitería, Calle Sierpes, Sevilla tatlı</t>
        </is>
      </c>
      <c r="H77" s="29" t="inlineStr">
        <is>
          <t>planning;new;settled</t>
        </is>
      </c>
      <c r="I77" s="29" t="inlineStr">
        <is>
          <t>sevilla:kaynak:394</t>
        </is>
      </c>
      <c r="J77" s="49" t="n">
        <v>46320</v>
      </c>
      <c r="K77" s="51" t="n">
        <v>96</v>
      </c>
      <c r="L77" s="29" t="inlineStr">
        <is>
          <t>Hayır</t>
        </is>
      </c>
      <c r="M77" s="29" t="inlineStr">
        <is>
          <t>Taslak</t>
        </is>
      </c>
      <c r="N77" s="29" t="inlineStr">
        <is>
          <t>Yeme ve içme</t>
        </is>
      </c>
      <c r="O77" s="29" t="inlineStr">
        <is>
          <t>Casco Antiguo</t>
        </is>
      </c>
      <c r="P77" s="29" t="inlineStr">
        <is>
          <t>Kapalı alan</t>
        </is>
      </c>
      <c r="Q77" s="29" t="inlineStr">
        <is>
          <t>Calle Sierpes, 1-3, Sevilla</t>
        </is>
      </c>
      <c r="R77" s="50" t="n">
        <v>37.393667</v>
      </c>
      <c r="S77" s="50" t="n">
        <v>-5.99453</v>
      </c>
      <c r="T77" s="29" t="n"/>
      <c r="U77" s="29" t="n"/>
      <c r="V77" s="29" t="inlineStr">
        <is>
          <t>Hayır</t>
        </is>
      </c>
      <c r="W77" s="29" t="n"/>
    </row>
    <row r="78" ht="54" customHeight="1">
      <c r="A78" s="29" t="inlineStr">
        <is>
          <t>sevilla:casa-roman-sevilla</t>
        </is>
      </c>
      <c r="B78" s="29" t="inlineStr">
        <is>
          <t>sevilla</t>
        </is>
      </c>
      <c r="C78" s="29" t="inlineStr">
        <is>
          <t>casa-roman-sevilla</t>
        </is>
      </c>
      <c r="D78" s="29" t="inlineStr">
        <is>
          <t>Casa Román</t>
        </is>
      </c>
      <c r="E78" s="29" t="inlineStr">
        <is>
          <t>Plaza los Venerables'te öğle ve akşam saatlerinde açık mekân</t>
        </is>
      </c>
      <c r="F78" s="29" t="inlineStr">
        <is>
          <t>Casa Román, Santa Cruz'da Plaza los Venerables 1'de, posta kodu 41004. Sitenin saat bölümü yıl belirtmeden "3 Ağustos'tan itibaren pazartesi–pazar 13:00–17:00 ve 20:00–24:00" diyor. Telefon 954 22 84 83.</t>
        </is>
      </c>
      <c r="G78" s="29" t="inlineStr">
        <is>
          <t>Casa Román, Plaza los Venerables, Santa Cruz, Sevilla, Venerables</t>
        </is>
      </c>
      <c r="H78" s="29" t="inlineStr">
        <is>
          <t>planning;new;settled</t>
        </is>
      </c>
      <c r="I78" s="29" t="inlineStr">
        <is>
          <t>sevilla:kaynak:395</t>
        </is>
      </c>
      <c r="J78" s="49" t="n">
        <v>46320</v>
      </c>
      <c r="K78" s="51" t="n">
        <v>97</v>
      </c>
      <c r="L78" s="29" t="inlineStr">
        <is>
          <t>Hayır</t>
        </is>
      </c>
      <c r="M78" s="29" t="inlineStr">
        <is>
          <t>Taslak</t>
        </is>
      </c>
      <c r="N78" s="29" t="inlineStr">
        <is>
          <t>Yeme ve içme</t>
        </is>
      </c>
      <c r="O78" s="29" t="inlineStr">
        <is>
          <t>Santa Cruz</t>
        </is>
      </c>
      <c r="P78" s="29" t="inlineStr">
        <is>
          <t>Kapalı alan</t>
        </is>
      </c>
      <c r="Q78" s="29" t="inlineStr">
        <is>
          <t>Plaza los Venerables, 1, 41004 Sevilla</t>
        </is>
      </c>
      <c r="R78" s="50" t="n">
        <v>37.385143</v>
      </c>
      <c r="S78" s="50" t="n">
        <v>-5.989687</v>
      </c>
      <c r="T78" s="29" t="n"/>
      <c r="U78" s="29" t="n"/>
      <c r="V78" s="29" t="inlineStr">
        <is>
          <t>Hayır</t>
        </is>
      </c>
      <c r="W78" s="29" t="n"/>
    </row>
    <row r="79" ht="54" customHeight="1">
      <c r="A79" s="29" t="inlineStr">
        <is>
          <t>sevilla:huevo-de-colon</t>
        </is>
      </c>
      <c r="B79" s="29" t="inlineStr">
        <is>
          <t>sevilla</t>
        </is>
      </c>
      <c r="C79" s="29" t="inlineStr">
        <is>
          <t>huevo-de-colon</t>
        </is>
      </c>
      <c r="D79" s="29" t="inlineStr">
        <is>
          <t>Huevo de Colón</t>
        </is>
      </c>
      <c r="E79" s="29" t="inlineStr">
        <is>
          <t>Parque San Jerónimo'da, Rus heykeltıraş Zurab Tsereteli'nin 46 metrelik bronz heykeli</t>
        </is>
      </c>
      <c r="F79" s="29" t="inlineStr">
        <is>
          <t>'Nacimiento de un Hombre Nuevo' adlı heykelin halk arasındaki adı Huevo de Colón. Rus-Gürcü heykeltıraş Zurab Tsereteli'nin eseri, Moskova Belediyesi'nin hediyesi. Yaklaşık 46 metreyle İspanya'nın en yüksek bronz heykeli: üç karavelanın yelken ve halatlarından oluşan dev yumurtanın içinde 32 metrelik Kristof Kolomb figürü duruyor. Giriş serbest, gün boyu erişilebilir.</t>
        </is>
      </c>
      <c r="G79" s="29" t="inlineStr">
        <is>
          <t>Huevo de Colón, Zurab Tsereteli, Parque San Jerónimo, heykel, Kolomb, ücretsiz</t>
        </is>
      </c>
      <c r="H79" s="29" t="inlineStr">
        <is>
          <t>planning;new;settled</t>
        </is>
      </c>
      <c r="I79" s="29" t="inlineStr">
        <is>
          <t>sevilla:kaynak:397</t>
        </is>
      </c>
      <c r="J79" s="49" t="n">
        <v>46320</v>
      </c>
      <c r="K79" s="51" t="n">
        <v>99</v>
      </c>
      <c r="L79" s="29" t="inlineStr">
        <is>
          <t>Hayır</t>
        </is>
      </c>
      <c r="M79" s="29" t="inlineStr">
        <is>
          <t>Taslak</t>
        </is>
      </c>
      <c r="N79" s="29" t="inlineStr">
        <is>
          <t>Sanat ve sergiler</t>
        </is>
      </c>
      <c r="O79" s="29" t="inlineStr">
        <is>
          <t>Sevilla Norte</t>
        </is>
      </c>
      <c r="P79" s="29" t="inlineStr">
        <is>
          <t>Açık hava</t>
        </is>
      </c>
      <c r="Q79" s="29" t="inlineStr">
        <is>
          <t>Camino Viejo de la Algaba, 41015, Parque San Jerónimo</t>
        </is>
      </c>
      <c r="R79" s="50" t="n"/>
      <c r="S79" s="50" t="n"/>
      <c r="T79" s="29" t="n"/>
      <c r="U79" s="29" t="inlineStr">
        <is>
          <t>Parka Puente del Alamillo ya da Isla de la Cartuja yönünden nehir kıyısındaki yürüyüş yollarıyla bisiklet, yürüyüş veya scooter ile gelinebiliyor.</t>
        </is>
      </c>
      <c r="V79" s="29" t="inlineStr">
        <is>
          <t>Hayır</t>
        </is>
      </c>
      <c r="W79" s="29" t="n"/>
    </row>
    <row r="80" ht="54" customHeight="1">
      <c r="A80" s="29" t="inlineStr">
        <is>
          <t>sevilla:real-fabrica-de-artilleria</t>
        </is>
      </c>
      <c r="B80" s="29" t="inlineStr">
        <is>
          <t>sevilla</t>
        </is>
      </c>
      <c r="C80" s="29" t="inlineStr">
        <is>
          <t>real-fabrica-de-artilleria</t>
        </is>
      </c>
      <c r="D80" s="29" t="inlineStr">
        <is>
          <t>Real Fábrica de Artillería</t>
        </is>
      </c>
      <c r="E80" s="29" t="inlineStr">
        <is>
          <t>San Bernardo'da 18. yüzyıldan kalma endüstriyel yapı; sergi ve kültür etkinlikleri</t>
        </is>
      </c>
      <c r="F80" s="29" t="inlineStr">
        <is>
          <t>Real Fábrica de Artillería, III. Carlos'un girişimiyle 1782'de kurulan, 20.000 m²'yi aşan bir 18. yüzyıl sanayi kompleksi; bronz top üretimiyle tanınıyordu. Neoklasik mimarisi, yüksek endüstriyel salonları ve büyük bacasıyla dikkat çekiyor; bina bütün olarak kullanım dışı kalmış ve rehabilitasyon projelerine konu olmuş; bugün yalnız birkaç mekânı sergi, festival ve kültür etkinliklerine ayrılıyor. Adres Calle Eduardo Dato 58, 41018. Turizm sayfası pazartesi–cumartesi 11:00–20:00, pazar ve resmî tatillerde 10:00–14:00 saatlerini veriyor; bina sürekli açık bir müze değil, bu saatler sergi ve etkinliklerle ilgili.</t>
        </is>
      </c>
      <c r="G80" s="29" t="inlineStr">
        <is>
          <t>Real Fábrica de Artillería, San Bernardo, endüstri mirası, sergi, Eduardo Dato, 18. yüzyıl</t>
        </is>
      </c>
      <c r="H80" s="29" t="inlineStr">
        <is>
          <t>planning;new;settled</t>
        </is>
      </c>
      <c r="I80" s="29" t="inlineStr">
        <is>
          <t>sevilla:kaynak:398</t>
        </is>
      </c>
      <c r="J80" s="49" t="n">
        <v>46320</v>
      </c>
      <c r="K80" s="51" t="n">
        <v>100</v>
      </c>
      <c r="L80" s="29" t="inlineStr">
        <is>
          <t>Hayır</t>
        </is>
      </c>
      <c r="M80" s="29" t="inlineStr">
        <is>
          <t>Taslak</t>
        </is>
      </c>
      <c r="N80" s="29" t="inlineStr">
        <is>
          <t>Sanat ve sergiler</t>
        </is>
      </c>
      <c r="O80" s="29" t="inlineStr">
        <is>
          <t>Nervión</t>
        </is>
      </c>
      <c r="P80" s="29" t="inlineStr">
        <is>
          <t>Kapalı alan</t>
        </is>
      </c>
      <c r="Q80" s="29" t="inlineStr">
        <is>
          <t>Calle Eduardo Dato, 58, 41018 Sevilla</t>
        </is>
      </c>
      <c r="R80" s="50" t="n">
        <v>37.383665</v>
      </c>
      <c r="S80" s="50" t="n">
        <v>-5.981799</v>
      </c>
      <c r="T80" s="29" t="n"/>
      <c r="U80" s="29" t="inlineStr">
        <is>
          <t>Zemin yer yer orijinal döşemesini koruyor, rahat yürüyüş ayakkabısı işe yarıyor. Yeraltı geçitleri ve eski eritme fırınları kurtarılmış; bunlar yapının endüstri mirasının parçası.</t>
        </is>
      </c>
      <c r="V80" s="29" t="inlineStr">
        <is>
          <t>Hayır</t>
        </is>
      </c>
      <c r="W80" s="29" t="n"/>
    </row>
    <row r="81" ht="54" customHeight="1">
      <c r="A81" s="29" t="inlineStr">
        <is>
          <t>sevilla:iglesia-de-san-luis-de-los-franceses</t>
        </is>
      </c>
      <c r="B81" s="29" t="inlineStr">
        <is>
          <t>sevilla</t>
        </is>
      </c>
      <c r="C81" s="29" t="inlineStr">
        <is>
          <t>iglesia-de-san-luis-de-los-franceses</t>
        </is>
      </c>
      <c r="D81" s="29" t="inlineStr">
        <is>
          <t>Iglesia de San Luis de los Franceses</t>
        </is>
      </c>
      <c r="E81" s="29" t="inlineStr">
        <is>
          <t>Cizvit noviçlik kilisesi; Sevilla barokunun önde gelen örneklerinden</t>
        </is>
      </c>
      <c r="F81" s="29" t="inlineStr">
        <is>
          <t>1699–1731 arasında Cizvitlerin noviçlik kilisesi olarak yapılan San Luis de los Franceses, Sevilla barokunun önde gelen örneklerinden. Cephesi, altın varaklı retabloları, kubbesi ve fresklerinin yanında kripta ve eski Cizvit okulunun bazı odaları da geziliyor. Adres Calle San Luis 37; salı–pazar 10:00–14:00 ve 16:00–20:00 açık, her gün açılmıyor.</t>
        </is>
      </c>
      <c r="G81" s="29" t="inlineStr">
        <is>
          <t>San Luis de los Franceses, barok, Cizvit, Sevilla kilisesi, kubbe, Calle San Luis</t>
        </is>
      </c>
      <c r="H81" s="29" t="inlineStr">
        <is>
          <t>planning;new;settled</t>
        </is>
      </c>
      <c r="I81" s="29" t="inlineStr">
        <is>
          <t>sevilla:kaynak:399</t>
        </is>
      </c>
      <c r="J81" s="49" t="n">
        <v>46320</v>
      </c>
      <c r="K81" s="51" t="n">
        <v>101</v>
      </c>
      <c r="L81" s="29" t="inlineStr">
        <is>
          <t>Hayır</t>
        </is>
      </c>
      <c r="M81" s="29" t="inlineStr">
        <is>
          <t>Taslak</t>
        </is>
      </c>
      <c r="N81" s="29" t="inlineStr">
        <is>
          <t>Sanat ve sergiler</t>
        </is>
      </c>
      <c r="O81" s="29" t="inlineStr">
        <is>
          <t>Casco Antiguo</t>
        </is>
      </c>
      <c r="P81" s="29" t="inlineStr">
        <is>
          <t>Kapalı alan</t>
        </is>
      </c>
      <c r="Q81" s="29" t="inlineStr">
        <is>
          <t>Calle San Luis, 37, Casco Antiguo, 41003 Sevilla</t>
        </is>
      </c>
      <c r="R81" s="50" t="n">
        <v>37.39838</v>
      </c>
      <c r="S81" s="50" t="n">
        <v>-5.98831</v>
      </c>
      <c r="T81" s="29" t="n"/>
      <c r="U81" s="29" t="inlineStr">
        <is>
          <t>Güvenlik kontrolü için ziyaretten 15 dakika önce gelmek isteniyor. Noviçlerin özel kilisesi Capilla Doméstica görülmeye değer. Telefon +34 610 10 08 79.</t>
        </is>
      </c>
      <c r="V81" s="29" t="inlineStr">
        <is>
          <t>Hayır</t>
        </is>
      </c>
      <c r="W81" s="29" t="n"/>
    </row>
    <row r="82" ht="54" customHeight="1">
      <c r="A82" s="29" t="inlineStr">
        <is>
          <t>sevilla:ceramica-santa-ana</t>
        </is>
      </c>
      <c r="B82" s="29" t="inlineStr">
        <is>
          <t>sevilla</t>
        </is>
      </c>
      <c r="C82" s="29" t="inlineStr">
        <is>
          <t>ceramica-santa-ana</t>
        </is>
      </c>
      <c r="D82" s="29" t="inlineStr">
        <is>
          <t>Cerámica Santa Ana</t>
        </is>
      </c>
      <c r="E82" s="29" t="inlineStr">
        <is>
          <t>Triana'da el yapımı çini ve seramik atölyesi</t>
        </is>
      </c>
      <c r="F82" s="29" t="inlineStr">
        <is>
          <t>Cerámica Santa Ana, kendi sitesine göre Triana'nın kalbinde doğmuş ve mahallenin seramik geleneğini yaşatmayı amaçlayan bir atölye. Sitede 15x15 cm cuerda seca çiniler, 20–35 cm vazolar ve kişiye özel siparişler (ör. 6 çiniden oluşan 30x45 cm pano) gösteriliyor. Adres C/ Antillano Campos 2, 41010; telefon +34 635 240 019.</t>
        </is>
      </c>
      <c r="G82" s="29" t="inlineStr">
        <is>
          <t>Cerámica Santa Ana, Triana, azulejo, seramik, cuerda seca, el yapımı çini</t>
        </is>
      </c>
      <c r="H82" s="29" t="inlineStr">
        <is>
          <t>planning;new;settled</t>
        </is>
      </c>
      <c r="I82" s="29" t="inlineStr">
        <is>
          <t>sevilla:kaynak:400</t>
        </is>
      </c>
      <c r="J82" s="49" t="n">
        <v>46320</v>
      </c>
      <c r="K82" s="51" t="n">
        <v>102</v>
      </c>
      <c r="L82" s="29" t="inlineStr">
        <is>
          <t>Hayır</t>
        </is>
      </c>
      <c r="M82" s="29" t="inlineStr">
        <is>
          <t>Taslak</t>
        </is>
      </c>
      <c r="N82" s="29" t="inlineStr">
        <is>
          <t>Sanat ve sergiler</t>
        </is>
      </c>
      <c r="O82" s="29" t="inlineStr">
        <is>
          <t>Triana</t>
        </is>
      </c>
      <c r="P82" s="29" t="inlineStr">
        <is>
          <t>Kapalı alan</t>
        </is>
      </c>
      <c r="Q82" s="29" t="inlineStr">
        <is>
          <t>C/ Antillano Campos, 2, 41010 Sevilla</t>
        </is>
      </c>
      <c r="R82" s="50" t="n">
        <v>37.385548</v>
      </c>
      <c r="S82" s="50" t="n">
        <v>-6.004636</v>
      </c>
      <c r="T82" s="29" t="n"/>
      <c r="U82" s="29" t="inlineStr">
        <is>
          <t>Sitede kişiye özel sipariş örnekleri var (ör. 15x20 ve 20x30 cm çiniler).</t>
        </is>
      </c>
      <c r="V82" s="29" t="inlineStr">
        <is>
          <t>Hayır</t>
        </is>
      </c>
      <c r="W82" s="29" t="n"/>
    </row>
    <row r="83" ht="54" customHeight="1">
      <c r="A83" s="29" t="inlineStr">
        <is>
          <t>sevilla:teatro-flamenco-sevilla</t>
        </is>
      </c>
      <c r="B83" s="29" t="inlineStr">
        <is>
          <t>sevilla</t>
        </is>
      </c>
      <c r="C83" s="29" t="inlineStr">
        <is>
          <t>teatro-flamenco-sevilla</t>
        </is>
      </c>
      <c r="D83" s="29" t="inlineStr">
        <is>
          <t>Teatro Flamenco Sevilla</t>
        </is>
      </c>
      <c r="E83" s="29" t="inlineStr">
        <is>
          <t>Eski Teatro Quintero'da, Calle Cuna'da günlük flamenko gösterisi 'Pasión'</t>
        </is>
      </c>
      <c r="F83" s="29" t="inlineStr">
        <is>
          <t>Teatro Flamenco Sevilla, eski Teatro Quintero'nun içinde, Calle Cuna 15'te. 'Pasión' gösterisi yılın her günü 17:00, 19:00 ve 20:45'te, 1 saat sürüyor. Koltuklar geliş sırasına göre doldurulduğu için gösteriden 20 dakika önce gelmek öneriliyor. Noel döneminde 'La Zambomba' düzenleniyor; sitede ayrıca 'Domingos de Vermut y Potaje', 'Especial Sevillanas' ve flamenko dersleri listeleniyor.</t>
        </is>
      </c>
      <c r="G83" s="29" t="inlineStr">
        <is>
          <t>Teatro Flamenco Sevilla, Pasión, flamenko gösterisi, Teatro Quintero, Calle Cuna, flamenko dersi</t>
        </is>
      </c>
      <c r="H83" s="29" t="inlineStr">
        <is>
          <t>planning;new;settled</t>
        </is>
      </c>
      <c r="I83" s="29" t="inlineStr">
        <is>
          <t>sevilla:kaynak:401;sevilla:kaynak:446</t>
        </is>
      </c>
      <c r="J83" s="49" t="n">
        <v>46320</v>
      </c>
      <c r="K83" s="51" t="n">
        <v>103</v>
      </c>
      <c r="L83" s="29" t="inlineStr">
        <is>
          <t>Hayır</t>
        </is>
      </c>
      <c r="M83" s="29" t="inlineStr">
        <is>
          <t>Taslak</t>
        </is>
      </c>
      <c r="N83" s="29" t="inlineStr">
        <is>
          <t>Sahne ve müzik</t>
        </is>
      </c>
      <c r="O83" s="29" t="inlineStr">
        <is>
          <t>Casco Antiguo</t>
        </is>
      </c>
      <c r="P83" s="29" t="inlineStr">
        <is>
          <t>Kapalı alan</t>
        </is>
      </c>
      <c r="Q83" s="29" t="inlineStr">
        <is>
          <t>Calle Cuna, 15, 41004 Sevilla</t>
        </is>
      </c>
      <c r="R83" s="50" t="n">
        <v>37.392057</v>
      </c>
      <c r="S83" s="50" t="n">
        <v>-5.993621</v>
      </c>
      <c r="T83" s="29" t="n"/>
      <c r="U83" s="29" t="inlineStr">
        <is>
          <t>Rezervasyon formunda hareket kısıtlı ya da tekerlekli sandalyeli misafirler için ayrı bir seçenek var. Sitede 'yardım' için +34 621 682 023 numarası veriliyor.</t>
        </is>
      </c>
      <c r="V83" s="29" t="inlineStr">
        <is>
          <t>Hayır</t>
        </is>
      </c>
      <c r="W83" s="29" t="n"/>
    </row>
    <row r="84" ht="54" customHeight="1">
      <c r="A84" s="29" t="inlineStr">
        <is>
          <t>sevilla:casa-de-la-guitarra</t>
        </is>
      </c>
      <c r="B84" s="29" t="inlineStr">
        <is>
          <t>sevilla</t>
        </is>
      </c>
      <c r="C84" s="29" t="inlineStr">
        <is>
          <t>casa-de-la-guitarra</t>
        </is>
      </c>
      <c r="D84" s="29" t="inlineStr">
        <is>
          <t>Casa de la Guitarra</t>
        </is>
      </c>
      <c r="E84" s="29" t="inlineStr">
        <is>
          <t>Santa Cruz'da günde iki seans flamenko gösterisi ve gitar müzesi</t>
        </is>
      </c>
      <c r="F84" s="29" t="inlineStr">
        <is>
          <t>Casa de la Guitarra, C/ Mesón del Moro 12'de, Santa Cruz Mahallesi'nde bir tablao; cante, baile ve flamenko gitarı. İki seans var: öğleden sonra 19:30–20:30, akşam 21:00–22:00. Genel giriş 20 €, emekli ve 26 yaşına kadar öğrenci 15 €, 12 yaşına kadar çocuk 12 €. Salon klimalı, erişilebilir ve kontenjanlı.</t>
        </is>
      </c>
      <c r="G84" s="29" t="inlineStr">
        <is>
          <t>Casa de la Guitarra, flamenko, tablao, Mesón del Moro, Santa Cruz, gitar müzesi</t>
        </is>
      </c>
      <c r="H84" s="29" t="inlineStr">
        <is>
          <t>planning;new;settled</t>
        </is>
      </c>
      <c r="I84" s="29" t="inlineStr">
        <is>
          <t>sevilla:kaynak:402</t>
        </is>
      </c>
      <c r="J84" s="49" t="n">
        <v>46320</v>
      </c>
      <c r="K84" s="51" t="n">
        <v>104</v>
      </c>
      <c r="L84" s="29" t="inlineStr">
        <is>
          <t>Hayır</t>
        </is>
      </c>
      <c r="M84" s="29" t="inlineStr">
        <is>
          <t>Taslak</t>
        </is>
      </c>
      <c r="N84" s="29" t="inlineStr">
        <is>
          <t>Sahne ve müzik</t>
        </is>
      </c>
      <c r="O84" s="29" t="inlineStr">
        <is>
          <t>Santa Cruz</t>
        </is>
      </c>
      <c r="P84" s="29" t="inlineStr">
        <is>
          <t>Kapalı alan</t>
        </is>
      </c>
      <c r="Q84" s="29" t="inlineStr">
        <is>
          <t>C/ Mesón del Moro 12, Sevilla</t>
        </is>
      </c>
      <c r="R84" s="50" t="n">
        <v>37.386087</v>
      </c>
      <c r="S84" s="50" t="n">
        <v>-5.989738</v>
      </c>
      <c r="T84" s="29" t="n"/>
      <c r="U84" s="29" t="inlineStr">
        <is>
          <t>Gitar müzesi var; tam tur her gün yapılabiliyor. Telefon +34 954 22 40 93.</t>
        </is>
      </c>
      <c r="V84" s="29" t="inlineStr">
        <is>
          <t>Hayır</t>
        </is>
      </c>
      <c r="W84" s="29" t="n"/>
    </row>
    <row r="85" ht="54" customHeight="1">
      <c r="A85" s="29" t="inlineStr">
        <is>
          <t>sevilla:mercado-lonja-del-barranco</t>
        </is>
      </c>
      <c r="B85" s="29" t="inlineStr">
        <is>
          <t>sevilla</t>
        </is>
      </c>
      <c r="C85" s="29" t="inlineStr">
        <is>
          <t>mercado-lonja-del-barranco</t>
        </is>
      </c>
      <c r="D85" s="29" t="inlineStr">
        <is>
          <t>Mercado Lonja del Barranco</t>
        </is>
      </c>
      <c r="E85" s="29" t="inlineStr">
        <is>
          <t>Gustave Eiffel'e atfedilen eski lonja binasında gurme pazar; Isabel II köprüsünün dibinde</t>
        </is>
      </c>
      <c r="F85" s="29" t="inlineStr">
        <is>
          <t>Mercado del Barranco, Isabel II köprüsünün ayağında, Guadalquivir manzaralı eski Sevilla loncasının (lonja) yerinde; yapının 1861'de Gustave Eiffel tarafından tasarlandığı belirtiliyor. 2.500 m²'yi aşan alanda bir düzine tezgâh var: kızarmış balık, deniz ürünleri, pilav ve et yemekleri, şarküteri, suşi, empanada, dilimlik pizza, el yapımı dondurma, pastane, şarap ve kokteyl. Adres C/ Arjona s/n, 41001.</t>
        </is>
      </c>
      <c r="G85" s="29" t="inlineStr">
        <is>
          <t>Mercado del Barranco, Lonja del Barranco, gurme pazar, Eiffel, Arenal, tapas</t>
        </is>
      </c>
      <c r="H85" s="29" t="inlineStr">
        <is>
          <t>planning;new;settled</t>
        </is>
      </c>
      <c r="I85" s="29" t="inlineStr">
        <is>
          <t>sevilla:kaynak:403</t>
        </is>
      </c>
      <c r="J85" s="49" t="n">
        <v>46320</v>
      </c>
      <c r="K85" s="51" t="n">
        <v>105</v>
      </c>
      <c r="L85" s="29" t="inlineStr">
        <is>
          <t>Hayır</t>
        </is>
      </c>
      <c r="M85" s="29" t="inlineStr">
        <is>
          <t>Taslak</t>
        </is>
      </c>
      <c r="N85" s="29" t="inlineStr">
        <is>
          <t>Yeme ve içme</t>
        </is>
      </c>
      <c r="O85" s="29" t="inlineStr">
        <is>
          <t>El Arenal</t>
        </is>
      </c>
      <c r="P85" s="29" t="inlineStr">
        <is>
          <t>Kapalı alan</t>
        </is>
      </c>
      <c r="Q85" s="29" t="inlineStr">
        <is>
          <t>C/ Arjona, s/n, 41001 Sevilla</t>
        </is>
      </c>
      <c r="R85" s="50" t="n">
        <v>37.390072</v>
      </c>
      <c r="S85" s="50" t="n">
        <v>-6.002843</v>
      </c>
      <c r="T85" s="29" t="n"/>
      <c r="U85" s="29" t="inlineStr">
        <is>
          <t>Telefon +34 609 985 876, e-posta info@mercadodelbarranco.com. Yakınında Güzel Sanatlar Müzesi 0,5 km, Katedral 0,9 km mesafede.</t>
        </is>
      </c>
      <c r="V85" s="29" t="inlineStr">
        <is>
          <t>Hayır</t>
        </is>
      </c>
      <c r="W85" s="29" t="n"/>
    </row>
    <row r="86" ht="54" customHeight="1">
      <c r="A86" s="29" t="inlineStr">
        <is>
          <t>sevilla:mercado-de-la-encarnacion</t>
        </is>
      </c>
      <c r="B86" s="29" t="inlineStr">
        <is>
          <t>sevilla</t>
        </is>
      </c>
      <c r="C86" s="29" t="inlineStr">
        <is>
          <t>mercado-de-la-encarnacion</t>
        </is>
      </c>
      <c r="D86" s="29" t="inlineStr">
        <is>
          <t>Mercado de la Encarnación (Las Setas)</t>
        </is>
      </c>
      <c r="E86" s="29" t="inlineStr">
        <is>
          <t>Metropol Parasol'un altındaki geleneksel taze ürün pazarı</t>
        </is>
      </c>
      <c r="F86" s="29" t="inlineStr">
        <is>
          <t>Mercado de la Encarnación, Plaza de la Encarnación s/n'de, Las Setas olarak bilinen Metropol Parasol yapısının zemin katında. Geleneksel taze ürün tezgâhları ve barlar burada; pazar pazartesi–cumartesi 8:00–15:00 açık ve öğleden sonra açılmıyor. Pazarın üstünde Setas'ın miradoru, yer altında (-1. katta) Antiquarium bulunuyor.</t>
        </is>
      </c>
      <c r="G86" s="29" t="inlineStr">
        <is>
          <t>Mercado de la Encarnación, Las Setas, Metropol Parasol, Sevilla pazarı, taze ürün, Encarnación</t>
        </is>
      </c>
      <c r="H86" s="29" t="inlineStr">
        <is>
          <t>planning;new;settled</t>
        </is>
      </c>
      <c r="I86" s="29" t="inlineStr">
        <is>
          <t>sevilla:kaynak:309</t>
        </is>
      </c>
      <c r="J86" s="49" t="n">
        <v>46320</v>
      </c>
      <c r="K86" s="51" t="n">
        <v>106</v>
      </c>
      <c r="L86" s="29" t="inlineStr">
        <is>
          <t>Hayır</t>
        </is>
      </c>
      <c r="M86" s="29" t="inlineStr">
        <is>
          <t>Taslak</t>
        </is>
      </c>
      <c r="N86" s="29" t="inlineStr">
        <is>
          <t>Yeme ve içme</t>
        </is>
      </c>
      <c r="O86" s="29" t="inlineStr">
        <is>
          <t>Casco Antiguo</t>
        </is>
      </c>
      <c r="P86" s="29" t="inlineStr">
        <is>
          <t>Kapalı alan</t>
        </is>
      </c>
      <c r="Q86" s="29" t="inlineStr">
        <is>
          <t>Plaza de la Encarnación, s/n, Casco Antiguo, 41003 Sevilla</t>
        </is>
      </c>
      <c r="R86" s="50" t="n">
        <v>37.393253</v>
      </c>
      <c r="S86" s="50" t="n">
        <v>-5.991881</v>
      </c>
      <c r="T86" s="29" t="n"/>
      <c r="U86" s="29" t="inlineStr">
        <is>
          <t>Setas'ın miradoru her gün 9:30–24:30 açık, son giriş 23:45; bilet -1. kattaki gişeden alınıyor. Kaynağa göre mirador 'sevillanos'a (Sevillalılara) ücretsiz ve Real Alcázar genel girişine dahil; 'Sevillalı'nın kimleri kapsadığı ve hangi belgenin istendiği yazmıyor, gişede sorabilirsin.</t>
        </is>
      </c>
      <c r="V86" s="29" t="inlineStr">
        <is>
          <t>Hayır</t>
        </is>
      </c>
      <c r="W86" s="29" t="n"/>
    </row>
    <row r="87" ht="54" customHeight="1">
      <c r="A87" s="29" t="inlineStr">
        <is>
          <t>sevilla:convento-de-santa-paula</t>
        </is>
      </c>
      <c r="B87" s="29" t="inlineStr">
        <is>
          <t>sevilla</t>
        </is>
      </c>
      <c r="C87" s="29" t="inlineStr">
        <is>
          <t>convento-de-santa-paula</t>
        </is>
      </c>
      <c r="D87" s="29" t="inlineStr">
        <is>
          <t>Convento de Santa Paula</t>
        </is>
      </c>
      <c r="E87" s="29" t="inlineStr">
        <is>
          <t>Sevilla'nın en güzel kapalı manastırlarından biri; müzesi ve manastır tatlıları ile</t>
        </is>
      </c>
      <c r="F87" s="29" t="inlineStr">
        <is>
          <t>Calle Santa Paula 11'deki Santa Paula, Sevilla'nın en güzel kapalı manastırlarından biri sayılıyor. Kilisenin portalında gotik, mudéjar ve Rönesans öğeleri birleşiyor; yapımında seramikçi Niculoso Pisano ile heykeltıraş Pedro Millán çalışmış. Nefin ahşap tavanı 1623'te Diego López de Arenas'ın eseri; iki retablodaki Aziz Yuhannalar Martínez Montañés'in 1637–38 tarihli heykelleri. Üst kat odalarındaki müze ve rahibelerin hazırladığı pasta-tatlılar manastırın başlıca çekicilikleri.</t>
        </is>
      </c>
      <c r="G87" s="29" t="inlineStr">
        <is>
          <t>Convento de Santa Paula, manastır müzesi, Niculoso Pisano, Martínez Montañés, Sevilla manastır tatlısı</t>
        </is>
      </c>
      <c r="H87" s="29" t="inlineStr">
        <is>
          <t>planning;new;settled</t>
        </is>
      </c>
      <c r="I87" s="29" t="inlineStr">
        <is>
          <t>sevilla:kaynak:405</t>
        </is>
      </c>
      <c r="J87" s="49" t="n">
        <v>46320</v>
      </c>
      <c r="K87" s="51" t="n">
        <v>108</v>
      </c>
      <c r="L87" s="29" t="inlineStr">
        <is>
          <t>Hayır</t>
        </is>
      </c>
      <c r="M87" s="29" t="inlineStr">
        <is>
          <t>Taslak</t>
        </is>
      </c>
      <c r="N87" s="29" t="inlineStr">
        <is>
          <t>Müzeler</t>
        </is>
      </c>
      <c r="O87" s="29" t="inlineStr">
        <is>
          <t>Casco Antiguo</t>
        </is>
      </c>
      <c r="P87" s="29" t="inlineStr">
        <is>
          <t>Kapalı alan</t>
        </is>
      </c>
      <c r="Q87" s="29" t="inlineStr">
        <is>
          <t>Calle Santa Paula, 11, Sevilla</t>
        </is>
      </c>
      <c r="R87" s="50" t="n">
        <v>37.396182</v>
      </c>
      <c r="S87" s="50" t="n">
        <v>-5.98638</v>
      </c>
      <c r="T87" s="29" t="n"/>
      <c r="U87" s="29" t="inlineStr">
        <is>
          <t>En eski heykel, 15. yüzyıldan kalma geç gotik Cristo del Coral. Telefon 954 540 022.</t>
        </is>
      </c>
      <c r="V87" s="29" t="inlineStr">
        <is>
          <t>Hayır</t>
        </is>
      </c>
      <c r="W87" s="29" t="n"/>
    </row>
    <row r="88" ht="54" customHeight="1">
      <c r="A88" s="29" t="inlineStr">
        <is>
          <t>sevilla:ciudad-de-los-ninos-prado</t>
        </is>
      </c>
      <c r="B88" s="29" t="inlineStr">
        <is>
          <t>sevilla</t>
        </is>
      </c>
      <c r="C88" s="29" t="inlineStr">
        <is>
          <t>ciudad-de-los-ninos-prado</t>
        </is>
      </c>
      <c r="D88" s="29" t="inlineStr">
        <is>
          <t>La Ciudad de los Niños (Prado de San Sebastián)</t>
        </is>
      </c>
      <c r="E88" s="29" t="inlineStr">
        <is>
          <t>Prado de San Sebastián'da Sevilla bayramlarından esinlenen tematik çocuk parkı</t>
        </is>
      </c>
      <c r="F88" s="29" t="inlineStr">
        <is>
          <t>La Ciudad de los Niños, Prado de San Sebastián'da 1.164 m²'lik bir çocuk parkı; Sevilla'nın bayram ve geleneklerine saygı duruşu. Üç bölümü var: Feria de Abril'in eski kapısının 34 m genişliğinde ve 15 m yüksekliğinde kopyası La Gran Pasarela (tirolyen, kaydıraklar, tırmanma duvarları, ağlar), çocuk boyutunda bir Real sokağı olan mini casetas ve Nazareno başlığı biçimli tırmanma yapıları. Tasarım erişilebilirlik ve kapsayıcılık ölçütlerine göre yapılmış.</t>
        </is>
      </c>
      <c r="G88" s="29" t="inlineStr">
        <is>
          <t>Ciudad de los Niños, Prado de San Sebastián, çocuk parkı, Feria de Abril, oyun alanı, erişilebilir park</t>
        </is>
      </c>
      <c r="H88" s="29" t="inlineStr">
        <is>
          <t>planning;new;settled</t>
        </is>
      </c>
      <c r="I88" s="29" t="inlineStr">
        <is>
          <t>sevilla:kaynak:406</t>
        </is>
      </c>
      <c r="J88" s="49" t="n">
        <v>46320</v>
      </c>
      <c r="K88" s="51" t="n">
        <v>109</v>
      </c>
      <c r="L88" s="29" t="inlineStr">
        <is>
          <t>Hayır</t>
        </is>
      </c>
      <c r="M88" s="29" t="inlineStr">
        <is>
          <t>Taslak</t>
        </is>
      </c>
      <c r="N88" s="29" t="inlineStr">
        <is>
          <t>Çocuklarla keşif</t>
        </is>
      </c>
      <c r="O88" s="29" t="inlineStr">
        <is>
          <t>Casco Antiguo</t>
        </is>
      </c>
      <c r="P88" s="29" t="inlineStr">
        <is>
          <t>Açık hava</t>
        </is>
      </c>
      <c r="Q88" s="29" t="inlineStr">
        <is>
          <t>Prado de San Sebastián, Sevilla</t>
        </is>
      </c>
      <c r="R88" s="50" t="n">
        <v>37.379694</v>
      </c>
      <c r="S88" s="50" t="n">
        <v>-5.986895</v>
      </c>
      <c r="T88" s="29" t="n"/>
      <c r="U88" s="29" t="inlineStr">
        <is>
          <t>Park, Prado'daki çocuk alanlarını yenileyecek dört aşamalı projenin ilk aşaması. Hem yerden hem yükseklikte oyunlar var; farklı yaş grupları için ayrılmış alanlar bulunuyor.</t>
        </is>
      </c>
      <c r="V88" s="29" t="inlineStr">
        <is>
          <t>Hayır</t>
        </is>
      </c>
      <c r="W88" s="29" t="n"/>
    </row>
    <row r="89" ht="54" customHeight="1">
      <c r="A89" s="29" t="inlineStr">
        <is>
          <t>sevilla:indoor-minigolf-sevilla</t>
        </is>
      </c>
      <c r="B89" s="29" t="inlineStr">
        <is>
          <t>sevilla</t>
        </is>
      </c>
      <c r="C89" s="29" t="inlineStr">
        <is>
          <t>indoor-minigolf-sevilla</t>
        </is>
      </c>
      <c r="D89" s="29" t="inlineStr">
        <is>
          <t>Indoor Minigolf Sevilla</t>
        </is>
      </c>
      <c r="E89" s="29" t="inlineStr">
        <is>
          <t>Casco Antiguo'da UV ışıklı 18 delikli kapalı minigolf</t>
        </is>
      </c>
      <c r="F89" s="29" t="inlineStr">
        <is>
          <t>Minigolf Sevilla, Calle Orfila 8'de, sitesine göre Las Setas'a birkaç dakika mesafede. Kentin tek 18 delikli, UV ve neon ışıklı kapalı minigolf sahası olduğunu söylüyor; sitesine göre tamamen klimalı. Her gün açık; sitede günün saati 11:00–23:00 görünüyor. Bilet oyun süresini sınırlamıyor; barda içecek ve kokteyl alınabiliyor.</t>
        </is>
      </c>
      <c r="G89" s="29" t="inlineStr">
        <is>
          <t>Minigolf Sevilla, kapalı minigolf, UV ışıklı, çocuklarla Sevilla, Calle Orfila, aile eğlencesi</t>
        </is>
      </c>
      <c r="H89" s="29" t="inlineStr">
        <is>
          <t>planning;new;settled</t>
        </is>
      </c>
      <c r="I89" s="29" t="inlineStr">
        <is>
          <t>sevilla:kaynak:407</t>
        </is>
      </c>
      <c r="J89" s="49" t="n">
        <v>46320</v>
      </c>
      <c r="K89" s="51" t="n">
        <v>110</v>
      </c>
      <c r="L89" s="29" t="inlineStr">
        <is>
          <t>Hayır</t>
        </is>
      </c>
      <c r="M89" s="29" t="inlineStr">
        <is>
          <t>Taslak</t>
        </is>
      </c>
      <c r="N89" s="29" t="inlineStr">
        <is>
          <t>Çocuklarla keşif</t>
        </is>
      </c>
      <c r="O89" s="29" t="inlineStr">
        <is>
          <t>Casco Antiguo</t>
        </is>
      </c>
      <c r="P89" s="29" t="inlineStr">
        <is>
          <t>Kapalı alan</t>
        </is>
      </c>
      <c r="Q89" s="29" t="inlineStr">
        <is>
          <t>Calle Orfila, 8, Casco Antiguo, Sevilla</t>
        </is>
      </c>
      <c r="R89" s="50" t="n">
        <v>37.393303</v>
      </c>
      <c r="S89" s="50" t="n">
        <v>-5.993753</v>
      </c>
      <c r="T89" s="29" t="n"/>
      <c r="U89" s="29" t="inlineStr">
        <is>
          <t>12 yaş altı çocuklar, kendi biletini alan bir yetişkinle gelmek zorunda; her yetişkine en çok 5 çocuk düşüyor (6–10 çocuk için 2 yetişkin gibi). Telefon +34 854 527 796, WhatsApp +34 656 320 879.</t>
        </is>
      </c>
      <c r="V89" s="29" t="inlineStr">
        <is>
          <t>Hayır</t>
        </is>
      </c>
      <c r="W89" s="29" t="n"/>
    </row>
    <row r="90" ht="54" customHeight="1">
      <c r="A90" s="29" t="inlineStr">
        <is>
          <t>sevilla:parque-de-miraflores</t>
        </is>
      </c>
      <c r="B90" s="29" t="inlineStr">
        <is>
          <t>sevilla</t>
        </is>
      </c>
      <c r="C90" s="29" t="inlineStr">
        <is>
          <t>parque-de-miraflores</t>
        </is>
      </c>
      <c r="D90" s="29" t="inlineStr">
        <is>
          <t>Parque de Miraflores</t>
        </is>
      </c>
      <c r="E90" s="29" t="inlineStr">
        <is>
          <t>Carretera de Miraflores üzerinde bir park</t>
        </is>
      </c>
      <c r="F90" s="29" t="inlineStr">
        <is>
          <t>Parque Miraflores, Carretera de Miraflores üzerinde. Junta de Andalucía'nın kültür ajandasında bu adresle kayıtlı.</t>
        </is>
      </c>
      <c r="G90" s="29" t="inlineStr">
        <is>
          <t>Parque de Miraflores, Sevilla parkı, Miraflores, açık hava</t>
        </is>
      </c>
      <c r="H90" s="29" t="inlineStr">
        <is>
          <t>planning;new;settled</t>
        </is>
      </c>
      <c r="I90" s="29" t="inlineStr">
        <is>
          <t>sevilla:kaynak:408</t>
        </is>
      </c>
      <c r="J90" s="49" t="n">
        <v>46320</v>
      </c>
      <c r="K90" s="51" t="n">
        <v>111</v>
      </c>
      <c r="L90" s="29" t="inlineStr">
        <is>
          <t>Hayır</t>
        </is>
      </c>
      <c r="M90" s="29" t="inlineStr">
        <is>
          <t>Taslak</t>
        </is>
      </c>
      <c r="N90" s="29" t="inlineStr">
        <is>
          <t>Doğa ve açık hava</t>
        </is>
      </c>
      <c r="O90" s="29" t="inlineStr">
        <is>
          <t>Sevilla Norte</t>
        </is>
      </c>
      <c r="P90" s="29" t="inlineStr">
        <is>
          <t>Açık hava</t>
        </is>
      </c>
      <c r="Q90" s="29" t="inlineStr">
        <is>
          <t>Carretera de Miraflores, Sevilla</t>
        </is>
      </c>
      <c r="R90" s="50" t="n">
        <v>37.411639</v>
      </c>
      <c r="S90" s="50" t="n">
        <v>-5.963781</v>
      </c>
      <c r="T90" s="29" t="n"/>
      <c r="U90" s="29" t="n"/>
      <c r="V90" s="29" t="inlineStr">
        <is>
          <t>Hayır</t>
        </is>
      </c>
      <c r="W90" s="29" t="n"/>
    </row>
    <row r="91" ht="54" customHeight="1">
      <c r="A91" s="29" t="inlineStr">
        <is>
          <t>sevilla:parque-de-san-jeronimo</t>
        </is>
      </c>
      <c r="B91" s="29" t="inlineStr">
        <is>
          <t>sevilla</t>
        </is>
      </c>
      <c r="C91" s="29" t="inlineStr">
        <is>
          <t>parque-de-san-jeronimo</t>
        </is>
      </c>
      <c r="D91" s="29" t="inlineStr">
        <is>
          <t>Parque de San Jerónimo</t>
        </is>
      </c>
      <c r="E91" s="29" t="inlineStr">
        <is>
          <t>Kuzey Sevilla'da, Huevo de Colón heykelini barındıran park</t>
        </is>
      </c>
      <c r="F91" s="29" t="inlineStr">
        <is>
          <t>Parque de San Jerónimo, Sevilla'nın kuzeyinde, Avda. San José Galán s/n adresinde. Aynı parkta, İspanya'nın en yüksek bronz heykeli olan 46 metrelik Huevo de Colón duruyor; parka nehir kıyısındaki yürüyüş yollarıyla bisiklet, yürüyüş veya scooter ile gelinebiliyor.</t>
        </is>
      </c>
      <c r="G91" s="29" t="inlineStr">
        <is>
          <t>Parque de San Jerónimo, Huevo de Colón, Sevilla parkı, bisiklet, nehir kıyısı</t>
        </is>
      </c>
      <c r="H91" s="29" t="inlineStr">
        <is>
          <t>planning;new;settled</t>
        </is>
      </c>
      <c r="I91" s="29" t="inlineStr">
        <is>
          <t>sevilla:kaynak:409;sevilla:kaynak:397</t>
        </is>
      </c>
      <c r="J91" s="49" t="n">
        <v>46320</v>
      </c>
      <c r="K91" s="51" t="n">
        <v>112</v>
      </c>
      <c r="L91" s="29" t="inlineStr">
        <is>
          <t>Hayır</t>
        </is>
      </c>
      <c r="M91" s="29" t="inlineStr">
        <is>
          <t>Taslak</t>
        </is>
      </c>
      <c r="N91" s="29" t="inlineStr">
        <is>
          <t>Doğa ve açık hava</t>
        </is>
      </c>
      <c r="O91" s="29" t="inlineStr">
        <is>
          <t>Sevilla Norte</t>
        </is>
      </c>
      <c r="P91" s="29" t="inlineStr">
        <is>
          <t>Açık hava</t>
        </is>
      </c>
      <c r="Q91" s="29" t="inlineStr">
        <is>
          <t>Avda San José Galán S/N, Sevilla</t>
        </is>
      </c>
      <c r="R91" s="50" t="n">
        <v>37.426389</v>
      </c>
      <c r="S91" s="50" t="n">
        <v>-5.990833</v>
      </c>
      <c r="T91" s="29" t="n"/>
      <c r="U91" s="29" t="inlineStr">
        <is>
          <t>Parkın yanındaki heykele giriş serbest ve gün boyu erişilebilir.</t>
        </is>
      </c>
      <c r="V91" s="29" t="inlineStr">
        <is>
          <t>Hayır</t>
        </is>
      </c>
      <c r="W91" s="29" t="n"/>
    </row>
    <row r="92" ht="54" customHeight="1">
      <c r="A92" s="29" t="inlineStr">
        <is>
          <t>sevilla:jardines-torre-de-los-perdigones</t>
        </is>
      </c>
      <c r="B92" s="29" t="inlineStr">
        <is>
          <t>sevilla</t>
        </is>
      </c>
      <c r="C92" s="29" t="inlineStr">
        <is>
          <t>jardines-torre-de-los-perdigones</t>
        </is>
      </c>
      <c r="D92" s="29" t="inlineStr">
        <is>
          <t>Jardines Torre de los Perdigones</t>
        </is>
      </c>
      <c r="E92" s="29" t="inlineStr">
        <is>
          <t>Macarena'da eski bir dökümhanenin tek kalan kulesini içine alan bahçe</t>
        </is>
      </c>
      <c r="F92" s="29" t="inlineStr">
        <is>
          <t>Bahçe, adını eski Fundición de San Francisco'dan (Mata ailesinin soyadıyla 'fundición de Mata') kalan Torre de los Perdigones'ten alıyor. Dökümhane saçma, mermi, refrakter tuğla ve başka ürünler üretiyordu; bugün yalnız kule ayakta ve yeni bahçenin içinde duruyor. Konum Calle Resolana ile Avda. Concejal Alberto Jiménez Becerril'in köşesi.</t>
        </is>
      </c>
      <c r="G92" s="29" t="inlineStr">
        <is>
          <t>Torre de los Perdigones, Macarena, bahçe, Calle Resolana, Fundición de San Francisco, sanayi mirası</t>
        </is>
      </c>
      <c r="H92" s="29" t="inlineStr">
        <is>
          <t>planning;new;settled</t>
        </is>
      </c>
      <c r="I92" s="29" t="inlineStr">
        <is>
          <t>sevilla:kaynak:410</t>
        </is>
      </c>
      <c r="J92" s="49" t="n">
        <v>46320</v>
      </c>
      <c r="K92" s="51" t="n">
        <v>113</v>
      </c>
      <c r="L92" s="29" t="inlineStr">
        <is>
          <t>Hayır</t>
        </is>
      </c>
      <c r="M92" s="29" t="inlineStr">
        <is>
          <t>Taslak</t>
        </is>
      </c>
      <c r="N92" s="29" t="inlineStr">
        <is>
          <t>Doğa ve açık hava</t>
        </is>
      </c>
      <c r="O92" s="29" t="inlineStr">
        <is>
          <t>Macarena</t>
        </is>
      </c>
      <c r="P92" s="29" t="inlineStr">
        <is>
          <t>Açık hava</t>
        </is>
      </c>
      <c r="Q92" s="29" t="inlineStr">
        <is>
          <t>C/ Resolana, esquina Avda. Concejal Alberto Jiménez Becerril, Sevilla</t>
        </is>
      </c>
      <c r="R92" s="50" t="n">
        <v>37.403755</v>
      </c>
      <c r="S92" s="50" t="n">
        <v>-5.992994</v>
      </c>
      <c r="T92" s="29" t="n"/>
      <c r="U92" s="29" t="inlineStr">
        <is>
          <t>Belediye genel hattı 010 / 955 010 010; Macarena bölge e-postası distrito.macarena@sevilla.org.</t>
        </is>
      </c>
      <c r="V92" s="29" t="inlineStr">
        <is>
          <t>Hayır</t>
        </is>
      </c>
      <c r="W92" s="29" t="n"/>
    </row>
    <row r="93" ht="54" customHeight="1">
      <c r="A93" s="29" t="inlineStr">
        <is>
          <t>sevilla:parque-de-los-principes</t>
        </is>
      </c>
      <c r="B93" s="29" t="inlineStr">
        <is>
          <t>sevilla</t>
        </is>
      </c>
      <c r="C93" s="29" t="inlineStr">
        <is>
          <t>parque-de-los-principes</t>
        </is>
      </c>
      <c r="D93" s="29" t="inlineStr">
        <is>
          <t>Parque de los Príncipes</t>
        </is>
      </c>
      <c r="E93" s="29" t="inlineStr">
        <is>
          <t>Parque de los Príncipes s/n adresindeki park</t>
        </is>
      </c>
      <c r="F93" s="29" t="inlineStr">
        <is>
          <t>Parque de los Príncipes, Sevilla'da. Junta de Andalucía'nın kültür ajandasında Parque de los Principes s/n adresiyle kayıtlı.</t>
        </is>
      </c>
      <c r="G93" s="29" t="inlineStr">
        <is>
          <t>Parque de los Príncipes, Los Remedios, Sevilla parkı, açık hava</t>
        </is>
      </c>
      <c r="H93" s="29" t="inlineStr">
        <is>
          <t>planning;new;settled</t>
        </is>
      </c>
      <c r="I93" s="29" t="inlineStr">
        <is>
          <t>sevilla:kaynak:411</t>
        </is>
      </c>
      <c r="J93" s="49" t="n">
        <v>46320</v>
      </c>
      <c r="K93" s="51" t="n">
        <v>114</v>
      </c>
      <c r="L93" s="29" t="inlineStr">
        <is>
          <t>Hayır</t>
        </is>
      </c>
      <c r="M93" s="29" t="inlineStr">
        <is>
          <t>Taslak</t>
        </is>
      </c>
      <c r="N93" s="29" t="inlineStr">
        <is>
          <t>Doğa ve açık hava</t>
        </is>
      </c>
      <c r="O93" s="29" t="inlineStr">
        <is>
          <t>Los Remedios</t>
        </is>
      </c>
      <c r="P93" s="29" t="inlineStr">
        <is>
          <t>Açık hava</t>
        </is>
      </c>
      <c r="Q93" s="29" t="inlineStr">
        <is>
          <t>Parque de los Principes s/n, Sevilla</t>
        </is>
      </c>
      <c r="R93" s="50" t="n">
        <v>37.3769</v>
      </c>
      <c r="S93" s="50" t="n">
        <v>-6.00392</v>
      </c>
      <c r="T93" s="29" t="n"/>
      <c r="U93" s="29" t="n"/>
      <c r="V93" s="29" t="inlineStr">
        <is>
          <t>Hayır</t>
        </is>
      </c>
      <c r="W93" s="29" t="n"/>
    </row>
    <row r="94" ht="54" customHeight="1">
      <c r="A94" s="29" t="inlineStr">
        <is>
          <t>sevilla:iglesia-de-santa-catalina</t>
        </is>
      </c>
      <c r="B94" s="29" t="inlineStr">
        <is>
          <t>sevilla</t>
        </is>
      </c>
      <c r="C94" s="29" t="inlineStr">
        <is>
          <t>iglesia-de-santa-catalina</t>
        </is>
      </c>
      <c r="D94" s="29" t="inlineStr">
        <is>
          <t>Iglesia de Santa Catalina</t>
        </is>
      </c>
      <c r="E94" s="29" t="inlineStr">
        <is>
          <t>Calle Alhóndiga'da kilise; 2026 boyunca 'La Sevilla Mudéjar' ziyareti</t>
        </is>
      </c>
      <c r="F94" s="29" t="inlineStr">
        <is>
          <t>Iglesia de Santa Catalina, Calle Alhóndiga 6'da. 2026 boyunca yıl boyu iki etkinlik düzenleniyor: 'La Sevilla Mudéjar' ve 'Iglesia de Santa Catalina Visita Guiada' adlı rehberli ziyaret. Özel gruplar da başvurabiliyor.</t>
        </is>
      </c>
      <c r="G94" s="29" t="inlineStr">
        <is>
          <t>Iglesia de Santa Catalina, mudéjar, Calle Alhóndiga, rehberli ziyaret, La Sevilla Mudéjar</t>
        </is>
      </c>
      <c r="H94" s="29" t="inlineStr">
        <is>
          <t>planning;new;settled</t>
        </is>
      </c>
      <c r="I94" s="29" t="inlineStr">
        <is>
          <t>sevilla:kaynak:412</t>
        </is>
      </c>
      <c r="J94" s="49" t="n">
        <v>46320</v>
      </c>
      <c r="K94" s="51" t="n">
        <v>115</v>
      </c>
      <c r="L94" s="29" t="inlineStr">
        <is>
          <t>Hayır</t>
        </is>
      </c>
      <c r="M94" s="29" t="inlineStr">
        <is>
          <t>Taslak</t>
        </is>
      </c>
      <c r="N94" s="29" t="inlineStr">
        <is>
          <t>Tarih ve mimari</t>
        </is>
      </c>
      <c r="O94" s="29" t="inlineStr">
        <is>
          <t>Casco Antiguo</t>
        </is>
      </c>
      <c r="P94" s="29" t="inlineStr">
        <is>
          <t>Kapalı alan</t>
        </is>
      </c>
      <c r="Q94" s="29" t="inlineStr">
        <is>
          <t>Calle Alhóndiga, 6, Sevilla</t>
        </is>
      </c>
      <c r="R94" s="50" t="n">
        <v>37.393125</v>
      </c>
      <c r="S94" s="50" t="n">
        <v>-5.988186</v>
      </c>
      <c r="T94" s="29" t="n"/>
      <c r="U94" s="29" t="inlineStr">
        <is>
          <t>Özel gruplar için telefon 658 268 301.</t>
        </is>
      </c>
      <c r="V94" s="29" t="inlineStr">
        <is>
          <t>Hayır</t>
        </is>
      </c>
      <c r="W94" s="29" t="n"/>
    </row>
    <row r="95" ht="54" customHeight="1">
      <c r="A95" s="29" t="inlineStr">
        <is>
          <t>sevilla:iglesia-de-san-marcos</t>
        </is>
      </c>
      <c r="B95" s="29" t="inlineStr">
        <is>
          <t>sevilla</t>
        </is>
      </c>
      <c r="C95" s="29" t="inlineStr">
        <is>
          <t>iglesia-de-san-marcos</t>
        </is>
      </c>
      <c r="D95" s="29" t="inlineStr">
        <is>
          <t>Iglesia de San Marcos</t>
        </is>
      </c>
      <c r="E95" s="29" t="inlineStr">
        <is>
          <t>En az dönüştürülmüş gotik-mudéjar kiliselerden biri; eski cami minaresinden kalma kuleli</t>
        </is>
      </c>
      <c r="F95" s="29" t="inlineStr">
        <is>
          <t>Iglesia de San Marcos, Plaza de San Marcos 7'de, Roma kentinin ana caddesi cardo máximo'nun geçtiği Calle San Luis üzerinde. Kilise, III. Fernando'nun 1248'deki fetih sonrası paylaşımıyla eski bir caminin arsasında kuruldu; caminin minaresi kule olarak durmaya devam ediyor. İç mekân bembeyaz duvarlı ve neredeyse hiç süslemesiz. Giriş ücretsiz.</t>
        </is>
      </c>
      <c r="G95" s="29" t="inlineStr">
        <is>
          <t>Iglesia de San Marcos, gotik-mudéjar, minare, Calle San Luis, ücretsiz kilise, Aníbal González</t>
        </is>
      </c>
      <c r="H95" s="29" t="inlineStr">
        <is>
          <t>planning;new;settled</t>
        </is>
      </c>
      <c r="I95" s="29" t="inlineStr">
        <is>
          <t>sevilla:kaynak:413</t>
        </is>
      </c>
      <c r="J95" s="49" t="n">
        <v>46320</v>
      </c>
      <c r="K95" s="51" t="n">
        <v>116</v>
      </c>
      <c r="L95" s="29" t="inlineStr">
        <is>
          <t>Hayır</t>
        </is>
      </c>
      <c r="M95" s="29" t="inlineStr">
        <is>
          <t>Taslak</t>
        </is>
      </c>
      <c r="N95" s="29" t="inlineStr">
        <is>
          <t>Tarih ve mimari</t>
        </is>
      </c>
      <c r="O95" s="29" t="inlineStr">
        <is>
          <t>Casco Antiguo</t>
        </is>
      </c>
      <c r="P95" s="29" t="inlineStr">
        <is>
          <t>Kapalı alan</t>
        </is>
      </c>
      <c r="Q95" s="29" t="inlineStr">
        <is>
          <t>Plaza de San Marcos, 7, Sevilla</t>
        </is>
      </c>
      <c r="R95" s="50" t="n">
        <v>37.396287</v>
      </c>
      <c r="S95" s="50" t="n">
        <v>-5.987524</v>
      </c>
      <c r="T95" s="29" t="n"/>
      <c r="U95" s="29" t="inlineStr">
        <is>
          <t>Kule 1916'da mimar Aníbal González tarafından restore edildi; Alfiz çerçeveli çift pencereleri ve Giralda'dakilere benzer sebka süslemeli panelleri var. Telefon 954 502 616.</t>
        </is>
      </c>
      <c r="V95" s="29" t="inlineStr">
        <is>
          <t>Hayır</t>
        </is>
      </c>
      <c r="W95" s="29" t="n"/>
    </row>
    <row r="96" ht="54" customHeight="1">
      <c r="A96" s="29" t="inlineStr">
        <is>
          <t>sevilla:iglesia-de-san-roman</t>
        </is>
      </c>
      <c r="B96" s="29" t="inlineStr">
        <is>
          <t>sevilla</t>
        </is>
      </c>
      <c r="C96" s="29" t="inlineStr">
        <is>
          <t>iglesia-de-san-roman</t>
        </is>
      </c>
      <c r="D96" s="29" t="inlineStr">
        <is>
          <t>Iglesia de San Román</t>
        </is>
      </c>
      <c r="E96" s="29" t="inlineStr">
        <is>
          <t>1356 tarihli, Sevilla'nın en eski gotik-mudéjar kiliselerinden</t>
        </is>
      </c>
      <c r="F96" s="29" t="inlineStr">
        <is>
          <t>Iglesia de San Román (San Román y Santa Catalina olarak da anılıyor), 1356 tarihli; 1248'deki fetihten sonra Sevilla'nın 24 mahalle kilisesinden biri. Üç nefli yapı 1936'daki olaylarda tamamen yıkıldı; 1948'de restore edildi, 1991'den sonra yeniden kapsamlı onarıma alındı ve 2004'te ibadete yeniden açıldı. Orta nefte klasik iki eğimli ahşap çatı ve geometrik lacería bağlantı kirişleri var. Adres Calle Enladrilladas 2; giriş ücretsiz.</t>
        </is>
      </c>
      <c r="G96" s="29" t="inlineStr">
        <is>
          <t>Iglesia de San Román, gotik-mudéjar, Calle Enladrilladas, ücretsiz kilise, Macarena</t>
        </is>
      </c>
      <c r="H96" s="29" t="inlineStr">
        <is>
          <t>planning;new;settled</t>
        </is>
      </c>
      <c r="I96" s="29" t="inlineStr">
        <is>
          <t>sevilla:kaynak:414</t>
        </is>
      </c>
      <c r="J96" s="49" t="n">
        <v>46320</v>
      </c>
      <c r="K96" s="51" t="n">
        <v>117</v>
      </c>
      <c r="L96" s="29" t="inlineStr">
        <is>
          <t>Hayır</t>
        </is>
      </c>
      <c r="M96" s="29" t="inlineStr">
        <is>
          <t>Taslak</t>
        </is>
      </c>
      <c r="N96" s="29" t="inlineStr">
        <is>
          <t>Tarih ve mimari</t>
        </is>
      </c>
      <c r="O96" s="29" t="inlineStr">
        <is>
          <t>Macarena</t>
        </is>
      </c>
      <c r="P96" s="29" t="inlineStr">
        <is>
          <t>Kapalı alan</t>
        </is>
      </c>
      <c r="Q96" s="29" t="inlineStr">
        <is>
          <t>Calle Enladrilladas, 2, Sevilla</t>
        </is>
      </c>
      <c r="R96" s="50" t="n">
        <v>37.394962</v>
      </c>
      <c r="S96" s="50" t="n">
        <v>-5.986162</v>
      </c>
      <c r="T96" s="29" t="n"/>
      <c r="U96" s="29" t="inlineStr">
        <is>
          <t>Telefon 954 217 441.</t>
        </is>
      </c>
      <c r="V96" s="29" t="inlineStr">
        <is>
          <t>Hayır</t>
        </is>
      </c>
      <c r="W96" s="29" t="n"/>
    </row>
    <row r="97" ht="54" customHeight="1">
      <c r="A97" s="29" t="inlineStr">
        <is>
          <t>sevilla:iglesia-de-la-magdalena</t>
        </is>
      </c>
      <c r="B97" s="29" t="inlineStr">
        <is>
          <t>sevilla</t>
        </is>
      </c>
      <c r="C97" s="29" t="inlineStr">
        <is>
          <t>iglesia-de-la-magdalena</t>
        </is>
      </c>
      <c r="D97" s="29" t="inlineStr">
        <is>
          <t>Iglesia de la Magdalena</t>
        </is>
      </c>
      <c r="E97" s="29" t="inlineStr">
        <is>
          <t>Calle San Pablo'da Leonardo de Figueroa'nın barok kilisesi; Sevilla'nın en büyük mahalle kilisesi</t>
        </is>
      </c>
      <c r="F97" s="29" t="inlineStr">
        <is>
          <t>Iglesia de Santa María Magdalena, 1691–1709 arasında Leonardo de Figueroa tarafından, eski bir mudéjar kilisenin yerine yapıldı; önce Dominiken manastırıydı, sonra mahalle kilisesi oldu. Salomonik sütunlu cephesi ve Lucas Valdés'in fresklerini taşıyan sekizgen kubbesi öne çıkıyor. İç alanı yaklaşık 3.500 m² ile Sevilla'nın en büyük mahalle kilisesi. Adres Calle San Pablo 12; her gün 7:45–11:00 ve 18:30–21:00 açık.</t>
        </is>
      </c>
      <c r="G97" s="29" t="inlineStr">
        <is>
          <t>Iglesia de la Magdalena, barok, Leonardo de Figueroa, Calle San Pablo, Lucas Valdés, Pedro Roldán</t>
        </is>
      </c>
      <c r="H97" s="29" t="inlineStr">
        <is>
          <t>planning;new;settled</t>
        </is>
      </c>
      <c r="I97" s="29" t="inlineStr">
        <is>
          <t>sevilla:kaynak:415</t>
        </is>
      </c>
      <c r="J97" s="49" t="n">
        <v>46320</v>
      </c>
      <c r="K97" s="51" t="n">
        <v>118</v>
      </c>
      <c r="L97" s="29" t="inlineStr">
        <is>
          <t>Hayır</t>
        </is>
      </c>
      <c r="M97" s="29" t="inlineStr">
        <is>
          <t>Taslak</t>
        </is>
      </c>
      <c r="N97" s="29" t="inlineStr">
        <is>
          <t>Tarih ve mimari</t>
        </is>
      </c>
      <c r="O97" s="29" t="inlineStr">
        <is>
          <t>Casco Antiguo</t>
        </is>
      </c>
      <c r="P97" s="29" t="inlineStr">
        <is>
          <t>Kapalı alan</t>
        </is>
      </c>
      <c r="Q97" s="29" t="inlineStr">
        <is>
          <t>Calle San Pablo, 12, 41001 Sevilla</t>
        </is>
      </c>
      <c r="R97" s="50" t="n">
        <v>37.390548</v>
      </c>
      <c r="S97" s="50" t="n">
        <v>-5.998408</v>
      </c>
      <c r="T97" s="29" t="n"/>
      <c r="U97" s="29" t="inlineStr">
        <is>
          <t>Aktif bir mahalle kilisesi olduğu için saatler yılın dönemine, bayramlara ve ayinlere göre değişiyor. Koro katında, merdivenle çıkılan mahalle müzesi var. Telefon +34 954 22 96 03.</t>
        </is>
      </c>
      <c r="V97" s="29" t="inlineStr">
        <is>
          <t>Hayır</t>
        </is>
      </c>
      <c r="W97" s="29" t="n"/>
    </row>
    <row r="98" ht="54" customHeight="1">
      <c r="A98" s="29" t="inlineStr">
        <is>
          <t>sevilla:rock-and-wall-climbing</t>
        </is>
      </c>
      <c r="B98" s="29" t="inlineStr">
        <is>
          <t>sevilla</t>
        </is>
      </c>
      <c r="C98" s="29" t="inlineStr">
        <is>
          <t>rock-and-wall-climbing</t>
        </is>
      </c>
      <c r="D98" s="29" t="inlineStr">
        <is>
          <t>Rock&amp;Wall Climbing</t>
        </is>
      </c>
      <c r="E98" s="29" t="inlineStr">
        <is>
          <t>Calle Labrador'da Endülüs'ün en büyük tırmanış salonu olduğunu söyleyen tırmanış merkezi</t>
        </is>
      </c>
      <c r="F98" s="29" t="inlineStr">
        <is>
          <t>Rock &amp; Wall Climbing, Calle Labrador 8'de; kendini Endülüs'ün en büyük tırmanış salonu olarak tanıtıyor. Serbest antrenman, otomatik emniyet sistemiyle tırmanış, eğitmenli etkinlikler, okullar ve kurslar sunuyor. Pazartesi–cuma 9:30–22:00, cumartesi ve pazar 9:30–18:00 açık.</t>
        </is>
      </c>
      <c r="G98" s="29" t="inlineStr">
        <is>
          <t>Rock &amp; Wall Climbing, tırmanış salonu, Sevilla tırmanış, Calle Labrador, spor, kapalı tırmanış</t>
        </is>
      </c>
      <c r="H98" s="29" t="inlineStr">
        <is>
          <t>planning;new;settled</t>
        </is>
      </c>
      <c r="I98" s="29" t="inlineStr">
        <is>
          <t>sevilla:kaynak:416;sevilla:kaynak:442</t>
        </is>
      </c>
      <c r="J98" s="49" t="n">
        <v>46320</v>
      </c>
      <c r="K98" s="51" t="n">
        <v>119</v>
      </c>
      <c r="L98" s="29" t="inlineStr">
        <is>
          <t>Hayır</t>
        </is>
      </c>
      <c r="M98" s="29" t="inlineStr">
        <is>
          <t>Taslak</t>
        </is>
      </c>
      <c r="N98" s="29" t="inlineStr">
        <is>
          <t>Spor</t>
        </is>
      </c>
      <c r="O98" s="29" t="inlineStr">
        <is>
          <t>Nervión</t>
        </is>
      </c>
      <c r="P98" s="29" t="inlineStr">
        <is>
          <t>Kapalı alan</t>
        </is>
      </c>
      <c r="Q98" s="29" t="inlineStr">
        <is>
          <t>Calle Labrador 8, Sevilla</t>
        </is>
      </c>
      <c r="R98" s="50" t="n">
        <v>37.392409</v>
      </c>
      <c r="S98" s="50" t="n">
        <v>-5.95727</v>
      </c>
      <c r="T98" s="29" t="n"/>
      <c r="U98" s="29" t="inlineStr">
        <is>
          <t>Tırmanışı denemek isteyenler için 'Prueba la escalada' (tırmanışı dene) etkinliği ve eğitmenli etkinlik rezervasyonu var; reşit olmayanlar için ayrı bir kural metni (Normativa menores) yayımlanıyor.</t>
        </is>
      </c>
      <c r="V98" s="29" t="inlineStr">
        <is>
          <t>Hayır</t>
        </is>
      </c>
      <c r="W98" s="29" t="n"/>
    </row>
    <row r="99" ht="54" customHeight="1">
      <c r="A99" s="29" t="inlineStr">
        <is>
          <t>sevilla:espacio-primera-vuelta-al-mundo-nao-victoria</t>
        </is>
      </c>
      <c r="B99" s="29" t="inlineStr">
        <is>
          <t>sevilla</t>
        </is>
      </c>
      <c r="C99" s="29" t="inlineStr">
        <is>
          <t>espacio-primera-vuelta-al-mundo-nao-victoria</t>
        </is>
      </c>
      <c r="D99" s="29" t="inlineStr">
        <is>
          <t>Espacio Primera Vuelta al Mundo (Nao Victoria 500)</t>
        </is>
      </c>
      <c r="E99" s="29" t="inlineStr">
        <is>
          <t>Torre del Oro'nun yanında Magellan–Elcano seferini anlatan sergi alanı ve Nao Victoria kopyası</t>
        </is>
      </c>
      <c r="F99" s="29" t="inlineStr">
        <is>
          <t>10 Ağustos 2019'da Magellan seferinin 500. yıldönümü için açılan sergi alanı, ses-görüntü malzemeleri ve dekor kurulumlarıyla Magellan ve Elcano'nun ilk dünya turunu (1519–1522) Nao Victoria'nın ağzından anlatıyor. Ziyaret, Guadalquivir'e demirlemiş galyonun gerçek boyutlu kopyası Nao Victoria 500'ün güvertesinde bitiyor. Adres Paseo Alcalde Marqués de Contadero s/n, 1 numaralı bina (Torre del Oro'nun yanı). Sitede olağan saat pazartesi–pazar 10:00–20:00 olarak geçiyor (sayfa bu saate tarih koymuyor). Sayfadaki tarihli bölüm 2025 yazına ait: 30 Haziran–31 Ağustos 2025 arası yaz saati 9:30–14:30, 4–17 Ağustos 2025 arası tam kapalı.</t>
        </is>
      </c>
      <c r="G99" s="29" t="inlineStr">
        <is>
          <t>Nao Victoria, Primera Vuelta al Mundo, Magallanes, Elcano, Torre del Oro, çocuklarla Sevilla, Exploraterra</t>
        </is>
      </c>
      <c r="H99" s="29" t="inlineStr">
        <is>
          <t>planning;new;settled</t>
        </is>
      </c>
      <c r="I99" s="29" t="inlineStr">
        <is>
          <t>sevilla:kaynak:424</t>
        </is>
      </c>
      <c r="J99" s="49" t="n">
        <v>46320</v>
      </c>
      <c r="K99" s="51" t="n">
        <v>121</v>
      </c>
      <c r="L99" s="29" t="inlineStr">
        <is>
          <t>Hayır</t>
        </is>
      </c>
      <c r="M99" s="29" t="inlineStr">
        <is>
          <t>Taslak</t>
        </is>
      </c>
      <c r="N99" s="29" t="inlineStr">
        <is>
          <t>Çocuklarla keşif</t>
        </is>
      </c>
      <c r="O99" s="29" t="inlineStr">
        <is>
          <t>Casco Antiguo</t>
        </is>
      </c>
      <c r="P99" s="29" t="inlineStr">
        <is>
          <t>Karma</t>
        </is>
      </c>
      <c r="Q99" s="29" t="inlineStr">
        <is>
          <t>Paseo Alcalde Marqués de Contadero s/n, edificio 1 (junto a la Torre del Oro)</t>
        </is>
      </c>
      <c r="R99" s="50" t="n"/>
      <c r="S99" s="50" t="n"/>
      <c r="T99" s="29" t="n"/>
      <c r="U99" s="29" t="inlineStr">
        <is>
          <t>Aile programı, rehberli ve tiyatrolu ziyaretler, konserler ve etkinlikler var. Telefon 954 470 891.</t>
        </is>
      </c>
      <c r="V99" s="29" t="inlineStr">
        <is>
          <t>Hayır</t>
        </is>
      </c>
      <c r="W99" s="29" t="n"/>
    </row>
    <row r="100" ht="54" customHeight="1">
      <c r="A100" s="29" t="inlineStr">
        <is>
          <t>sevilla:hospital-de-las-cinco-llagas</t>
        </is>
      </c>
      <c r="B100" s="29" t="inlineStr">
        <is>
          <t>sevilla</t>
        </is>
      </c>
      <c r="C100" s="29" t="inlineStr">
        <is>
          <t>hospital-de-las-cinco-llagas</t>
        </is>
      </c>
      <c r="D100" s="29" t="inlineStr">
        <is>
          <t>Hospital de las Cinco Llagas (Parlamento de Andalucía)</t>
        </is>
      </c>
      <c r="E100" s="29" t="inlineStr">
        <is>
          <t>Eski hayır hastanesi, bugün Endülüs Parlamentosu; rezervasyonlu rehberli turla gezilen Rönesans yapısı, Macarena</t>
        </is>
      </c>
      <c r="F100" s="29" t="inlineStr">
        <is>
          <t>Sevilla'nın kuzey surunun karşısındaki Rönesans yapısının inşaatına 1546'da büyük bir hayır hastanesi olarak başlandı; bina 1992'de resmen Endülüs Parlamentosu oldu. İçeri yalnız rezervasyonlu rehberli ziyaretle girilir: bireysel ziyaretler sadece pazartesi ve salı öğleden sonra, rezervasyon başına en çok beş kişiyle yapılır; gruplarda üst sınır elli kişi. Tur İspanyolca ve yaklaşık doksan dakika sürüyor. Eski hastane kilisesinin ana şapelindeki genel kurul salonu restorasyonda olduğu için şu an gezilemiyor; rehberler bu bölümü görüntülerle anlatıyor.</t>
        </is>
      </c>
      <c r="G100" s="29" t="inlineStr">
        <is>
          <t>Parlamento de Andalucía, Hospital de las Cinco Llagas, Hospital de la Sangre, Macarena, rehberli ziyaret, Rönesans mimarisi</t>
        </is>
      </c>
      <c r="H100" s="29" t="inlineStr">
        <is>
          <t>planning;new;settled</t>
        </is>
      </c>
      <c r="I100" s="29" t="inlineStr">
        <is>
          <t>sevilla:kaynak:425;sevilla:kaynak:426</t>
        </is>
      </c>
      <c r="J100" s="49" t="n">
        <v>46320</v>
      </c>
      <c r="K100" s="51" t="n">
        <v>140</v>
      </c>
      <c r="L100" s="29" t="inlineStr">
        <is>
          <t>Evet</t>
        </is>
      </c>
      <c r="M100" s="29" t="inlineStr">
        <is>
          <t>Taslak</t>
        </is>
      </c>
      <c r="N100" s="29" t="inlineStr">
        <is>
          <t>Tarih ve mimari</t>
        </is>
      </c>
      <c r="O100" s="29" t="inlineStr">
        <is>
          <t>Macarena</t>
        </is>
      </c>
      <c r="P100" s="29" t="inlineStr">
        <is>
          <t>Kapalı alan</t>
        </is>
      </c>
      <c r="Q100" s="29" t="inlineStr">
        <is>
          <t>Calle San Juan de Ribera, s/n, 41009 Sevilla</t>
        </is>
      </c>
      <c r="R100" s="50" t="n">
        <v>37.405182</v>
      </c>
      <c r="S100" s="50" t="n">
        <v>-5.988741</v>
      </c>
      <c r="T100" s="29" t="n"/>
      <c r="U100" s="29" t="inlineStr">
        <is>
          <t>Giriş, binanın doğu cephesindeki San Juan de Ribera kapısından. Güvenlik ve kimlik kontrolü için randevu saatinden en az 15 dakika önce orada ol; bavul ve büyük eşyalarla girilmiyor, emanet yok. Her 28 Şubat Endülüs Günü'nde bina bütün gün rezervasyonsuz açık. Rezervasyon sorularında telefon: 954 59 59 29.</t>
        </is>
      </c>
      <c r="V100" s="29" t="inlineStr">
        <is>
          <t>Hayır</t>
        </is>
      </c>
      <c r="W100" s="29" t="n"/>
    </row>
    <row r="101" ht="54" customHeight="1">
      <c r="A101" s="29" t="inlineStr">
        <is>
          <t>sevilla:convento-de-santa-ines</t>
        </is>
      </c>
      <c r="B101" s="29" t="inlineStr">
        <is>
          <t>sevilla</t>
        </is>
      </c>
      <c r="C101" s="29" t="inlineStr">
        <is>
          <t>convento-de-santa-ines</t>
        </is>
      </c>
      <c r="D101" s="29" t="inlineStr">
        <is>
          <t>Convento de Santa Inés</t>
        </is>
      </c>
      <c r="E101" s="29" t="inlineStr">
        <is>
          <t>İçe dönük, 16. yüzyıldan kalma konvent ve üç nefli kilise; ücretsiz giriş, Casco Antiguo</t>
        </is>
      </c>
      <c r="F101" s="29" t="inlineStr">
        <is>
          <t>Doña María Coronel Sokağı'ndaki konvent, 16. yüzyılda geçirdiği yenilemelerle iki giriş avlusu (compás), dört avlu, bir bahçe ve mezarlıktan oluşan bir topluluğa dönüşmüş; geniş alanına rağmen dışarıya açılmıyor, bütün karmaşıklığı içeride. Kilise, şehirdeki kadın konventlerinde pek görülmeyen biçimde eşit yükseklikte üç nefe ve haç tonozlara sahip; 1630 dolaylarında Francisco Herrera el Viejo'nun duvar resimleri ve alçı süslemelerle yenilenmiş. Ana avlu 'Herbolario' adıyla anılıyor. Turismo de Sevilla sayfasında saat 10:00-20:30 ve giriş ücretsiz olarak verilmiş.</t>
        </is>
      </c>
      <c r="G101" s="29" t="inlineStr">
        <is>
          <t>Convento de Santa Inés, Sevilla konventi, Herbolario, Francisco Herrera el Viejo, barok retablo, ücretsiz kilise</t>
        </is>
      </c>
      <c r="H101" s="29" t="inlineStr">
        <is>
          <t>planning;new;settled</t>
        </is>
      </c>
      <c r="I101" s="29" t="inlineStr">
        <is>
          <t>sevilla:kaynak:427;sevilla:kaynak:428</t>
        </is>
      </c>
      <c r="J101" s="49" t="n">
        <v>46320</v>
      </c>
      <c r="K101" s="51" t="n">
        <v>141</v>
      </c>
      <c r="L101" s="29" t="inlineStr">
        <is>
          <t>Hayır</t>
        </is>
      </c>
      <c r="M101" s="29" t="inlineStr">
        <is>
          <t>Taslak</t>
        </is>
      </c>
      <c r="N101" s="29" t="inlineStr">
        <is>
          <t>Tarih ve mimari</t>
        </is>
      </c>
      <c r="O101" s="29" t="inlineStr">
        <is>
          <t>Casco Antiguo</t>
        </is>
      </c>
      <c r="P101" s="29" t="inlineStr">
        <is>
          <t>Kapalı alan</t>
        </is>
      </c>
      <c r="Q101" s="29" t="inlineStr">
        <is>
          <t>Calle de Doña María Coronel, 5, 41003 Sevilla</t>
        </is>
      </c>
      <c r="R101" s="50" t="n">
        <v>37.393363</v>
      </c>
      <c r="S101" s="50" t="n">
        <v>-5.990242</v>
      </c>
      <c r="T101" s="29" t="n"/>
      <c r="U101" s="29" t="inlineStr">
        <is>
          <t>Konvent, el yapımı tatlılarıyla (bollitos de Santa Inés) öne çıkan duraklardan; Turismo de Sevilla'nın konvent rotasında Santa Inés bu yönüyle anılıyor. Telefon: 954 563 146.</t>
        </is>
      </c>
      <c r="V101" s="29" t="inlineStr">
        <is>
          <t>Hayır</t>
        </is>
      </c>
      <c r="W101" s="29" t="n"/>
    </row>
    <row r="102" ht="54" customHeight="1">
      <c r="A102" s="29" t="inlineStr">
        <is>
          <t>sevilla:monasterio-de-san-clemente</t>
        </is>
      </c>
      <c r="B102" s="29" t="inlineStr">
        <is>
          <t>sevilla</t>
        </is>
      </c>
      <c r="C102" s="29" t="inlineStr">
        <is>
          <t>monasterio-de-san-clemente</t>
        </is>
      </c>
      <c r="D102" s="29" t="inlineStr">
        <is>
          <t>Monasterio de San Clemente</t>
        </is>
      </c>
      <c r="E102" s="29" t="inlineStr">
        <is>
          <t>1248'de kurulan Sistersiyen kadın manastırı; telefonla randevulu ziyaret, giriş 2 euro</t>
        </is>
      </c>
      <c r="F102" s="29" t="inlineStr">
        <is>
          <t>Kral III. Fernando, askerlerinin Sevilla'ya girdiği 23 Kasım'ın San Clemente günü olması nedeniyle 1248'de bu manastırı kurdurdu ve Sistersiyen kadın tarikatına verdi; manastır kraliyet ailesine bağlı kaldı ve bazı kraliyet üyeleri için mezar yeri seçildi. Yapılar 16.-17. yüzyılların farklı üsluplarından oluşuyor; 16. yüzyıl sonunda büyütülüp yeni bir kilise yapılmış. Gezilen iki bölüm var: sergi salonları ve kilise. Turismo de Sevilla'ya göre ziyaret telefonla önceden başvurularak yapılıyor, çarşamba ve cumartesi kapalı, giriş 2 euro.</t>
        </is>
      </c>
      <c r="G102" s="29" t="inlineStr">
        <is>
          <t>Monasterio de San Clemente, Sistersiyen manastırı, III. Fernando, Calle Reposo, randevulu ziyaret, kraliyet mezarı</t>
        </is>
      </c>
      <c r="H102" s="29" t="inlineStr">
        <is>
          <t>planning;new;settled</t>
        </is>
      </c>
      <c r="I102" s="29" t="inlineStr">
        <is>
          <t>sevilla:kaynak:429;sevilla:kaynak:428</t>
        </is>
      </c>
      <c r="J102" s="49" t="n">
        <v>46320</v>
      </c>
      <c r="K102" s="51" t="n">
        <v>142</v>
      </c>
      <c r="L102" s="29" t="inlineStr">
        <is>
          <t>Hayır</t>
        </is>
      </c>
      <c r="M102" s="29" t="inlineStr">
        <is>
          <t>Taslak</t>
        </is>
      </c>
      <c r="N102" s="29" t="inlineStr">
        <is>
          <t>Tarih ve mimari</t>
        </is>
      </c>
      <c r="O102" s="29" t="inlineStr">
        <is>
          <t>Casco Antiguo</t>
        </is>
      </c>
      <c r="P102" s="29" t="inlineStr">
        <is>
          <t>Kapalı alan</t>
        </is>
      </c>
      <c r="Q102" s="29" t="inlineStr">
        <is>
          <t>Calle Reposo, 9, Sevilla</t>
        </is>
      </c>
      <c r="R102" s="50" t="n">
        <v>37.402762</v>
      </c>
      <c r="S102" s="50" t="n">
        <v>-5.995676</v>
      </c>
      <c r="T102" s="29" t="n"/>
      <c r="U102" s="29" t="inlineStr">
        <is>
          <t>Ziyaret için 954 378 040'ı ara; telefonla başvuru saatleri 10:00-12:45 ve 15:30-17:45 olarak veriliyor. Turismo de Sevilla'nın konvent rotasına göre manastırda tatlı satışı ve pansiyon (hospedería) hizmeti de var.</t>
        </is>
      </c>
      <c r="V102" s="29" t="inlineStr">
        <is>
          <t>Hayır</t>
        </is>
      </c>
      <c r="W102" s="29" t="n"/>
    </row>
    <row r="103" ht="54" customHeight="1">
      <c r="A103" s="29" t="inlineStr">
        <is>
          <t>sevilla:real-fabrica-de-tabacos-rectorado</t>
        </is>
      </c>
      <c r="B103" s="29" t="inlineStr">
        <is>
          <t>sevilla</t>
        </is>
      </c>
      <c r="C103" s="29" t="inlineStr">
        <is>
          <t>real-fabrica-de-tabacos-rectorado</t>
        </is>
      </c>
      <c r="D103" s="29" t="inlineStr">
        <is>
          <t>Real Fábrica de Tabacos (Rectorado de la Universidad de Sevilla)</t>
        </is>
      </c>
      <c r="E103" s="29" t="inlineStr">
        <is>
          <t>18. yüzyıl Avrupası'nın büyük sanayi yapılarından, bugün Sevilla Üniversitesi rektörlüğü; Turismo de Sevilla'ya göre giriş ücretsiz</t>
        </is>
      </c>
      <c r="F103" s="29" t="inlineStr">
        <is>
          <t>San Fernando Sokağı'ndaki bu yapı, 18. yüzyıl Avrupası'nın en önemli sanayi binalarından biri olan Real Fábrica de Tabacos olarak 1728'de yapılmaya başlandı, 1770'te resmen bitti; 1953'te başlayan yenilemeyle üniversite binasına dönüştü. Planında Rönesans, cephe kapısında barok etkiler görülüyor; kapının üstünde borazan çalan Fama heykeli duruyor. Fabrikanın, çalışan suçluları (özellikle tütün çalmaya kalkan cigarreras'ı) cezalandırmak için kendi hücreleri (calabozos) vardı; bugün bu hücrelerde öğretim üyelerinin odaları var. Binanın temeli ters kemerlerden oluşan, dönemi için nadir bir sisteme oturuyor. Turismo de Sevilla sayfasında giriş ücretsiz olarak geçiyor.</t>
        </is>
      </c>
      <c r="G103" s="29" t="inlineStr">
        <is>
          <t>Real Fábrica de Tabacos, Rectorado, Sevilla Üniversitesi, cigarreras, Carmen, 18. yüzyıl sanayi mimarisi, ücretsiz</t>
        </is>
      </c>
      <c r="H103" s="29" t="inlineStr">
        <is>
          <t>planning;new;settled</t>
        </is>
      </c>
      <c r="I103" s="29" t="inlineStr">
        <is>
          <t>sevilla:kaynak:430</t>
        </is>
      </c>
      <c r="J103" s="49" t="n">
        <v>46320</v>
      </c>
      <c r="K103" s="51" t="n">
        <v>143</v>
      </c>
      <c r="L103" s="29" t="inlineStr">
        <is>
          <t>Evet</t>
        </is>
      </c>
      <c r="M103" s="29" t="inlineStr">
        <is>
          <t>Taslak</t>
        </is>
      </c>
      <c r="N103" s="29" t="inlineStr">
        <is>
          <t>Tarih ve mimari</t>
        </is>
      </c>
      <c r="O103" s="29" t="inlineStr">
        <is>
          <t>Casco Antiguo</t>
        </is>
      </c>
      <c r="P103" s="29" t="inlineStr">
        <is>
          <t>Karma</t>
        </is>
      </c>
      <c r="Q103" s="29" t="inlineStr">
        <is>
          <t>Calle San Fernando, 4, 41004 Sevilla</t>
        </is>
      </c>
      <c r="R103" s="50" t="n">
        <v>37.38069</v>
      </c>
      <c r="S103" s="50" t="n">
        <v>-5.990833</v>
      </c>
      <c r="T103" s="29" t="n"/>
      <c r="U103" s="29" t="inlineStr">
        <is>
          <t>Bina bugün de üniversitenin yönetim binası olarak kullanılıyor; ziyaret koşulları için üniversiteyi 954 55 10 00'dan arayabilirsin.</t>
        </is>
      </c>
      <c r="V103" s="29" t="inlineStr">
        <is>
          <t>Hayır</t>
        </is>
      </c>
      <c r="W103" s="29" t="n"/>
    </row>
    <row r="104" ht="54" customHeight="1">
      <c r="A104" s="29" t="inlineStr">
        <is>
          <t>sevilla:parroquia-de-san-jacinto</t>
        </is>
      </c>
      <c r="B104" s="29" t="inlineStr">
        <is>
          <t>sevilla</t>
        </is>
      </c>
      <c r="C104" s="29" t="inlineStr">
        <is>
          <t>parroquia-de-san-jacinto</t>
        </is>
      </c>
      <c r="D104" s="29" t="inlineStr">
        <is>
          <t>Parroquia de San Jacinto</t>
        </is>
      </c>
      <c r="E104" s="29" t="inlineStr">
        <is>
          <t>Triana'da 1775'te açılan 18. yüzyıl kilisesi; 9 Ekim-29 Kasım 2026 arasında ışık ve müzik gösterisi (Luminiscence)</t>
        </is>
      </c>
      <c r="F104" s="29" t="inlineStr">
        <is>
          <t>Triana'da Pagés del Corro ve San Jacinto sokaklarının kesiştiği köşedeki kilise, Vaizler Tarikatı'nın (Orden de Predicadores) 1625'te kurduğu konventin 1679'da taşındığı yerde çöken eski kilisenin yerine yapıldı; bugünkü yapı 29 Ocak 1775'te açıldı. Plan uzun bir dikdörtgen: üç nef ve transept, ortada kubbe. Kiliseye giriş ücretsiz. 9 Ekim-29 Kasım 2026 arasında kilisede 'Luminiscence' adlı, yaklaşık 50 dakikalık bir video-mapping ve müzik gösterisi oynuyor; korolu seanslarda koro canlı söylüyor, korosuz seanslarda kayıt müzik çalıyor. Seanslar mevsime göre değişen saatlerde 19:00'dan itibaren başlıyor.</t>
        </is>
      </c>
      <c r="G104" s="29" t="inlineStr">
        <is>
          <t>Parroquia de San Jacinto, Triana kilisesi, Luminiscence, video-mapping, immersif gösteri, Pagés del Corro, 2026 etkinliği</t>
        </is>
      </c>
      <c r="H104" s="29" t="inlineStr">
        <is>
          <t>planning;new;settled</t>
        </is>
      </c>
      <c r="I104" s="29" t="inlineStr">
        <is>
          <t>sevilla:kaynak:431;sevilla:kaynak:432</t>
        </is>
      </c>
      <c r="J104" s="49" t="n">
        <v>46320</v>
      </c>
      <c r="K104" s="51" t="n">
        <v>144</v>
      </c>
      <c r="L104" s="29" t="inlineStr">
        <is>
          <t>Hayır</t>
        </is>
      </c>
      <c r="M104" s="29" t="inlineStr">
        <is>
          <t>Taslak</t>
        </is>
      </c>
      <c r="N104" s="29" t="inlineStr">
        <is>
          <t>Tarih ve mimari</t>
        </is>
      </c>
      <c r="O104" s="29" t="inlineStr">
        <is>
          <t>Triana</t>
        </is>
      </c>
      <c r="P104" s="29" t="inlineStr">
        <is>
          <t>Kapalı alan</t>
        </is>
      </c>
      <c r="Q104" s="29" t="inlineStr">
        <is>
          <t>Calle San Jacinto, 47, Sevilla (Calle Pagés del Corro köşesi)</t>
        </is>
      </c>
      <c r="R104" s="50" t="n">
        <v>37.383262</v>
      </c>
      <c r="S104" s="50" t="n">
        <v>-6.0054</v>
      </c>
      <c r="T104" s="29" t="n"/>
      <c r="U104" s="29" t="inlineStr">
        <is>
          <t>Gösteri fiyatları (genel): korolu seans Oro bölgesi 39, Plata bölgesi 29 euro; korosuz seans Oro 29, Plata 19 euro. 25 yaş altı, hareket engelliler ve refakatçileri ile iş arayanlar (belgeyle) ve 65 yaş üstü için indirimli fiyat var: korolu seansta Oro 31 / Plata 23, korosuz seansta Oro 23 / Plata 15 euro. Biletler Castillo de San Jorge, Paseo Marqués de Contadero, Kiosco Colón ve Plaza de San Francisco'daki Edificio Laredo turizm ofislerinde satılıyor. Gösteri başladıktan sonra içeri alınmıyorsun; yüksek şiddetli ışık ve ses nedeniyle 2 yaşından küçük çocuklara önerilmiyor; mekân tekerlekli sandalyeye uygun. Gösteri biletinde kilisenin adresi Calle Pagés del Corro, 88 olarak geçiyor.</t>
        </is>
      </c>
      <c r="V104" s="29" t="inlineStr">
        <is>
          <t>Hayır</t>
        </is>
      </c>
      <c r="W104" s="29" t="n"/>
    </row>
    <row r="105" ht="54" customHeight="1">
      <c r="A105" s="29" t="inlineStr">
        <is>
          <t>sevilla:capilla-del-carmen-triana</t>
        </is>
      </c>
      <c r="B105" s="29" t="inlineStr">
        <is>
          <t>sevilla</t>
        </is>
      </c>
      <c r="C105" s="29" t="inlineStr">
        <is>
          <t>capilla-del-carmen-triana</t>
        </is>
      </c>
      <c r="D105" s="29" t="inlineStr">
        <is>
          <t>Capilla del Carmen (El Mechero)</t>
        </is>
      </c>
      <c r="E105" s="29" t="inlineStr">
        <is>
          <t>Triana Köprüsü'nün Triana ucundaki 1928 tarihli küçük seramik kapela; ücretsiz</t>
        </is>
      </c>
      <c r="F105" s="29" t="inlineStr">
        <is>
          <t>Isabel II (Triana) Köprüsü'nün sonunda, Altozano Meydanı'nın yanında duran kapela 1928'de mimar Aníbal González'in elinden çıktı; seramikçi Emilio García García ile birlikte çalışmış. Açık tuğla ve Triana seramiğiyle yapılmış; iki gövdesi var: kapelin kendisi ve sekizgen planlı çan kulesi. Bu biçim yağlı çakmağa benzetildiği için halk arasında 'mechero' (çakmak) deniyor. Kubbedeki çinilerde Carmen amblemi, tepedeki küçük tapınakta Santa Justa ile Rufina ve Giralda figürleri yer alıyor. Kapısı camlı bir parmaklık olduğundan ibadet sürekli sürüyor. Giriş ücretsiz.</t>
        </is>
      </c>
      <c r="G105" s="29" t="inlineStr">
        <is>
          <t>Capilla del Carmen, El Mechero, Triana, Puente de Triana, Aníbal González, Plaza del Altozano, azulejo</t>
        </is>
      </c>
      <c r="H105" s="29" t="inlineStr">
        <is>
          <t>planning;new;settled</t>
        </is>
      </c>
      <c r="I105" s="29" t="inlineStr">
        <is>
          <t>sevilla:kaynak:433;sevilla:kaynak:434</t>
        </is>
      </c>
      <c r="J105" s="49" t="n">
        <v>46320</v>
      </c>
      <c r="K105" s="51" t="n">
        <v>145</v>
      </c>
      <c r="L105" s="29" t="inlineStr">
        <is>
          <t>Hayır</t>
        </is>
      </c>
      <c r="M105" s="29" t="inlineStr">
        <is>
          <t>Taslak</t>
        </is>
      </c>
      <c r="N105" s="29" t="inlineStr">
        <is>
          <t>Tarih ve mimari</t>
        </is>
      </c>
      <c r="O105" s="29" t="inlineStr">
        <is>
          <t>Triana</t>
        </is>
      </c>
      <c r="P105" s="29" t="inlineStr">
        <is>
          <t>Açık hava</t>
        </is>
      </c>
      <c r="Q105" s="29" t="inlineStr">
        <is>
          <t>Puente de Triana junto a la Plaza del Altozano, Sevilla</t>
        </is>
      </c>
      <c r="R105" s="50" t="n">
        <v>37.385723</v>
      </c>
      <c r="S105" s="50" t="n">
        <v>-6.00303</v>
      </c>
      <c r="T105" s="29" t="n"/>
      <c r="U105" s="29" t="inlineStr">
        <is>
          <t>Turismo de Sevilla, kubbenin sırlı çinilerinin ve fenerinin nehirdeki vapurlara gece yön işareti olması için tasarlandığını yazıyor: çiniler gün içinde yoğun yeşil ve lacivert, gece gümüş bir ayna gibi görünüyor. Köprüden geçerken başını kaldırıp bak.</t>
        </is>
      </c>
      <c r="V105" s="29" t="inlineStr">
        <is>
          <t>Hayır</t>
        </is>
      </c>
      <c r="W105" s="29" t="n"/>
    </row>
    <row r="106" ht="54" customHeight="1">
      <c r="A106" s="29" t="inlineStr">
        <is>
          <t>sevilla:iglesia-de-santa-maria-la-blanca</t>
        </is>
      </c>
      <c r="B106" s="29" t="inlineStr">
        <is>
          <t>sevilla</t>
        </is>
      </c>
      <c r="C106" s="29" t="inlineStr">
        <is>
          <t>iglesia-de-santa-maria-la-blanca</t>
        </is>
      </c>
      <c r="D106" s="29" t="inlineStr">
        <is>
          <t>Iglesia de Santa María la Blanca</t>
        </is>
      </c>
      <c r="E106" s="29" t="inlineStr">
        <is>
          <t>13. yüzyıl sinagogundan dönüşen, erken barok alçı süslemeleri ve duvar resimleriyle bilinen kilise; Santa Cruz</t>
        </is>
      </c>
      <c r="F106" s="29" t="inlineStr">
        <is>
          <t>Yahudi mahallesi (Judería) olarak bilinen bölgede, San José ve Santa María la Blanca sokaklarının oluşturduğu eksende duruyor. 13. yüzyılda yapılmış bir sinagogdu; 1391'deki katliam ve zorla din değiştirmelerden sonra Hristiyan kilisesine çevrildi, 17. yüzyıl ortasında Justino de Neve y Yébenes'in parasıyla yeniden yapıldı. İçi, Endülüs'ün erken barok mimarisinin en gösterişli örneklerinden biri sayılıyor: şişkin hacimli alçı süslemeler (yeserías) ve duvar resimleri, kırmızı mermerden 10 Toskana sütunuyla altı bölüme ayrılmış üç nef, ana nefin sonunda kubbe. Kilise, Hermandad del Rosario de Nuestra Señora de las Nieves kardeşliğinin merkezi.</t>
        </is>
      </c>
      <c r="G106" s="29" t="inlineStr">
        <is>
          <t>Santa María la Blanca, Sevilla kilisesi, Judería, eski sinagog, erken barok, yeserías, Santa Cruz</t>
        </is>
      </c>
      <c r="H106" s="29" t="inlineStr">
        <is>
          <t>planning;new;settled</t>
        </is>
      </c>
      <c r="I106" s="29" t="inlineStr">
        <is>
          <t>sevilla:kaynak:435</t>
        </is>
      </c>
      <c r="J106" s="49" t="n">
        <v>46320</v>
      </c>
      <c r="K106" s="51" t="n">
        <v>146</v>
      </c>
      <c r="L106" s="29" t="inlineStr">
        <is>
          <t>Hayır</t>
        </is>
      </c>
      <c r="M106" s="29" t="inlineStr">
        <is>
          <t>Taslak</t>
        </is>
      </c>
      <c r="N106" s="29" t="inlineStr">
        <is>
          <t>Tarih ve mimari</t>
        </is>
      </c>
      <c r="O106" s="29" t="inlineStr">
        <is>
          <t>Santa Cruz</t>
        </is>
      </c>
      <c r="P106" s="29" t="inlineStr">
        <is>
          <t>Kapalı alan</t>
        </is>
      </c>
      <c r="Q106" s="29" t="inlineStr">
        <is>
          <t>Calle Santa María la Blanca, 5, Sevilla</t>
        </is>
      </c>
      <c r="R106" s="50" t="n">
        <v>37.386479</v>
      </c>
      <c r="S106" s="50" t="n">
        <v>-5.987231</v>
      </c>
      <c r="T106" s="29" t="n"/>
      <c r="U106" s="29" t="inlineStr">
        <is>
          <t>Kilisenin telefonu: 955 263 125.</t>
        </is>
      </c>
      <c r="V106" s="29" t="inlineStr">
        <is>
          <t>Hayır</t>
        </is>
      </c>
      <c r="W106" s="29" t="n"/>
    </row>
    <row r="107" ht="54" customHeight="1">
      <c r="A107" s="29" t="inlineStr">
        <is>
          <t>sevilla:iglesia-de-san-pedro</t>
        </is>
      </c>
      <c r="B107" s="29" t="inlineStr">
        <is>
          <t>sevilla</t>
        </is>
      </c>
      <c r="C107" s="29" t="inlineStr">
        <is>
          <t>iglesia-de-san-pedro</t>
        </is>
      </c>
      <c r="D107" s="29" t="inlineStr">
        <is>
          <t>Iglesia de San Pedro</t>
        </is>
      </c>
      <c r="E107" s="29" t="inlineStr">
        <is>
          <t>14. yüzyıl gotik-mudéjar kilise; dış cephesindeki 'evlilik falı' çinisiyle bilinir, giriş ücretsiz</t>
        </is>
      </c>
      <c r="F107" s="29" t="inlineStr">
        <is>
          <t>Plaza de San Pedro'daki kilise 14. yüzyılda gotik-mudéjar üslupla yapıldı, 16. ve 18. yüzyıllarda elden geçti; üç nefli, iki girişli ve çan kuleli. Santa Ángela de la Cruz Sokağı'na bakan ana cephe 1612 tarihli; 1597'den beri kulenin tepesinde çini kaplı bir külah duruyor. Dış duvardaki küçük bir çiniyle ilgili bir gelenek var: çinideki saka kuşunu (jilguero) bulup dua eden ve bağış bırakan kişinin yakında evleneceğine inanılıyor. Turismo de Sevilla sayfasında kiliseye giriş ücretsiz olarak geçiyor.</t>
        </is>
      </c>
      <c r="G107" s="29" t="inlineStr">
        <is>
          <t>Iglesia de San Pedro, gotik-mudéjar, evlilik falı çinisi, jilguero, Plaza de San Pedro, Sevilla kilisesi</t>
        </is>
      </c>
      <c r="H107" s="29" t="inlineStr">
        <is>
          <t>planning;new;settled</t>
        </is>
      </c>
      <c r="I107" s="29" t="inlineStr">
        <is>
          <t>sevilla:kaynak:436;sevilla:kaynak:437</t>
        </is>
      </c>
      <c r="J107" s="49" t="n">
        <v>46320</v>
      </c>
      <c r="K107" s="51" t="n">
        <v>147</v>
      </c>
      <c r="L107" s="29" t="inlineStr">
        <is>
          <t>Hayır</t>
        </is>
      </c>
      <c r="M107" s="29" t="inlineStr">
        <is>
          <t>Taslak</t>
        </is>
      </c>
      <c r="N107" s="29" t="inlineStr">
        <is>
          <t>Tarih ve mimari</t>
        </is>
      </c>
      <c r="O107" s="29" t="inlineStr">
        <is>
          <t>Casco Antiguo</t>
        </is>
      </c>
      <c r="P107" s="29" t="inlineStr">
        <is>
          <t>Kapalı alan</t>
        </is>
      </c>
      <c r="Q107" s="29" t="inlineStr">
        <is>
          <t>Calle Doña María Coronel, 1, Sevilla</t>
        </is>
      </c>
      <c r="R107" s="50" t="n">
        <v>37.39273</v>
      </c>
      <c r="S107" s="50" t="n">
        <v>-5.990003</v>
      </c>
      <c r="T107" s="29" t="n"/>
      <c r="U107" s="29" t="inlineStr">
        <is>
          <t>Kilise, San Pedro ve San Juan Bautista Parokyası'nın merkezi; telefon: 954 21 68 58.</t>
        </is>
      </c>
      <c r="V107" s="29" t="inlineStr">
        <is>
          <t>Hayır</t>
        </is>
      </c>
      <c r="W107" s="29" t="n"/>
    </row>
    <row r="108" ht="54" customHeight="1">
      <c r="A108" s="29" t="inlineStr">
        <is>
          <t>sevilla:cine-cervantes-sevilla</t>
        </is>
      </c>
      <c r="B108" s="29" t="inlineStr">
        <is>
          <t>sevilla</t>
        </is>
      </c>
      <c r="C108" s="29" t="inlineStr">
        <is>
          <t>cine-cervantes-sevilla</t>
        </is>
      </c>
      <c r="D108" s="29" t="inlineStr">
        <is>
          <t>Cine Cervantes</t>
        </is>
      </c>
      <c r="E108" s="29" t="inlineStr">
        <is>
          <t>Sevilla'da, Amor de Dios sokağında bir sinema salonu</t>
        </is>
      </c>
      <c r="F108" s="29" t="inlineStr">
        <is>
          <t>Cine Cervantes, C/ Amor de Dios, 33 adresindeki sinema salonu; Endülüs Kültür Ajandası onu "sinema ve görsel-işitsel" başlığı altında sinemalar arasında listeliyor. Biletler çevrimiçi satılıyor; salonun telefonu 954 915 681.</t>
        </is>
      </c>
      <c r="G108" s="29" t="inlineStr">
        <is>
          <t>Cine Cervantes, sinema, Amor de Dios, Casco Antiguo, film, bilet</t>
        </is>
      </c>
      <c r="H108" s="29" t="inlineStr">
        <is>
          <t>planning;new;settled</t>
        </is>
      </c>
      <c r="I108" s="29" t="inlineStr">
        <is>
          <t>sevilla:kaynak:452</t>
        </is>
      </c>
      <c r="J108" s="49" t="n">
        <v>46320</v>
      </c>
      <c r="K108" s="51" t="n">
        <v>150</v>
      </c>
      <c r="L108" s="29" t="inlineStr">
        <is>
          <t>Hayır</t>
        </is>
      </c>
      <c r="M108" s="29" t="inlineStr">
        <is>
          <t>Taslak</t>
        </is>
      </c>
      <c r="N108" s="29" t="inlineStr">
        <is>
          <t>Sahne ve müzik</t>
        </is>
      </c>
      <c r="O108" s="29" t="inlineStr">
        <is>
          <t>Casco Antiguo</t>
        </is>
      </c>
      <c r="P108" s="29" t="inlineStr">
        <is>
          <t>Kapalı alan</t>
        </is>
      </c>
      <c r="Q108" s="29" t="inlineStr">
        <is>
          <t>C/ Amor de Dios, 33, Sevilla</t>
        </is>
      </c>
      <c r="R108" s="50" t="n">
        <v>37.39560416858554</v>
      </c>
      <c r="S108" s="50" t="n">
        <v>-5.994501250827568</v>
      </c>
      <c r="T108" s="29" t="n"/>
      <c r="U108" s="29" t="n"/>
      <c r="V108" s="29" t="inlineStr">
        <is>
          <t>Hayır</t>
        </is>
      </c>
      <c r="W108" s="29" t="n"/>
    </row>
    <row r="109" ht="54" customHeight="1">
      <c r="A109" s="29" t="inlineStr">
        <is>
          <t>sevilla:teatro-la-fundicion</t>
        </is>
      </c>
      <c r="B109" s="29" t="inlineStr">
        <is>
          <t>sevilla</t>
        </is>
      </c>
      <c r="C109" s="29" t="inlineStr">
        <is>
          <t>teatro-la-fundicion</t>
        </is>
      </c>
      <c r="D109" s="29" t="inlineStr">
        <is>
          <t>Teatro La Fundición</t>
        </is>
      </c>
      <c r="E109" s="29" t="inlineStr">
        <is>
          <t>Casa de la Moneda'da yetişkin, aile ve çocuk tiyatrosu ile dans sahnesi, El Arenal</t>
        </is>
      </c>
      <c r="F109" s="29" t="inlineStr">
        <is>
          <t>La Fundición, Casa de la Moneda içinde C/ Habana, 18 adresinde yetişkinlere, ailelere ve çocuklara yönelik tiyatro ve dans gösterileri sunan bir sahne; çevresinde Katedral, Real Alcázar, Torre del Oro ve Santa Cruz mahallesi var. Biletler sitesinden ya da gişeden alınıyor; gişe iş günlerinde 10:00-14:00 arası, gösteri günlerinde gösteriden 1 saat önce açık, ağustosta kapalı. Genel bilet gösteriye göre 18 € ya da 16 € (dans ve flamenko), indirimli bilet 14 € ya da 13 € (işsizler, 30 yaş altı öğrenciler, Carnet 65 Junta sahipleri ve engelliler gibi gruplara; indirim belgesi girişte isteniyor); aile gösterilerinde yetişkin 12 €, 14 yaşına kadar çocuk 8 €.</t>
        </is>
      </c>
      <c r="G109" s="29" t="inlineStr">
        <is>
          <t>Teatro La Fundición, tiyatro, dans, flamenko, çocuk tiyatrosu, Casa de la Moneda, El Arenal</t>
        </is>
      </c>
      <c r="H109" s="29" t="inlineStr">
        <is>
          <t>planning;new;settled</t>
        </is>
      </c>
      <c r="I109" s="29" t="inlineStr">
        <is>
          <t>sevilla:kaynak:453;sevilla:kaynak:470</t>
        </is>
      </c>
      <c r="J109" s="49" t="n">
        <v>46320</v>
      </c>
      <c r="K109" s="51" t="n">
        <v>151</v>
      </c>
      <c r="L109" s="29" t="inlineStr">
        <is>
          <t>Hayır</t>
        </is>
      </c>
      <c r="M109" s="29" t="inlineStr">
        <is>
          <t>Taslak</t>
        </is>
      </c>
      <c r="N109" s="29" t="inlineStr">
        <is>
          <t>Sahne ve müzik</t>
        </is>
      </c>
      <c r="O109" s="29" t="inlineStr">
        <is>
          <t>El Arenal</t>
        </is>
      </c>
      <c r="P109" s="29" t="inlineStr">
        <is>
          <t>Kapalı alan</t>
        </is>
      </c>
      <c r="Q109" s="29" t="inlineStr">
        <is>
          <t>Casa de la Moneda, C/ Habana, 18, 41001 Sevilla</t>
        </is>
      </c>
      <c r="R109" s="50" t="n">
        <v>37.382534</v>
      </c>
      <c r="S109" s="50" t="n">
        <v>-5.994378</v>
      </c>
      <c r="T109" s="29" t="n"/>
      <c r="U109" s="29" t="inlineStr">
        <is>
          <t>Koltuklu bilet alırken yerini seçebilirsin. Gösteri başladıktan sonra salona yalnızca varsa ara verilerde girilebiliyor; en az 15 dakika önce orada ol. Salona yalnız su alınıyor. Basamak yok, uyarlanmış tuvalet ve indüksiyon halkası var; tekerlekli sandalyeyle geliyorsan bilet almadan önce tiyatroya haber ver. Gişe telefonu 954 22 58 44.</t>
        </is>
      </c>
      <c r="V109" s="29" t="inlineStr">
        <is>
          <t>Hayır</t>
        </is>
      </c>
      <c r="W109" s="29" t="n"/>
    </row>
    <row r="110" ht="54" customHeight="1">
      <c r="A110" s="29" t="inlineStr">
        <is>
          <t>sevilla:sala-cero-teatro</t>
        </is>
      </c>
      <c r="B110" s="29" t="inlineStr">
        <is>
          <t>sevilla</t>
        </is>
      </c>
      <c r="C110" s="29" t="inlineStr">
        <is>
          <t>sala-cero-teatro</t>
        </is>
      </c>
      <c r="D110" s="29" t="inlineStr">
        <is>
          <t>Sala Cero Teatro</t>
        </is>
      </c>
      <c r="E110" s="29" t="inlineStr">
        <is>
          <t>Santa Catalina mahallesinde, Calle Sol'ün başında tiyatro salonu</t>
        </is>
      </c>
      <c r="F110" s="29" t="inlineStr">
        <is>
          <t>Sala Cero Teatro, Centro Histórico'da Santa Catalina mahallesinde, Calle Sol, 5 adresinde; sokağın başında, Plaza de los Terceros'un yanında ve Plaza Ponce de León'a çok yakın. Endülüs Kültür Ajandası onu hem tiyatrolar ve oditoryumlar hem de çocuk ve gençlik ajandası altında listeliyor. Biletler çevrimiçi satılıyor; salonun telefonu 954 225 165.</t>
        </is>
      </c>
      <c r="G110" s="29" t="inlineStr">
        <is>
          <t>Sala Cero Teatro, tiyatro, Santa Catalina, Calle Sol, çocuk ve gençlik tiyatrosu</t>
        </is>
      </c>
      <c r="H110" s="29" t="inlineStr">
        <is>
          <t>planning;new;settled</t>
        </is>
      </c>
      <c r="I110" s="29" t="inlineStr">
        <is>
          <t>sevilla:kaynak:454</t>
        </is>
      </c>
      <c r="J110" s="49" t="n">
        <v>46320</v>
      </c>
      <c r="K110" s="51" t="n">
        <v>152</v>
      </c>
      <c r="L110" s="29" t="inlineStr">
        <is>
          <t>Hayır</t>
        </is>
      </c>
      <c r="M110" s="29" t="inlineStr">
        <is>
          <t>Taslak</t>
        </is>
      </c>
      <c r="N110" s="29" t="inlineStr">
        <is>
          <t>Sahne ve müzik</t>
        </is>
      </c>
      <c r="O110" s="29" t="inlineStr">
        <is>
          <t>Santa Catalina</t>
        </is>
      </c>
      <c r="P110" s="29" t="inlineStr">
        <is>
          <t>Kapalı alan</t>
        </is>
      </c>
      <c r="Q110" s="29" t="inlineStr">
        <is>
          <t>Calle Sol, 5 (Santa Catalina), Sevilla</t>
        </is>
      </c>
      <c r="R110" s="50" t="n">
        <v>37.393977</v>
      </c>
      <c r="S110" s="50" t="n">
        <v>-5.987787</v>
      </c>
      <c r="T110" s="29" t="n"/>
      <c r="U110" s="29" t="n"/>
      <c r="V110" s="29" t="inlineStr">
        <is>
          <t>Hayır</t>
        </is>
      </c>
      <c r="W110" s="29" t="n"/>
    </row>
    <row r="111" ht="54" customHeight="1">
      <c r="A111" s="29" t="inlineStr">
        <is>
          <t>sevilla:teatro-alameda</t>
        </is>
      </c>
      <c r="B111" s="29" t="inlineStr">
        <is>
          <t>sevilla</t>
        </is>
      </c>
      <c r="C111" s="29" t="inlineStr">
        <is>
          <t>teatro-alameda</t>
        </is>
      </c>
      <c r="D111" s="29" t="inlineStr">
        <is>
          <t>Teatro Alameda</t>
        </is>
      </c>
      <c r="E111" s="29" t="inlineStr">
        <is>
          <t>Alameda de Hércules'te belediyenin çocuk, genç ve aile tiyatrosu sahnesi</t>
        </is>
      </c>
      <c r="F111" s="29" t="inlineStr">
        <is>
          <t>Teatro Alameda, Calle Crédito, 13 adresinde, Alameda de Hércules'te; Sevilla Kültür ve Sanat Enstitüsü'nün (ICAS) yönettiği belediye sahnesi ve çocuk, genç ve aile tiyatrosunda şehrin referans adreslerinden biri. Her sezon ekimden marta kadar altı ay boyunca "El Teatro y la Escuela" ve "El Teatro y la Familia" dizileri oynanıyor; programında 1981'den beri düzenlenen, İspanya'nın en eski kukla festivali Feria Internacional del Títere de Sevilla de var. Gençler ve yetişkinler için "Área Alameda" programı mart-haziran arasında sürüyor.</t>
        </is>
      </c>
      <c r="G111" s="29" t="inlineStr">
        <is>
          <t>Teatro Alameda, çocuk tiyatrosu, aile, Alameda de Hércules, ICAS, kukla festivali, Títere</t>
        </is>
      </c>
      <c r="H111" s="29" t="inlineStr">
        <is>
          <t>planning;new;settled</t>
        </is>
      </c>
      <c r="I111" s="29" t="inlineStr">
        <is>
          <t>sevilla:kaynak:455</t>
        </is>
      </c>
      <c r="J111" s="49" t="n">
        <v>46320</v>
      </c>
      <c r="K111" s="51" t="n">
        <v>153</v>
      </c>
      <c r="L111" s="29" t="inlineStr">
        <is>
          <t>Evet</t>
        </is>
      </c>
      <c r="M111" s="29" t="inlineStr">
        <is>
          <t>Taslak</t>
        </is>
      </c>
      <c r="N111" s="29" t="inlineStr">
        <is>
          <t>Çocuklarla keşif</t>
        </is>
      </c>
      <c r="O111" s="29" t="inlineStr">
        <is>
          <t>Alameda</t>
        </is>
      </c>
      <c r="P111" s="29" t="inlineStr">
        <is>
          <t>Kapalı alan</t>
        </is>
      </c>
      <c r="Q111" s="29" t="inlineStr">
        <is>
          <t>Calle Crédito, 13, Sevilla</t>
        </is>
      </c>
      <c r="R111" s="50" t="n">
        <v>37.401095</v>
      </c>
      <c r="S111" s="50" t="n">
        <v>-5.994588</v>
      </c>
      <c r="T111" s="29" t="n"/>
      <c r="U111" s="29" t="inlineStr">
        <is>
          <t>Telefon: 955 47 44 94.</t>
        </is>
      </c>
      <c r="V111" s="29" t="inlineStr">
        <is>
          <t>Hayır</t>
        </is>
      </c>
      <c r="W111" s="29" t="n"/>
    </row>
    <row r="112" ht="54" customHeight="1">
      <c r="A112" s="29" t="inlineStr">
        <is>
          <t>sevilla:cerveceria-giralda</t>
        </is>
      </c>
      <c r="B112" s="29" t="inlineStr">
        <is>
          <t>sevilla</t>
        </is>
      </c>
      <c r="C112" s="29" t="inlineStr">
        <is>
          <t>cerveceria-giralda</t>
        </is>
      </c>
      <c r="D112" s="29" t="inlineStr">
        <is>
          <t>Cervecería Giralda</t>
        </is>
      </c>
      <c r="E112" s="29" t="inlineStr">
        <is>
          <t>Santa Cruz'da, 12. yüzyıldan kalma bir hamamın içinde tapas barı</t>
        </is>
      </c>
      <c r="F112" s="29" t="inlineStr">
        <is>
          <t>Cervecería Giralda, Calle Mateos Gago, 1 adresinde bir asırdır çalışan bir tapas barı. 2020'de basına yansıyan keşifle 12. yüzyıldan kalma bir hamamın (hammam) kalıntıları ortaya çıktı; tavan ışıklıkları ve resimleri çok iyi korunmuştu. Restorasyondan sonra restoran 5 ayrı mekâna bölündü: sala principal, salón comedor, sala del arte, salón reservado ve teras. Mutfak ara vermeden gün boyu açık, resmî tatil günlerinde de çalışıyor; her gün 12:00'de açılıyor. Site, menüyü, içki listelerini ve alerjen bilgisini "kendi dilinde" sunduğunu söylüyor.</t>
        </is>
      </c>
      <c r="G112" s="29" t="inlineStr">
        <is>
          <t>Cervecería Giralda, tapas, hamam, hammam, Mateos Gago, Santa Cruz, Grupo Patanchón</t>
        </is>
      </c>
      <c r="H112" s="29" t="inlineStr">
        <is>
          <t>planning;new;settled</t>
        </is>
      </c>
      <c r="I112" s="29" t="inlineStr">
        <is>
          <t>sevilla:kaynak:456;sevilla:kaynak:471</t>
        </is>
      </c>
      <c r="J112" s="49" t="n">
        <v>46320</v>
      </c>
      <c r="K112" s="51" t="n">
        <v>154</v>
      </c>
      <c r="L112" s="29" t="inlineStr">
        <is>
          <t>Evet</t>
        </is>
      </c>
      <c r="M112" s="29" t="inlineStr">
        <is>
          <t>Taslak</t>
        </is>
      </c>
      <c r="N112" s="29" t="inlineStr">
        <is>
          <t>Yeme ve içme</t>
        </is>
      </c>
      <c r="O112" s="29" t="inlineStr">
        <is>
          <t>Santa Cruz</t>
        </is>
      </c>
      <c r="P112" s="29" t="inlineStr">
        <is>
          <t>Kapalı alan</t>
        </is>
      </c>
      <c r="Q112" s="29" t="inlineStr">
        <is>
          <t>Calle Mateos Gago, 1, 41004 Sevilla</t>
        </is>
      </c>
      <c r="R112" s="50" t="n">
        <v>37.386155</v>
      </c>
      <c r="S112" s="50" t="n">
        <v>-5.991445</v>
      </c>
      <c r="T112" s="29" t="n"/>
      <c r="U112" s="29" t="inlineStr">
        <is>
          <t>Telefonla rezervasyon alınmıyor, sitedeki formdan yapılıyor; 10 kişiden büyük gruplar ve acentalar için ayrı bir form var.</t>
        </is>
      </c>
      <c r="V112" s="29" t="inlineStr">
        <is>
          <t>Hayır</t>
        </is>
      </c>
      <c r="W112" s="29" t="n"/>
    </row>
    <row r="113" ht="54" customHeight="1">
      <c r="A113" s="29" t="inlineStr">
        <is>
          <t>sevilla:bodega-dos-de-mayo</t>
        </is>
      </c>
      <c r="B113" s="29" t="inlineStr">
        <is>
          <t>sevilla</t>
        </is>
      </c>
      <c r="C113" s="29" t="inlineStr">
        <is>
          <t>bodega-dos-de-mayo</t>
        </is>
      </c>
      <c r="D113" s="29" t="inlineStr">
        <is>
          <t>Bodega Dos de Mayo</t>
        </is>
      </c>
      <c r="E113" s="29" t="inlineStr">
        <is>
          <t>San Lorenzo'nun giriş kapısında montaditos, deniz ürünleri ve şarapla Sevilla mutfağı</t>
        </is>
      </c>
      <c r="F113" s="29" t="inlineStr">
        <is>
          <t>Bodega Dos de Mayo, Plaza de la Gavidia 6'da, San Lorenzo mahallesinin giriş kapısında. 20. yüzyıl başından beri taverna ve colmao olarak çalışan yer 1950'lerde kapandı; 1985'te Pepe Gutiérrez montaditos ve chacinas (şarküteri) tavernası olarak yeniden açtı, 1991'de alanı 60 m²'den 160 m²'ye çıkarıp Huelva deniz ürünlerine yöneldi. Bina 2005'te başlayan iki yıllık restorasyonun ardından 11 Şubat 2007'de yeniden açıldı. Saatler pazartesi-perşembe 12:30-16:30 ve 20:00-00:00; cuma-pazar için site iki ayrı ifade veriyor: bir yerde 12:30-00:00 kesintisiz, bir başka yerde her gün 12:30-16:30 ve 20:00-24:00.</t>
        </is>
      </c>
      <c r="G113" s="29" t="inlineStr">
        <is>
          <t>Bodega Dos de Mayo, tapas, montaditos, deniz ürünleri, San Lorenzo, Plaza de la Gavidia, şarap</t>
        </is>
      </c>
      <c r="H113" s="29" t="inlineStr">
        <is>
          <t>planning;new;settled</t>
        </is>
      </c>
      <c r="I113" s="29" t="inlineStr">
        <is>
          <t>sevilla:kaynak:457;sevilla:kaynak:472</t>
        </is>
      </c>
      <c r="J113" s="49" t="n">
        <v>46320</v>
      </c>
      <c r="K113" s="51" t="n">
        <v>155</v>
      </c>
      <c r="L113" s="29" t="inlineStr">
        <is>
          <t>Hayır</t>
        </is>
      </c>
      <c r="M113" s="29" t="inlineStr">
        <is>
          <t>Taslak</t>
        </is>
      </c>
      <c r="N113" s="29" t="inlineStr">
        <is>
          <t>Yeme ve içme</t>
        </is>
      </c>
      <c r="O113" s="29" t="inlineStr">
        <is>
          <t>San Lorenzo</t>
        </is>
      </c>
      <c r="P113" s="29" t="inlineStr">
        <is>
          <t>Kapalı alan</t>
        </is>
      </c>
      <c r="Q113" s="29" t="inlineStr">
        <is>
          <t>Plaza de la Gavidia 6, 41002 Sevilla</t>
        </is>
      </c>
      <c r="R113" s="50" t="n">
        <v>37.395101</v>
      </c>
      <c r="S113" s="50" t="n">
        <v>-5.997046</v>
      </c>
      <c r="T113" s="29" t="n"/>
      <c r="U113" s="29" t="inlineStr">
        <is>
          <t>Şarap listesinde Rioja, Ribera del Duero, beyaz ve roze şaraplar var. Telefon: +34 954 223 800; cuma-pazar 16:30-20:00 arasında gitmek istiyorsan önce bu numarayı arayıp açık olup olmadığını sor.</t>
        </is>
      </c>
      <c r="V113" s="29" t="inlineStr">
        <is>
          <t>Hayır</t>
        </is>
      </c>
      <c r="W113" s="29" t="n"/>
    </row>
    <row r="114" ht="54" customHeight="1">
      <c r="A114" s="29" t="inlineStr">
        <is>
          <t>sevilla:parque-magallanes</t>
        </is>
      </c>
      <c r="B114" s="29" t="inlineStr">
        <is>
          <t>sevilla</t>
        </is>
      </c>
      <c r="C114" s="29" t="inlineStr">
        <is>
          <t>parque-magallanes</t>
        </is>
      </c>
      <c r="D114" s="29" t="inlineStr">
        <is>
          <t>Parque Magallanes</t>
        </is>
      </c>
      <c r="E114" s="29" t="inlineStr">
        <is>
          <t>Sevilla'da açık hava parkı</t>
        </is>
      </c>
      <c r="F114" s="29" t="inlineStr">
        <is>
          <t>Parque Magallanes, Endülüs Kültür Ajandası'nın açık hava mekânları arasında listelenen bir Sevilla parkı. Yaz döneminde 07:00-22:00, kış döneminde 08:00-20:00 arasında açık.</t>
        </is>
      </c>
      <c r="G114" s="29" t="inlineStr">
        <is>
          <t>Parque Magallanes, park, açık hava, Triana, yürüyüş</t>
        </is>
      </c>
      <c r="H114" s="29" t="inlineStr">
        <is>
          <t>planning;new;settled</t>
        </is>
      </c>
      <c r="I114" s="29" t="inlineStr">
        <is>
          <t>sevilla:kaynak:458</t>
        </is>
      </c>
      <c r="J114" s="49" t="n">
        <v>46320</v>
      </c>
      <c r="K114" s="51" t="n">
        <v>156</v>
      </c>
      <c r="L114" s="29" t="inlineStr">
        <is>
          <t>Hayır</t>
        </is>
      </c>
      <c r="M114" s="29" t="inlineStr">
        <is>
          <t>Taslak</t>
        </is>
      </c>
      <c r="N114" s="29" t="inlineStr">
        <is>
          <t>Doğa ve açık hava</t>
        </is>
      </c>
      <c r="O114" s="29" t="inlineStr">
        <is>
          <t>Triana</t>
        </is>
      </c>
      <c r="P114" s="29" t="inlineStr">
        <is>
          <t>Açık hava</t>
        </is>
      </c>
      <c r="Q114" s="29" t="inlineStr">
        <is>
          <t>Parque Magallanes, Sevilla</t>
        </is>
      </c>
      <c r="R114" s="50" t="n">
        <v>37.392058</v>
      </c>
      <c r="S114" s="50" t="n">
        <v>-6.008151</v>
      </c>
      <c r="T114" s="29" t="n"/>
      <c r="U114" s="29" t="n"/>
      <c r="V114" s="29" t="inlineStr">
        <is>
          <t>Hayır</t>
        </is>
      </c>
      <c r="W114" s="29" t="n"/>
    </row>
    <row r="115" ht="54" customHeight="1">
      <c r="A115" s="29" t="inlineStr">
        <is>
          <t>sevilla:cartuja-qanat</t>
        </is>
      </c>
      <c r="B115" s="29" t="inlineStr">
        <is>
          <t>sevilla</t>
        </is>
      </c>
      <c r="C115" s="29" t="inlineStr">
        <is>
          <t>cartuja-qanat</t>
        </is>
      </c>
      <c r="D115" s="29" t="inlineStr">
        <is>
          <t>Cartuja Qanat</t>
        </is>
      </c>
      <c r="E115" s="29" t="inlineStr">
        <is>
          <t>La Cartuja'da iklime uyumlu tasarlanmış, vatandaşların kullanımına sunulan açık hava kent alanı</t>
        </is>
      </c>
      <c r="F115" s="29" t="inlineStr">
        <is>
          <t>Cartuja Qanat, Sevilla TechPark içinde Avenida Thomas Alva Edison'da vatandaşların kullanımına sunulmuş, açık hava bir kent alanı; vatandaşlar ve şirketler için iki bölümden oluşuyor: Ágora ve Anfiteatro. Anfiteatro, EXPO'92'de gösteri köşkü olarak kullanılan, yaklaşık 28 m çaplı yarım daire biçimli ve 200 kişilik bir alan; Ágora ise 750 m²'lik dikdörtgen, yeni yapılmış bir alan. Alan, iklim değişikliğine uyum için Sevilla Belediyesi'nin yürüttüğü, 5 milyon euro yatırımlı ve Avrupa Bölgesel Kalkınma Fonu'nun %80 desteklediği bir projenin ürünü; anfiteatrodaki hava, bitişikteki havuzun ve qanat'ların suyuyla serinletiliyor.</t>
        </is>
      </c>
      <c r="G115" s="29" t="inlineStr">
        <is>
          <t>Cartuja Qanat, La Cartuja, Sevilla TechPark, anfiteatro, ágora, iklim, açık hava</t>
        </is>
      </c>
      <c r="H115" s="29" t="inlineStr">
        <is>
          <t>planning;new;settled</t>
        </is>
      </c>
      <c r="I115" s="29" t="inlineStr">
        <is>
          <t>sevilla:kaynak:459;sevilla:kaynak:473</t>
        </is>
      </c>
      <c r="J115" s="49" t="n">
        <v>46320</v>
      </c>
      <c r="K115" s="51" t="n">
        <v>157</v>
      </c>
      <c r="L115" s="29" t="inlineStr">
        <is>
          <t>Hayır</t>
        </is>
      </c>
      <c r="M115" s="29" t="inlineStr">
        <is>
          <t>Taslak</t>
        </is>
      </c>
      <c r="N115" s="29" t="inlineStr">
        <is>
          <t>Doğa ve açık hava</t>
        </is>
      </c>
      <c r="O115" s="29" t="inlineStr">
        <is>
          <t>La Cartuja</t>
        </is>
      </c>
      <c r="P115" s="29" t="inlineStr">
        <is>
          <t>Açık hava</t>
        </is>
      </c>
      <c r="Q115" s="29" t="inlineStr">
        <is>
          <t>Avenida Thomas Alva Edison, Parque Científico y Tecnológico Cartuja, Sevilla</t>
        </is>
      </c>
      <c r="R115" s="50" t="n"/>
      <c r="S115" s="50" t="n"/>
      <c r="T115" s="29" t="n"/>
      <c r="U115" s="29" t="inlineStr">
        <is>
          <t>Ágora cadde seviyesinin 2 m altında, anfiteatro da çukurda yapılmış; amaç dış havanın girişini azaltıp oturanların bulunduğu yerde serin bir hava tabakası oluşturmak.</t>
        </is>
      </c>
      <c r="V115" s="29" t="inlineStr">
        <is>
          <t>Hayır</t>
        </is>
      </c>
      <c r="W115" s="29" t="n"/>
    </row>
    <row r="116" ht="54" customHeight="1">
      <c r="A116" s="29" t="inlineStr">
        <is>
          <t>sevilla:muelle-de-la-sal</t>
        </is>
      </c>
      <c r="B116" s="29" t="inlineStr">
        <is>
          <t>sevilla</t>
        </is>
      </c>
      <c r="C116" s="29" t="inlineStr">
        <is>
          <t>muelle-de-la-sal</t>
        </is>
      </c>
      <c r="D116" s="29" t="inlineStr">
        <is>
          <t>Muelle de la Sal</t>
        </is>
      </c>
      <c r="E116" s="29" t="inlineStr">
        <is>
          <t>Paseo de Colón'da, Isabel II köprüsünün başında açık hava alanı</t>
        </is>
      </c>
      <c r="F116" s="29" t="inlineStr">
        <is>
          <t>Muelle de la Sal, Paseo de Colón'un yanında, Isabel II köprüsünün (puente de Isabel II) başında yer alıyor. Endülüs Kültür Ajandası onu açık hava mekânları ve kültürel alanlar arasında "ziyaret edilebilir" diye listeliyor.</t>
        </is>
      </c>
      <c r="G116" s="29" t="inlineStr">
        <is>
          <t>Muelle de la Sal, Paseo de Colón, Isabel II köprüsü, El Arenal, açık hava, nehir kıyısı</t>
        </is>
      </c>
      <c r="H116" s="29" t="inlineStr">
        <is>
          <t>planning;new;settled</t>
        </is>
      </c>
      <c r="I116" s="29" t="inlineStr">
        <is>
          <t>sevilla:kaynak:460</t>
        </is>
      </c>
      <c r="J116" s="49" t="n">
        <v>46320</v>
      </c>
      <c r="K116" s="51" t="n">
        <v>158</v>
      </c>
      <c r="L116" s="29" t="inlineStr">
        <is>
          <t>Hayır</t>
        </is>
      </c>
      <c r="M116" s="29" t="inlineStr">
        <is>
          <t>Taslak</t>
        </is>
      </c>
      <c r="N116" s="29" t="inlineStr">
        <is>
          <t>Doğa ve açık hava</t>
        </is>
      </c>
      <c r="O116" s="29" t="inlineStr">
        <is>
          <t>El Arenal</t>
        </is>
      </c>
      <c r="P116" s="29" t="inlineStr">
        <is>
          <t>Açık hava</t>
        </is>
      </c>
      <c r="Q116" s="29" t="inlineStr">
        <is>
          <t>Paseo de Colón, a los pies de la cabecera del puente de Isabel II, Sevilla</t>
        </is>
      </c>
      <c r="R116" s="50" t="n">
        <v>37.3862325</v>
      </c>
      <c r="S116" s="50" t="n">
        <v>-6.0018241</v>
      </c>
      <c r="T116" s="29" t="n"/>
      <c r="U116" s="29" t="inlineStr">
        <is>
          <t>18 Aralık 2026 ile 4 Ocak 2027 arasında burada "Mapping en Sevilla: Navigalia" etkinliği var; günlük seanslar 18:45, 19:40, 20:35, 21:30 ve 22:25'te.</t>
        </is>
      </c>
      <c r="V116" s="29" t="inlineStr">
        <is>
          <t>Hayır</t>
        </is>
      </c>
      <c r="W116" s="29" t="n"/>
    </row>
    <row r="117" ht="54" customHeight="1">
      <c r="A117" s="29" t="inlineStr">
        <is>
          <t>sevilla:parroquia-de-santa-ana-triana</t>
        </is>
      </c>
      <c r="B117" s="29" t="inlineStr">
        <is>
          <t>sevilla</t>
        </is>
      </c>
      <c r="C117" s="29" t="inlineStr">
        <is>
          <t>parroquia-de-santa-ana-triana</t>
        </is>
      </c>
      <c r="D117" s="29" t="inlineStr">
        <is>
          <t>Real Parroquia de la Señora Santa Ana (Triana)</t>
        </is>
      </c>
      <c r="E117" s="29" t="inlineStr">
        <is>
          <t>Triana'nın 'Katedrali' diye anılan, 1276'da kurulmuş gotik-mudéjar kilise; giriş serbest</t>
        </is>
      </c>
      <c r="F117" s="29" t="inlineStr">
        <is>
          <t>Santa Ana, Triana'da Kral X. Alfonso'nun 1276'da eski bir caminin yerine kurduğu kilise; Reconquista'dan sonra kentte yapılan ilk Hristiyan tapınak sayılıyor. Gotik-mudéjar tarzın iyi bir örneği olan yapı, boyutu ve tarihî ağırlığı yüzünden 'Triana Katedrali' diye anılıyor; özgün gotik portalı ve Rönesans ana retablosu öne çıkıyor. Giriş serbest. Tapınak, sakristi ve Cripta Müzesi için Archidiócesis listesi resmî tatiller dışında hafta içi 10.30-19.00 ziyaret saati veriyor (son giriş 18.30); Turismo de Sevilla sayfası ise hafta içi 10.30-13.30 ve 16.30-19.00 yazıyor, hafta sonunu yalnız ibadete ayırıyor. Yaz döneminde iki liste ayrışıyor: Turismo de Sevilla'ya göre 15 Haziran-31 Temmuz arası hafta içi yalnız 10.30-13.30, Ağustos kapalı; Archidiócesis ise 15 Haziran-15 Eylül arası hafta içi 10.30-19.00 diyor. Yaz ziyareti için kiliseyi telefonla ara (numara aşağıda).</t>
        </is>
      </c>
      <c r="G117" s="29" t="inlineStr">
        <is>
          <t>Santa Ana, Triana, Catedral de Triana, gotik-mudéjar kilise, Alfonso X, Triana kilisesi, ücretsiz kilise</t>
        </is>
      </c>
      <c r="H117" s="29" t="inlineStr">
        <is>
          <t>planning;new;settled</t>
        </is>
      </c>
      <c r="I117" s="29" t="inlineStr">
        <is>
          <t>sevilla:kaynak:461;sevilla:kaynak:474</t>
        </is>
      </c>
      <c r="J117" s="49" t="n">
        <v>46320</v>
      </c>
      <c r="K117" s="51" t="n">
        <v>160</v>
      </c>
      <c r="L117" s="29" t="inlineStr">
        <is>
          <t>Hayır</t>
        </is>
      </c>
      <c r="M117" s="29" t="inlineStr">
        <is>
          <t>Taslak</t>
        </is>
      </c>
      <c r="N117" s="29" t="inlineStr">
        <is>
          <t>Tarih ve mimari</t>
        </is>
      </c>
      <c r="O117" s="29" t="inlineStr">
        <is>
          <t>Triana</t>
        </is>
      </c>
      <c r="P117" s="29" t="inlineStr">
        <is>
          <t>Kapalı alan</t>
        </is>
      </c>
      <c r="Q117" s="29" t="inlineStr">
        <is>
          <t>C/ Párroco Don Eugenio 1</t>
        </is>
      </c>
      <c r="R117" s="50" t="n">
        <v>37.382831</v>
      </c>
      <c r="S117" s="50" t="n">
        <v>-6.000485</v>
      </c>
      <c r="T117" s="29" t="n"/>
      <c r="U117" s="29" t="inlineStr">
        <is>
          <t>Aktif bir ibadet yeri: ayin saatlerine saygı göster ve sessiz gez; etkinlikler sırasında bazı bölümlere girilemeyebilir. Telefon: +34 954 27 08 85. Grup ziyareti için visitacultural@santanatriana.org adresine yazılıyor.</t>
        </is>
      </c>
      <c r="V117" s="29" t="inlineStr">
        <is>
          <t>Hayır</t>
        </is>
      </c>
      <c r="W117" s="29" t="n"/>
    </row>
    <row r="118" ht="54" customHeight="1">
      <c r="A118" s="29" t="inlineStr">
        <is>
          <t>sevilla:iglesia-del-valle</t>
        </is>
      </c>
      <c r="B118" s="29" t="inlineStr">
        <is>
          <t>sevilla</t>
        </is>
      </c>
      <c r="C118" s="29" t="inlineStr">
        <is>
          <t>iglesia-del-valle</t>
        </is>
      </c>
      <c r="D118" s="29" t="inlineStr">
        <is>
          <t>Iglesia del Valle (Santuario de los Gitanos)</t>
        </is>
      </c>
      <c r="E118" s="29" t="inlineStr">
        <is>
          <t>Calle Verónica'da, Gitanos Kardeşliği'nin merkezi olan eski Valle manastırı kilisesi; giriş ücretsiz</t>
        </is>
      </c>
      <c r="F118" s="29" t="inlineStr">
        <is>
          <t>Santuario Diocesano de Nuestro Padre Jesús de la Salud y Nuestra Señora de las Angustias Coronada, Calle Verónica'daki eski Valle manastırı kilisesinde yer alıyor. Halk arasında Hermandad de los Gitanos (Gitanos Kardeşliği) diye anılan nazarenos kardeşliğinin kanonik merkezi. Restorasyon Şubat 1999'da bitti; 9 Eylül 2007'de Sevilla kardinal başpiskoposu Carlos Amigo Vallejo papalık kararnamesiyle tapınağı 'santuario' ilan etti. 10.00-13.00 ve 18.00-21.00 arasında ziyaret edilebiliyor, giriş ücretsiz.</t>
        </is>
      </c>
      <c r="G118" s="29" t="inlineStr">
        <is>
          <t>Iglesia del Valle, Santuario de los Gitanos, Hermandad de los Gitanos, Calle Verónica, Jesús de la Salud, ücretsiz kilise</t>
        </is>
      </c>
      <c r="H118" s="29" t="inlineStr">
        <is>
          <t>planning;new;settled</t>
        </is>
      </c>
      <c r="I118" s="29" t="inlineStr">
        <is>
          <t>sevilla:kaynak:462</t>
        </is>
      </c>
      <c r="J118" s="49" t="n">
        <v>46320</v>
      </c>
      <c r="K118" s="51" t="n">
        <v>161</v>
      </c>
      <c r="L118" s="29" t="inlineStr">
        <is>
          <t>Hayır</t>
        </is>
      </c>
      <c r="M118" s="29" t="inlineStr">
        <is>
          <t>Taslak</t>
        </is>
      </c>
      <c r="N118" s="29" t="inlineStr">
        <is>
          <t>Tarih ve mimari</t>
        </is>
      </c>
      <c r="O118" s="29" t="inlineStr">
        <is>
          <t>Casco Antiguo</t>
        </is>
      </c>
      <c r="P118" s="29" t="inlineStr">
        <is>
          <t>Kapalı alan</t>
        </is>
      </c>
      <c r="Q118" s="29" t="inlineStr">
        <is>
          <t>Calle Verónica, s/n</t>
        </is>
      </c>
      <c r="R118" s="50" t="n">
        <v>37.395008</v>
      </c>
      <c r="S118" s="50" t="n">
        <v>-5.983906</v>
      </c>
      <c r="T118" s="29" t="n"/>
      <c r="U118" s="29" t="inlineStr">
        <is>
          <t>Belediye kiliseyi Gitanos Kardeşliği'ne devretmiş. Telefon: 954 533 803.</t>
        </is>
      </c>
      <c r="V118" s="29" t="inlineStr">
        <is>
          <t>Hayır</t>
        </is>
      </c>
      <c r="W118" s="29" t="n"/>
    </row>
    <row r="119" ht="54" customHeight="1">
      <c r="A119" s="29" t="inlineStr">
        <is>
          <t>sevilla:parroquia-de-la-o</t>
        </is>
      </c>
      <c r="B119" s="29" t="inlineStr">
        <is>
          <t>sevilla</t>
        </is>
      </c>
      <c r="C119" s="29" t="inlineStr">
        <is>
          <t>parroquia-de-la-o</t>
        </is>
      </c>
      <c r="D119" s="29" t="inlineStr">
        <is>
          <t>Parroquia de Nuestra Señora de la O</t>
        </is>
      </c>
      <c r="E119" s="29" t="inlineStr">
        <is>
          <t>Triana'da Calle Castilla'daki, kardeşliğe ait özel mülk bir cemaat kilisesi; 1702'de tamamlandı</t>
        </is>
      </c>
      <c r="F119" s="29" t="inlineStr">
        <is>
          <t>Kilisenin kökeni, Justa, Rufina ve Brígida azizelerine adanmış bir şapel; Hermandad de la Virgen de la O bu şapelde 1566'da kuruldu. Şapel küçük ve bakımsız kaldığı için 1697'de yeni kilisenin inşaatına başlandı; kilise 1702'de tamamlandı. Sevilla'da özel mülk bir tapınakta kurulan tek cemaat kilisesi: yapı Diyosez'e değil kardeşliğe ait. Archidiócesis listesine göre 1 Ekim'den itibaren salı-cumartesi 11.00-13.00 ve 18.15-20.15, pazar 11.00-13.00 açık; pazartesi kapalı. Giriş ücretsiz.</t>
        </is>
      </c>
      <c r="G119" s="29" t="inlineStr">
        <is>
          <t>Nuestra Señora de la O, Parroquia de la O, Hermandad de la O, Calle Castilla, Triana, Semana Santa, ücretsiz kilise</t>
        </is>
      </c>
      <c r="H119" s="29" t="inlineStr">
        <is>
          <t>planning;new;settled</t>
        </is>
      </c>
      <c r="I119" s="29" t="inlineStr">
        <is>
          <t>sevilla:kaynak:463;sevilla:kaynak:474</t>
        </is>
      </c>
      <c r="J119" s="49" t="n">
        <v>46320</v>
      </c>
      <c r="K119" s="51" t="n">
        <v>162</v>
      </c>
      <c r="L119" s="29" t="inlineStr">
        <is>
          <t>Hayır</t>
        </is>
      </c>
      <c r="M119" s="29" t="inlineStr">
        <is>
          <t>Taslak</t>
        </is>
      </c>
      <c r="N119" s="29" t="inlineStr">
        <is>
          <t>Tarih ve mimari</t>
        </is>
      </c>
      <c r="O119" s="29" t="inlineStr">
        <is>
          <t>Triana</t>
        </is>
      </c>
      <c r="P119" s="29" t="inlineStr">
        <is>
          <t>Kapalı alan</t>
        </is>
      </c>
      <c r="Q119" s="29" t="inlineStr">
        <is>
          <t>Calle de Castilla, 30</t>
        </is>
      </c>
      <c r="R119" s="50" t="n">
        <v>37.387094</v>
      </c>
      <c r="S119" s="50" t="n">
        <v>-6.005196</v>
      </c>
      <c r="T119" s="29" t="n"/>
      <c r="U119" s="29" t="inlineStr">
        <is>
          <t>Ayin saatleri iki sayfada farklı: Turismo de Sevilla hafta içi 20.00, cuma 20.30, pazar ve bayramlarda 12.30 ve 20.00 veriyor; Archidiócesis kışın salı-cumartesi 19.30, pazar ve bayramlarda 12.00 diyor. Telefon: 954 334 485 / 954 337 539.</t>
        </is>
      </c>
      <c r="V119" s="29" t="inlineStr">
        <is>
          <t>Hayır</t>
        </is>
      </c>
      <c r="W119" s="29" t="n"/>
    </row>
    <row r="120" ht="54" customHeight="1">
      <c r="A120" s="29" t="inlineStr">
        <is>
          <t>sevilla:iglesia-de-san-vicente</t>
        </is>
      </c>
      <c r="B120" s="29" t="inlineStr">
        <is>
          <t>sevilla</t>
        </is>
      </c>
      <c r="C120" s="29" t="inlineStr">
        <is>
          <t>iglesia-de-san-vicente</t>
        </is>
      </c>
      <c r="D120" s="29" t="inlineStr">
        <is>
          <t>Iglesia de San Vicente</t>
        </is>
      </c>
      <c r="E120" s="29" t="inlineStr">
        <is>
          <t>XIV. yüzyıldan gotik-mudéjar kilise; Las Penas ve Las Siete Palabras kardeşliklerinin evi, giriş ücretsiz</t>
        </is>
      </c>
      <c r="F120" s="29" t="inlineStr">
        <is>
          <t>Calle San Vicente ile Calle Cardenal Cisneros'un köşesindeki kilise, surların içinde XIV. yüzyılda yükselen gotik-mudéjar kiliselerden biri; erken Hristiyan ve Vizigot bir tapınağın kalıntıları üzerine kurulduğu sanılıyor. 1755 Lizbon depreminde yıkılan şapelin yerine 1761'de Pedro de Silva'nın projesiyle yapılan Capilla Sacramental yapının dikkat çekici eklerinden. Üç şapelde Sevilla Semana Santa'sının iki kardeşliği, Las Penas ve Las Siete Palabras, yer alıyor. Ayinler hafta içi ve bayram arifelerinde 20.00'de, bayram günlerinde 11.00, 12.00 ve 20.00'de; giriş ücretsiz.</t>
        </is>
      </c>
      <c r="G120" s="29" t="inlineStr">
        <is>
          <t>Iglesia de San Vicente, gotik-mudéjar, Las Penas, Siete Palabras, Capilla Sacramental, Semana Santa, ücretsiz kilise</t>
        </is>
      </c>
      <c r="H120" s="29" t="inlineStr">
        <is>
          <t>planning;new;settled</t>
        </is>
      </c>
      <c r="I120" s="29" t="inlineStr">
        <is>
          <t>sevilla:kaynak:450</t>
        </is>
      </c>
      <c r="J120" s="49" t="n">
        <v>46320</v>
      </c>
      <c r="K120" s="51" t="n">
        <v>163</v>
      </c>
      <c r="L120" s="29" t="inlineStr">
        <is>
          <t>Hayır</t>
        </is>
      </c>
      <c r="M120" s="29" t="inlineStr">
        <is>
          <t>Taslak</t>
        </is>
      </c>
      <c r="N120" s="29" t="inlineStr">
        <is>
          <t>Tarih ve mimari</t>
        </is>
      </c>
      <c r="O120" s="29" t="inlineStr">
        <is>
          <t>Casco Antiguo</t>
        </is>
      </c>
      <c r="P120" s="29" t="inlineStr">
        <is>
          <t>Kapalı alan</t>
        </is>
      </c>
      <c r="Q120" s="29" t="inlineStr">
        <is>
          <t>Calle San Vicente, 13</t>
        </is>
      </c>
      <c r="R120" s="50" t="n">
        <v>37.394351</v>
      </c>
      <c r="S120" s="50" t="n">
        <v>-5.99926</v>
      </c>
      <c r="T120" s="29" t="n"/>
      <c r="U120" s="29" t="inlineStr">
        <is>
          <t>Virgen de los Dolores heykeli Blas Molner'e atfediliyor; Jesús de las Penas yan bir sunakta, XVI. yüzyıldan Cristo de las Siete Palabras ise Evangelio nefindeki üç neoklasik retablonun ortadakinde. Telefon: 954 904 472.</t>
        </is>
      </c>
      <c r="V120" s="29" t="inlineStr">
        <is>
          <t>Hayır</t>
        </is>
      </c>
      <c r="W120" s="29" t="n"/>
    </row>
    <row r="121" ht="54" customHeight="1">
      <c r="A121" s="29" t="inlineStr">
        <is>
          <t>sevilla:monasterio-de-san-jeronimo-de-buenavista</t>
        </is>
      </c>
      <c r="B121" s="29" t="inlineStr">
        <is>
          <t>sevilla</t>
        </is>
      </c>
      <c r="C121" s="29" t="inlineStr">
        <is>
          <t>monasterio-de-san-jeronimo-de-buenavista</t>
        </is>
      </c>
      <c r="D121" s="29" t="inlineStr">
        <is>
          <t>Monasterio de San Jerónimo de Buenavista</t>
        </is>
      </c>
      <c r="E121" s="29" t="inlineStr">
        <is>
          <t>1414'te kurulan manastır, 2015'ten beri sivil ve kültür merkezi; Turismo de Sevilla sayfasında geçici olarak kapalı görünüyor</t>
        </is>
      </c>
      <c r="F121" s="29" t="inlineStr">
        <is>
          <t>Monasterio de San Jerónimo de Buenavista, 1414'te Fray Diego Martínez de Medina tarafından eski bir mudéjar yerleşimin üzerine kuruldu; Katolik Krallar, I. Carlos, II. Felipe ve IV. Felipe Sevilla'ya resmen girmeden önce burada dinlendi. Diego de Riaño, Hernán Ruiz II ve Miguel de Zumárraga gibi mimarların yaptığı Rönesans avlusu (claustro) ve Giralda'dan esinlenen çan kulesi öne çıkıyor. XIX. ve XX. yüzyılda terk edilip fabrika, domuz besiciliği ve konut olarak kullanıldı; 1964'te tarihî-sanatsal anıt ilan edildi, 1984'te belediyenin mülkü oldu ve 2015'ten beri sergi ve konferanslara ev sahipliği yapan bir sivil ve kültür merkezi. 25 Ekim 2026 itibarıyla Turismo de Sevilla sayfası hafta içi 9.00-21.00 saatini 'geçici olarak kapalı' notuyla veriyor.</t>
        </is>
      </c>
      <c r="G121" s="29" t="inlineStr">
        <is>
          <t>San Jerónimo, Monasterio de San Jerónimo de Buenavista, Rönesans avlusu, claustro, sivil merkez, kültür merkezi, Calle Marruecos</t>
        </is>
      </c>
      <c r="H121" s="29" t="inlineStr">
        <is>
          <t>planning;new;settled</t>
        </is>
      </c>
      <c r="I121" s="29" t="inlineStr">
        <is>
          <t>sevilla:kaynak:464</t>
        </is>
      </c>
      <c r="J121" s="49" t="n">
        <v>46320</v>
      </c>
      <c r="K121" s="51" t="n">
        <v>164</v>
      </c>
      <c r="L121" s="29" t="inlineStr">
        <is>
          <t>Hayır</t>
        </is>
      </c>
      <c r="M121" s="29" t="inlineStr">
        <is>
          <t>Taslak</t>
        </is>
      </c>
      <c r="N121" s="29" t="inlineStr">
        <is>
          <t>Tarih ve mimari</t>
        </is>
      </c>
      <c r="O121" s="29" t="inlineStr">
        <is>
          <t>San Jerónimo</t>
        </is>
      </c>
      <c r="P121" s="29" t="inlineStr">
        <is>
          <t>Karma</t>
        </is>
      </c>
      <c r="Q121" s="29" t="inlineStr">
        <is>
          <t>Calle Marruecos, s/n</t>
        </is>
      </c>
      <c r="R121" s="50" t="n">
        <v>37.423675</v>
      </c>
      <c r="S121" s="50" t="n">
        <v>-5.986539</v>
      </c>
      <c r="T121" s="29" t="inlineStr">
        <is>
          <t>25 Ekim 2026 itibarıyla Turismo de Sevilla sayfasında geçici olarak kapalı görünüyor</t>
        </is>
      </c>
      <c r="U121" s="29" t="inlineStr">
        <is>
          <t>Yakındaki Parque de San Jerónimo ve Guadalquivir kıyısıyla birlikte gezilebilir. Restorasyon sırasında yüzyıllarca örtülü kalmış duvar resimleri ve manastırın altında gıdaları serin tutmak için yapılmış eski bir oda bulunmuş. Telefon: +34 955 47 13 45.</t>
        </is>
      </c>
      <c r="V121" s="29" t="inlineStr">
        <is>
          <t>Hayır</t>
        </is>
      </c>
      <c r="W121" s="29" t="n"/>
    </row>
    <row r="122" ht="54" customHeight="1">
      <c r="A122" s="29" t="inlineStr">
        <is>
          <t>sevilla:iglesia-de-santa-marina</t>
        </is>
      </c>
      <c r="B122" s="29" t="inlineStr">
        <is>
          <t>sevilla</t>
        </is>
      </c>
      <c r="C122" s="29" t="inlineStr">
        <is>
          <t>iglesia-de-santa-marina</t>
        </is>
      </c>
      <c r="D122" s="29" t="inlineStr">
        <is>
          <t>Iglesia de Santa Marina</t>
        </is>
      </c>
      <c r="E122" s="29" t="inlineStr">
        <is>
          <t>Sevilla'nın en eski gotik-mudéjar kiliselerinden; Hermandad de la Resurrección'un merkezi, giriş ücretsiz</t>
        </is>
      </c>
      <c r="F122" s="29" t="inlineStr">
        <is>
          <t>Santa Marina, Sevilla'nın gotik-mudéjar kiliselerinin en eskilerinden; yapımı 1265 dolaylarına tarihleniyor, çan kulesi XIV. yüzyılın başında eklenmiş. Üç portalı, sekiz arkivoltlu taş ana kapısı ve tuğla mudéjar kulesiyle tanınıyor; bugün Hermandad de la Santa Cruz y Sagrada Resurrección'un merkezi ve Bien de Interés Cultural (BIC) olarak korunuyor. Archidiócesis listesine göre hafta içi 11.00-13.00 ve 19.00-21.00, cumartesi 11.00-13.00, pazar ve bayramlarda 11.30-13.30 açık; 19 Temmuz-4 Eylül arası kapalı. Giriş ücretsiz.</t>
        </is>
      </c>
      <c r="G122" s="29" t="inlineStr">
        <is>
          <t>Iglesia de Santa Marina, gotik-mudéjar, Hermandad de la Resurrección, BIC, Calle San Luis, Mudéjar kule, ücretsiz kilise</t>
        </is>
      </c>
      <c r="H122" s="29" t="inlineStr">
        <is>
          <t>planning;new;settled</t>
        </is>
      </c>
      <c r="I122" s="29" t="inlineStr">
        <is>
          <t>sevilla:kaynak:465;sevilla:kaynak:474</t>
        </is>
      </c>
      <c r="J122" s="49" t="n">
        <v>46320</v>
      </c>
      <c r="K122" s="51" t="n">
        <v>165</v>
      </c>
      <c r="L122" s="29" t="inlineStr">
        <is>
          <t>Hayır</t>
        </is>
      </c>
      <c r="M122" s="29" t="inlineStr">
        <is>
          <t>Taslak</t>
        </is>
      </c>
      <c r="N122" s="29" t="inlineStr">
        <is>
          <t>Tarih ve mimari</t>
        </is>
      </c>
      <c r="O122" s="29" t="inlineStr">
        <is>
          <t>San Julián</t>
        </is>
      </c>
      <c r="P122" s="29" t="inlineStr">
        <is>
          <t>Kapalı alan</t>
        </is>
      </c>
      <c r="Q122" s="29" t="inlineStr">
        <is>
          <t>Calle San Luis</t>
        </is>
      </c>
      <c r="R122" s="50" t="n">
        <v>37.398991</v>
      </c>
      <c r="S122" s="50" t="n">
        <v>-5.987728</v>
      </c>
      <c r="T122" s="29" t="n"/>
      <c r="U122" s="29" t="inlineStr">
        <is>
          <t>Ayin saati iki sayfada farklı: Archidiócesis pazar ve bayramlar için 12.30, Turismo de Sevilla bayram günleri için 12.00 yazıyor. Telefon: Turismo de Sevilla'ya göre 954 372 757, Archidiócesis listesinde 954 900 235.</t>
        </is>
      </c>
      <c r="V122" s="29" t="inlineStr">
        <is>
          <t>Hayır</t>
        </is>
      </c>
      <c r="W122" s="29" t="n"/>
    </row>
    <row r="123" ht="54" customHeight="1">
      <c r="A123" s="29" t="inlineStr">
        <is>
          <t>sevilla:iglesia-de-san-sebastian</t>
        </is>
      </c>
      <c r="B123" s="29" t="inlineStr">
        <is>
          <t>sevilla</t>
        </is>
      </c>
      <c r="C123" s="29" t="inlineStr">
        <is>
          <t>iglesia-de-san-sebastian</t>
        </is>
      </c>
      <c r="D123" s="29" t="inlineStr">
        <is>
          <t>Iglesia de San Sebastián</t>
        </is>
      </c>
      <c r="E123" s="29" t="inlineStr">
        <is>
          <t>El Porvenir'de Calle San Salvador'daki cemaat kilisesi; Hermandad de la Paz de burada</t>
        </is>
      </c>
      <c r="F123" s="29" t="inlineStr">
        <is>
          <t>Parroquia de San Sebastián, Calle San Salvador'da bir mahalle kilisesi; sitesinde Cáritas, aile pastoralı ve Hermandad de la Paz bölümleri yer alıyor. Ekim-Mayıs döneminde ayinler pazartesi-cumartesi 9.30 ve 20.00'de, pazar günleri 10.00, 11.00, 12.00, 13.00, 19.00 ve 20.00'de. Archidiócesis listesine göre kilise hafta içi 8.30-12.00 ve 18.00-20.30, cumartesi 8.30-12.00 ve 19.00-20.30, pazar 9.00-13.30 ve 18.00-20.45 açık.</t>
        </is>
      </c>
      <c r="G123" s="29" t="inlineStr">
        <is>
          <t>Iglesia de San Sebastián, Parroquia de San Sebastián, Hermandad de la Paz, Calle San Salvador, El Porvenir, ayin saatleri</t>
        </is>
      </c>
      <c r="H123" s="29" t="inlineStr">
        <is>
          <t>planning;new;settled</t>
        </is>
      </c>
      <c r="I123" s="29" t="inlineStr">
        <is>
          <t>sevilla:kaynak:466;sevilla:kaynak:474</t>
        </is>
      </c>
      <c r="J123" s="49" t="n">
        <v>46320</v>
      </c>
      <c r="K123" s="51" t="n">
        <v>166</v>
      </c>
      <c r="L123" s="29" t="inlineStr">
        <is>
          <t>Hayır</t>
        </is>
      </c>
      <c r="M123" s="29" t="inlineStr">
        <is>
          <t>Taslak</t>
        </is>
      </c>
      <c r="N123" s="29" t="inlineStr">
        <is>
          <t>Tarih ve mimari</t>
        </is>
      </c>
      <c r="O123" s="29" t="inlineStr">
        <is>
          <t>El Porvenir</t>
        </is>
      </c>
      <c r="P123" s="29" t="inlineStr">
        <is>
          <t>Kapalı alan</t>
        </is>
      </c>
      <c r="Q123" s="29" t="inlineStr">
        <is>
          <t>C/ San Salvador, 1, 41013 Sevilla</t>
        </is>
      </c>
      <c r="R123" s="50" t="n">
        <v>37.374922</v>
      </c>
      <c r="S123" s="50" t="n">
        <v>-5.982925</v>
      </c>
      <c r="T123" s="29" t="n"/>
      <c r="U123" s="29" t="inlineStr">
        <is>
          <t>Temmuz-Ağustos'ta akşam ayini 21.00'e kayıyor. Telefon: 954 62 65 69; sakristan: sacristan@parroquiasansebastiansevilla.es.</t>
        </is>
      </c>
      <c r="V123" s="29" t="inlineStr">
        <is>
          <t>Hayır</t>
        </is>
      </c>
      <c r="W123" s="29" t="n"/>
    </row>
    <row r="124" ht="54" customHeight="1">
      <c r="A124" s="29" t="inlineStr">
        <is>
          <t>sevilla:archivo-historico-provincial-de-sevilla</t>
        </is>
      </c>
      <c r="B124" s="29" t="inlineStr">
        <is>
          <t>sevilla</t>
        </is>
      </c>
      <c r="C124" s="29" t="inlineStr">
        <is>
          <t>archivo-historico-provincial-de-sevilla</t>
        </is>
      </c>
      <c r="D124" s="29" t="inlineStr">
        <is>
          <t>Archivo Histórico Provincial de Sevilla</t>
        </is>
      </c>
      <c r="E124" s="29" t="inlineStr">
        <is>
          <t>1991'de halka açılan, Sevilla ilinin tarihî devlet belgelerini saklayan arşiv; hafta içi açık</t>
        </is>
      </c>
      <c r="F124" s="29" t="inlineStr">
        <is>
          <t>Calle Almirante Apodaca'daki arşiv, Sevilla ilinde üretilmiş tarihî devlet belgelerini ve Endülüs Özerk Yönetimi'nin idari geçerliliğini yitirmiş belgelerini toplamak, korumak ve tanıtmak için kuruldu. 2 Temmuz 1987 tarihli Kültür Bakanlığı kararıyla kuruldu, 1 Eylül 1991'de resmen açıldı ve Kasım 1991'de halka açıldı; mülkiyeti devlette, yönetimi Endülüs Özerk Yönetimi'nde. 16 Eylül-15 Haziran arası hafta içi 08.45-14.30, 16 Haziran-15 Eylül arası 08.45-14.00 açık; Semana Santa ve Feria'nın tatil olmayan günlerinde 09.00-13.30; ulusal, bölgesel ve yerel tatillerde kapalı.</t>
        </is>
      </c>
      <c r="G124" s="29" t="inlineStr">
        <is>
          <t>Archivo Histórico Provincial, Sevilla arşivi, tarihî belgeler, Junta de Andalucía, Calle Almirante Apodaca, araştırma</t>
        </is>
      </c>
      <c r="H124" s="29" t="inlineStr">
        <is>
          <t>planning;new;settled</t>
        </is>
      </c>
      <c r="I124" s="29" t="inlineStr">
        <is>
          <t>sevilla:kaynak:467</t>
        </is>
      </c>
      <c r="J124" s="49" t="n">
        <v>46320</v>
      </c>
      <c r="K124" s="51" t="n">
        <v>167</v>
      </c>
      <c r="L124" s="29" t="inlineStr">
        <is>
          <t>Hayır</t>
        </is>
      </c>
      <c r="M124" s="29" t="inlineStr">
        <is>
          <t>Taslak</t>
        </is>
      </c>
      <c r="N124" s="29" t="inlineStr">
        <is>
          <t>Müzeler</t>
        </is>
      </c>
      <c r="O124" s="29" t="inlineStr">
        <is>
          <t>Casco Antiguo</t>
        </is>
      </c>
      <c r="P124" s="29" t="inlineStr">
        <is>
          <t>Kapalı alan</t>
        </is>
      </c>
      <c r="Q124" s="29" t="inlineStr">
        <is>
          <t>Calle Almirante Apodaca 4, 41003 Sevilla</t>
        </is>
      </c>
      <c r="R124" s="50" t="n">
        <v>37.392715</v>
      </c>
      <c r="S124" s="50" t="n">
        <v>-5.989223</v>
      </c>
      <c r="T124" s="29" t="n"/>
      <c r="U124" s="29" t="inlineStr">
        <is>
          <t>Kullanım ve danışma rehberi sitede PDF olarak indirilebiliyor. Telefon: 955 118 051; e-posta: informacion.ahp.se.ccul@juntadeandalucia.es.</t>
        </is>
      </c>
      <c r="V124" s="29" t="inlineStr">
        <is>
          <t>Hayır</t>
        </is>
      </c>
      <c r="W124" s="29" t="n"/>
    </row>
    <row r="125" ht="54" customHeight="1">
      <c r="A125" s="29" t="inlineStr">
        <is>
          <t>sevilla:biblioteca-infanta-elena</t>
        </is>
      </c>
      <c r="B125" s="29" t="inlineStr">
        <is>
          <t>sevilla</t>
        </is>
      </c>
      <c r="C125" s="29" t="inlineStr">
        <is>
          <t>biblioteca-infanta-elena</t>
        </is>
      </c>
      <c r="D125" s="29" t="inlineStr">
        <is>
          <t>Biblioteca Pública del Estado - Biblioteca Provincial Infanta Elena</t>
        </is>
      </c>
      <c r="E125" s="29" t="inlineStr">
        <is>
          <t>Parque de María Luisa yakınındaki devlet halk kütüphanesi; çoğu hizmet ücretsiz, kışın cumartesi de açık</t>
        </is>
      </c>
      <c r="F125" s="29" t="inlineStr">
        <is>
          <t>Avenida de María Luisa'daki kütüphane, Endülüs Kamu Kütüphaneleri Ağı'nın Sevilla il kütüphanesi. Kış saatlerinde hafta içi 9.00-21.00, cumartesi 9.00-14.00 açık; 16-30 Haziran'da hafta içi 9.00-21.00, temmuz-ağustosta hafta içi 9.00-14.00, 1-15 Eylül'de hafta içi 9.00-21.00 ve cumartesi kapalı. Hizmetlerin çoğu ücretsiz, yalnız fotokopi ücretli. Açık raftaki belgeleri serbestçe inceleyebilirsin; ödünç almak için ağın kütüphane kartı gerekiyor. Kartı kütüphanede başvuru formunu doldurarak alırsın: formda Endülüs içinde bir posta adresi yazman gerekiyor, kütüphane kimlik (DNI, pasaport, yabancı kimlik numarası ya da aile cüzdanı) isteyebiliyor. Bu kütüphanede en çok 9 belge (6 kitap, 3 görsel-işitsel) ödünç alınabiliyor, e-kitap okuyucuları 30 günlüğüne verilebiliyor.</t>
        </is>
      </c>
      <c r="G125" s="29" t="inlineStr">
        <is>
          <t>Biblioteca Infanta Elena, Sevilla kütüphanesi, devlet kütüphanesi, kütüphane kartı, ödünç kitap, Avenida de María Luisa</t>
        </is>
      </c>
      <c r="H125" s="29" t="inlineStr">
        <is>
          <t>planning;new;settled</t>
        </is>
      </c>
      <c r="I125" s="29" t="inlineStr">
        <is>
          <t>sevilla:kaynak:468;sevilla:kaynak:201</t>
        </is>
      </c>
      <c r="J125" s="49" t="n">
        <v>46320</v>
      </c>
      <c r="K125" s="51" t="n">
        <v>168</v>
      </c>
      <c r="L125" s="29" t="inlineStr">
        <is>
          <t>Hayır</t>
        </is>
      </c>
      <c r="M125" s="29" t="inlineStr">
        <is>
          <t>Taslak</t>
        </is>
      </c>
      <c r="N125" s="29" t="inlineStr">
        <is>
          <t>Sanat ve sergiler</t>
        </is>
      </c>
      <c r="O125" s="29" t="inlineStr">
        <is>
          <t>Parque de María Luisa</t>
        </is>
      </c>
      <c r="P125" s="29" t="inlineStr">
        <is>
          <t>Kapalı alan</t>
        </is>
      </c>
      <c r="Q125" s="29" t="inlineStr">
        <is>
          <t>Avenida de María Luisa, núm. 8, 41013 Sevilla</t>
        </is>
      </c>
      <c r="R125" s="50" t="n">
        <v>37.377131</v>
      </c>
      <c r="S125" s="50" t="n">
        <v>-5.991589</v>
      </c>
      <c r="T125" s="29" t="n"/>
      <c r="U125" s="29" t="inlineStr">
        <is>
          <t>İçeri yiyecek ve içecek sokulamıyor, kişisel eşyalar için emanet dolapları var; çalışma yerini 30 dakikadan uzun süre boş bırakırsan kaybedersin. Şehir içi otobüs hatları: 6, 34, 41, C1, C2 ve C5. Telefon: 954 71 23 05.</t>
        </is>
      </c>
      <c r="V125" s="29" t="inlineStr">
        <is>
          <t>Hayır</t>
        </is>
      </c>
      <c r="W125" s="29" t="n"/>
    </row>
    <row r="126" ht="54" customHeight="1">
      <c r="A126" s="29" t="inlineStr">
        <is>
          <t>sevilla:hospital-de-los-venerables</t>
        </is>
      </c>
      <c r="B126" s="29" t="inlineStr">
        <is>
          <t>sevilla</t>
        </is>
      </c>
      <c r="C126" s="29" t="inlineStr">
        <is>
          <t>hospital-de-los-venerables</t>
        </is>
      </c>
      <c r="D126" s="29" t="inlineStr">
        <is>
          <t>Hospital de los Venerables (Fundación Focus)</t>
        </is>
      </c>
      <c r="E126" s="29" t="inlineStr">
        <is>
          <t>Santa Cruz'da XVII. yüzyıldan barok yaşlı rahipler yurdu, Centro Velázquez'in evi; Turismo de Sevilla'ya göre çalışmalar nedeniyle kapalı</t>
        </is>
      </c>
      <c r="F126" s="29" t="inlineStr">
        <is>
          <t>Hospital de los Venerables Sacerdotes, Santa Cruz mahallesinde Endülüs barokunun en önemli örneklerinden; 1676-1697 arasında yoksul yaşlı rahipler için kanonik Justino de Neve'nin girişimiyle yapıldı. İki katlı sütunlu avlusu, eliptik tonozlu merdiveni, Valdés Leal ve Lucas Valdés'in freskleriyle dolu kilisesi ve sakristisindeki trampantojo ile tanınıyor; içinde Velázquez'e ve çağına ayrılmış Centro Velázquez var. 80'lerdeki restorasyondan sonra barok sanata, Sevilla Altın Çağı resmine ve çağdaş sanata ayrılmış bir kültür merkezi oldu. 25 Ekim 2026 itibarıyla Turismo de Sevilla sayfasında bina 'çalışmalar nedeniyle geçici olarak kapalı' yazıyor.</t>
        </is>
      </c>
      <c r="G126" s="29" t="inlineStr">
        <is>
          <t>Hospital de los Venerables, Fundación Focus, Centro Velázquez, Santa Cruz, Valdés Leal, barok, sergi</t>
        </is>
      </c>
      <c r="H126" s="29" t="inlineStr">
        <is>
          <t>planning;new;settled</t>
        </is>
      </c>
      <c r="I126" s="29" t="inlineStr">
        <is>
          <t>sevilla:kaynak:469</t>
        </is>
      </c>
      <c r="J126" s="49" t="n">
        <v>46320</v>
      </c>
      <c r="K126" s="51" t="n">
        <v>169</v>
      </c>
      <c r="L126" s="29" t="inlineStr">
        <is>
          <t>Hayır</t>
        </is>
      </c>
      <c r="M126" s="29" t="inlineStr">
        <is>
          <t>Taslak</t>
        </is>
      </c>
      <c r="N126" s="29" t="inlineStr">
        <is>
          <t>Sanat ve sergiler</t>
        </is>
      </c>
      <c r="O126" s="29" t="inlineStr">
        <is>
          <t>Santa Cruz</t>
        </is>
      </c>
      <c r="P126" s="29" t="inlineStr">
        <is>
          <t>Kapalı alan</t>
        </is>
      </c>
      <c r="Q126" s="29" t="inlineStr">
        <is>
          <t>Plaza de los Venerables, nº8</t>
        </is>
      </c>
      <c r="R126" s="50" t="n">
        <v>37.385238</v>
      </c>
      <c r="S126" s="50" t="n">
        <v>-5.990111</v>
      </c>
      <c r="T126" s="29" t="inlineStr">
        <is>
          <t>Turismo de Sevilla'ya göre çalışmalar nedeniyle geçici olarak kapalı</t>
        </is>
      </c>
      <c r="U126" s="29" t="inlineStr">
        <is>
          <t>25 Ekim 2026 itibarıyla bina tadilat nedeniyle ziyarete kapalı (Turismo de Sevilla). Binada Gerhard Grenzing'in yaptığı Metzler org bulunuyor; Turismo de Sevilla'ya göre yazın Fundación Focus'un kültür programı kapsamında org konserleri ve etkinlikler yapılıyor. Telefon: +34 954 564 595.</t>
        </is>
      </c>
      <c r="V126" s="29" t="inlineStr">
        <is>
          <t>Hayır</t>
        </is>
      </c>
      <c r="W126" s="29" t="n"/>
    </row>
    <row r="127" ht="54" customHeight="1">
      <c r="A127" s="29" t="inlineStr">
        <is>
          <t>sevilla:cicus-centro-iniciativas-culturales</t>
        </is>
      </c>
      <c r="B127" s="29" t="inlineStr">
        <is>
          <t>sevilla</t>
        </is>
      </c>
      <c r="C127" s="29" t="inlineStr">
        <is>
          <t>cicus-centro-iniciativas-culturales</t>
        </is>
      </c>
      <c r="D127" s="29" t="inlineStr">
        <is>
          <t>CICUS - Centro de Iniciativas Culturales de la Universidad de Sevilla</t>
        </is>
      </c>
      <c r="E127" s="29" t="inlineStr">
        <is>
          <t>Sevilla Üniversitesi'nin Madre de Dios Sokağı'ndaki sergi salonlu kültür merkezi; rehberli sergi turları var</t>
        </is>
      </c>
      <c r="F127" s="29" t="inlineStr">
        <is>
          <t>Sevilla Üniversitesi'nin kültür merkezi CICUS, Calle Madre de Dios 1'deki binada sergi gösteriyor; sergi salonu Sala EP1 birinci katta. 28 Ekim 2026'da burada, üniversiteye ait ve Anunciación kilisesiyle Capilla de los Estudiantes'ten gelen resim ve heykellerden oluşan 'Patrimonio en Tránsito' sergisi açılıyor; sergi hafta içi 17.00-20.00 arasında gezilebiliyor, cuma günleri 19.45'e kadar. Sergiye rehberli ziyaret de rezerve edilebiliyor.</t>
        </is>
      </c>
      <c r="G127" s="29" t="inlineStr">
        <is>
          <t>CICUS, Universidad de Sevilla, Sala EP1, Patrimonio en Tránsito, sergi, rehberli tur, ücretsiz tur</t>
        </is>
      </c>
      <c r="H127" s="29" t="inlineStr">
        <is>
          <t>planning;new;settled</t>
        </is>
      </c>
      <c r="I127" s="29" t="inlineStr">
        <is>
          <t>sevilla:kaynak:388;sevilla:kaynak:475</t>
        </is>
      </c>
      <c r="J127" s="49" t="n">
        <v>46320</v>
      </c>
      <c r="K127" s="51" t="n">
        <v>170</v>
      </c>
      <c r="L127" s="29" t="inlineStr">
        <is>
          <t>Hayır</t>
        </is>
      </c>
      <c r="M127" s="29" t="inlineStr">
        <is>
          <t>Taslak</t>
        </is>
      </c>
      <c r="N127" s="29" t="inlineStr">
        <is>
          <t>Sanat ve sergiler</t>
        </is>
      </c>
      <c r="O127" s="29" t="inlineStr">
        <is>
          <t>Casco Antiguo</t>
        </is>
      </c>
      <c r="P127" s="29" t="inlineStr">
        <is>
          <t>Kapalı alan</t>
        </is>
      </c>
      <c r="Q127" s="29" t="inlineStr">
        <is>
          <t>C/ Madre de Dios, nº 1</t>
        </is>
      </c>
      <c r="R127" s="50" t="n">
        <v>37.387599</v>
      </c>
      <c r="S127" s="50" t="n">
        <v>-5.98923</v>
      </c>
      <c r="T127" s="29" t="n"/>
      <c r="U127" s="29" t="n"/>
      <c r="V127" s="29" t="inlineStr">
        <is>
          <t>Hayır</t>
        </is>
      </c>
      <c r="W127" s="29" t="n"/>
    </row>
    <row r="128" ht="54" customHeight="1">
      <c r="A128" s="29" t="n"/>
      <c r="B128" s="29" t="n"/>
      <c r="C128" s="29" t="n"/>
      <c r="D128" s="29" t="n"/>
      <c r="E128" s="29" t="n"/>
      <c r="F128" s="29" t="n"/>
      <c r="G128" s="29" t="n"/>
      <c r="H128" s="29" t="n"/>
      <c r="I128" s="29" t="n"/>
      <c r="J128" s="49" t="n"/>
      <c r="K128" s="51" t="n"/>
      <c r="L128" s="29" t="n"/>
      <c r="M128" s="29" t="n"/>
      <c r="N128" s="29" t="n"/>
      <c r="O128" s="29" t="n"/>
      <c r="P128" s="29" t="n"/>
      <c r="Q128" s="29" t="n"/>
      <c r="R128" s="50" t="n"/>
      <c r="S128" s="50" t="n"/>
      <c r="T128" s="29" t="n"/>
      <c r="U128" s="29" t="n"/>
      <c r="V128" s="29" t="n"/>
      <c r="W128" s="29" t="n"/>
    </row>
    <row r="129" ht="54" customHeight="1">
      <c r="A129" s="29" t="n"/>
      <c r="B129" s="29" t="n"/>
      <c r="C129" s="29" t="n"/>
      <c r="D129" s="29" t="n"/>
      <c r="E129" s="29" t="n"/>
      <c r="F129" s="29" t="n"/>
      <c r="G129" s="29" t="n"/>
      <c r="H129" s="29" t="n"/>
      <c r="I129" s="29" t="n"/>
      <c r="J129" s="49" t="n"/>
      <c r="K129" s="51" t="n"/>
      <c r="L129" s="29" t="n"/>
      <c r="M129" s="29" t="n"/>
      <c r="N129" s="29" t="n"/>
      <c r="O129" s="29" t="n"/>
      <c r="P129" s="29" t="n"/>
      <c r="Q129" s="29" t="n"/>
      <c r="R129" s="50" t="n"/>
      <c r="S129" s="50" t="n"/>
      <c r="T129" s="29" t="n"/>
      <c r="U129" s="29" t="n"/>
      <c r="V129" s="29" t="n"/>
      <c r="W129" s="29" t="n"/>
    </row>
    <row r="130" ht="54" customHeight="1">
      <c r="A130" s="29" t="n"/>
      <c r="B130" s="29" t="n"/>
      <c r="C130" s="29" t="n"/>
      <c r="D130" s="29" t="n"/>
      <c r="E130" s="29" t="n"/>
      <c r="F130" s="29" t="n"/>
      <c r="G130" s="29" t="n"/>
      <c r="H130" s="29" t="n"/>
      <c r="I130" s="29" t="n"/>
      <c r="J130" s="49" t="n"/>
      <c r="K130" s="51" t="n"/>
      <c r="L130" s="29" t="n"/>
      <c r="M130" s="29" t="n"/>
      <c r="N130" s="29" t="n"/>
      <c r="O130" s="29" t="n"/>
      <c r="P130" s="29" t="n"/>
      <c r="Q130" s="29" t="n"/>
      <c r="R130" s="50" t="n"/>
      <c r="S130" s="50" t="n"/>
      <c r="T130" s="29" t="n"/>
      <c r="U130" s="29" t="n"/>
      <c r="V130" s="29" t="n"/>
      <c r="W130" s="29" t="n"/>
    </row>
    <row r="131" ht="54" customHeight="1">
      <c r="A131" s="29" t="n"/>
      <c r="B131" s="29" t="n"/>
      <c r="C131" s="29" t="n"/>
      <c r="D131" s="29" t="n"/>
      <c r="E131" s="29" t="n"/>
      <c r="F131" s="29" t="n"/>
      <c r="G131" s="29" t="n"/>
      <c r="H131" s="29" t="n"/>
      <c r="I131" s="29" t="n"/>
      <c r="J131" s="49" t="n"/>
      <c r="K131" s="51" t="n"/>
      <c r="L131" s="29" t="n"/>
      <c r="M131" s="29" t="n"/>
      <c r="N131" s="29" t="n"/>
      <c r="O131" s="29" t="n"/>
      <c r="P131" s="29" t="n"/>
      <c r="Q131" s="29" t="n"/>
      <c r="R131" s="50" t="n"/>
      <c r="S131" s="50" t="n"/>
      <c r="T131" s="29" t="n"/>
      <c r="U131" s="29" t="n"/>
      <c r="V131" s="29" t="n"/>
      <c r="W131" s="29" t="n"/>
    </row>
    <row r="132" ht="54" customHeight="1">
      <c r="A132" s="29" t="n"/>
      <c r="B132" s="29" t="n"/>
      <c r="C132" s="29" t="n"/>
      <c r="D132" s="29" t="n"/>
      <c r="E132" s="29" t="n"/>
      <c r="F132" s="29" t="n"/>
      <c r="G132" s="29" t="n"/>
      <c r="H132" s="29" t="n"/>
      <c r="I132" s="29" t="n"/>
      <c r="J132" s="49" t="n"/>
      <c r="K132" s="51" t="n"/>
      <c r="L132" s="29" t="n"/>
      <c r="M132" s="29" t="n"/>
      <c r="N132" s="29" t="n"/>
      <c r="O132" s="29" t="n"/>
      <c r="P132" s="29" t="n"/>
      <c r="Q132" s="29" t="n"/>
      <c r="R132" s="50" t="n"/>
      <c r="S132" s="50" t="n"/>
      <c r="T132" s="29" t="n"/>
      <c r="U132" s="29" t="n"/>
      <c r="V132" s="29" t="n"/>
      <c r="W132" s="29" t="n"/>
    </row>
    <row r="133" ht="54" customHeight="1">
      <c r="A133" s="29" t="n"/>
      <c r="B133" s="29" t="n"/>
      <c r="C133" s="29" t="n"/>
      <c r="D133" s="29" t="n"/>
      <c r="E133" s="29" t="n"/>
      <c r="F133" s="29" t="n"/>
      <c r="G133" s="29" t="n"/>
      <c r="H133" s="29" t="n"/>
      <c r="I133" s="29" t="n"/>
      <c r="J133" s="49" t="n"/>
      <c r="K133" s="51" t="n"/>
      <c r="L133" s="29" t="n"/>
      <c r="M133" s="29" t="n"/>
      <c r="N133" s="29" t="n"/>
      <c r="O133" s="29" t="n"/>
      <c r="P133" s="29" t="n"/>
      <c r="Q133" s="29" t="n"/>
      <c r="R133" s="50" t="n"/>
      <c r="S133" s="50" t="n"/>
      <c r="T133" s="29" t="n"/>
      <c r="U133" s="29" t="n"/>
      <c r="V133" s="29" t="n"/>
      <c r="W133" s="29" t="n"/>
    </row>
    <row r="134" ht="54" customHeight="1">
      <c r="A134" s="29" t="n"/>
      <c r="B134" s="29" t="n"/>
      <c r="C134" s="29" t="n"/>
      <c r="D134" s="29" t="n"/>
      <c r="E134" s="29" t="n"/>
      <c r="F134" s="29" t="n"/>
      <c r="G134" s="29" t="n"/>
      <c r="H134" s="29" t="n"/>
      <c r="I134" s="29" t="n"/>
      <c r="J134" s="49" t="n"/>
      <c r="K134" s="51" t="n"/>
      <c r="L134" s="29" t="n"/>
      <c r="M134" s="29" t="n"/>
      <c r="N134" s="29" t="n"/>
      <c r="O134" s="29" t="n"/>
      <c r="P134" s="29" t="n"/>
      <c r="Q134" s="29" t="n"/>
      <c r="R134" s="50" t="n"/>
      <c r="S134" s="50" t="n"/>
      <c r="T134" s="29" t="n"/>
      <c r="U134" s="29" t="n"/>
      <c r="V134" s="29" t="n"/>
      <c r="W134" s="29" t="n"/>
    </row>
    <row r="135" ht="54" customHeight="1">
      <c r="A135" s="29" t="n"/>
      <c r="B135" s="29" t="n"/>
      <c r="C135" s="29" t="n"/>
      <c r="D135" s="29" t="n"/>
      <c r="E135" s="29" t="n"/>
      <c r="F135" s="29" t="n"/>
      <c r="G135" s="29" t="n"/>
      <c r="H135" s="29" t="n"/>
      <c r="I135" s="29" t="n"/>
      <c r="J135" s="49" t="n"/>
      <c r="K135" s="51" t="n"/>
      <c r="L135" s="29" t="n"/>
      <c r="M135" s="29" t="n"/>
      <c r="N135" s="29" t="n"/>
      <c r="O135" s="29" t="n"/>
      <c r="P135" s="29" t="n"/>
      <c r="Q135" s="29" t="n"/>
      <c r="R135" s="50" t="n"/>
      <c r="S135" s="50" t="n"/>
      <c r="T135" s="29" t="n"/>
      <c r="U135" s="29" t="n"/>
      <c r="V135" s="29" t="n"/>
      <c r="W135" s="29" t="n"/>
    </row>
    <row r="136" ht="54" customHeight="1">
      <c r="A136" s="29" t="n"/>
      <c r="B136" s="29" t="n"/>
      <c r="C136" s="29" t="n"/>
      <c r="D136" s="29" t="n"/>
      <c r="E136" s="29" t="n"/>
      <c r="F136" s="29" t="n"/>
      <c r="G136" s="29" t="n"/>
      <c r="H136" s="29" t="n"/>
      <c r="I136" s="29" t="n"/>
      <c r="J136" s="49" t="n"/>
      <c r="K136" s="51" t="n"/>
      <c r="L136" s="29" t="n"/>
      <c r="M136" s="29" t="n"/>
      <c r="N136" s="29" t="n"/>
      <c r="O136" s="29" t="n"/>
      <c r="P136" s="29" t="n"/>
      <c r="Q136" s="29" t="n"/>
      <c r="R136" s="50" t="n"/>
      <c r="S136" s="50" t="n"/>
      <c r="T136" s="29" t="n"/>
      <c r="U136" s="29" t="n"/>
      <c r="V136" s="29" t="n"/>
      <c r="W136" s="29" t="n"/>
    </row>
    <row r="137" ht="54" customHeight="1">
      <c r="A137" s="29" t="n"/>
      <c r="B137" s="29" t="n"/>
      <c r="C137" s="29" t="n"/>
      <c r="D137" s="29" t="n"/>
      <c r="E137" s="29" t="n"/>
      <c r="F137" s="29" t="n"/>
      <c r="G137" s="29" t="n"/>
      <c r="H137" s="29" t="n"/>
      <c r="I137" s="29" t="n"/>
      <c r="J137" s="49" t="n"/>
      <c r="K137" s="51" t="n"/>
      <c r="L137" s="29" t="n"/>
      <c r="M137" s="29" t="n"/>
      <c r="N137" s="29" t="n"/>
      <c r="O137" s="29" t="n"/>
      <c r="P137" s="29" t="n"/>
      <c r="Q137" s="29" t="n"/>
      <c r="R137" s="50" t="n"/>
      <c r="S137" s="50" t="n"/>
      <c r="T137" s="29" t="n"/>
      <c r="U137" s="29" t="n"/>
      <c r="V137" s="29" t="n"/>
      <c r="W137" s="29" t="n"/>
    </row>
    <row r="138" ht="54" customHeight="1">
      <c r="A138" s="29" t="n"/>
      <c r="B138" s="29" t="n"/>
      <c r="C138" s="29" t="n"/>
      <c r="D138" s="29" t="n"/>
      <c r="E138" s="29" t="n"/>
      <c r="F138" s="29" t="n"/>
      <c r="G138" s="29" t="n"/>
      <c r="H138" s="29" t="n"/>
      <c r="I138" s="29" t="n"/>
      <c r="J138" s="49" t="n"/>
      <c r="K138" s="51" t="n"/>
      <c r="L138" s="29" t="n"/>
      <c r="M138" s="29" t="n"/>
      <c r="N138" s="29" t="n"/>
      <c r="O138" s="29" t="n"/>
      <c r="P138" s="29" t="n"/>
      <c r="Q138" s="29" t="n"/>
      <c r="R138" s="50" t="n"/>
      <c r="S138" s="50" t="n"/>
      <c r="T138" s="29" t="n"/>
      <c r="U138" s="29" t="n"/>
      <c r="V138" s="29" t="n"/>
      <c r="W138" s="29" t="n"/>
    </row>
    <row r="139" ht="54" customHeight="1">
      <c r="A139" s="29" t="n"/>
      <c r="B139" s="29" t="n"/>
      <c r="C139" s="29" t="n"/>
      <c r="D139" s="29" t="n"/>
      <c r="E139" s="29" t="n"/>
      <c r="F139" s="29" t="n"/>
      <c r="G139" s="29" t="n"/>
      <c r="H139" s="29" t="n"/>
      <c r="I139" s="29" t="n"/>
      <c r="J139" s="49" t="n"/>
      <c r="K139" s="51" t="n"/>
      <c r="L139" s="29" t="n"/>
      <c r="M139" s="29" t="n"/>
      <c r="N139" s="29" t="n"/>
      <c r="O139" s="29" t="n"/>
      <c r="P139" s="29" t="n"/>
      <c r="Q139" s="29" t="n"/>
      <c r="R139" s="50" t="n"/>
      <c r="S139" s="50" t="n"/>
      <c r="T139" s="29" t="n"/>
      <c r="U139" s="29" t="n"/>
      <c r="V139" s="29" t="n"/>
      <c r="W139" s="29" t="n"/>
    </row>
    <row r="140" ht="54" customHeight="1">
      <c r="A140" s="29" t="n"/>
      <c r="B140" s="29" t="n"/>
      <c r="C140" s="29" t="n"/>
      <c r="D140" s="29" t="n"/>
      <c r="E140" s="29" t="n"/>
      <c r="F140" s="29" t="n"/>
      <c r="G140" s="29" t="n"/>
      <c r="H140" s="29" t="n"/>
      <c r="I140" s="29" t="n"/>
      <c r="J140" s="49" t="n"/>
      <c r="K140" s="51" t="n"/>
      <c r="L140" s="29" t="n"/>
      <c r="M140" s="29" t="n"/>
      <c r="N140" s="29" t="n"/>
      <c r="O140" s="29" t="n"/>
      <c r="P140" s="29" t="n"/>
      <c r="Q140" s="29" t="n"/>
      <c r="R140" s="50" t="n"/>
      <c r="S140" s="50" t="n"/>
      <c r="T140" s="29" t="n"/>
      <c r="U140" s="29" t="n"/>
      <c r="V140" s="29" t="n"/>
      <c r="W140" s="29" t="n"/>
    </row>
    <row r="141" ht="54" customHeight="1">
      <c r="A141" s="29" t="n"/>
      <c r="B141" s="29" t="n"/>
      <c r="C141" s="29" t="n"/>
      <c r="D141" s="29" t="n"/>
      <c r="E141" s="29" t="n"/>
      <c r="F141" s="29" t="n"/>
      <c r="G141" s="29" t="n"/>
      <c r="H141" s="29" t="n"/>
      <c r="I141" s="29" t="n"/>
      <c r="J141" s="49" t="n"/>
      <c r="K141" s="51" t="n"/>
      <c r="L141" s="29" t="n"/>
      <c r="M141" s="29" t="n"/>
      <c r="N141" s="29" t="n"/>
      <c r="O141" s="29" t="n"/>
      <c r="P141" s="29" t="n"/>
      <c r="Q141" s="29" t="n"/>
      <c r="R141" s="50" t="n"/>
      <c r="S141" s="50" t="n"/>
      <c r="T141" s="29" t="n"/>
      <c r="U141" s="29" t="n"/>
      <c r="V141" s="29" t="n"/>
      <c r="W141" s="29" t="n"/>
    </row>
    <row r="142" ht="54" customHeight="1">
      <c r="A142" s="29" t="n"/>
      <c r="B142" s="29" t="n"/>
      <c r="C142" s="29" t="n"/>
      <c r="D142" s="29" t="n"/>
      <c r="E142" s="29" t="n"/>
      <c r="F142" s="29" t="n"/>
      <c r="G142" s="29" t="n"/>
      <c r="H142" s="29" t="n"/>
      <c r="I142" s="29" t="n"/>
      <c r="J142" s="49" t="n"/>
      <c r="K142" s="51" t="n"/>
      <c r="L142" s="29" t="n"/>
      <c r="M142" s="29" t="n"/>
      <c r="N142" s="29" t="n"/>
      <c r="O142" s="29" t="n"/>
      <c r="P142" s="29" t="n"/>
      <c r="Q142" s="29" t="n"/>
      <c r="R142" s="50" t="n"/>
      <c r="S142" s="50" t="n"/>
      <c r="T142" s="29" t="n"/>
      <c r="U142" s="29" t="n"/>
      <c r="V142" s="29" t="n"/>
      <c r="W142" s="29" t="n"/>
    </row>
    <row r="143" ht="54" customHeight="1">
      <c r="A143" s="29" t="n"/>
      <c r="B143" s="29" t="n"/>
      <c r="C143" s="29" t="n"/>
      <c r="D143" s="29" t="n"/>
      <c r="E143" s="29" t="n"/>
      <c r="F143" s="29" t="n"/>
      <c r="G143" s="29" t="n"/>
      <c r="H143" s="29" t="n"/>
      <c r="I143" s="29" t="n"/>
      <c r="J143" s="49" t="n"/>
      <c r="K143" s="51" t="n"/>
      <c r="L143" s="29" t="n"/>
      <c r="M143" s="29" t="n"/>
      <c r="N143" s="29" t="n"/>
      <c r="O143" s="29" t="n"/>
      <c r="P143" s="29" t="n"/>
      <c r="Q143" s="29" t="n"/>
      <c r="R143" s="50" t="n"/>
      <c r="S143" s="50" t="n"/>
      <c r="T143" s="29" t="n"/>
      <c r="U143" s="29" t="n"/>
      <c r="V143" s="29" t="n"/>
      <c r="W143" s="29" t="n"/>
    </row>
    <row r="144" ht="54" customHeight="1">
      <c r="A144" s="29" t="n"/>
      <c r="B144" s="29" t="n"/>
      <c r="C144" s="29" t="n"/>
      <c r="D144" s="29" t="n"/>
      <c r="E144" s="29" t="n"/>
      <c r="F144" s="29" t="n"/>
      <c r="G144" s="29" t="n"/>
      <c r="H144" s="29" t="n"/>
      <c r="I144" s="29" t="n"/>
      <c r="J144" s="49" t="n"/>
      <c r="K144" s="51" t="n"/>
      <c r="L144" s="29" t="n"/>
      <c r="M144" s="29" t="n"/>
      <c r="N144" s="29" t="n"/>
      <c r="O144" s="29" t="n"/>
      <c r="P144" s="29" t="n"/>
      <c r="Q144" s="29" t="n"/>
      <c r="R144" s="50" t="n"/>
      <c r="S144" s="50" t="n"/>
      <c r="T144" s="29" t="n"/>
      <c r="U144" s="29" t="n"/>
      <c r="V144" s="29" t="n"/>
      <c r="W144" s="29" t="n"/>
    </row>
    <row r="145" ht="54" customHeight="1">
      <c r="A145" s="29" t="n"/>
      <c r="B145" s="29" t="n"/>
      <c r="C145" s="29" t="n"/>
      <c r="D145" s="29" t="n"/>
      <c r="E145" s="29" t="n"/>
      <c r="F145" s="29" t="n"/>
      <c r="G145" s="29" t="n"/>
      <c r="H145" s="29" t="n"/>
      <c r="I145" s="29" t="n"/>
      <c r="J145" s="49" t="n"/>
      <c r="K145" s="51" t="n"/>
      <c r="L145" s="29" t="n"/>
      <c r="M145" s="29" t="n"/>
      <c r="N145" s="29" t="n"/>
      <c r="O145" s="29" t="n"/>
      <c r="P145" s="29" t="n"/>
      <c r="Q145" s="29" t="n"/>
      <c r="R145" s="50" t="n"/>
      <c r="S145" s="50" t="n"/>
      <c r="T145" s="29" t="n"/>
      <c r="U145" s="29" t="n"/>
      <c r="V145" s="29" t="n"/>
      <c r="W145" s="29" t="n"/>
    </row>
    <row r="146" ht="54" customHeight="1">
      <c r="A146" s="29" t="n"/>
      <c r="B146" s="29" t="n"/>
      <c r="C146" s="29" t="n"/>
      <c r="D146" s="29" t="n"/>
      <c r="E146" s="29" t="n"/>
      <c r="F146" s="29" t="n"/>
      <c r="G146" s="29" t="n"/>
      <c r="H146" s="29" t="n"/>
      <c r="I146" s="29" t="n"/>
      <c r="J146" s="49" t="n"/>
      <c r="K146" s="51" t="n"/>
      <c r="L146" s="29" t="n"/>
      <c r="M146" s="29" t="n"/>
      <c r="N146" s="29" t="n"/>
      <c r="O146" s="29" t="n"/>
      <c r="P146" s="29" t="n"/>
      <c r="Q146" s="29" t="n"/>
      <c r="R146" s="50" t="n"/>
      <c r="S146" s="50" t="n"/>
      <c r="T146" s="29" t="n"/>
      <c r="U146" s="29" t="n"/>
      <c r="V146" s="29" t="n"/>
      <c r="W146" s="29" t="n"/>
    </row>
    <row r="147" ht="54" customHeight="1">
      <c r="A147" s="29" t="n"/>
      <c r="B147" s="29" t="n"/>
      <c r="C147" s="29" t="n"/>
      <c r="D147" s="29" t="n"/>
      <c r="E147" s="29" t="n"/>
      <c r="F147" s="29" t="n"/>
      <c r="G147" s="29" t="n"/>
      <c r="H147" s="29" t="n"/>
      <c r="I147" s="29" t="n"/>
      <c r="J147" s="49" t="n"/>
      <c r="K147" s="51" t="n"/>
      <c r="L147" s="29" t="n"/>
      <c r="M147" s="29" t="n"/>
      <c r="N147" s="29" t="n"/>
      <c r="O147" s="29" t="n"/>
      <c r="P147" s="29" t="n"/>
      <c r="Q147" s="29" t="n"/>
      <c r="R147" s="50" t="n"/>
      <c r="S147" s="50" t="n"/>
      <c r="T147" s="29" t="n"/>
      <c r="U147" s="29" t="n"/>
      <c r="V147" s="29" t="n"/>
      <c r="W147" s="29" t="n"/>
    </row>
    <row r="148" ht="54" customHeight="1">
      <c r="A148" s="29" t="n"/>
      <c r="B148" s="29" t="n"/>
      <c r="C148" s="29" t="n"/>
      <c r="D148" s="29" t="n"/>
      <c r="E148" s="29" t="n"/>
      <c r="F148" s="29" t="n"/>
      <c r="G148" s="29" t="n"/>
      <c r="H148" s="29" t="n"/>
      <c r="I148" s="29" t="n"/>
      <c r="J148" s="49" t="n"/>
      <c r="K148" s="51" t="n"/>
      <c r="L148" s="29" t="n"/>
      <c r="M148" s="29" t="n"/>
      <c r="N148" s="29" t="n"/>
      <c r="O148" s="29" t="n"/>
      <c r="P148" s="29" t="n"/>
      <c r="Q148" s="29" t="n"/>
      <c r="R148" s="50" t="n"/>
      <c r="S148" s="50" t="n"/>
      <c r="T148" s="29" t="n"/>
      <c r="U148" s="29" t="n"/>
      <c r="V148" s="29" t="n"/>
      <c r="W148" s="29" t="n"/>
    </row>
    <row r="149" ht="54" customHeight="1">
      <c r="A149" s="29" t="n"/>
      <c r="B149" s="29" t="n"/>
      <c r="C149" s="29" t="n"/>
      <c r="D149" s="29" t="n"/>
      <c r="E149" s="29" t="n"/>
      <c r="F149" s="29" t="n"/>
      <c r="G149" s="29" t="n"/>
      <c r="H149" s="29" t="n"/>
      <c r="I149" s="29" t="n"/>
      <c r="J149" s="49" t="n"/>
      <c r="K149" s="51" t="n"/>
      <c r="L149" s="29" t="n"/>
      <c r="M149" s="29" t="n"/>
      <c r="N149" s="29" t="n"/>
      <c r="O149" s="29" t="n"/>
      <c r="P149" s="29" t="n"/>
      <c r="Q149" s="29" t="n"/>
      <c r="R149" s="50" t="n"/>
      <c r="S149" s="50" t="n"/>
      <c r="T149" s="29" t="n"/>
      <c r="U149" s="29" t="n"/>
      <c r="V149" s="29" t="n"/>
      <c r="W149" s="29" t="n"/>
    </row>
    <row r="150" ht="54" customHeight="1">
      <c r="A150" s="29" t="n"/>
      <c r="B150" s="29" t="n"/>
      <c r="C150" s="29" t="n"/>
      <c r="D150" s="29" t="n"/>
      <c r="E150" s="29" t="n"/>
      <c r="F150" s="29" t="n"/>
      <c r="G150" s="29" t="n"/>
      <c r="H150" s="29" t="n"/>
      <c r="I150" s="29" t="n"/>
      <c r="J150" s="49" t="n"/>
      <c r="K150" s="51" t="n"/>
      <c r="L150" s="29" t="n"/>
      <c r="M150" s="29" t="n"/>
      <c r="N150" s="29" t="n"/>
      <c r="O150" s="29" t="n"/>
      <c r="P150" s="29" t="n"/>
      <c r="Q150" s="29" t="n"/>
      <c r="R150" s="50" t="n"/>
      <c r="S150" s="50" t="n"/>
      <c r="T150" s="29" t="n"/>
      <c r="U150" s="29" t="n"/>
      <c r="V150" s="29" t="n"/>
      <c r="W150" s="29" t="n"/>
    </row>
    <row r="151" ht="54" customHeight="1">
      <c r="A151" s="29" t="n"/>
      <c r="B151" s="29" t="n"/>
      <c r="C151" s="29" t="n"/>
      <c r="D151" s="29" t="n"/>
      <c r="E151" s="29" t="n"/>
      <c r="F151" s="29" t="n"/>
      <c r="G151" s="29" t="n"/>
      <c r="H151" s="29" t="n"/>
      <c r="I151" s="29" t="n"/>
      <c r="J151" s="49" t="n"/>
      <c r="K151" s="51" t="n"/>
      <c r="L151" s="29" t="n"/>
      <c r="M151" s="29" t="n"/>
      <c r="N151" s="29" t="n"/>
      <c r="O151" s="29" t="n"/>
      <c r="P151" s="29" t="n"/>
      <c r="Q151" s="29" t="n"/>
      <c r="R151" s="50" t="n"/>
      <c r="S151" s="50" t="n"/>
      <c r="T151" s="29" t="n"/>
      <c r="U151" s="29" t="n"/>
      <c r="V151" s="29" t="n"/>
      <c r="W151" s="29" t="n"/>
    </row>
    <row r="152" ht="54" customHeight="1">
      <c r="A152" s="29" t="n"/>
      <c r="B152" s="29" t="n"/>
      <c r="C152" s="29" t="n"/>
      <c r="D152" s="29" t="n"/>
      <c r="E152" s="29" t="n"/>
      <c r="F152" s="29" t="n"/>
      <c r="G152" s="29" t="n"/>
      <c r="H152" s="29" t="n"/>
      <c r="I152" s="29" t="n"/>
      <c r="J152" s="49" t="n"/>
      <c r="K152" s="51" t="n"/>
      <c r="L152" s="29" t="n"/>
      <c r="M152" s="29" t="n"/>
      <c r="N152" s="29" t="n"/>
      <c r="O152" s="29" t="n"/>
      <c r="P152" s="29" t="n"/>
      <c r="Q152" s="29" t="n"/>
      <c r="R152" s="50" t="n"/>
      <c r="S152" s="50" t="n"/>
      <c r="T152" s="29" t="n"/>
      <c r="U152" s="29" t="n"/>
      <c r="V152" s="29" t="n"/>
      <c r="W152" s="29" t="n"/>
    </row>
    <row r="153" ht="54" customHeight="1">
      <c r="A153" s="29" t="n"/>
      <c r="B153" s="29" t="n"/>
      <c r="C153" s="29" t="n"/>
      <c r="D153" s="29" t="n"/>
      <c r="E153" s="29" t="n"/>
      <c r="F153" s="29" t="n"/>
      <c r="G153" s="29" t="n"/>
      <c r="H153" s="29" t="n"/>
      <c r="I153" s="29" t="n"/>
      <c r="J153" s="49" t="n"/>
      <c r="K153" s="51" t="n"/>
      <c r="L153" s="29" t="n"/>
      <c r="M153" s="29" t="n"/>
      <c r="N153" s="29" t="n"/>
      <c r="O153" s="29" t="n"/>
      <c r="P153" s="29" t="n"/>
      <c r="Q153" s="29" t="n"/>
      <c r="R153" s="50" t="n"/>
      <c r="S153" s="50" t="n"/>
      <c r="T153" s="29" t="n"/>
      <c r="U153" s="29" t="n"/>
      <c r="V153" s="29" t="n"/>
      <c r="W153" s="29" t="n"/>
    </row>
    <row r="154" ht="54" customHeight="1">
      <c r="A154" s="29" t="n"/>
      <c r="B154" s="29" t="n"/>
      <c r="C154" s="29" t="n"/>
      <c r="D154" s="29" t="n"/>
      <c r="E154" s="29" t="n"/>
      <c r="F154" s="29" t="n"/>
      <c r="G154" s="29" t="n"/>
      <c r="H154" s="29" t="n"/>
      <c r="I154" s="29" t="n"/>
      <c r="J154" s="49" t="n"/>
      <c r="K154" s="51" t="n"/>
      <c r="L154" s="29" t="n"/>
      <c r="M154" s="29" t="n"/>
      <c r="N154" s="29" t="n"/>
      <c r="O154" s="29" t="n"/>
      <c r="P154" s="29" t="n"/>
      <c r="Q154" s="29" t="n"/>
      <c r="R154" s="50" t="n"/>
      <c r="S154" s="50" t="n"/>
      <c r="T154" s="29" t="n"/>
      <c r="U154" s="29" t="n"/>
      <c r="V154" s="29" t="n"/>
      <c r="W154" s="29" t="n"/>
    </row>
    <row r="155" ht="54" customHeight="1">
      <c r="A155" s="29" t="n"/>
      <c r="B155" s="29" t="n"/>
      <c r="C155" s="29" t="n"/>
      <c r="D155" s="29" t="n"/>
      <c r="E155" s="29" t="n"/>
      <c r="F155" s="29" t="n"/>
      <c r="G155" s="29" t="n"/>
      <c r="H155" s="29" t="n"/>
      <c r="I155" s="29" t="n"/>
      <c r="J155" s="49" t="n"/>
      <c r="K155" s="51" t="n"/>
      <c r="L155" s="29" t="n"/>
      <c r="M155" s="29" t="n"/>
      <c r="N155" s="29" t="n"/>
      <c r="O155" s="29" t="n"/>
      <c r="P155" s="29" t="n"/>
      <c r="Q155" s="29" t="n"/>
      <c r="R155" s="50" t="n"/>
      <c r="S155" s="50" t="n"/>
      <c r="T155" s="29" t="n"/>
      <c r="U155" s="29" t="n"/>
      <c r="V155" s="29" t="n"/>
      <c r="W155" s="29" t="n"/>
    </row>
    <row r="156" ht="54" customHeight="1">
      <c r="A156" s="29" t="n"/>
      <c r="B156" s="29" t="n"/>
      <c r="C156" s="29" t="n"/>
      <c r="D156" s="29" t="n"/>
      <c r="E156" s="29" t="n"/>
      <c r="F156" s="29" t="n"/>
      <c r="G156" s="29" t="n"/>
      <c r="H156" s="29" t="n"/>
      <c r="I156" s="29" t="n"/>
      <c r="J156" s="49" t="n"/>
      <c r="K156" s="51" t="n"/>
      <c r="L156" s="29" t="n"/>
      <c r="M156" s="29" t="n"/>
      <c r="N156" s="29" t="n"/>
      <c r="O156" s="29" t="n"/>
      <c r="P156" s="29" t="n"/>
      <c r="Q156" s="29" t="n"/>
      <c r="R156" s="50" t="n"/>
      <c r="S156" s="50" t="n"/>
      <c r="T156" s="29" t="n"/>
      <c r="U156" s="29" t="n"/>
      <c r="V156" s="29" t="n"/>
      <c r="W156" s="29" t="n"/>
    </row>
    <row r="157" ht="54" customHeight="1">
      <c r="A157" s="29" t="n"/>
      <c r="B157" s="29" t="n"/>
      <c r="C157" s="29" t="n"/>
      <c r="D157" s="29" t="n"/>
      <c r="E157" s="29" t="n"/>
      <c r="F157" s="29" t="n"/>
      <c r="G157" s="29" t="n"/>
      <c r="H157" s="29" t="n"/>
      <c r="I157" s="29" t="n"/>
      <c r="J157" s="49" t="n"/>
      <c r="K157" s="51" t="n"/>
      <c r="L157" s="29" t="n"/>
      <c r="M157" s="29" t="n"/>
      <c r="N157" s="29" t="n"/>
      <c r="O157" s="29" t="n"/>
      <c r="P157" s="29" t="n"/>
      <c r="Q157" s="29" t="n"/>
      <c r="R157" s="50" t="n"/>
      <c r="S157" s="50" t="n"/>
      <c r="T157" s="29" t="n"/>
      <c r="U157" s="29" t="n"/>
      <c r="V157" s="29" t="n"/>
      <c r="W157" s="29" t="n"/>
    </row>
    <row r="158" ht="54" customHeight="1">
      <c r="A158" s="29" t="n"/>
      <c r="B158" s="29" t="n"/>
      <c r="C158" s="29" t="n"/>
      <c r="D158" s="29" t="n"/>
      <c r="E158" s="29" t="n"/>
      <c r="F158" s="29" t="n"/>
      <c r="G158" s="29" t="n"/>
      <c r="H158" s="29" t="n"/>
      <c r="I158" s="29" t="n"/>
      <c r="J158" s="49" t="n"/>
      <c r="K158" s="51" t="n"/>
      <c r="L158" s="29" t="n"/>
      <c r="M158" s="29" t="n"/>
      <c r="N158" s="29" t="n"/>
      <c r="O158" s="29" t="n"/>
      <c r="P158" s="29" t="n"/>
      <c r="Q158" s="29" t="n"/>
      <c r="R158" s="50" t="n"/>
      <c r="S158" s="50" t="n"/>
      <c r="T158" s="29" t="n"/>
      <c r="U158" s="29" t="n"/>
      <c r="V158" s="29" t="n"/>
      <c r="W158" s="29" t="n"/>
    </row>
    <row r="159" ht="54" customHeight="1">
      <c r="A159" s="29" t="n"/>
      <c r="B159" s="29" t="n"/>
      <c r="C159" s="29" t="n"/>
      <c r="D159" s="29" t="n"/>
      <c r="E159" s="29" t="n"/>
      <c r="F159" s="29" t="n"/>
      <c r="G159" s="29" t="n"/>
      <c r="H159" s="29" t="n"/>
      <c r="I159" s="29" t="n"/>
      <c r="J159" s="49" t="n"/>
      <c r="K159" s="51" t="n"/>
      <c r="L159" s="29" t="n"/>
      <c r="M159" s="29" t="n"/>
      <c r="N159" s="29" t="n"/>
      <c r="O159" s="29" t="n"/>
      <c r="P159" s="29" t="n"/>
      <c r="Q159" s="29" t="n"/>
      <c r="R159" s="50" t="n"/>
      <c r="S159" s="50" t="n"/>
      <c r="T159" s="29" t="n"/>
      <c r="U159" s="29" t="n"/>
      <c r="V159" s="29" t="n"/>
      <c r="W159" s="29" t="n"/>
    </row>
    <row r="160" ht="54" customHeight="1">
      <c r="A160" s="29" t="n"/>
      <c r="B160" s="29" t="n"/>
      <c r="C160" s="29" t="n"/>
      <c r="D160" s="29" t="n"/>
      <c r="E160" s="29" t="n"/>
      <c r="F160" s="29" t="n"/>
      <c r="G160" s="29" t="n"/>
      <c r="H160" s="29" t="n"/>
      <c r="I160" s="29" t="n"/>
      <c r="J160" s="49" t="n"/>
      <c r="K160" s="51" t="n"/>
      <c r="L160" s="29" t="n"/>
      <c r="M160" s="29" t="n"/>
      <c r="N160" s="29" t="n"/>
      <c r="O160" s="29" t="n"/>
      <c r="P160" s="29" t="n"/>
      <c r="Q160" s="29" t="n"/>
      <c r="R160" s="50" t="n"/>
      <c r="S160" s="50" t="n"/>
      <c r="T160" s="29" t="n"/>
      <c r="U160" s="29" t="n"/>
      <c r="V160" s="29" t="n"/>
      <c r="W160" s="29" t="n"/>
    </row>
    <row r="161" ht="54" customHeight="1">
      <c r="A161" s="29" t="n"/>
      <c r="B161" s="29" t="n"/>
      <c r="C161" s="29" t="n"/>
      <c r="D161" s="29" t="n"/>
      <c r="E161" s="29" t="n"/>
      <c r="F161" s="29" t="n"/>
      <c r="G161" s="29" t="n"/>
      <c r="H161" s="29" t="n"/>
      <c r="I161" s="29" t="n"/>
      <c r="J161" s="49" t="n"/>
      <c r="K161" s="51" t="n"/>
      <c r="L161" s="29" t="n"/>
      <c r="M161" s="29" t="n"/>
      <c r="N161" s="29" t="n"/>
      <c r="O161" s="29" t="n"/>
      <c r="P161" s="29" t="n"/>
      <c r="Q161" s="29" t="n"/>
      <c r="R161" s="50" t="n"/>
      <c r="S161" s="50" t="n"/>
      <c r="T161" s="29" t="n"/>
      <c r="U161" s="29" t="n"/>
      <c r="V161" s="29" t="n"/>
      <c r="W161" s="29" t="n"/>
    </row>
    <row r="162" ht="54" customHeight="1">
      <c r="A162" s="29" t="n"/>
      <c r="B162" s="29" t="n"/>
      <c r="C162" s="29" t="n"/>
      <c r="D162" s="29" t="n"/>
      <c r="E162" s="29" t="n"/>
      <c r="F162" s="29" t="n"/>
      <c r="G162" s="29" t="n"/>
      <c r="H162" s="29" t="n"/>
      <c r="I162" s="29" t="n"/>
      <c r="J162" s="49" t="n"/>
      <c r="K162" s="51" t="n"/>
      <c r="L162" s="29" t="n"/>
      <c r="M162" s="29" t="n"/>
      <c r="N162" s="29" t="n"/>
      <c r="O162" s="29" t="n"/>
      <c r="P162" s="29" t="n"/>
      <c r="Q162" s="29" t="n"/>
      <c r="R162" s="50" t="n"/>
      <c r="S162" s="50" t="n"/>
      <c r="T162" s="29" t="n"/>
      <c r="U162" s="29" t="n"/>
      <c r="V162" s="29" t="n"/>
      <c r="W162" s="29" t="n"/>
    </row>
    <row r="163" ht="54" customHeight="1">
      <c r="A163" s="29" t="n"/>
      <c r="B163" s="29" t="n"/>
      <c r="C163" s="29" t="n"/>
      <c r="D163" s="29" t="n"/>
      <c r="E163" s="29" t="n"/>
      <c r="F163" s="29" t="n"/>
      <c r="G163" s="29" t="n"/>
      <c r="H163" s="29" t="n"/>
      <c r="I163" s="29" t="n"/>
      <c r="J163" s="49" t="n"/>
      <c r="K163" s="51" t="n"/>
      <c r="L163" s="29" t="n"/>
      <c r="M163" s="29" t="n"/>
      <c r="N163" s="29" t="n"/>
      <c r="O163" s="29" t="n"/>
      <c r="P163" s="29" t="n"/>
      <c r="Q163" s="29" t="n"/>
      <c r="R163" s="50" t="n"/>
      <c r="S163" s="50" t="n"/>
      <c r="T163" s="29" t="n"/>
      <c r="U163" s="29" t="n"/>
      <c r="V163" s="29" t="n"/>
      <c r="W163" s="29" t="n"/>
    </row>
    <row r="164" ht="54" customHeight="1">
      <c r="A164" s="29" t="n"/>
      <c r="B164" s="29" t="n"/>
      <c r="C164" s="29" t="n"/>
      <c r="D164" s="29" t="n"/>
      <c r="E164" s="29" t="n"/>
      <c r="F164" s="29" t="n"/>
      <c r="G164" s="29" t="n"/>
      <c r="H164" s="29" t="n"/>
      <c r="I164" s="29" t="n"/>
      <c r="J164" s="49" t="n"/>
      <c r="K164" s="51" t="n"/>
      <c r="L164" s="29" t="n"/>
      <c r="M164" s="29" t="n"/>
      <c r="N164" s="29" t="n"/>
      <c r="O164" s="29" t="n"/>
      <c r="P164" s="29" t="n"/>
      <c r="Q164" s="29" t="n"/>
      <c r="R164" s="50" t="n"/>
      <c r="S164" s="50" t="n"/>
      <c r="T164" s="29" t="n"/>
      <c r="U164" s="29" t="n"/>
      <c r="V164" s="29" t="n"/>
      <c r="W164" s="29" t="n"/>
    </row>
    <row r="165" ht="54" customHeight="1">
      <c r="A165" s="29" t="n"/>
      <c r="B165" s="29" t="n"/>
      <c r="C165" s="29" t="n"/>
      <c r="D165" s="29" t="n"/>
      <c r="E165" s="29" t="n"/>
      <c r="F165" s="29" t="n"/>
      <c r="G165" s="29" t="n"/>
      <c r="H165" s="29" t="n"/>
      <c r="I165" s="29" t="n"/>
      <c r="J165" s="49" t="n"/>
      <c r="K165" s="51" t="n"/>
      <c r="L165" s="29" t="n"/>
      <c r="M165" s="29" t="n"/>
      <c r="N165" s="29" t="n"/>
      <c r="O165" s="29" t="n"/>
      <c r="P165" s="29" t="n"/>
      <c r="Q165" s="29" t="n"/>
      <c r="R165" s="50" t="n"/>
      <c r="S165" s="50" t="n"/>
      <c r="T165" s="29" t="n"/>
      <c r="U165" s="29" t="n"/>
      <c r="V165" s="29" t="n"/>
      <c r="W165" s="29" t="n"/>
    </row>
    <row r="166" ht="54" customHeight="1">
      <c r="A166" s="29" t="n"/>
      <c r="B166" s="29" t="n"/>
      <c r="C166" s="29" t="n"/>
      <c r="D166" s="29" t="n"/>
      <c r="E166" s="29" t="n"/>
      <c r="F166" s="29" t="n"/>
      <c r="G166" s="29" t="n"/>
      <c r="H166" s="29" t="n"/>
      <c r="I166" s="29" t="n"/>
      <c r="J166" s="49" t="n"/>
      <c r="K166" s="51" t="n"/>
      <c r="L166" s="29" t="n"/>
      <c r="M166" s="29" t="n"/>
      <c r="N166" s="29" t="n"/>
      <c r="O166" s="29" t="n"/>
      <c r="P166" s="29" t="n"/>
      <c r="Q166" s="29" t="n"/>
      <c r="R166" s="50" t="n"/>
      <c r="S166" s="50" t="n"/>
      <c r="T166" s="29" t="n"/>
      <c r="U166" s="29" t="n"/>
      <c r="V166" s="29" t="n"/>
      <c r="W166" s="29" t="n"/>
    </row>
    <row r="167" ht="54" customHeight="1">
      <c r="A167" s="29" t="n"/>
      <c r="B167" s="29" t="n"/>
      <c r="C167" s="29" t="n"/>
      <c r="D167" s="29" t="n"/>
      <c r="E167" s="29" t="n"/>
      <c r="F167" s="29" t="n"/>
      <c r="G167" s="29" t="n"/>
      <c r="H167" s="29" t="n"/>
      <c r="I167" s="29" t="n"/>
      <c r="J167" s="49" t="n"/>
      <c r="K167" s="51" t="n"/>
      <c r="L167" s="29" t="n"/>
      <c r="M167" s="29" t="n"/>
      <c r="N167" s="29" t="n"/>
      <c r="O167" s="29" t="n"/>
      <c r="P167" s="29" t="n"/>
      <c r="Q167" s="29" t="n"/>
      <c r="R167" s="50" t="n"/>
      <c r="S167" s="50" t="n"/>
      <c r="T167" s="29" t="n"/>
      <c r="U167" s="29" t="n"/>
      <c r="V167" s="29" t="n"/>
      <c r="W167" s="29" t="n"/>
    </row>
    <row r="168" ht="54" customHeight="1">
      <c r="A168" s="29" t="n"/>
      <c r="B168" s="29" t="n"/>
      <c r="C168" s="29" t="n"/>
      <c r="D168" s="29" t="n"/>
      <c r="E168" s="29" t="n"/>
      <c r="F168" s="29" t="n"/>
      <c r="G168" s="29" t="n"/>
      <c r="H168" s="29" t="n"/>
      <c r="I168" s="29" t="n"/>
      <c r="J168" s="49" t="n"/>
      <c r="K168" s="51" t="n"/>
      <c r="L168" s="29" t="n"/>
      <c r="M168" s="29" t="n"/>
      <c r="N168" s="29" t="n"/>
      <c r="O168" s="29" t="n"/>
      <c r="P168" s="29" t="n"/>
      <c r="Q168" s="29" t="n"/>
      <c r="R168" s="50" t="n"/>
      <c r="S168" s="50" t="n"/>
      <c r="T168" s="29" t="n"/>
      <c r="U168" s="29" t="n"/>
      <c r="V168" s="29" t="n"/>
      <c r="W168" s="29" t="n"/>
    </row>
    <row r="169" ht="54" customHeight="1">
      <c r="A169" s="29" t="n"/>
      <c r="B169" s="29" t="n"/>
      <c r="C169" s="29" t="n"/>
      <c r="D169" s="29" t="n"/>
      <c r="E169" s="29" t="n"/>
      <c r="F169" s="29" t="n"/>
      <c r="G169" s="29" t="n"/>
      <c r="H169" s="29" t="n"/>
      <c r="I169" s="29" t="n"/>
      <c r="J169" s="49" t="n"/>
      <c r="K169" s="51" t="n"/>
      <c r="L169" s="29" t="n"/>
      <c r="M169" s="29" t="n"/>
      <c r="N169" s="29" t="n"/>
      <c r="O169" s="29" t="n"/>
      <c r="P169" s="29" t="n"/>
      <c r="Q169" s="29" t="n"/>
      <c r="R169" s="50" t="n"/>
      <c r="S169" s="50" t="n"/>
      <c r="T169" s="29" t="n"/>
      <c r="U169" s="29" t="n"/>
      <c r="V169" s="29" t="n"/>
      <c r="W169" s="29" t="n"/>
    </row>
    <row r="170" ht="54" customHeight="1">
      <c r="A170" s="29" t="n"/>
      <c r="B170" s="29" t="n"/>
      <c r="C170" s="29" t="n"/>
      <c r="D170" s="29" t="n"/>
      <c r="E170" s="29" t="n"/>
      <c r="F170" s="29" t="n"/>
      <c r="G170" s="29" t="n"/>
      <c r="H170" s="29" t="n"/>
      <c r="I170" s="29" t="n"/>
      <c r="J170" s="49" t="n"/>
      <c r="K170" s="51" t="n"/>
      <c r="L170" s="29" t="n"/>
      <c r="M170" s="29" t="n"/>
      <c r="N170" s="29" t="n"/>
      <c r="O170" s="29" t="n"/>
      <c r="P170" s="29" t="n"/>
      <c r="Q170" s="29" t="n"/>
      <c r="R170" s="50" t="n"/>
      <c r="S170" s="50" t="n"/>
      <c r="T170" s="29" t="n"/>
      <c r="U170" s="29" t="n"/>
      <c r="V170" s="29" t="n"/>
      <c r="W170" s="29" t="n"/>
    </row>
    <row r="171" ht="54" customHeight="1">
      <c r="A171" s="29" t="n"/>
      <c r="B171" s="29" t="n"/>
      <c r="C171" s="29" t="n"/>
      <c r="D171" s="29" t="n"/>
      <c r="E171" s="29" t="n"/>
      <c r="F171" s="29" t="n"/>
      <c r="G171" s="29" t="n"/>
      <c r="H171" s="29" t="n"/>
      <c r="I171" s="29" t="n"/>
      <c r="J171" s="49" t="n"/>
      <c r="K171" s="51" t="n"/>
      <c r="L171" s="29" t="n"/>
      <c r="M171" s="29" t="n"/>
      <c r="N171" s="29" t="n"/>
      <c r="O171" s="29" t="n"/>
      <c r="P171" s="29" t="n"/>
      <c r="Q171" s="29" t="n"/>
      <c r="R171" s="50" t="n"/>
      <c r="S171" s="50" t="n"/>
      <c r="T171" s="29" t="n"/>
      <c r="U171" s="29" t="n"/>
      <c r="V171" s="29" t="n"/>
      <c r="W171" s="29" t="n"/>
    </row>
    <row r="172" ht="54" customHeight="1">
      <c r="A172" s="29" t="n"/>
      <c r="B172" s="29" t="n"/>
      <c r="C172" s="29" t="n"/>
      <c r="D172" s="29" t="n"/>
      <c r="E172" s="29" t="n"/>
      <c r="F172" s="29" t="n"/>
      <c r="G172" s="29" t="n"/>
      <c r="H172" s="29" t="n"/>
      <c r="I172" s="29" t="n"/>
      <c r="J172" s="49" t="n"/>
      <c r="K172" s="51" t="n"/>
      <c r="L172" s="29" t="n"/>
      <c r="M172" s="29" t="n"/>
      <c r="N172" s="29" t="n"/>
      <c r="O172" s="29" t="n"/>
      <c r="P172" s="29" t="n"/>
      <c r="Q172" s="29" t="n"/>
      <c r="R172" s="50" t="n"/>
      <c r="S172" s="50" t="n"/>
      <c r="T172" s="29" t="n"/>
      <c r="U172" s="29" t="n"/>
      <c r="V172" s="29" t="n"/>
      <c r="W172" s="29" t="n"/>
    </row>
    <row r="173" ht="54" customHeight="1">
      <c r="A173" s="29" t="n"/>
      <c r="B173" s="29" t="n"/>
      <c r="C173" s="29" t="n"/>
      <c r="D173" s="29" t="n"/>
      <c r="E173" s="29" t="n"/>
      <c r="F173" s="29" t="n"/>
      <c r="G173" s="29" t="n"/>
      <c r="H173" s="29" t="n"/>
      <c r="I173" s="29" t="n"/>
      <c r="J173" s="49" t="n"/>
      <c r="K173" s="51" t="n"/>
      <c r="L173" s="29" t="n"/>
      <c r="M173" s="29" t="n"/>
      <c r="N173" s="29" t="n"/>
      <c r="O173" s="29" t="n"/>
      <c r="P173" s="29" t="n"/>
      <c r="Q173" s="29" t="n"/>
      <c r="R173" s="50" t="n"/>
      <c r="S173" s="50" t="n"/>
      <c r="T173" s="29" t="n"/>
      <c r="U173" s="29" t="n"/>
      <c r="V173" s="29" t="n"/>
      <c r="W173" s="29" t="n"/>
    </row>
    <row r="174" ht="54" customHeight="1">
      <c r="A174" s="29" t="n"/>
      <c r="B174" s="29" t="n"/>
      <c r="C174" s="29" t="n"/>
      <c r="D174" s="29" t="n"/>
      <c r="E174" s="29" t="n"/>
      <c r="F174" s="29" t="n"/>
      <c r="G174" s="29" t="n"/>
      <c r="H174" s="29" t="n"/>
      <c r="I174" s="29" t="n"/>
      <c r="J174" s="49" t="n"/>
      <c r="K174" s="51" t="n"/>
      <c r="L174" s="29" t="n"/>
      <c r="M174" s="29" t="n"/>
      <c r="N174" s="29" t="n"/>
      <c r="O174" s="29" t="n"/>
      <c r="P174" s="29" t="n"/>
      <c r="Q174" s="29" t="n"/>
      <c r="R174" s="50" t="n"/>
      <c r="S174" s="50" t="n"/>
      <c r="T174" s="29" t="n"/>
      <c r="U174" s="29" t="n"/>
      <c r="V174" s="29" t="n"/>
      <c r="W174" s="29" t="n"/>
    </row>
    <row r="175" ht="54" customHeight="1">
      <c r="A175" s="29" t="n"/>
      <c r="B175" s="29" t="n"/>
      <c r="C175" s="29" t="n"/>
      <c r="D175" s="29" t="n"/>
      <c r="E175" s="29" t="n"/>
      <c r="F175" s="29" t="n"/>
      <c r="G175" s="29" t="n"/>
      <c r="H175" s="29" t="n"/>
      <c r="I175" s="29" t="n"/>
      <c r="J175" s="49" t="n"/>
      <c r="K175" s="51" t="n"/>
      <c r="L175" s="29" t="n"/>
      <c r="M175" s="29" t="n"/>
      <c r="N175" s="29" t="n"/>
      <c r="O175" s="29" t="n"/>
      <c r="P175" s="29" t="n"/>
      <c r="Q175" s="29" t="n"/>
      <c r="R175" s="50" t="n"/>
      <c r="S175" s="50" t="n"/>
      <c r="T175" s="29" t="n"/>
      <c r="U175" s="29" t="n"/>
      <c r="V175" s="29" t="n"/>
      <c r="W175" s="29" t="n"/>
    </row>
    <row r="176" ht="54" customHeight="1">
      <c r="A176" s="29" t="n"/>
      <c r="B176" s="29" t="n"/>
      <c r="C176" s="29" t="n"/>
      <c r="D176" s="29" t="n"/>
      <c r="E176" s="29" t="n"/>
      <c r="F176" s="29" t="n"/>
      <c r="G176" s="29" t="n"/>
      <c r="H176" s="29" t="n"/>
      <c r="I176" s="29" t="n"/>
      <c r="J176" s="49" t="n"/>
      <c r="K176" s="51" t="n"/>
      <c r="L176" s="29" t="n"/>
      <c r="M176" s="29" t="n"/>
      <c r="N176" s="29" t="n"/>
      <c r="O176" s="29" t="n"/>
      <c r="P176" s="29" t="n"/>
      <c r="Q176" s="29" t="n"/>
      <c r="R176" s="50" t="n"/>
      <c r="S176" s="50" t="n"/>
      <c r="T176" s="29" t="n"/>
      <c r="U176" s="29" t="n"/>
      <c r="V176" s="29" t="n"/>
      <c r="W176" s="29" t="n"/>
    </row>
    <row r="177" ht="54" customHeight="1">
      <c r="A177" s="29" t="n"/>
      <c r="B177" s="29" t="n"/>
      <c r="C177" s="29" t="n"/>
      <c r="D177" s="29" t="n"/>
      <c r="E177" s="29" t="n"/>
      <c r="F177" s="29" t="n"/>
      <c r="G177" s="29" t="n"/>
      <c r="H177" s="29" t="n"/>
      <c r="I177" s="29" t="n"/>
      <c r="J177" s="49" t="n"/>
      <c r="K177" s="51" t="n"/>
      <c r="L177" s="29" t="n"/>
      <c r="M177" s="29" t="n"/>
      <c r="N177" s="29" t="n"/>
      <c r="O177" s="29" t="n"/>
      <c r="P177" s="29" t="n"/>
      <c r="Q177" s="29" t="n"/>
      <c r="R177" s="50" t="n"/>
      <c r="S177" s="50" t="n"/>
      <c r="T177" s="29" t="n"/>
      <c r="U177" s="29" t="n"/>
      <c r="V177" s="29" t="n"/>
      <c r="W177" s="29" t="n"/>
    </row>
    <row r="178" ht="54" customHeight="1">
      <c r="A178" s="29" t="n"/>
      <c r="B178" s="29" t="n"/>
      <c r="C178" s="29" t="n"/>
      <c r="D178" s="29" t="n"/>
      <c r="E178" s="29" t="n"/>
      <c r="F178" s="29" t="n"/>
      <c r="G178" s="29" t="n"/>
      <c r="H178" s="29" t="n"/>
      <c r="I178" s="29" t="n"/>
      <c r="J178" s="49" t="n"/>
      <c r="K178" s="51" t="n"/>
      <c r="L178" s="29" t="n"/>
      <c r="M178" s="29" t="n"/>
      <c r="N178" s="29" t="n"/>
      <c r="O178" s="29" t="n"/>
      <c r="P178" s="29" t="n"/>
      <c r="Q178" s="29" t="n"/>
      <c r="R178" s="50" t="n"/>
      <c r="S178" s="50" t="n"/>
      <c r="T178" s="29" t="n"/>
      <c r="U178" s="29" t="n"/>
      <c r="V178" s="29" t="n"/>
      <c r="W178" s="29" t="n"/>
    </row>
    <row r="179" ht="54" customHeight="1">
      <c r="A179" s="29" t="n"/>
      <c r="B179" s="29" t="n"/>
      <c r="C179" s="29" t="n"/>
      <c r="D179" s="29" t="n"/>
      <c r="E179" s="29" t="n"/>
      <c r="F179" s="29" t="n"/>
      <c r="G179" s="29" t="n"/>
      <c r="H179" s="29" t="n"/>
      <c r="I179" s="29" t="n"/>
      <c r="J179" s="49" t="n"/>
      <c r="K179" s="51" t="n"/>
      <c r="L179" s="29" t="n"/>
      <c r="M179" s="29" t="n"/>
      <c r="N179" s="29" t="n"/>
      <c r="O179" s="29" t="n"/>
      <c r="P179" s="29" t="n"/>
      <c r="Q179" s="29" t="n"/>
      <c r="R179" s="50" t="n"/>
      <c r="S179" s="50" t="n"/>
      <c r="T179" s="29" t="n"/>
      <c r="U179" s="29" t="n"/>
      <c r="V179" s="29" t="n"/>
      <c r="W179" s="29" t="n"/>
    </row>
    <row r="180" ht="54" customHeight="1">
      <c r="A180" s="29" t="n"/>
      <c r="B180" s="29" t="n"/>
      <c r="C180" s="29" t="n"/>
      <c r="D180" s="29" t="n"/>
      <c r="E180" s="29" t="n"/>
      <c r="F180" s="29" t="n"/>
      <c r="G180" s="29" t="n"/>
      <c r="H180" s="29" t="n"/>
      <c r="I180" s="29" t="n"/>
      <c r="J180" s="49" t="n"/>
      <c r="K180" s="51" t="n"/>
      <c r="L180" s="29" t="n"/>
      <c r="M180" s="29" t="n"/>
      <c r="N180" s="29" t="n"/>
      <c r="O180" s="29" t="n"/>
      <c r="P180" s="29" t="n"/>
      <c r="Q180" s="29" t="n"/>
      <c r="R180" s="50" t="n"/>
      <c r="S180" s="50" t="n"/>
      <c r="T180" s="29" t="n"/>
      <c r="U180" s="29" t="n"/>
      <c r="V180" s="29" t="n"/>
      <c r="W180" s="29" t="n"/>
    </row>
    <row r="181" ht="54" customHeight="1">
      <c r="A181" s="29" t="n"/>
      <c r="B181" s="29" t="n"/>
      <c r="C181" s="29" t="n"/>
      <c r="D181" s="29" t="n"/>
      <c r="E181" s="29" t="n"/>
      <c r="F181" s="29" t="n"/>
      <c r="G181" s="29" t="n"/>
      <c r="H181" s="29" t="n"/>
      <c r="I181" s="29" t="n"/>
      <c r="J181" s="49" t="n"/>
      <c r="K181" s="51" t="n"/>
      <c r="L181" s="29" t="n"/>
      <c r="M181" s="29" t="n"/>
      <c r="N181" s="29" t="n"/>
      <c r="O181" s="29" t="n"/>
      <c r="P181" s="29" t="n"/>
      <c r="Q181" s="29" t="n"/>
      <c r="R181" s="50" t="n"/>
      <c r="S181" s="50" t="n"/>
      <c r="T181" s="29" t="n"/>
      <c r="U181" s="29" t="n"/>
      <c r="V181" s="29" t="n"/>
      <c r="W181" s="29" t="n"/>
    </row>
    <row r="182" ht="54" customHeight="1">
      <c r="A182" s="29" t="n"/>
      <c r="B182" s="29" t="n"/>
      <c r="C182" s="29" t="n"/>
      <c r="D182" s="29" t="n"/>
      <c r="E182" s="29" t="n"/>
      <c r="F182" s="29" t="n"/>
      <c r="G182" s="29" t="n"/>
      <c r="H182" s="29" t="n"/>
      <c r="I182" s="29" t="n"/>
      <c r="J182" s="49" t="n"/>
      <c r="K182" s="51" t="n"/>
      <c r="L182" s="29" t="n"/>
      <c r="M182" s="29" t="n"/>
      <c r="N182" s="29" t="n"/>
      <c r="O182" s="29" t="n"/>
      <c r="P182" s="29" t="n"/>
      <c r="Q182" s="29" t="n"/>
      <c r="R182" s="50" t="n"/>
      <c r="S182" s="50" t="n"/>
      <c r="T182" s="29" t="n"/>
      <c r="U182" s="29" t="n"/>
      <c r="V182" s="29" t="n"/>
      <c r="W182" s="29" t="n"/>
    </row>
    <row r="183" ht="54" customHeight="1">
      <c r="A183" s="29" t="n"/>
      <c r="B183" s="29" t="n"/>
      <c r="C183" s="29" t="n"/>
      <c r="D183" s="29" t="n"/>
      <c r="E183" s="29" t="n"/>
      <c r="F183" s="29" t="n"/>
      <c r="G183" s="29" t="n"/>
      <c r="H183" s="29" t="n"/>
      <c r="I183" s="29" t="n"/>
      <c r="J183" s="49" t="n"/>
      <c r="K183" s="51" t="n"/>
      <c r="L183" s="29" t="n"/>
      <c r="M183" s="29" t="n"/>
      <c r="N183" s="29" t="n"/>
      <c r="O183" s="29" t="n"/>
      <c r="P183" s="29" t="n"/>
      <c r="Q183" s="29" t="n"/>
      <c r="R183" s="50" t="n"/>
      <c r="S183" s="50" t="n"/>
      <c r="T183" s="29" t="n"/>
      <c r="U183" s="29" t="n"/>
      <c r="V183" s="29" t="n"/>
      <c r="W183" s="29" t="n"/>
    </row>
    <row r="184" ht="54" customHeight="1">
      <c r="A184" s="29" t="n"/>
      <c r="B184" s="29" t="n"/>
      <c r="C184" s="29" t="n"/>
      <c r="D184" s="29" t="n"/>
      <c r="E184" s="29" t="n"/>
      <c r="F184" s="29" t="n"/>
      <c r="G184" s="29" t="n"/>
      <c r="H184" s="29" t="n"/>
      <c r="I184" s="29" t="n"/>
      <c r="J184" s="49" t="n"/>
      <c r="K184" s="51" t="n"/>
      <c r="L184" s="29" t="n"/>
      <c r="M184" s="29" t="n"/>
      <c r="N184" s="29" t="n"/>
      <c r="O184" s="29" t="n"/>
      <c r="P184" s="29" t="n"/>
      <c r="Q184" s="29" t="n"/>
      <c r="R184" s="50" t="n"/>
      <c r="S184" s="50" t="n"/>
      <c r="T184" s="29" t="n"/>
      <c r="U184" s="29" t="n"/>
      <c r="V184" s="29" t="n"/>
      <c r="W184" s="29" t="n"/>
    </row>
    <row r="185" ht="54" customHeight="1">
      <c r="A185" s="29" t="n"/>
      <c r="B185" s="29" t="n"/>
      <c r="C185" s="29" t="n"/>
      <c r="D185" s="29" t="n"/>
      <c r="E185" s="29" t="n"/>
      <c r="F185" s="29" t="n"/>
      <c r="G185" s="29" t="n"/>
      <c r="H185" s="29" t="n"/>
      <c r="I185" s="29" t="n"/>
      <c r="J185" s="49" t="n"/>
      <c r="K185" s="51" t="n"/>
      <c r="L185" s="29" t="n"/>
      <c r="M185" s="29" t="n"/>
      <c r="N185" s="29" t="n"/>
      <c r="O185" s="29" t="n"/>
      <c r="P185" s="29" t="n"/>
      <c r="Q185" s="29" t="n"/>
      <c r="R185" s="50" t="n"/>
      <c r="S185" s="50" t="n"/>
      <c r="T185" s="29" t="n"/>
      <c r="U185" s="29" t="n"/>
      <c r="V185" s="29" t="n"/>
      <c r="W185" s="29" t="n"/>
    </row>
    <row r="186" ht="54" customHeight="1">
      <c r="A186" s="29" t="n"/>
      <c r="B186" s="29" t="n"/>
      <c r="C186" s="29" t="n"/>
      <c r="D186" s="29" t="n"/>
      <c r="E186" s="29" t="n"/>
      <c r="F186" s="29" t="n"/>
      <c r="G186" s="29" t="n"/>
      <c r="H186" s="29" t="n"/>
      <c r="I186" s="29" t="n"/>
      <c r="J186" s="49" t="n"/>
      <c r="K186" s="51" t="n"/>
      <c r="L186" s="29" t="n"/>
      <c r="M186" s="29" t="n"/>
      <c r="N186" s="29" t="n"/>
      <c r="O186" s="29" t="n"/>
      <c r="P186" s="29" t="n"/>
      <c r="Q186" s="29" t="n"/>
      <c r="R186" s="50" t="n"/>
      <c r="S186" s="50" t="n"/>
      <c r="T186" s="29" t="n"/>
      <c r="U186" s="29" t="n"/>
      <c r="V186" s="29" t="n"/>
      <c r="W186" s="29" t="n"/>
    </row>
    <row r="187" ht="54" customHeight="1">
      <c r="A187" s="29" t="n"/>
      <c r="B187" s="29" t="n"/>
      <c r="C187" s="29" t="n"/>
      <c r="D187" s="29" t="n"/>
      <c r="E187" s="29" t="n"/>
      <c r="F187" s="29" t="n"/>
      <c r="G187" s="29" t="n"/>
      <c r="H187" s="29" t="n"/>
      <c r="I187" s="29" t="n"/>
      <c r="J187" s="49" t="n"/>
      <c r="K187" s="51" t="n"/>
      <c r="L187" s="29" t="n"/>
      <c r="M187" s="29" t="n"/>
      <c r="N187" s="29" t="n"/>
      <c r="O187" s="29" t="n"/>
      <c r="P187" s="29" t="n"/>
      <c r="Q187" s="29" t="n"/>
      <c r="R187" s="50" t="n"/>
      <c r="S187" s="50" t="n"/>
      <c r="T187" s="29" t="n"/>
      <c r="U187" s="29" t="n"/>
      <c r="V187" s="29" t="n"/>
      <c r="W187" s="29" t="n"/>
    </row>
  </sheetData>
  <mergeCells count="1">
    <mergeCell ref="A3:H3"/>
  </mergeCells>
  <conditionalFormatting sqref="A8:A187">
    <cfRule type="expression" priority="1" dxfId="1">
      <formula>AND($A8&lt;&gt;"",ISBLANK(A8))</formula>
    </cfRule>
  </conditionalFormatting>
  <conditionalFormatting sqref="B8:B187">
    <cfRule type="expression" priority="2" dxfId="1">
      <formula>AND($A8&lt;&gt;"",ISBLANK(B8))</formula>
    </cfRule>
  </conditionalFormatting>
  <conditionalFormatting sqref="C8:C187">
    <cfRule type="expression" priority="3" dxfId="1">
      <formula>AND($A8&lt;&gt;"",ISBLANK(C8))</formula>
    </cfRule>
  </conditionalFormatting>
  <conditionalFormatting sqref="D8:D187">
    <cfRule type="expression" priority="4" dxfId="1">
      <formula>AND($A8&lt;&gt;"",ISBLANK(D8))</formula>
    </cfRule>
  </conditionalFormatting>
  <conditionalFormatting sqref="F8:F187">
    <cfRule type="expression" priority="5" dxfId="1">
      <formula>AND($A8&lt;&gt;"",ISBLANK(F8))</formula>
    </cfRule>
  </conditionalFormatting>
  <conditionalFormatting sqref="I8:I187">
    <cfRule type="expression" priority="6" dxfId="1">
      <formula>AND($A8&lt;&gt;"",ISBLANK(I8))</formula>
    </cfRule>
  </conditionalFormatting>
  <conditionalFormatting sqref="J8:J187">
    <cfRule type="expression" priority="7" dxfId="1">
      <formula>AND($A8&lt;&gt;"",ISBLANK(J8))</formula>
    </cfRule>
  </conditionalFormatting>
  <conditionalFormatting sqref="K8:K187">
    <cfRule type="expression" priority="8" dxfId="1">
      <formula>AND($A8&lt;&gt;"",ISBLANK(K8))</formula>
    </cfRule>
  </conditionalFormatting>
  <conditionalFormatting sqref="L8:L187">
    <cfRule type="expression" priority="9" dxfId="1">
      <formula>AND($A8&lt;&gt;"",ISBLANK(L8))</formula>
    </cfRule>
  </conditionalFormatting>
  <conditionalFormatting sqref="M8:M187">
    <cfRule type="expression" priority="10" dxfId="1">
      <formula>AND($A8&lt;&gt;"",ISBLANK(M8))</formula>
    </cfRule>
  </conditionalFormatting>
  <conditionalFormatting sqref="N8:N187">
    <cfRule type="expression" priority="11" dxfId="1">
      <formula>AND($A8&lt;&gt;"",ISBLANK(N8))</formula>
    </cfRule>
  </conditionalFormatting>
  <conditionalFormatting sqref="O8:O187">
    <cfRule type="expression" priority="12" dxfId="1">
      <formula>AND($A8&lt;&gt;"",ISBLANK(O8))</formula>
    </cfRule>
  </conditionalFormatting>
  <conditionalFormatting sqref="P8:P187">
    <cfRule type="expression" priority="13" dxfId="1">
      <formula>AND($A8&lt;&gt;"",ISBLANK(P8))</formula>
    </cfRule>
  </conditionalFormatting>
  <conditionalFormatting sqref="Q8:Q187">
    <cfRule type="expression" priority="14" dxfId="1">
      <formula>AND($A8&lt;&gt;"",ISBLANK(Q8))</formula>
    </cfRule>
  </conditionalFormatting>
  <conditionalFormatting sqref="V8:V187">
    <cfRule type="expression" priority="15" dxfId="1">
      <formula>AND($A8&lt;&gt;"",ISBLANK(V8))</formula>
    </cfRule>
  </conditionalFormatting>
  <dataValidations count="5">
    <dataValidation sqref="L8:L187" showDropDown="0" showInputMessage="0" showErrorMessage="0" allowBlank="0" type="list">
      <formula1>"Evet,Hayır"</formula1>
    </dataValidation>
    <dataValidation sqref="M8:M187" showDropDown="0" showInputMessage="0" showErrorMessage="0" allowBlank="0" type="list">
      <formula1>"Taslak,İnceleme,Düzeltme,Onaylandı"</formula1>
    </dataValidation>
    <dataValidation sqref="N8:N187" showDropDown="0" showInputMessage="0" showErrorMessage="0" allowBlank="0" type="list">
      <formula1>"Müzeler,Sanat ve sergiler,Sahne ve müzik,Spor,Doğa ve açık hava,Çocuklarla keşif,Yeme ve içme,Tarih ve mimari"</formula1>
    </dataValidation>
    <dataValidation sqref="P8:P187" showDropDown="0" showInputMessage="0" showErrorMessage="0" allowBlank="0" type="list">
      <formula1>"Kapalı alan,Açık hava,Karma"</formula1>
    </dataValidation>
    <dataValidation sqref="V8:V187" showDropDown="0" showInputMessage="0" showErrorMessage="0" allowBlank="0" type="list">
      <formula1>"Evet,Hayır"</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R4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28" customWidth="1" min="5" max="5"/>
    <col width="58" customWidth="1" min="6" max="6"/>
    <col width="28" customWidth="1" min="7" max="7"/>
    <col width="28" customWidth="1" min="8" max="8"/>
    <col width="28" customWidth="1" min="9" max="9"/>
    <col width="20" customWidth="1" min="10" max="10"/>
    <col width="28" customWidth="1" min="11" max="11"/>
    <col width="28" customWidth="1" min="12" max="12"/>
    <col width="28" customWidth="1" min="13" max="13"/>
    <col width="28" customWidth="1" min="14" max="14"/>
    <col width="28" customWidth="1" min="15" max="15"/>
    <col width="48" customWidth="1" min="16" max="16"/>
    <col width="58" customWidth="1" min="17" max="17"/>
    <col width="28" customWidth="1" min="18" max="18"/>
  </cols>
  <sheetData>
    <row r="1" ht="30" customHeight="1">
      <c r="A1" s="2" t="n"/>
      <c r="B1" s="2" t="n"/>
      <c r="C1" s="2" t="n"/>
      <c r="D1" s="2" t="n"/>
      <c r="E1" s="2" t="n"/>
      <c r="F1" s="2" t="n"/>
      <c r="G1" s="2" t="n"/>
      <c r="H1" s="2" t="n"/>
      <c r="I1" s="2" t="n"/>
      <c r="J1" s="2" t="n"/>
      <c r="K1" s="2" t="n"/>
      <c r="L1" s="2" t="n"/>
      <c r="M1" s="2" t="n"/>
      <c r="N1" s="2" t="n"/>
      <c r="O1" s="2" t="n"/>
      <c r="P1" s="2" t="n"/>
      <c r="Q1" s="2" t="n"/>
      <c r="R1" s="2" t="n"/>
    </row>
    <row r="2" ht="30" customHeight="1">
      <c r="A2" s="19" t="inlineStr">
        <is>
          <t>Corteqs · Mahalle ve yerel bölge</t>
        </is>
      </c>
      <c r="B2" s="2" t="n"/>
      <c r="C2" s="2" t="n"/>
      <c r="D2" s="2" t="n"/>
      <c r="E2" s="2" t="n"/>
      <c r="F2" s="2" t="n"/>
      <c r="G2" s="2" t="n"/>
      <c r="H2" s="2" t="n"/>
      <c r="I2" s="2" t="n"/>
      <c r="J2" s="2" t="n"/>
      <c r="K2" s="2" t="n"/>
      <c r="L2" s="2" t="n"/>
      <c r="M2" s="2" t="n"/>
      <c r="N2" s="2" t="n"/>
      <c r="O2" s="2" t="n"/>
      <c r="P2" s="2" t="n"/>
      <c r="Q2" s="2" t="n"/>
      <c r="R2" s="2" t="n"/>
    </row>
    <row r="3" ht="36" customHeight="1">
      <c r="A3" s="20" t="inlineStr">
        <is>
          <t>Türkçe başlığı okuyun; veriyi 8. satırdan yazın. 7. satırdaki alan adını ve sayfa adını değiştirmeyin.</t>
        </is>
      </c>
      <c r="I3" s="2" t="n"/>
      <c r="J3" s="2" t="n"/>
      <c r="K3" s="2" t="n"/>
      <c r="L3" s="2" t="n"/>
      <c r="M3" s="2" t="n"/>
      <c r="N3" s="2" t="n"/>
      <c r="O3" s="2" t="n"/>
      <c r="P3" s="2" t="n"/>
      <c r="Q3" s="2" t="n"/>
      <c r="R3" s="2" t="n"/>
    </row>
    <row r="4" ht="30" customHeight="1">
      <c r="A4" s="21" t="n"/>
      <c r="B4" s="21" t="n"/>
      <c r="C4" s="21" t="n"/>
      <c r="D4" s="21" t="n"/>
      <c r="E4" s="21" t="n"/>
      <c r="F4" s="21" t="n"/>
      <c r="G4" s="21" t="n"/>
      <c r="H4" s="21" t="n"/>
      <c r="I4" s="21" t="n"/>
      <c r="J4" s="21" t="n"/>
      <c r="K4" s="21" t="n"/>
      <c r="L4" s="21" t="n"/>
      <c r="M4" s="21" t="n"/>
      <c r="N4" s="21" t="n"/>
      <c r="O4" s="21" t="n"/>
      <c r="P4" s="21" t="n"/>
      <c r="Q4" s="21" t="n"/>
      <c r="R4" s="21" t="n"/>
    </row>
    <row r="5" ht="26" customHeight="1">
      <c r="A5" s="22" t="inlineStr">
        <is>
          <t>Zorunlu</t>
        </is>
      </c>
      <c r="B5" s="22" t="inlineStr">
        <is>
          <t>Zorunlu</t>
        </is>
      </c>
      <c r="C5" s="22" t="inlineStr">
        <is>
          <t>Zorunlu</t>
        </is>
      </c>
      <c r="D5" s="22" t="inlineStr">
        <is>
          <t>Zorunlu</t>
        </is>
      </c>
      <c r="E5" s="22" t="inlineStr">
        <is>
          <t>İsteğe bağlı</t>
        </is>
      </c>
      <c r="F5" s="22" t="inlineStr">
        <is>
          <t>Zorunlu</t>
        </is>
      </c>
      <c r="G5" s="22" t="inlineStr">
        <is>
          <t>İsteğe bağlı</t>
        </is>
      </c>
      <c r="H5" s="22" t="inlineStr">
        <is>
          <t>İsteğe bağlı · ; ile</t>
        </is>
      </c>
      <c r="I5" s="22" t="inlineStr">
        <is>
          <t>Zorunlu · ; ile</t>
        </is>
      </c>
      <c r="J5" s="22" t="inlineStr">
        <is>
          <t>Zorunlu · tarih</t>
        </is>
      </c>
      <c r="K5" s="22" t="inlineStr">
        <is>
          <t>Zorunlu</t>
        </is>
      </c>
      <c r="L5" s="22" t="inlineStr">
        <is>
          <t>Zorunlu</t>
        </is>
      </c>
      <c r="M5" s="22" t="inlineStr">
        <is>
          <t>Zorunlu</t>
        </is>
      </c>
      <c r="N5" s="22" t="inlineStr">
        <is>
          <t>Zorunlu</t>
        </is>
      </c>
      <c r="O5" s="22" t="inlineStr">
        <is>
          <t>İsteğe bağlı · alt satır</t>
        </is>
      </c>
      <c r="P5" s="22" t="inlineStr">
        <is>
          <t>İsteğe bağlı · JSON</t>
        </is>
      </c>
      <c r="Q5" s="22" t="inlineStr">
        <is>
          <t>İsteğe bağlı</t>
        </is>
      </c>
      <c r="R5" s="22" t="inlineStr">
        <is>
          <t>İsteğe bağlı</t>
        </is>
      </c>
    </row>
    <row r="6" ht="44" customHeight="1">
      <c r="A6" s="25" t="inlineStr">
        <is>
          <t>İçerik kimliği</t>
        </is>
      </c>
      <c r="B6" s="25" t="inlineStr">
        <is>
          <t>Şehir kimliği</t>
        </is>
      </c>
      <c r="C6" s="25" t="inlineStr">
        <is>
          <t>Adres adı</t>
        </is>
      </c>
      <c r="D6" s="25" t="inlineStr">
        <is>
          <t>Başlık</t>
        </is>
      </c>
      <c r="E6" s="25" t="inlineStr">
        <is>
          <t>Alt başlık</t>
        </is>
      </c>
      <c r="F6" s="25" t="inlineStr">
        <is>
          <t>Türkçe kısa yanıt / özet</t>
        </is>
      </c>
      <c r="G6" s="25" t="inlineStr">
        <is>
          <t>Arama sözcükleri</t>
        </is>
      </c>
      <c r="H6" s="25" t="inlineStr">
        <is>
          <t>Yaşam aşamaları</t>
        </is>
      </c>
      <c r="I6" s="25" t="inlineStr">
        <is>
          <t>Kaynak kimlikleri</t>
        </is>
      </c>
      <c r="J6" s="25" t="inlineStr">
        <is>
          <t>İçerik kontrol tarihi</t>
        </is>
      </c>
      <c r="K6" s="25" t="inlineStr">
        <is>
          <t>Sıra</t>
        </is>
      </c>
      <c r="L6" s="25" t="inlineStr">
        <is>
          <t>Öne çıkar</t>
        </is>
      </c>
      <c r="M6" s="25" t="inlineStr">
        <is>
          <t>Editör durumu</t>
        </is>
      </c>
      <c r="N6" s="25" t="inlineStr">
        <is>
          <t>Yer / konum</t>
        </is>
      </c>
      <c r="O6" s="25" t="inlineStr">
        <is>
          <t>Öne çıkan özellikler</t>
        </is>
      </c>
      <c r="P6" s="25" t="inlineStr">
        <is>
          <t>Karşılaştırma alanları (JSON)</t>
        </is>
      </c>
      <c r="Q6" s="25" t="inlineStr">
        <is>
          <t>Yaşam ve ev seçimi notu</t>
        </is>
      </c>
      <c r="R6" s="25" t="inlineStr">
        <is>
          <t>Medya eşleştirme anahtarı</t>
        </is>
      </c>
    </row>
    <row r="7" ht="32" customHeight="1">
      <c r="A7" s="28" t="inlineStr">
        <is>
          <t>entry_id</t>
        </is>
      </c>
      <c r="B7" s="28" t="inlineStr">
        <is>
          <t>city_id</t>
        </is>
      </c>
      <c r="C7" s="28" t="inlineStr">
        <is>
          <t>slug</t>
        </is>
      </c>
      <c r="D7" s="28" t="inlineStr">
        <is>
          <t>title</t>
        </is>
      </c>
      <c r="E7" s="28" t="inlineStr">
        <is>
          <t>subtitle</t>
        </is>
      </c>
      <c r="F7" s="28" t="inlineStr">
        <is>
          <t>summary</t>
        </is>
      </c>
      <c r="G7" s="28" t="inlineStr">
        <is>
          <t>keywords</t>
        </is>
      </c>
      <c r="H7" s="28" t="inlineStr">
        <is>
          <t>stages</t>
        </is>
      </c>
      <c r="I7" s="28" t="inlineStr">
        <is>
          <t>source_ids</t>
        </is>
      </c>
      <c r="J7" s="28" t="inlineStr">
        <is>
          <t>reviewed_on</t>
        </is>
      </c>
      <c r="K7" s="28" t="inlineStr">
        <is>
          <t>order</t>
        </is>
      </c>
      <c r="L7" s="28" t="inlineStr">
        <is>
          <t>featured</t>
        </is>
      </c>
      <c r="M7" s="28" t="inlineStr">
        <is>
          <t>editorial_status</t>
        </is>
      </c>
      <c r="N7" s="28" t="inlineStr">
        <is>
          <t>location</t>
        </is>
      </c>
      <c r="O7" s="28" t="inlineStr">
        <is>
          <t>tags</t>
        </is>
      </c>
      <c r="P7" s="28" t="inlineStr">
        <is>
          <t>compare_json</t>
        </is>
      </c>
      <c r="Q7" s="28" t="inlineStr">
        <is>
          <t>note</t>
        </is>
      </c>
      <c r="R7" s="28" t="inlineStr">
        <is>
          <t>media_key</t>
        </is>
      </c>
    </row>
    <row r="8" ht="54" customHeight="1">
      <c r="A8" s="29" t="inlineStr">
        <is>
          <t>sevilla:santa-cruz</t>
        </is>
      </c>
      <c r="B8" s="29" t="inlineStr">
        <is>
          <t>sevilla</t>
        </is>
      </c>
      <c r="C8" s="29" t="inlineStr">
        <is>
          <t>santa-cruz</t>
        </is>
      </c>
      <c r="D8" s="29" t="inlineStr">
        <is>
          <t>Santa Cruz</t>
        </is>
      </c>
      <c r="E8" s="29" t="inlineStr">
        <is>
          <t>Eski Yahudi mahallesi: dar sokaklar, çiçekli avlular, Katedral ve Real Alcázar çevresi</t>
        </is>
      </c>
      <c r="F8" s="29" t="inlineStr">
        <is>
          <t>Santa Cruz, Orta Çağ'da Sevilla'nın Yahudi mahallesiydi (judería). Dar sokaklar, beyaz evler ve portakal ağaçlı meydanlarla kentin en çok ziyaret edilen semtlerinden biri. Archivo de Indias, Real Alcázar, Hospital de los Venerables ve Katedral semtin görülecekler listesinde. Turist yoğunluğu yüksek olduğu için turizm sektörü, belediyenin turizm birimi ve semt sakinleri arasında bir iyi uygulamalar anlaşması var; anlaşma, grupların küçük tutulması ve kapı önlerinin açık bırakılması gibi önerileri içeriyor.</t>
        </is>
      </c>
      <c r="G8" s="29" t="inlineStr">
        <is>
          <t>Santa Cruz, Sevilla semtleri, judería, Yahudi mahallesi, Real Alcázar, Callejón del Agua, avlular</t>
        </is>
      </c>
      <c r="H8" s="29" t="inlineStr">
        <is>
          <t>planning;new</t>
        </is>
      </c>
      <c r="I8" s="29" t="inlineStr">
        <is>
          <t>sevilla:kaynak:292;sevilla:kaynak:293</t>
        </is>
      </c>
      <c r="J8" s="49" t="n">
        <v>46320</v>
      </c>
      <c r="K8" s="51" t="n">
        <v>1</v>
      </c>
      <c r="L8" s="29" t="inlineStr">
        <is>
          <t>Evet</t>
        </is>
      </c>
      <c r="M8" s="29" t="inlineStr">
        <is>
          <t>Taslak</t>
        </is>
      </c>
      <c r="N8" s="29" t="inlineStr">
        <is>
          <t>Eski Yahudi mahallesi; Archivo de Indias, Jardines de Murillo, Real Alcázar, Hospital de los Venerables ve Katedral çevresi</t>
        </is>
      </c>
      <c r="O8" s="29" t="inlineStr">
        <is>
          <t>Eski Yahudi mahallesi
Dar sokaklar
Çiçekli avlular
Yoğun turizm
Yürüyerek keşif</t>
        </is>
      </c>
      <c r="P8" s="29" t="inlineStr">
        <is>
          <t>{"Konum": "Eski Yahudi mahallesi; Archivo de Indias, Murillo Bahçeleri, Real Alcázar, Hospital de los Venerables ve Katedral semtin görülecek yerleri arasında sayılıyor.", "Ulaşım": "Sokaklar dar ve turist yoğunluğu yüksek. Turist gruplarının küçük tutulması, kapı önlerinin ve yayaların yolunun açık bırakılması isteniyor.", "Karakter": "Dolambaçlı sokaklar, gizli avlular ve sakin bir hava; aynı zamanda yüksek turist yoğunluğu.", "Öne çıkanlar": "Callejón del Agua, Plaza de Doña Elvira ve Plaza de los Venerables gibi sakin köşeler; avlulardaki çiçekler, çeşmeler ve eski retablolar."}</t>
        </is>
      </c>
      <c r="Q8" s="29" t="inlineStr">
        <is>
          <t>Grupla geziyorsan megafon kullanımı belediye yönetmeliğine göre yasak ve cezalandırılabilir; anlatım için kulaklıklı rehber sistemi öneriliyor.</t>
        </is>
      </c>
      <c r="R8" s="29" t="n"/>
    </row>
    <row r="9" ht="54" customHeight="1">
      <c r="A9" s="29" t="inlineStr">
        <is>
          <t>sevilla:el-arenal</t>
        </is>
      </c>
      <c r="B9" s="29" t="inlineStr">
        <is>
          <t>sevilla</t>
        </is>
      </c>
      <c r="C9" s="29" t="inlineStr">
        <is>
          <t>el-arenal</t>
        </is>
      </c>
      <c r="D9" s="29" t="inlineStr">
        <is>
          <t>El Arenal</t>
        </is>
      </c>
      <c r="E9" s="29" t="inlineStr">
        <is>
          <t>Guadalquivir kıyısında geleneksel semt: Torre del Oro, Maestranza ve tapas barları</t>
        </is>
      </c>
      <c r="F9" s="29" t="inlineStr">
        <is>
          <t>El Arenal, Orta Çağ'da Sevilla'nın ana limanıydı. Bugün de nehir kıyısında geleneksel, hareketli ve karakterli bir semt. Torre del Oro, Torre de la Plata ve eski surların izleri, Murillo ve Valdés Leal eserlerini barındıran Hospital de la Caridad, Plaza de Toros de la Maestranza ve Teatro de la Maestranza semtin simgeleri. Dar sokaklarında tarihî tavernalar ve tapas barları var.</t>
        </is>
      </c>
      <c r="G9" s="29" t="inlineStr">
        <is>
          <t>El Arenal, Sevilla semtleri, Torre del Oro, Maestranza, Hospital de la Caridad, tapas, Plaza Nueva</t>
        </is>
      </c>
      <c r="H9" s="29" t="inlineStr">
        <is>
          <t>planning;new;settled</t>
        </is>
      </c>
      <c r="I9" s="29" t="inlineStr">
        <is>
          <t>sevilla:kaynak:294;sevilla:kaynak:295</t>
        </is>
      </c>
      <c r="J9" s="49" t="n">
        <v>46320</v>
      </c>
      <c r="K9" s="51" t="n">
        <v>2</v>
      </c>
      <c r="L9" s="29" t="inlineStr">
        <is>
          <t>Hayır</t>
        </is>
      </c>
      <c r="M9" s="29" t="inlineStr">
        <is>
          <t>Taslak</t>
        </is>
      </c>
      <c r="N9" s="29" t="inlineStr">
        <is>
          <t>Guadalquivir kıyısı; Torre del Oro ve Torre de la Plata çevresi; Plaza Nueva meydanı da Arenal semtinin içinde</t>
        </is>
      </c>
      <c r="O9" s="29" t="inlineStr">
        <is>
          <t>Eski liman semti
Torre del Oro
Boğa güreşi ve opera
Tapas ve taverna
Nehir kıyısı</t>
        </is>
      </c>
      <c r="P9" s="29" t="inlineStr">
        <is>
          <t>{"Konum": "Guadalquivir kıyısında, Torre del Oro ve Torre de la Plata çevresinde; Plaza Nueva meydanı Arenal semtinin içinde yer alıyor.", "Ulaşım": "Plaza Nueva'da \"Metro-centro\" tramvay hattının uç duraklarından biri bulunuyor.", "Karakter": "Sevilla'nın en geleneksel, hareketli ve karakterli semtlerinden biri; tarih, sanat ve semt yaşamı iç içe.", "Öne çıkanlar": "Torre del Oro, Hospital de la Caridad, Plaza de Toros ve Teatro de la Maestranza; Plaza del Cabildo'da pazar günleri kurulan geleneksel pul ve koleksiyon pazarı."}</t>
        </is>
      </c>
      <c r="Q9" s="29" t="inlineStr">
        <is>
          <t>Plaza del Cabildo'da pazar günleri pul ve koleksiyon eşyalarının bulunduğu geleneksel bir pazar kuruluyor.</t>
        </is>
      </c>
      <c r="R9" s="29" t="n"/>
    </row>
    <row r="10" ht="54" customHeight="1">
      <c r="A10" s="29" t="inlineStr">
        <is>
          <t>sevilla:triana</t>
        </is>
      </c>
      <c r="B10" s="29" t="inlineStr">
        <is>
          <t>sevilla</t>
        </is>
      </c>
      <c r="C10" s="29" t="inlineStr">
        <is>
          <t>triana</t>
        </is>
      </c>
      <c r="D10" s="29" t="inlineStr">
        <is>
          <t>Triana</t>
        </is>
      </c>
      <c r="E10" s="29" t="inlineStr">
        <is>
          <t>Nehrin öbür yakasında flamenko, seramik ve denizcilik geleneğiyle kendine özgü semt</t>
        </is>
      </c>
      <c r="F10" s="29" t="inlineStr">
        <is>
          <t>Triana, Guadalquivir'in sağ yakasında, surların dışında doğmuş eski bir arrabal. Çömlekçilerin, boğa güreşçilerinin, denizcilerin ve flamenko sanatçılarının beşiği sayılır. Calle Betis'ten nehir, Katedral ve Torre del Oro manzarası görülür; seramik atölyeleri, bar ve terasları, canlı flamenko sunan peña ve tablaoları var. Bugün bile birçok Trianalı köprüyü geçerken "Sevilla'ya gidiyorum" der.</t>
        </is>
      </c>
      <c r="G10" s="29" t="inlineStr">
        <is>
          <t>Triana, Sevilla semtleri, flamenko, seramik, Calle Betis, Puente de Triana, Castillo de San Jorge</t>
        </is>
      </c>
      <c r="H10" s="29" t="inlineStr">
        <is>
          <t>planning;new;settled</t>
        </is>
      </c>
      <c r="I10" s="29" t="inlineStr">
        <is>
          <t>sevilla:kaynak:296;sevilla:kaynak:297</t>
        </is>
      </c>
      <c r="J10" s="49" t="n">
        <v>46320</v>
      </c>
      <c r="K10" s="51" t="n">
        <v>3</v>
      </c>
      <c r="L10" s="29" t="inlineStr">
        <is>
          <t>Evet</t>
        </is>
      </c>
      <c r="M10" s="29" t="inlineStr">
        <is>
          <t>Taslak</t>
        </is>
      </c>
      <c r="N10" s="29" t="inlineStr">
        <is>
          <t>Guadalquivir'in sağ yakası; Puente de Triana, Calle Betis ve Plaza del Altozano çevresi</t>
        </is>
      </c>
      <c r="O10" s="29" t="inlineStr">
        <is>
          <t>Flamenko
Seramik
Denizcilik geleneği
Nehir kıyısı
Bar ve terasler</t>
        </is>
      </c>
      <c r="P10" s="29" t="inlineStr">
        <is>
          <t>{"Konum": "Guadalquivir'in sağ yakasında, kentin geri kalanından nehirle ayrılan bir semt.", "Ulaşım": "Puente de Triana semti kent merkezine bağlıyor; nehir boyunca Calle Betis uzanıyor.", "Karakter": "Güçlü kimlikli, \"bağımsız cumhuriyet\" havasında bir semt; sanatçı, çömlekçi ve denizci geleneği yaşıyor.", "Öne çıkanlar": "Calle Betis, Castillo de San Jorge kalıntıları (Triana Pazarı'nın altında), Centro Cerámica Triana, Parroquia de Santa Ana."}</t>
        </is>
      </c>
      <c r="Q10" s="29" t="inlineStr">
        <is>
          <t>Kutsal Hafta'da semtten altı kardeşlik (hermandad) geçit yapıyor.</t>
        </is>
      </c>
      <c r="R10" s="29" t="n"/>
    </row>
    <row r="11" ht="54" customHeight="1">
      <c r="A11" s="29" t="inlineStr">
        <is>
          <t>sevilla:los-remedios</t>
        </is>
      </c>
      <c r="B11" s="29" t="inlineStr">
        <is>
          <t>sevilla</t>
        </is>
      </c>
      <c r="C11" s="29" t="inlineStr">
        <is>
          <t>los-remedios</t>
        </is>
      </c>
      <c r="D11" s="29" t="inlineStr">
        <is>
          <t>Los Remedios</t>
        </is>
      </c>
      <c r="E11" s="29" t="inlineStr">
        <is>
          <t>Nehrin öbür yakasında Feria de Abril alanı, yayalaştırılmış Calle Asunción ve yerel yaşam</t>
        </is>
      </c>
      <c r="F11" s="29" t="inlineStr">
        <is>
          <t>Los Remedios, Guadalquivir'in öbür yakasında 20. yüzyıldaki kent genişlemesiyle doğan bir semt. Nisan Fuarı'nın (Feria de Abril) kurulduğu Real de la Feria buradadır. Calle Asunción semtin yayalaştırılmış, ağaçlı ve geniş ana alışveriş ekseni; aileler ve semt sakinleri çok kullanıyor. Turistin az uğradığı, yerel yaşamın sürdüğü bir bölge.</t>
        </is>
      </c>
      <c r="G11" s="29" t="inlineStr">
        <is>
          <t>Los Remedios, Sevilla semtleri, Calle Asunción, Feria de Abril, Real de la Feria, alışveriş</t>
        </is>
      </c>
      <c r="H11" s="29" t="inlineStr">
        <is>
          <t>planning;new;settled</t>
        </is>
      </c>
      <c r="I11" s="29" t="inlineStr">
        <is>
          <t>sevilla:kaynak:296;sevilla:kaynak:298</t>
        </is>
      </c>
      <c r="J11" s="49" t="n">
        <v>46320</v>
      </c>
      <c r="K11" s="51" t="n">
        <v>4</v>
      </c>
      <c r="L11" s="29" t="inlineStr">
        <is>
          <t>Hayır</t>
        </is>
      </c>
      <c r="M11" s="29" t="inlineStr">
        <is>
          <t>Taslak</t>
        </is>
      </c>
      <c r="N11" s="29" t="inlineStr">
        <is>
          <t>Guadalquivir'in öbür yakasında; Parque de María Luisa, Plaza de España, Triana ve merkeze birkaç dakika</t>
        </is>
      </c>
      <c r="O11" s="29" t="inlineStr">
        <is>
          <t>Feria de Abril alanı
Yayalaştırılmış alışveriş caddesi
Aileler ve sakinler
Turistin az olduğu bölge</t>
        </is>
      </c>
      <c r="P11" s="29" t="inlineStr">
        <is>
          <t>{"Konum": "Guadalquivir'in öbür yakasında; Parque de María Luisa, Plaza de España, Triana ve merkeze birkaç dakika uzaklıkta.", "Ulaşım": "Calle Asunción metro ve otobüsle bağlantılı; Feria de Abril sırasında Real'e girişin ana yolu.", "Karakter": "Turistin pek uğramadığı, yerel ve gündelik yaşamın sürdüğü, sakin ve ticari olarak canlı bir semt.", "Öne çıkanlar": "Real de la Feria (Feria de Abril alanı) ve Calle Asunción: mağazalar, pastaneler, kafeler, dondurmacılar."}</t>
        </is>
      </c>
      <c r="Q11" s="29" t="inlineStr">
        <is>
          <t>Feria de Abril sırasında Calle Asunción, Real'e girişin ana yolu oluyor ve kalabalıklaşıyor.</t>
        </is>
      </c>
      <c r="R11" s="29" t="n"/>
    </row>
    <row r="12" ht="54" customHeight="1">
      <c r="A12" s="29" t="inlineStr">
        <is>
          <t>sevilla:la-macarena</t>
        </is>
      </c>
      <c r="B12" s="29" t="inlineStr">
        <is>
          <t>sevilla</t>
        </is>
      </c>
      <c r="C12" s="29" t="inlineStr">
        <is>
          <t>la-macarena</t>
        </is>
      </c>
      <c r="D12" s="29" t="inlineStr">
        <is>
          <t>La Macarena</t>
        </is>
      </c>
      <c r="E12" s="29" t="inlineStr">
        <is>
          <t>Kuzey surlarının dibinde halk semti: Basílica de la Macarena, Almohad surları ve San Luis Caddesi</t>
        </is>
      </c>
      <c r="F12" s="29" t="inlineStr">
        <is>
          <t>La Macarena, halk karakterli bir semt; adının Arapça Bab-al-Makrin'den, yani surların eski kuzey kapısından geliyor olabileceği söyleniyor. Semtin ruhu, Esperanza Macarena Bakiresi'nin saygı gördüğü Basílica; her yıl Kutsal Cuma'ya sabaha karşı (madrugada del Viernes Santo) binlerce kişi Macarena Bakiresi'ne eşlik ediyor. 12. yüzyıldan kalma Almohad surlarının en iyi korunmuş bölümlerinden biri ve Puerta de Córdoba buradadır. San Luis Caddesi'nde barok kiliseler, renkli cepheler, zanaat atölyeleri ve galeriler var.</t>
        </is>
      </c>
      <c r="G12" s="29" t="inlineStr">
        <is>
          <t>La Macarena, Sevilla semtleri, Basílica de la Macarena, Almohad surları, Puerta de Córdoba, calle San Luis</t>
        </is>
      </c>
      <c r="H12" s="29" t="inlineStr">
        <is>
          <t>planning;new;settled</t>
        </is>
      </c>
      <c r="I12" s="29" t="inlineStr">
        <is>
          <t>sevilla:kaynak:299;sevilla:kaynak:300</t>
        </is>
      </c>
      <c r="J12" s="49" t="n">
        <v>46320</v>
      </c>
      <c r="K12" s="51" t="n">
        <v>5</v>
      </c>
      <c r="L12" s="29" t="inlineStr">
        <is>
          <t>Hayır</t>
        </is>
      </c>
      <c r="M12" s="29" t="inlineStr">
        <is>
          <t>Taslak</t>
        </is>
      </c>
      <c r="N12" s="29" t="inlineStr">
        <is>
          <t>Puerta de la Macarena ve Puerta de Córdoba çevresi; Basílica adresi Plaza de la Esperanza Macarena 1</t>
        </is>
      </c>
      <c r="O12" s="29" t="inlineStr">
        <is>
          <t>Halk semti
Basílica de la Macarena
Almohad surları
Barok kiliseler
Zanaat atölyeleri</t>
        </is>
      </c>
      <c r="P12" s="29" t="inlineStr">
        <is>
          <t>{"Konum": "Puerta de la Macarena ve Puerta de Córdoba çevresi; Basílica adresi: Pl. de la Esperanza Macarena, 1, 41002 Sevilla.", "Ulaşım": "Basílica ve surların bulunduğu bölgeye hem yürüyerek hem toplu taşımayla kolayca ulaşılıyor.", "Karakter": "Alçakgönüllü kökenli, yerel ve halk karakterli; dinî ve mahalle kimliği güçlü.", "Öne çıkanlar": "Basílica ve müzesi, Almohad surları, Puerta de Córdoba, San Luis de los Franceses, Mercado de la Feria ve perşembe pazarı."}</t>
        </is>
      </c>
      <c r="Q12" s="29" t="inlineStr">
        <is>
          <t>Basílica pazartesiden pazara 09:00-14:00 ve 17:00-21:00 saatleri arasında açık.</t>
        </is>
      </c>
      <c r="R12" s="29" t="n"/>
    </row>
    <row r="13" ht="54" customHeight="1">
      <c r="A13" s="29" t="inlineStr">
        <is>
          <t>sevilla:alameda-de-hercules-cevresi</t>
        </is>
      </c>
      <c r="B13" s="29" t="inlineStr">
        <is>
          <t>sevilla</t>
        </is>
      </c>
      <c r="C13" s="29" t="inlineStr">
        <is>
          <t>alameda-de-hercules-cevresi</t>
        </is>
      </c>
      <c r="D13" s="29" t="inlineStr">
        <is>
          <t>Alameda de Hércules çevresi</t>
        </is>
      </c>
      <c r="E13" s="29" t="inlineStr">
        <is>
          <t>Merkez-kuzeyde Avrupa'nın en eski kamusal alameda'sı; terasları, müzik mekânları ve sokak sanatıyla alternatif semt</t>
        </is>
      </c>
      <c r="F13" s="29" t="inlineStr">
        <is>
          <t>Alameda de Hércules, kentin merkez-kuzeyinde, 1574'te açılan ve Avrupa'nın en eski kamusal alameda'sı sayılan ağaçlı geniş bir alan. Güney ucundaki iki Roma sütununun tepesinde Hercules ve Julius Caesar heykelleri durur. 2008'de yenilenen alan bugün Sevilla'nın alternatif yüzü: teraslar, müzik mekânları, kitapçılar, bağımsız tiyatrolar ve sokak sanatı.</t>
        </is>
      </c>
      <c r="G13" s="29" t="inlineStr">
        <is>
          <t>Alameda de Hércules, Sevilla semtleri, gece hayatı, alternatif Sevilla, terasler, sokak sanatı</t>
        </is>
      </c>
      <c r="H13" s="29" t="inlineStr">
        <is>
          <t>planning;new;settled</t>
        </is>
      </c>
      <c r="I13" s="29" t="inlineStr">
        <is>
          <t>sevilla:kaynak:301;sevilla:kaynak:216</t>
        </is>
      </c>
      <c r="J13" s="49" t="n">
        <v>46320</v>
      </c>
      <c r="K13" s="51" t="n">
        <v>6</v>
      </c>
      <c r="L13" s="29" t="inlineStr">
        <is>
          <t>Hayır</t>
        </is>
      </c>
      <c r="M13" s="29" t="inlineStr">
        <is>
          <t>Taslak</t>
        </is>
      </c>
      <c r="N13" s="29" t="inlineStr">
        <is>
          <t>Merkez-kuzeyde, Alameda de Hércules s/n, 41002; Espacio Santa Clara ve Palacio de los Marqueses de la Algaba çevresinde</t>
        </is>
      </c>
      <c r="O13" s="29" t="inlineStr">
        <is>
          <t>Alternatif Sevilla
Teraslar ve müzik mekânları
Sokak sanatı
Her yaştan kullanıcı</t>
        </is>
      </c>
      <c r="P13" s="29" t="inlineStr">
        <is>
          <t>{"Konum": "Kentin merkez-kuzeyinde; adres: Alameda de Hércules, s/n, 41002 Sevilla.", "Ulaşım": "Çevresinde Espacio Santa Clara ve Palacio de los Marqueses de la Algaba gibi tarihî yapılar ve kültür merkezleri bulunuyor.", "Karakter": "Sevilla'nın en canlı ve alternatif bölgelerinden; gün batımında ve akşam saatlerinde hareketleniyor.", "Öne çıkanlar": "Hercules ve Julius Caesar sütunları, yüzyıllık kavaklar, çeşmeler, kitapçılar, bağımsız tiyatrolar, sokak sanatı."}</t>
        </is>
      </c>
      <c r="Q13" s="29" t="inlineStr">
        <is>
          <t>Gün ortasından sonra ya da gün batımında gitmek öneriliyor: ortam o saatlerde canlanıyor ve ışık güzel oluyor.</t>
        </is>
      </c>
      <c r="R13" s="29" t="n"/>
    </row>
    <row r="14" ht="54" customHeight="1">
      <c r="A14" s="29" t="inlineStr">
        <is>
          <t>sevilla:nervion</t>
        </is>
      </c>
      <c r="B14" s="29" t="inlineStr">
        <is>
          <t>sevilla</t>
        </is>
      </c>
      <c r="C14" s="29" t="inlineStr">
        <is>
          <t>nervion</t>
        </is>
      </c>
      <c r="D14" s="29" t="inlineStr">
        <is>
          <t>Nervión</t>
        </is>
      </c>
      <c r="E14" s="29" t="inlineStr">
        <is>
          <t>Tarihî merkezin doğusunda modern, canlı semt: Sevilla FC stadı, alışveriş ve Metro bağlantısı</t>
        </is>
      </c>
      <c r="F14" s="29" t="inlineStr">
        <is>
          <t>Nervión, tarihî merkezin doğusunda, 20. yüzyılda bahçe, fabrika ve işçi konutlarının yerinde gelişen modern ve iyi bağlantılı bir semt. Sevilla FC'nin stadı Ramón Sánchez-Pizjuán burada. Alışveriş için Luis de Morales, Eduardo Dato, Nervión Plaza, El Corte Inglés ve Los Arcos var. Jardines de la Buhaira'da 12. yüzyıldan kalma Almohad sarayı bulunur. Metro hattında (Línea 1) Nervión ve Gran Plaza durakları var.</t>
        </is>
      </c>
      <c r="G14" s="29" t="inlineStr">
        <is>
          <t>Nervión, Sevilla semtleri, Ramón Sánchez-Pizjuán, alışveriş, Metro, Jardines de la Buhaira</t>
        </is>
      </c>
      <c r="H14" s="29" t="inlineStr">
        <is>
          <t>planning;new;settled</t>
        </is>
      </c>
      <c r="I14" s="29" t="inlineStr">
        <is>
          <t>sevilla:kaynak:302;sevilla:kaynak:288</t>
        </is>
      </c>
      <c r="J14" s="49" t="n">
        <v>46320</v>
      </c>
      <c r="K14" s="51" t="n">
        <v>7</v>
      </c>
      <c r="L14" s="29" t="inlineStr">
        <is>
          <t>Hayır</t>
        </is>
      </c>
      <c r="M14" s="29" t="inlineStr">
        <is>
          <t>Taslak</t>
        </is>
      </c>
      <c r="N14" s="29" t="inlineStr">
        <is>
          <t>Tarihî merkezin doğusu; Eduardo Dato ve Luis de Morales çevresi</t>
        </is>
      </c>
      <c r="O14" s="29" t="inlineStr">
        <is>
          <t>Modern ve canlı
Alışveriş
Futbol (Sevilla FC)
Metro bağlantısı
Jardines de la Buhaira</t>
        </is>
      </c>
      <c r="P14" s="29" t="inlineStr">
        <is>
          <t>{"Konum": "Tarihî merkezin doğusunda; Eduardo Dato ve Luis de Morales alışveriş eksenleri.", "Ulaşım": "Merkeze iyi bağlı. Metro hattında (Línea 1) San Bernardo'dan sonra Nervión ve Gran Plaza durakları geliyor.", "Karakter": "Sevilla'nın en dinamik ve modern semtlerinden: yaşam, hizmet, kültür ve spor bir arada.", "Öne çıkanlar": "Ramón Sánchez-Pizjuán stadı, Factoría Cruzcampo, Jardines de la Buhaira, Real Fábrica de Artillería, Nervión Plaza."}</t>
        </is>
      </c>
      <c r="Q14" s="29" t="inlineStr">
        <is>
          <t>Maç günlerinde stadyum çevresi futbol atmosferiyle dolup taşıyor.</t>
        </is>
      </c>
      <c r="R14" s="29" t="n"/>
    </row>
    <row r="15" ht="54" customHeight="1">
      <c r="A15" s="29" t="inlineStr">
        <is>
          <t>sevilla:la-cartuja</t>
        </is>
      </c>
      <c r="B15" s="29" t="inlineStr">
        <is>
          <t>sevilla</t>
        </is>
      </c>
      <c r="C15" s="29" t="inlineStr">
        <is>
          <t>la-cartuja</t>
        </is>
      </c>
      <c r="D15" s="29" t="inlineStr">
        <is>
          <t>La Cartuja</t>
        </is>
      </c>
      <c r="E15" s="29" t="inlineStr">
        <is>
          <t>Guadalquivir'in ortasında ada: Expo '92 mirası, CAAC, Torre Sevilla ve nehir kıyısı yeşil alanları</t>
        </is>
      </c>
      <c r="F15" s="29" t="inlineStr">
        <is>
          <t>La Cartuja, tarihî merkezden Guadalquivir'le ayrılan bir ada. Adını Santa María de las Cuevas Manastırı'ndan alır; manastır bugün Centro Andaluz de Arte Contemporáneo (CAAC) müzesini barındırır. Bölge Expo '92'nin mirasını taşıyor ve dönüşmeye devam ediyor; Torre Sevilla, CaixaForum ve Parque Científico y Tecnológico bu dönüşümün simgeleri arasında. Geniş yeşil alanlar, bisiklet yolları ve nehir kıyısı yürüyüşleri var; adanın kuzeyindeki Parque del Alamillo Sevilla'nın en büyük parklarından biri; Turismo de Sevilla'nın park sayfası 480.000 m² ile en büyüğü olarak sayıyor.</t>
        </is>
      </c>
      <c r="G15" s="29" t="inlineStr">
        <is>
          <t>La Cartuja, Sevilla semtleri, CAAC, Torre Sevilla, Expo 92, Parque del Alamillo, bisiklet yolu</t>
        </is>
      </c>
      <c r="H15" s="29" t="inlineStr">
        <is>
          <t>planning;new;settled</t>
        </is>
      </c>
      <c r="I15" s="29" t="inlineStr">
        <is>
          <t>sevilla:kaynak:303;sevilla:kaynak:216</t>
        </is>
      </c>
      <c r="J15" s="49" t="n">
        <v>46320</v>
      </c>
      <c r="K15" s="51" t="n">
        <v>8</v>
      </c>
      <c r="L15" s="29" t="inlineStr">
        <is>
          <t>Hayır</t>
        </is>
      </c>
      <c r="M15" s="29" t="inlineStr">
        <is>
          <t>Taslak</t>
        </is>
      </c>
      <c r="N15" s="29" t="inlineStr">
        <is>
          <t>Tarihî merkezden Guadalquivir'le ayrılan ada; kuzeyinde Parque del Alamillo</t>
        </is>
      </c>
      <c r="O15" s="29" t="inlineStr">
        <is>
          <t>Ada
Expo '92 mirası
Sanat ve teknoloji
Yeşil alan ve bisiklet yolu
Nehir sporları</t>
        </is>
      </c>
      <c r="P15" s="29" t="inlineStr">
        <is>
          <t>{"Konum": "Tarihî merkezden Guadalquivir'le ayrılan ada; nehrin karşı yakasında Monasterio de San Jerónimo de Buenavista yer alıyor.", "Ulaşım": "Geniş yeşil alanlar, bisiklet yolları ve nehir boyunca yürüyüş yolları var; adadan Parque del Alamillo'ya kolayca geçiliyor.", "Karakter": "Manastır geçmişi ile Expo '92 mirası bir arada; kültür, teknoloji ve inovasyonda dönüşümü süren bölge.", "Öne çıkanlar": "CAAC, Torre Sevilla ve mirador Torre Atalaya, Cartuja Center, Estadio de La Cartuja, Huevo de Colón, Cementerio de San Fernando."}</t>
        </is>
      </c>
      <c r="Q15" s="29" t="inlineStr">
        <is>
          <t>Nehirde kayak, paddle surf ve tekne gezisi yapmak mümkün.</t>
        </is>
      </c>
      <c r="R15" s="29" t="n"/>
    </row>
    <row r="16" ht="54" customHeight="1">
      <c r="A16" s="29" t="inlineStr">
        <is>
          <t>sevilla:sevilla-este</t>
        </is>
      </c>
      <c r="B16" s="29" t="inlineStr">
        <is>
          <t>sevilla</t>
        </is>
      </c>
      <c r="C16" s="29" t="inlineStr">
        <is>
          <t>sevilla-este</t>
        </is>
      </c>
      <c r="D16" s="29" t="inlineStr">
        <is>
          <t>Sevilla Este</t>
        </is>
      </c>
      <c r="E16" s="29" t="inlineStr">
        <is>
          <t>Doğuda geniş, modern ve sakin konut semti: FIBES, Parque Infanta Elena ve havalimanı bağlantısı</t>
        </is>
      </c>
      <c r="F16" s="29" t="inlineStr">
        <is>
          <t>Sevilla Este, 20. yüzyılın sonundaki büyük bir kent genişlemesiyle doğan, kentin en yeni ve en geniş semtlerinden biri. Anıtsal bir semt değil; modern planı, geniş caddeleri ve sakin konut bölgeleriyle öne çıkıyor. FIBES kongre ve sergi sarayı ve Guadalpark su parkı burada. Parque Infanta Elena yürüyüş, spor ve aile günleri için geniş bir yeşil alan.</t>
        </is>
      </c>
      <c r="G16" s="29" t="inlineStr">
        <is>
          <t>Sevilla Este, Sevilla semtleri, FIBES, Parque Infanta Elena, Guadalpark, havalimanı, konut</t>
        </is>
      </c>
      <c r="H16" s="29" t="inlineStr">
        <is>
          <t>planning;new;settled</t>
        </is>
      </c>
      <c r="I16" s="29" t="inlineStr">
        <is>
          <t>sevilla:kaynak:304;sevilla:kaynak:305</t>
        </is>
      </c>
      <c r="J16" s="49" t="n">
        <v>46320</v>
      </c>
      <c r="K16" s="51" t="n">
        <v>9</v>
      </c>
      <c r="L16" s="29" t="inlineStr">
        <is>
          <t>Hayır</t>
        </is>
      </c>
      <c r="M16" s="29" t="inlineStr">
        <is>
          <t>Taslak</t>
        </is>
      </c>
      <c r="N16" s="29" t="inlineStr">
        <is>
          <t>Kentin doğusunda yeni gelişen semt; FIBES adresi Avenida Alcalde Luis Uruñuela, 1</t>
        </is>
      </c>
      <c r="O16" s="29" t="inlineStr">
        <is>
          <t>Modern konut semti
Geniş caddeler
FIBES kongre sarayı
Parque Infanta Elena
Havalimanına yakın</t>
        </is>
      </c>
      <c r="P16" s="29" t="inlineStr">
        <is>
          <t>{"Konum": "Kentin en yeni ve en geniş semtlerinden biri; FIBES adresi: Avenida Alcalde Luis Uruñuela, 1.", "Ulaşım": "Tarihî merkez ve havalimanıyla bağlantısı iyi; iş seyahati ve etkinlik için pratik.", "Karakter": "Anıtsal değil; modern planlı, geniş caddeli, sakin konut bölgeleri.", "Öne çıkanlar": "FIBES, Parque Infanta Elena, Guadalpark."}</t>
        </is>
      </c>
      <c r="Q16" s="29" t="inlineStr">
        <is>
          <t>FIBES'te etkinlik programına göre ziyaret yapılıyor; sabit bir açılış saati yok.</t>
        </is>
      </c>
      <c r="R16" s="29" t="n"/>
    </row>
    <row r="17" ht="54" customHeight="1">
      <c r="A17" s="29" t="inlineStr">
        <is>
          <t>sevilla:san-bernardo</t>
        </is>
      </c>
      <c r="B17" s="29" t="inlineStr">
        <is>
          <t>sevilla</t>
        </is>
      </c>
      <c r="C17" s="29" t="inlineStr">
        <is>
          <t>san-bernardo</t>
        </is>
      </c>
      <c r="D17" s="29" t="inlineStr">
        <is>
          <t>San Bernardo</t>
        </is>
      </c>
      <c r="E17" s="29" t="inlineStr">
        <is>
          <t>Surların dışında "ikinci tarihî merkez" havasında semt: Real Fábrica de Artillería ve çok yönlü ulaşım</t>
        </is>
      </c>
      <c r="F17" s="29" t="inlineStr">
        <is>
          <t>San Bernardo, Puerta de la Carne'den surların dışına çıkıp doğuya birkaç dakika yürüyünce karşına çıkan, eski sokaklı ve evli bir semt. Reconquista sırasında III. Fernando'nun ordusu burada karargâh kurmuştu; sokak adları o döneme gönderme yapıyor. Real Fábrica de Artillería ve regionalist San Bernardo Köprüsü semtin simgeleri. Her yıl Kutsal Hafta'nın Çarşambası'nda (Miércoles Santo) semtin kardeşliği alay çıkarır. San Bernardo tren istasyonu Cercanías, orta mesafe tren, metro ve otobüs bağlantısı veriyor.</t>
        </is>
      </c>
      <c r="G17" s="29" t="inlineStr">
        <is>
          <t>San Bernardo, Sevilla semtleri, San Bernardo istasyonu, Cercanías, Real Fábrica de Artillería, Metro</t>
        </is>
      </c>
      <c r="H17" s="29" t="inlineStr">
        <is>
          <t>planning;new;settled</t>
        </is>
      </c>
      <c r="I17" s="29" t="inlineStr">
        <is>
          <t>sevilla:kaynak:306;sevilla:kaynak:307</t>
        </is>
      </c>
      <c r="J17" s="49" t="n">
        <v>46320</v>
      </c>
      <c r="K17" s="51" t="n">
        <v>10</v>
      </c>
      <c r="L17" s="29" t="inlineStr">
        <is>
          <t>Hayır</t>
        </is>
      </c>
      <c r="M17" s="29" t="inlineStr">
        <is>
          <t>Taslak</t>
        </is>
      </c>
      <c r="N17" s="29" t="inlineStr">
        <is>
          <t>Puerta de la Carne'den doğuya birkaç dakika; doğuda Jardines de la Buhaira; istasyon adresi Calle Ramón Carande, s/n, 41004</t>
        </is>
      </c>
      <c r="O17" s="29" t="inlineStr">
        <is>
          <t>Eski sokaklı semt
İstasyon: tren, metro, otobüs
Kutsal Hafta (Çarşamba)
Gastronomi
Real Fábrica de Artillería</t>
        </is>
      </c>
      <c r="P17" s="29" t="inlineStr">
        <is>
          <t>{"Konum": "Puerta de la Carne'den surların dışına çıkıp doğuya birkaç dakika yürüyünce; doğuda Jardines de la Buhaira ile komşu.", "Ulaşım": "San Bernardo istasyonu Cercanías C-1, C-4 ve C-5 hatlarında; metro ve birçok otobüs hattıyla bağlantılı. İstasyon adresi: Calle Ramón Carande, s/n, 41004 Sevilla.", "Karakter": "Sessiz ve eski bir \"zaman kapsülü\"; boğa güreşçileri semti olarak bilinir.", "Öne çıkanlar": "Real Fábrica de Artillería, San Bernardo Köprüsü, San Bernardo Kilisesi, Kutsal Hafta Çarşambası'ndaki yıllık alay, yeni restoranlar."}</t>
        </is>
      </c>
      <c r="Q17" s="29" t="inlineStr">
        <is>
          <t>Semtin kardeşliği yılda bir kez, Kutsal Hafta'nın Çarşambası'nda alay çıkarıyor.</t>
        </is>
      </c>
      <c r="R17" s="29" t="n"/>
    </row>
    <row r="18" ht="54" customHeight="1">
      <c r="A18" s="29" t="inlineStr">
        <is>
          <t>sevilla:alfalfa-ve-encarnacion</t>
        </is>
      </c>
      <c r="B18" s="29" t="inlineStr">
        <is>
          <t>sevilla</t>
        </is>
      </c>
      <c r="C18" s="29" t="inlineStr">
        <is>
          <t>alfalfa-ve-encarnacion</t>
        </is>
      </c>
      <c r="D18" s="29" t="inlineStr">
        <is>
          <t>Alfalfa ve Encarnación</t>
        </is>
      </c>
      <c r="E18" s="29" t="inlineStr">
        <is>
          <t>Tarihî merkezin kalbinde iç içe iki semt: Metropol Parasol (Las Setas), tavernalar ve tasarım dükkânları</t>
        </is>
      </c>
      <c r="F18" s="29" t="inlineStr">
        <is>
          <t>La Alfalfa ve La Encarnación, tarihî merkezin tam ortasında iç içe iki semt. Alfalfa'nın kökleri Roma ve Orta Çağ'a uzanıyor; eski Roma forumu, yüzyıllarca ticaret buluşma noktasıydı. Encarnación'da Metropol Parasol ("Las Setas") yükselir: içinde geleneksel pazar, Roma, Vizigot ve İslam dönemi kalıntılarını gösteren arkeoloji müzesi ve panoramik seyir terası var. Regina ve Pérez Galdós sokaklarında tasarım dükkânları, kitapçılar ve kafeler sıralanıyor.</t>
        </is>
      </c>
      <c r="G18" s="29" t="inlineStr">
        <is>
          <t>Alfalfa, Encarnación, Las Setas, Metropol Parasol, Sevilla semtleri, tarihî merkez, tapas</t>
        </is>
      </c>
      <c r="H18" s="29" t="inlineStr">
        <is>
          <t>planning;new;settled</t>
        </is>
      </c>
      <c r="I18" s="29" t="inlineStr">
        <is>
          <t>sevilla:kaynak:308;sevilla:kaynak:309</t>
        </is>
      </c>
      <c r="J18" s="49" t="n">
        <v>46320</v>
      </c>
      <c r="K18" s="51" t="n">
        <v>11</v>
      </c>
      <c r="L18" s="29" t="inlineStr">
        <is>
          <t>Hayır</t>
        </is>
      </c>
      <c r="M18" s="29" t="inlineStr">
        <is>
          <t>Taslak</t>
        </is>
      </c>
      <c r="N18" s="29" t="inlineStr">
        <is>
          <t>Tarihî merkezin ortası; Plaza de la Encarnación, s/n, Casco Antiguo, 41003</t>
        </is>
      </c>
      <c r="O18" s="29" t="inlineStr">
        <is>
          <t>Tarihî merkez
Metropol Parasol (Las Setas)
Pazar ve arkeoloji müzesi
Tavernalar ve tasarım dükkânları</t>
        </is>
      </c>
      <c r="P18" s="29" t="inlineStr">
        <is>
          <t>{"Konum": "Tarihî merkezin tam ortasında; Setas, Plaza de la Encarnación, s/n, Casco Antiguo, 41003 Sevilla adresinde.", "Ulaşım": "Yürüyerek gezmeye uygun: plazalar, tavernalar ve dükkânlar tarihî merkezin içinde birbirine yakın.", "Karakter": "Gelenek ile modern ve yaratıcı hava bir arada; her saatte canlı.", "Öne çıkanlar": "Setas ve Encarnación Pazarı, Antiquarium, Casa de Pilatos, Iglesia del Salvador, Museo del Baile Flamenco."}</t>
        </is>
      </c>
      <c r="Q18" s="29" t="inlineStr">
        <is>
          <t>Las Setas her gün 09:30-00:30 arası açık (son giriş 23:45), Turismo de Sevilla'ya göre.</t>
        </is>
      </c>
      <c r="R18" s="29" t="n"/>
    </row>
    <row r="19" ht="54" customHeight="1">
      <c r="A19" s="29" t="inlineStr">
        <is>
          <t>sevilla:museo-ve-plaza-nueva</t>
        </is>
      </c>
      <c r="B19" s="29" t="inlineStr">
        <is>
          <t>sevilla</t>
        </is>
      </c>
      <c r="C19" s="29" t="inlineStr">
        <is>
          <t>museo-ve-plaza-nueva</t>
        </is>
      </c>
      <c r="D19" s="29" t="inlineStr">
        <is>
          <t>Museo ve Plaza Nueva çevresi</t>
        </is>
      </c>
      <c r="E19" s="29" t="inlineStr">
        <is>
          <t>Sanat, belediye ve alışveriş ekseni: Museo de Bellas Artes, Plaza Nueva, Sierpes ve Tetuán</t>
        </is>
      </c>
      <c r="F19" s="29" t="inlineStr">
        <is>
          <t>Museo ve Plaza Nueva çevresi, tarihî merkezde sanat ve alışveriş bölgesi. Museo de Bellas Artes, Murillo, Zurbarán ve Velázquez gibi ustaların eserlerinden oluşan İspanyol resim koleksiyonuyla İspanya'nın önemli müzelerinden. Plaza del Museo'da her pazar sabahı yerel ressamlar eserlerini açık havada sergiler ve satar. Plaza Nueva yüzyıllardır kentin sivil yönetim merkezi, Belediye'nin ana binası da burada; Sierpes, Tetuán ve Velázquez sokakları ticaret ekseni.</t>
        </is>
      </c>
      <c r="G19" s="29" t="inlineStr">
        <is>
          <t>Museo de Bellas Artes, Plaza Nueva, Sierpes, Tetuán, Sevilla semtleri, alışveriş, Murillo</t>
        </is>
      </c>
      <c r="H19" s="29" t="inlineStr">
        <is>
          <t>planning;new;settled</t>
        </is>
      </c>
      <c r="I19" s="29" t="inlineStr">
        <is>
          <t>sevilla:kaynak:310;sevilla:kaynak:295</t>
        </is>
      </c>
      <c r="J19" s="49" t="n">
        <v>46320</v>
      </c>
      <c r="K19" s="51" t="n">
        <v>12</v>
      </c>
      <c r="L19" s="29" t="inlineStr">
        <is>
          <t>Hayır</t>
        </is>
      </c>
      <c r="M19" s="29" t="inlineStr">
        <is>
          <t>Taslak</t>
        </is>
      </c>
      <c r="N19" s="29" t="inlineStr">
        <is>
          <t>Plaza del Museo ve Plaza Nueva; Plaza del Duque'den Plaza Nueva'ya uzanan ticaret ekseni</t>
        </is>
      </c>
      <c r="O19" s="29" t="inlineStr">
        <is>
          <t>Sanat müzesi
Belediye ve Plaza Nueva
Alışveriş caddeleri
Pazar ressam pazarı</t>
        </is>
      </c>
      <c r="P19" s="29" t="inlineStr">
        <is>
          <t>{"Konum": "Plaza del Museo ve Plaza Nueva; Plaza del Duque'den Plaza Nueva'ya uzanan ticaret ekseni. Plaza Nueva, Casco Antiguo ilçesinde Arenal ve Alfalfa semtlerinin sınırında.", "Ulaşım": "Plaza Nueva, \"Metro-centro\" tramvay hattının uç duraklarından birine ev sahipliği yapıyor.", "Karakter": "Dingin sokaklar, kiliseler ve meydanlar; kültür ve gezinti için uygun; ticari olarak çok canlı.", "Öne çıkanlar": "Museo de Bellas Artes, Iglesia de la Magdalena, Calle Sierpes, Plaza del Duque, Belediye."}</t>
        </is>
      </c>
      <c r="Q19" s="29" t="inlineStr">
        <is>
          <t>Plaza del Museo'da pazar sabahları açık hava ressam pazarı kuruluyor.</t>
        </is>
      </c>
      <c r="R19" s="29" t="n"/>
    </row>
    <row r="20" ht="54" customHeight="1">
      <c r="A20" s="29" t="inlineStr">
        <is>
          <t>sevilla:sevilla-del-29</t>
        </is>
      </c>
      <c r="B20" s="29" t="inlineStr">
        <is>
          <t>sevilla</t>
        </is>
      </c>
      <c r="C20" s="29" t="inlineStr">
        <is>
          <t>sevilla-del-29</t>
        </is>
      </c>
      <c r="D20" s="29" t="inlineStr">
        <is>
          <t>Sevilla del 29 (Prado ve Plaza de España)</t>
        </is>
      </c>
      <c r="E20" s="29" t="inlineStr">
        <is>
          <t>1929 Fuarı'ndan kalan açık hava müzesi: Plaza de España, Parque de María Luisa ve ülke pavyonları</t>
        </is>
      </c>
      <c r="F20" s="29" t="inlineStr">
        <is>
          <t>Sevilla del 29, 1929 Iberoamerikan Fuarı (Exposición Iberoamericana) için tasarlanan, geniş bulvarlı, anıtsal yapılı ve yeşil alanlı bir semt; özünde açık hava müzesi. Plaza de España, bölgesel Endülüs mimarisinin (regionalismo) simgesi: yarım daire biçimi ve gezilebilir kanalıyla kentin en tanınmış posta kartı. Çevrede Arjantin ve Brezilya gibi ülkelerin pavyonları — çoğu bugün konsolosluk, müze ya da kurum — ve eski San Telmo Sarayı bahçesi olan Parque de María Luisa var.</t>
        </is>
      </c>
      <c r="G20" s="29" t="inlineStr">
        <is>
          <t>Sevilla del 29, Plaza de España, Parque de María Luisa, Prado de San Sebastián, 1929 Fuarı</t>
        </is>
      </c>
      <c r="H20" s="29" t="inlineStr">
        <is>
          <t>planning;new;settled</t>
        </is>
      </c>
      <c r="I20" s="29" t="inlineStr">
        <is>
          <t>sevilla:kaynak:311;sevilla:kaynak:216</t>
        </is>
      </c>
      <c r="J20" s="49" t="n">
        <v>46320</v>
      </c>
      <c r="K20" s="51" t="n">
        <v>13</v>
      </c>
      <c r="L20" s="29" t="inlineStr">
        <is>
          <t>Hayır</t>
        </is>
      </c>
      <c r="M20" s="29" t="inlineStr">
        <is>
          <t>Taslak</t>
        </is>
      </c>
      <c r="N20" s="29" t="inlineStr">
        <is>
          <t>Plaza de España, Parque de María Luisa, Plaza de América ve Prado de San Sebastián çevresi</t>
        </is>
      </c>
      <c r="O20" s="29" t="inlineStr">
        <is>
          <t>Açık hava müzesi
Plaza de España
Parque de María Luisa
Ülke pavyonları</t>
        </is>
      </c>
      <c r="P20" s="29" t="inlineStr">
        <is>
          <t>{"Konum": "Plaza de España, Parque de María Luisa, Plaza de América ve ülke pavyonlarının çevresi; Jardines del Prado, Parque de María Luisa'ya yakın.", "Ulaşım": "Prado de San Sebastián otobüs terminali semtin görülecek yerleri arasında sayılıyor.", "Karakter": "Geniş bulvarlı, anıtsal yapılı ve yeşil; \"açık hava müzesi\" havası.", "Öne çıkanlar": "Plaza de España, Parque de María Luisa, Palacio de San Telmo, Plaza de América ve müzeleri, Costurero de la Reina."}</t>
        </is>
      </c>
      <c r="Q20" s="29" t="inlineStr">
        <is>
          <t>Plaza de España'nın çevresindeki bazı ülke pavyonları bugün konsolosluk, müze ya da kurum olarak kullanılıyor.</t>
        </is>
      </c>
      <c r="R20" s="29" t="n"/>
    </row>
    <row r="21" ht="54" customHeight="1">
      <c r="A21" s="29" t="inlineStr">
        <is>
          <t>sevilla:calle-feria</t>
        </is>
      </c>
      <c r="B21" s="29" t="inlineStr">
        <is>
          <t>sevilla</t>
        </is>
      </c>
      <c r="C21" s="29" t="inlineStr">
        <is>
          <t>calle-feria</t>
        </is>
      </c>
      <c r="D21" s="29" t="inlineStr">
        <is>
          <t>Calle Feria ve çevresi</t>
        </is>
      </c>
      <c r="E21" s="29" t="inlineStr">
        <is>
          <t>Kuzey tarihî merkezin canlı caddesi: Sevilla'nın en eski belediye pazarlarından biri ve perşembe pazarı</t>
        </is>
      </c>
      <c r="F21" s="29" t="inlineStr">
        <is>
          <t>Calle Feria, Macarena yönündeki kuzey tarihî merkezde canlı bir cadde. Mercado de la Feria, Sevilla'nın en eski ve köklü belediye pazarlarından biri; faaliyeti 1719'dan beri belgeli. Pazarın içinde balık, et, sebze, meyve, çiçek tezgâhları yanında modern kafeler ve gurme ürünler var. Her perşembe "El Jueves" pazarı kuruluyor; antika, ilginç eşya ve eski parçalar bulunuyor. Çevrede Omnium Sanctorum Kilisesi ve Plaza de Calderón de la Barca bulunuyor.</t>
        </is>
      </c>
      <c r="G21" s="29" t="inlineStr">
        <is>
          <t>Calle Feria, Mercado de la Feria, El Jueves, Macarena, Sevilla semtleri, belediye pazarı, antika</t>
        </is>
      </c>
      <c r="H21" s="29" t="inlineStr">
        <is>
          <t>planning;new;settled</t>
        </is>
      </c>
      <c r="I21" s="29" t="inlineStr">
        <is>
          <t>sevilla:kaynak:312;sevilla:kaynak:299</t>
        </is>
      </c>
      <c r="J21" s="49" t="n">
        <v>46320</v>
      </c>
      <c r="K21" s="51" t="n">
        <v>14</v>
      </c>
      <c r="L21" s="29" t="inlineStr">
        <is>
          <t>Hayır</t>
        </is>
      </c>
      <c r="M21" s="29" t="inlineStr">
        <is>
          <t>Taslak</t>
        </is>
      </c>
      <c r="N21" s="29" t="inlineStr">
        <is>
          <t>Macarena'ya yakın kuzey tarihî merkez; Calle Feria, 98</t>
        </is>
      </c>
      <c r="O21" s="29" t="inlineStr">
        <is>
          <t>Belediye pazarı
Perşembe antika pazarı
Kuzey bölgesinin pazarı
Mudejar mimarisi</t>
        </is>
      </c>
      <c r="P21" s="29" t="inlineStr">
        <is>
          <t>{"Konum": "Macarena semtinin yakınında, kuzey tarihî merkezde; Mercado de la Feria adresi: Calle Feria, 98.", "Ulaşım": "Kuzey bölgesinin alışveriş pazarı olarak kullanılıyor; Macarena'ya çok yakın.", "Karakter": "Gelenek ile yeni eğilimlerin bir arada olduğu pazar mahallesi.", "Öne çıkanlar": "Mercado de la Feria, perşembe pazarı (El Jueves), Omnium Sanctorum Kilisesi, Plaza de Calderón de la Barca."}</t>
        </is>
      </c>
      <c r="Q21" s="29" t="inlineStr">
        <is>
          <t>Pazar saatleri: salı ve çarşamba 12:30-18:00; perşembe, cuma ve cumartesi 13:00-00:00; pazar 13:00-18:00 (pazartesi için saat verilmiyor). Aynı sayfa pazarı sabah 9:00-14:00 arasında gezmeyi de öneriyor.</t>
        </is>
      </c>
      <c r="R21" s="29" t="n"/>
    </row>
    <row r="22" ht="54" customHeight="1">
      <c r="A22" s="29" t="inlineStr">
        <is>
          <t>sevilla:el-porvenir</t>
        </is>
      </c>
      <c r="B22" s="29" t="inlineStr">
        <is>
          <t>sevilla</t>
        </is>
      </c>
      <c r="C22" s="29" t="inlineStr">
        <is>
          <t>el-porvenir</t>
        </is>
      </c>
      <c r="D22" s="29" t="inlineStr">
        <is>
          <t>El Porvenir</t>
        </is>
      </c>
      <c r="E22" s="29" t="inlineStr">
        <is>
          <t>Eski sanayi bölgesi, bugün modası olan gastronomi semti; Aníbal González'in izleri</t>
        </is>
      </c>
      <c r="F22" s="29" t="inlineStr">
        <is>
          <t>El Porvenir, bir zamanlar Sevilla'nın en hareketli sanayi bölgelerinden biriydi; bugün seçkin gastronomisi ve çağdaş tasarımıyla kentin "yeni modası" olan semt. 1920 civarında bölgesel mimarinin ustası Aníbal González burada La Coromina binasını yaptı; Juan Talavera ve Pedro Fernández de Heredia da iz bıraktı. Semt, Felipe II Caddesi'nin kuzeyine kadar uzanan "eski Porvenir" ve güneydeki "yeni Porvenir" olarak ikiye ayrılır. 1929 Fuarı'ndan kalan eski Meksika Pavyonu burada.</t>
        </is>
      </c>
      <c r="G22" s="29" t="inlineStr">
        <is>
          <t>El Porvenir, Sevilla semtleri, Aníbal González, regionalismo, gastronomi, Pabellón de México</t>
        </is>
      </c>
      <c r="H22" s="29" t="inlineStr">
        <is>
          <t>planning;new;settled</t>
        </is>
      </c>
      <c r="I22" s="29" t="inlineStr">
        <is>
          <t>sevilla:kaynak:313;sevilla:kaynak:314</t>
        </is>
      </c>
      <c r="J22" s="49" t="n">
        <v>46320</v>
      </c>
      <c r="K22" s="51" t="n">
        <v>15</v>
      </c>
      <c r="L22" s="29" t="inlineStr">
        <is>
          <t>Hayır</t>
        </is>
      </c>
      <c r="M22" s="29" t="inlineStr">
        <is>
          <t>Taslak</t>
        </is>
      </c>
      <c r="N22" s="29" t="inlineStr">
        <is>
          <t>Felipe II Caddesi'nin kuzeyine uzanan eski Porvenir ve güneydeki yeni Porvenir; Dos Hermanas yönündeki eski yol boyunca gelişti</t>
        </is>
      </c>
      <c r="O22" s="29" t="inlineStr">
        <is>
          <t>Eski sanayi bölgesi
Bölgesel mimari
Gastronomi
Konut semti</t>
        </is>
      </c>
      <c r="P22" s="29" t="inlineStr">
        <is>
          <t>{"Konum": "Eski Porvenir, Felipe II Caddesi'nin kuzeyine kadar uzanıyor; yeni Porvenir güneyde.", "Ulaşım": "Semt Mühendisler Kışlası'ndan sonra Dos Hermanas'a giden eski yol boyunca ilk sokak dizilimleriyle (alineaciones) büyüdü.", "Karakter": "Sanayi geçmişinden konut semtine dönüşen, gastronomisi ve tasarımıyla öne çıkan \"moda semt\".", "Öne çıkanlar": "La Coromina binası (Aníbal González), eski Meksika Pavyonu (bugün Sevilla Üniversitesi kullanıyor), Villa Ramona, Cuartel de Ingenieros."}</t>
        </is>
      </c>
      <c r="Q22" s="29" t="inlineStr">
        <is>
          <t>Askerî ve sanayi yapıları bugün semtin dış kesiminde kalıyor.</t>
        </is>
      </c>
      <c r="R22" s="29" t="n"/>
    </row>
    <row r="23" ht="54" customHeight="1">
      <c r="A23" s="29" t="inlineStr">
        <is>
          <t>sevilla:san-lorenzo-ve-san-vicente</t>
        </is>
      </c>
      <c r="B23" s="29" t="inlineStr">
        <is>
          <t>sevilla</t>
        </is>
      </c>
      <c r="C23" s="29" t="inlineStr">
        <is>
          <t>san-lorenzo-ve-san-vicente</t>
        </is>
      </c>
      <c r="D23" s="29" t="inlineStr">
        <is>
          <t>San Lorenzo ve San Vicente</t>
        </is>
      </c>
      <c r="E23" s="29" t="inlineStr">
        <is>
          <t>Orta Çağ sokak dokusu, Basílica del Gran Poder ve Calle San Vicente üzerindeki kiliseler</t>
        </is>
      </c>
      <c r="F23" s="29" t="inlineStr">
        <is>
          <t>San Lorenzo ve San Vicente, Sevilla'nın tarihî merkezinde Calle San Vicente ile Plaza de San Lorenzo çevresi. San Lorenzo çevresi yüzyıllardır neredeyse aynı sokak dokusunu koruyor: dar sokaklar, düzensiz yollar ve beklenmedik meydanlar. Plaza de San Lorenzo'da Basílica del Gran Poder, Calle San Vicente'de XIV. yüzyılın gotik-mudéjar kiliselerinden Iglesia de San Vicente duruyor. Turismo de Sevilla'nın kuzey bölgesi bar ve restoran rotasının Plaza del Museo'dan başlayan bölümü bu sokaklardan Plaza de San Lorenzo'ya ulaşıyor; rota oradan Alameda de Hércules'e devam ediyor.</t>
        </is>
      </c>
      <c r="G23" s="29" t="inlineStr">
        <is>
          <t>San Lorenzo, San Vicente, Gran Poder, Plaza de San Lorenzo, Calle San Vicente, Sevilla semtleri, Semana Santa</t>
        </is>
      </c>
      <c r="H23" s="29" t="inlineStr">
        <is>
          <t>planning;new</t>
        </is>
      </c>
      <c r="I23" s="29" t="inlineStr">
        <is>
          <t>sevilla:kaynak:449;sevilla:kaynak:450;sevilla:kaynak:451</t>
        </is>
      </c>
      <c r="J23" s="49" t="n">
        <v>46320</v>
      </c>
      <c r="K23" s="51" t="n">
        <v>16</v>
      </c>
      <c r="L23" s="29" t="inlineStr">
        <is>
          <t>Hayır</t>
        </is>
      </c>
      <c r="M23" s="29" t="inlineStr">
        <is>
          <t>Taslak</t>
        </is>
      </c>
      <c r="N23" s="29" t="inlineStr">
        <is>
          <t>Sevilla tarihî merkezinde Calle San Vicente, Plaza de la Gavidia ve Plaza de San Lorenzo çevresi; San Vicente kilisesi Calle San Vicente, 13 adresinde</t>
        </is>
      </c>
      <c r="O23" s="29" t="inlineStr">
        <is>
          <t>Orta Çağ sokak dokusu
Basílica del Gran Poder
Gotik-mudéjar kiliseler
Semana Santa hermandadları
Gastronomi rotası</t>
        </is>
      </c>
      <c r="P23" s="29" t="inlineStr">
        <is>
          <t>{"Konum": "Tarihî merkezde, Calle San Vicente, Plaza de la Gavidia ve Plaza de San Lorenzo çevresi. San Vicente kilisesi Calle San Vicente ile Calle Cardenal Cisneros köşesinde. Turismo de Sevilla'nın rotasının bu bölümü, Museo de Bellas Artes'in bulunduğu Plaza del Museo'da başlıyor; meydan şehrin tam merkezinde.", "Ulaşım": "Turismo de Sevilla'nın kuzey bölgesi bar ve restoran rotasının Plaza del Museo'dan başlayan bölümü, Calle San Vicente üzerinden Plaza de la Gavidia'ya, oradan Plaza de San Lorenzo'ya varıyor; rota Alameda de Hércules'e devam ediyor. Semtin sokakları dar, yolları düzensiz.", "Karakter": "San Lorenzo çevresinde sokak dokusu yüzyıllardır neredeyse aynı kalmış: dar sokaklar, düzensiz yollar, beklenmedik meydanlar. Kiliseler Semana Santa hermandadlarına ev sahipliği yapıyor: Gran Poder; San Vicente'de Las Penas ve Las Siete Palabras.", "Öne çıkanlar": "Plaza de San Lorenzo'daki Basílica del Gran Poder; Calle San Vicente'deki gotik-mudéjar Iglesia de San Vicente ve Capilla Sacramental'i."}</t>
        </is>
      </c>
      <c r="Q23" s="29" t="inlineStr">
        <is>
          <t>San Vicente kilisesine giriş ücretsiz. Turismo de Sevilla'ya göre Ekim 2026 itibarıyla ayinler hafta içi ve bayram arifelerinde 20:00'de, tatil günlerinde 11:00, 12:00 ve 20:00'de.</t>
        </is>
      </c>
      <c r="R23" s="29" t="n"/>
    </row>
    <row r="24" ht="54" customHeight="1">
      <c r="A24" s="29" t="n"/>
      <c r="B24" s="29" t="n"/>
      <c r="C24" s="29" t="n"/>
      <c r="D24" s="29" t="n"/>
      <c r="E24" s="29" t="n"/>
      <c r="F24" s="29" t="n"/>
      <c r="G24" s="29" t="n"/>
      <c r="H24" s="29" t="n"/>
      <c r="I24" s="29" t="n"/>
      <c r="J24" s="49" t="n"/>
      <c r="K24" s="51" t="n"/>
      <c r="L24" s="29" t="n"/>
      <c r="M24" s="29" t="n"/>
      <c r="N24" s="29" t="n"/>
      <c r="O24" s="29" t="n"/>
      <c r="P24" s="29" t="n"/>
      <c r="Q24" s="29" t="n"/>
      <c r="R24" s="29" t="n"/>
    </row>
    <row r="25" ht="54" customHeight="1">
      <c r="A25" s="29" t="n"/>
      <c r="B25" s="29" t="n"/>
      <c r="C25" s="29" t="n"/>
      <c r="D25" s="29" t="n"/>
      <c r="E25" s="29" t="n"/>
      <c r="F25" s="29" t="n"/>
      <c r="G25" s="29" t="n"/>
      <c r="H25" s="29" t="n"/>
      <c r="I25" s="29" t="n"/>
      <c r="J25" s="49" t="n"/>
      <c r="K25" s="51" t="n"/>
      <c r="L25" s="29" t="n"/>
      <c r="M25" s="29" t="n"/>
      <c r="N25" s="29" t="n"/>
      <c r="O25" s="29" t="n"/>
      <c r="P25" s="29" t="n"/>
      <c r="Q25" s="29" t="n"/>
      <c r="R25" s="29" t="n"/>
    </row>
    <row r="26" ht="54" customHeight="1">
      <c r="A26" s="29" t="n"/>
      <c r="B26" s="29" t="n"/>
      <c r="C26" s="29" t="n"/>
      <c r="D26" s="29" t="n"/>
      <c r="E26" s="29" t="n"/>
      <c r="F26" s="29" t="n"/>
      <c r="G26" s="29" t="n"/>
      <c r="H26" s="29" t="n"/>
      <c r="I26" s="29" t="n"/>
      <c r="J26" s="49" t="n"/>
      <c r="K26" s="51" t="n"/>
      <c r="L26" s="29" t="n"/>
      <c r="M26" s="29" t="n"/>
      <c r="N26" s="29" t="n"/>
      <c r="O26" s="29" t="n"/>
      <c r="P26" s="29" t="n"/>
      <c r="Q26" s="29" t="n"/>
      <c r="R26" s="29" t="n"/>
    </row>
    <row r="27" ht="54" customHeight="1">
      <c r="A27" s="29" t="n"/>
      <c r="B27" s="29" t="n"/>
      <c r="C27" s="29" t="n"/>
      <c r="D27" s="29" t="n"/>
      <c r="E27" s="29" t="n"/>
      <c r="F27" s="29" t="n"/>
      <c r="G27" s="29" t="n"/>
      <c r="H27" s="29" t="n"/>
      <c r="I27" s="29" t="n"/>
      <c r="J27" s="49" t="n"/>
      <c r="K27" s="51" t="n"/>
      <c r="L27" s="29" t="n"/>
      <c r="M27" s="29" t="n"/>
      <c r="N27" s="29" t="n"/>
      <c r="O27" s="29" t="n"/>
      <c r="P27" s="29" t="n"/>
      <c r="Q27" s="29" t="n"/>
      <c r="R27" s="29" t="n"/>
    </row>
    <row r="28" ht="54" customHeight="1">
      <c r="A28" s="29" t="n"/>
      <c r="B28" s="29" t="n"/>
      <c r="C28" s="29" t="n"/>
      <c r="D28" s="29" t="n"/>
      <c r="E28" s="29" t="n"/>
      <c r="F28" s="29" t="n"/>
      <c r="G28" s="29" t="n"/>
      <c r="H28" s="29" t="n"/>
      <c r="I28" s="29" t="n"/>
      <c r="J28" s="49" t="n"/>
      <c r="K28" s="51" t="n"/>
      <c r="L28" s="29" t="n"/>
      <c r="M28" s="29" t="n"/>
      <c r="N28" s="29" t="n"/>
      <c r="O28" s="29" t="n"/>
      <c r="P28" s="29" t="n"/>
      <c r="Q28" s="29" t="n"/>
      <c r="R28" s="29" t="n"/>
    </row>
    <row r="29" ht="54" customHeight="1">
      <c r="A29" s="29" t="n"/>
      <c r="B29" s="29" t="n"/>
      <c r="C29" s="29" t="n"/>
      <c r="D29" s="29" t="n"/>
      <c r="E29" s="29" t="n"/>
      <c r="F29" s="29" t="n"/>
      <c r="G29" s="29" t="n"/>
      <c r="H29" s="29" t="n"/>
      <c r="I29" s="29" t="n"/>
      <c r="J29" s="49" t="n"/>
      <c r="K29" s="51" t="n"/>
      <c r="L29" s="29" t="n"/>
      <c r="M29" s="29" t="n"/>
      <c r="N29" s="29" t="n"/>
      <c r="O29" s="29" t="n"/>
      <c r="P29" s="29" t="n"/>
      <c r="Q29" s="29" t="n"/>
      <c r="R29" s="29" t="n"/>
    </row>
    <row r="30" ht="54" customHeight="1">
      <c r="A30" s="29" t="n"/>
      <c r="B30" s="29" t="n"/>
      <c r="C30" s="29" t="n"/>
      <c r="D30" s="29" t="n"/>
      <c r="E30" s="29" t="n"/>
      <c r="F30" s="29" t="n"/>
      <c r="G30" s="29" t="n"/>
      <c r="H30" s="29" t="n"/>
      <c r="I30" s="29" t="n"/>
      <c r="J30" s="49" t="n"/>
      <c r="K30" s="51" t="n"/>
      <c r="L30" s="29" t="n"/>
      <c r="M30" s="29" t="n"/>
      <c r="N30" s="29" t="n"/>
      <c r="O30" s="29" t="n"/>
      <c r="P30" s="29" t="n"/>
      <c r="Q30" s="29" t="n"/>
      <c r="R30" s="29" t="n"/>
    </row>
    <row r="31" ht="54" customHeight="1">
      <c r="A31" s="29" t="n"/>
      <c r="B31" s="29" t="n"/>
      <c r="C31" s="29" t="n"/>
      <c r="D31" s="29" t="n"/>
      <c r="E31" s="29" t="n"/>
      <c r="F31" s="29" t="n"/>
      <c r="G31" s="29" t="n"/>
      <c r="H31" s="29" t="n"/>
      <c r="I31" s="29" t="n"/>
      <c r="J31" s="49" t="n"/>
      <c r="K31" s="51" t="n"/>
      <c r="L31" s="29" t="n"/>
      <c r="M31" s="29" t="n"/>
      <c r="N31" s="29" t="n"/>
      <c r="O31" s="29" t="n"/>
      <c r="P31" s="29" t="n"/>
      <c r="Q31" s="29" t="n"/>
      <c r="R31" s="29" t="n"/>
    </row>
    <row r="32" ht="54" customHeight="1">
      <c r="A32" s="29" t="n"/>
      <c r="B32" s="29" t="n"/>
      <c r="C32" s="29" t="n"/>
      <c r="D32" s="29" t="n"/>
      <c r="E32" s="29" t="n"/>
      <c r="F32" s="29" t="n"/>
      <c r="G32" s="29" t="n"/>
      <c r="H32" s="29" t="n"/>
      <c r="I32" s="29" t="n"/>
      <c r="J32" s="49" t="n"/>
      <c r="K32" s="51" t="n"/>
      <c r="L32" s="29" t="n"/>
      <c r="M32" s="29" t="n"/>
      <c r="N32" s="29" t="n"/>
      <c r="O32" s="29" t="n"/>
      <c r="P32" s="29" t="n"/>
      <c r="Q32" s="29" t="n"/>
      <c r="R32" s="29" t="n"/>
    </row>
    <row r="33" ht="54" customHeight="1">
      <c r="A33" s="29" t="n"/>
      <c r="B33" s="29" t="n"/>
      <c r="C33" s="29" t="n"/>
      <c r="D33" s="29" t="n"/>
      <c r="E33" s="29" t="n"/>
      <c r="F33" s="29" t="n"/>
      <c r="G33" s="29" t="n"/>
      <c r="H33" s="29" t="n"/>
      <c r="I33" s="29" t="n"/>
      <c r="J33" s="49" t="n"/>
      <c r="K33" s="51" t="n"/>
      <c r="L33" s="29" t="n"/>
      <c r="M33" s="29" t="n"/>
      <c r="N33" s="29" t="n"/>
      <c r="O33" s="29" t="n"/>
      <c r="P33" s="29" t="n"/>
      <c r="Q33" s="29" t="n"/>
      <c r="R33" s="29" t="n"/>
    </row>
    <row r="34" ht="54" customHeight="1">
      <c r="A34" s="29" t="n"/>
      <c r="B34" s="29" t="n"/>
      <c r="C34" s="29" t="n"/>
      <c r="D34" s="29" t="n"/>
      <c r="E34" s="29" t="n"/>
      <c r="F34" s="29" t="n"/>
      <c r="G34" s="29" t="n"/>
      <c r="H34" s="29" t="n"/>
      <c r="I34" s="29" t="n"/>
      <c r="J34" s="49" t="n"/>
      <c r="K34" s="51" t="n"/>
      <c r="L34" s="29" t="n"/>
      <c r="M34" s="29" t="n"/>
      <c r="N34" s="29" t="n"/>
      <c r="O34" s="29" t="n"/>
      <c r="P34" s="29" t="n"/>
      <c r="Q34" s="29" t="n"/>
      <c r="R34" s="29" t="n"/>
    </row>
    <row r="35" ht="54" customHeight="1">
      <c r="A35" s="29" t="n"/>
      <c r="B35" s="29" t="n"/>
      <c r="C35" s="29" t="n"/>
      <c r="D35" s="29" t="n"/>
      <c r="E35" s="29" t="n"/>
      <c r="F35" s="29" t="n"/>
      <c r="G35" s="29" t="n"/>
      <c r="H35" s="29" t="n"/>
      <c r="I35" s="29" t="n"/>
      <c r="J35" s="49" t="n"/>
      <c r="K35" s="51" t="n"/>
      <c r="L35" s="29" t="n"/>
      <c r="M35" s="29" t="n"/>
      <c r="N35" s="29" t="n"/>
      <c r="O35" s="29" t="n"/>
      <c r="P35" s="29" t="n"/>
      <c r="Q35" s="29" t="n"/>
      <c r="R35" s="29" t="n"/>
    </row>
    <row r="36" ht="54" customHeight="1">
      <c r="A36" s="29" t="n"/>
      <c r="B36" s="29" t="n"/>
      <c r="C36" s="29" t="n"/>
      <c r="D36" s="29" t="n"/>
      <c r="E36" s="29" t="n"/>
      <c r="F36" s="29" t="n"/>
      <c r="G36" s="29" t="n"/>
      <c r="H36" s="29" t="n"/>
      <c r="I36" s="29" t="n"/>
      <c r="J36" s="49" t="n"/>
      <c r="K36" s="51" t="n"/>
      <c r="L36" s="29" t="n"/>
      <c r="M36" s="29" t="n"/>
      <c r="N36" s="29" t="n"/>
      <c r="O36" s="29" t="n"/>
      <c r="P36" s="29" t="n"/>
      <c r="Q36" s="29" t="n"/>
      <c r="R36" s="29" t="n"/>
    </row>
    <row r="37" ht="54" customHeight="1">
      <c r="A37" s="29" t="n"/>
      <c r="B37" s="29" t="n"/>
      <c r="C37" s="29" t="n"/>
      <c r="D37" s="29" t="n"/>
      <c r="E37" s="29" t="n"/>
      <c r="F37" s="29" t="n"/>
      <c r="G37" s="29" t="n"/>
      <c r="H37" s="29" t="n"/>
      <c r="I37" s="29" t="n"/>
      <c r="J37" s="49" t="n"/>
      <c r="K37" s="51" t="n"/>
      <c r="L37" s="29" t="n"/>
      <c r="M37" s="29" t="n"/>
      <c r="N37" s="29" t="n"/>
      <c r="O37" s="29" t="n"/>
      <c r="P37" s="29" t="n"/>
      <c r="Q37" s="29" t="n"/>
      <c r="R37" s="29" t="n"/>
    </row>
    <row r="38" ht="54" customHeight="1">
      <c r="A38" s="29" t="n"/>
      <c r="B38" s="29" t="n"/>
      <c r="C38" s="29" t="n"/>
      <c r="D38" s="29" t="n"/>
      <c r="E38" s="29" t="n"/>
      <c r="F38" s="29" t="n"/>
      <c r="G38" s="29" t="n"/>
      <c r="H38" s="29" t="n"/>
      <c r="I38" s="29" t="n"/>
      <c r="J38" s="49" t="n"/>
      <c r="K38" s="51" t="n"/>
      <c r="L38" s="29" t="n"/>
      <c r="M38" s="29" t="n"/>
      <c r="N38" s="29" t="n"/>
      <c r="O38" s="29" t="n"/>
      <c r="P38" s="29" t="n"/>
      <c r="Q38" s="29" t="n"/>
      <c r="R38" s="29" t="n"/>
    </row>
    <row r="39" ht="54" customHeight="1">
      <c r="A39" s="29" t="n"/>
      <c r="B39" s="29" t="n"/>
      <c r="C39" s="29" t="n"/>
      <c r="D39" s="29" t="n"/>
      <c r="E39" s="29" t="n"/>
      <c r="F39" s="29" t="n"/>
      <c r="G39" s="29" t="n"/>
      <c r="H39" s="29" t="n"/>
      <c r="I39" s="29" t="n"/>
      <c r="J39" s="49" t="n"/>
      <c r="K39" s="51" t="n"/>
      <c r="L39" s="29" t="n"/>
      <c r="M39" s="29" t="n"/>
      <c r="N39" s="29" t="n"/>
      <c r="O39" s="29" t="n"/>
      <c r="P39" s="29" t="n"/>
      <c r="Q39" s="29" t="n"/>
      <c r="R39" s="29" t="n"/>
    </row>
    <row r="40" ht="54" customHeight="1">
      <c r="A40" s="29" t="n"/>
      <c r="B40" s="29" t="n"/>
      <c r="C40" s="29" t="n"/>
      <c r="D40" s="29" t="n"/>
      <c r="E40" s="29" t="n"/>
      <c r="F40" s="29" t="n"/>
      <c r="G40" s="29" t="n"/>
      <c r="H40" s="29" t="n"/>
      <c r="I40" s="29" t="n"/>
      <c r="J40" s="49" t="n"/>
      <c r="K40" s="51" t="n"/>
      <c r="L40" s="29" t="n"/>
      <c r="M40" s="29" t="n"/>
      <c r="N40" s="29" t="n"/>
      <c r="O40" s="29" t="n"/>
      <c r="P40" s="29" t="n"/>
      <c r="Q40" s="29" t="n"/>
      <c r="R40" s="29" t="n"/>
    </row>
    <row r="41" ht="54" customHeight="1">
      <c r="A41" s="29" t="n"/>
      <c r="B41" s="29" t="n"/>
      <c r="C41" s="29" t="n"/>
      <c r="D41" s="29" t="n"/>
      <c r="E41" s="29" t="n"/>
      <c r="F41" s="29" t="n"/>
      <c r="G41" s="29" t="n"/>
      <c r="H41" s="29" t="n"/>
      <c r="I41" s="29" t="n"/>
      <c r="J41" s="49" t="n"/>
      <c r="K41" s="51" t="n"/>
      <c r="L41" s="29" t="n"/>
      <c r="M41" s="29" t="n"/>
      <c r="N41" s="29" t="n"/>
      <c r="O41" s="29" t="n"/>
      <c r="P41" s="29" t="n"/>
      <c r="Q41" s="29" t="n"/>
      <c r="R41" s="29" t="n"/>
    </row>
    <row r="42" ht="54" customHeight="1">
      <c r="A42" s="29" t="n"/>
      <c r="B42" s="29" t="n"/>
      <c r="C42" s="29" t="n"/>
      <c r="D42" s="29" t="n"/>
      <c r="E42" s="29" t="n"/>
      <c r="F42" s="29" t="n"/>
      <c r="G42" s="29" t="n"/>
      <c r="H42" s="29" t="n"/>
      <c r="I42" s="29" t="n"/>
      <c r="J42" s="49" t="n"/>
      <c r="K42" s="51" t="n"/>
      <c r="L42" s="29" t="n"/>
      <c r="M42" s="29" t="n"/>
      <c r="N42" s="29" t="n"/>
      <c r="O42" s="29" t="n"/>
      <c r="P42" s="29" t="n"/>
      <c r="Q42" s="29" t="n"/>
      <c r="R42" s="29" t="n"/>
    </row>
    <row r="43" ht="54" customHeight="1">
      <c r="A43" s="29" t="n"/>
      <c r="B43" s="29" t="n"/>
      <c r="C43" s="29" t="n"/>
      <c r="D43" s="29" t="n"/>
      <c r="E43" s="29" t="n"/>
      <c r="F43" s="29" t="n"/>
      <c r="G43" s="29" t="n"/>
      <c r="H43" s="29" t="n"/>
      <c r="I43" s="29" t="n"/>
      <c r="J43" s="49" t="n"/>
      <c r="K43" s="51" t="n"/>
      <c r="L43" s="29" t="n"/>
      <c r="M43" s="29" t="n"/>
      <c r="N43" s="29" t="n"/>
      <c r="O43" s="29" t="n"/>
      <c r="P43" s="29" t="n"/>
      <c r="Q43" s="29" t="n"/>
      <c r="R43" s="29" t="n"/>
    </row>
    <row r="44" ht="54" customHeight="1">
      <c r="A44" s="29" t="n"/>
      <c r="B44" s="29" t="n"/>
      <c r="C44" s="29" t="n"/>
      <c r="D44" s="29" t="n"/>
      <c r="E44" s="29" t="n"/>
      <c r="F44" s="29" t="n"/>
      <c r="G44" s="29" t="n"/>
      <c r="H44" s="29" t="n"/>
      <c r="I44" s="29" t="n"/>
      <c r="J44" s="49" t="n"/>
      <c r="K44" s="51" t="n"/>
      <c r="L44" s="29" t="n"/>
      <c r="M44" s="29" t="n"/>
      <c r="N44" s="29" t="n"/>
      <c r="O44" s="29" t="n"/>
      <c r="P44" s="29" t="n"/>
      <c r="Q44" s="29" t="n"/>
      <c r="R44" s="29" t="n"/>
    </row>
    <row r="45" ht="54" customHeight="1">
      <c r="A45" s="29" t="n"/>
      <c r="B45" s="29" t="n"/>
      <c r="C45" s="29" t="n"/>
      <c r="D45" s="29" t="n"/>
      <c r="E45" s="29" t="n"/>
      <c r="F45" s="29" t="n"/>
      <c r="G45" s="29" t="n"/>
      <c r="H45" s="29" t="n"/>
      <c r="I45" s="29" t="n"/>
      <c r="J45" s="49" t="n"/>
      <c r="K45" s="51" t="n"/>
      <c r="L45" s="29" t="n"/>
      <c r="M45" s="29" t="n"/>
      <c r="N45" s="29" t="n"/>
      <c r="O45" s="29" t="n"/>
      <c r="P45" s="29" t="n"/>
      <c r="Q45" s="29" t="n"/>
      <c r="R45" s="29" t="n"/>
    </row>
    <row r="46" ht="54" customHeight="1">
      <c r="A46" s="29" t="n"/>
      <c r="B46" s="29" t="n"/>
      <c r="C46" s="29" t="n"/>
      <c r="D46" s="29" t="n"/>
      <c r="E46" s="29" t="n"/>
      <c r="F46" s="29" t="n"/>
      <c r="G46" s="29" t="n"/>
      <c r="H46" s="29" t="n"/>
      <c r="I46" s="29" t="n"/>
      <c r="J46" s="49" t="n"/>
      <c r="K46" s="51" t="n"/>
      <c r="L46" s="29" t="n"/>
      <c r="M46" s="29" t="n"/>
      <c r="N46" s="29" t="n"/>
      <c r="O46" s="29" t="n"/>
      <c r="P46" s="29" t="n"/>
      <c r="Q46" s="29" t="n"/>
      <c r="R46" s="29" t="n"/>
    </row>
    <row r="47" ht="54" customHeight="1">
      <c r="A47" s="29" t="n"/>
      <c r="B47" s="29" t="n"/>
      <c r="C47" s="29" t="n"/>
      <c r="D47" s="29" t="n"/>
      <c r="E47" s="29" t="n"/>
      <c r="F47" s="29" t="n"/>
      <c r="G47" s="29" t="n"/>
      <c r="H47" s="29" t="n"/>
      <c r="I47" s="29" t="n"/>
      <c r="J47" s="49" t="n"/>
      <c r="K47" s="51" t="n"/>
      <c r="L47" s="29" t="n"/>
      <c r="M47" s="29" t="n"/>
      <c r="N47" s="29" t="n"/>
      <c r="O47" s="29" t="n"/>
      <c r="P47" s="29" t="n"/>
      <c r="Q47" s="29" t="n"/>
      <c r="R47" s="29" t="n"/>
    </row>
  </sheetData>
  <mergeCells count="1">
    <mergeCell ref="A3:H3"/>
  </mergeCells>
  <conditionalFormatting sqref="A8:A47">
    <cfRule type="expression" priority="1" dxfId="1">
      <formula>AND($A8&lt;&gt;"",ISBLANK(A8))</formula>
    </cfRule>
  </conditionalFormatting>
  <conditionalFormatting sqref="B8:B47">
    <cfRule type="expression" priority="2" dxfId="1">
      <formula>AND($A8&lt;&gt;"",ISBLANK(B8))</formula>
    </cfRule>
  </conditionalFormatting>
  <conditionalFormatting sqref="C8:C47">
    <cfRule type="expression" priority="3" dxfId="1">
      <formula>AND($A8&lt;&gt;"",ISBLANK(C8))</formula>
    </cfRule>
  </conditionalFormatting>
  <conditionalFormatting sqref="D8:D47">
    <cfRule type="expression" priority="4" dxfId="1">
      <formula>AND($A8&lt;&gt;"",ISBLANK(D8))</formula>
    </cfRule>
  </conditionalFormatting>
  <conditionalFormatting sqref="F8:F47">
    <cfRule type="expression" priority="5" dxfId="1">
      <formula>AND($A8&lt;&gt;"",ISBLANK(F8))</formula>
    </cfRule>
  </conditionalFormatting>
  <conditionalFormatting sqref="I8:I47">
    <cfRule type="expression" priority="6" dxfId="1">
      <formula>AND($A8&lt;&gt;"",ISBLANK(I8))</formula>
    </cfRule>
  </conditionalFormatting>
  <conditionalFormatting sqref="J8:J47">
    <cfRule type="expression" priority="7" dxfId="1">
      <formula>AND($A8&lt;&gt;"",ISBLANK(J8))</formula>
    </cfRule>
  </conditionalFormatting>
  <conditionalFormatting sqref="K8:K47">
    <cfRule type="expression" priority="8" dxfId="1">
      <formula>AND($A8&lt;&gt;"",ISBLANK(K8))</formula>
    </cfRule>
  </conditionalFormatting>
  <conditionalFormatting sqref="L8:L47">
    <cfRule type="expression" priority="9" dxfId="1">
      <formula>AND($A8&lt;&gt;"",ISBLANK(L8))</formula>
    </cfRule>
  </conditionalFormatting>
  <conditionalFormatting sqref="M8:M47">
    <cfRule type="expression" priority="10" dxfId="1">
      <formula>AND($A8&lt;&gt;"",ISBLANK(M8))</formula>
    </cfRule>
  </conditionalFormatting>
  <conditionalFormatting sqref="N8:N47">
    <cfRule type="expression" priority="11" dxfId="1">
      <formula>AND($A8&lt;&gt;"",ISBLANK(N8))</formula>
    </cfRule>
  </conditionalFormatting>
  <dataValidations count="2">
    <dataValidation sqref="L8:L47" showDropDown="0" showInputMessage="0" showErrorMessage="0" allowBlank="0" type="list">
      <formula1>"Evet,Hayır"</formula1>
    </dataValidation>
    <dataValidation sqref="M8:M47"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G8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48" customWidth="1" min="5" max="5"/>
    <col width="20" customWidth="1" min="6" max="6"/>
    <col width="28" customWidth="1" min="7" max="7"/>
  </cols>
  <sheetData>
    <row r="1" ht="30" customHeight="1">
      <c r="A1" s="2" t="n"/>
      <c r="B1" s="2" t="n"/>
      <c r="C1" s="2" t="n"/>
      <c r="D1" s="2" t="n"/>
      <c r="E1" s="2" t="n"/>
      <c r="F1" s="2" t="n"/>
      <c r="G1" s="2" t="n"/>
    </row>
    <row r="2" ht="30" customHeight="1">
      <c r="A2" s="19" t="inlineStr">
        <is>
          <t>Corteqs · Doğrudan kurum ve işlem bağlantıları</t>
        </is>
      </c>
      <c r="B2" s="2" t="n"/>
      <c r="C2" s="2" t="n"/>
      <c r="D2" s="2" t="n"/>
      <c r="E2" s="2" t="n"/>
      <c r="F2" s="2" t="n"/>
      <c r="G2" s="2" t="n"/>
    </row>
    <row r="3" ht="36" customHeight="1">
      <c r="A3" s="20" t="inlineStr">
        <is>
          <t>Türkçe başlığı okuyun; veriyi 8. satırdan yazın. 7. satırdaki alan adını ve sayfa adını değiştirmeyin.</t>
        </is>
      </c>
    </row>
    <row r="4" ht="30" customHeight="1">
      <c r="A4" s="21" t="n"/>
      <c r="B4" s="21" t="n"/>
      <c r="C4" s="21" t="n"/>
      <c r="D4" s="21" t="n"/>
      <c r="E4" s="21" t="n"/>
      <c r="F4" s="21" t="n"/>
      <c r="G4" s="21" t="n"/>
    </row>
    <row r="5" ht="26" customHeight="1">
      <c r="A5" s="22" t="inlineStr">
        <is>
          <t>Zorunlu</t>
        </is>
      </c>
      <c r="B5" s="22" t="inlineStr">
        <is>
          <t>Zorunlu</t>
        </is>
      </c>
      <c r="C5" s="22" t="inlineStr">
        <is>
          <t>Zorunlu</t>
        </is>
      </c>
      <c r="D5" s="22" t="inlineStr">
        <is>
          <t>Zorunlu</t>
        </is>
      </c>
      <c r="E5" s="22" t="inlineStr">
        <is>
          <t>Zorunlu</t>
        </is>
      </c>
      <c r="F5" s="22" t="inlineStr">
        <is>
          <t>Zorunlu · tarih</t>
        </is>
      </c>
      <c r="G5" s="22" t="inlineStr">
        <is>
          <t>Zorunlu</t>
        </is>
      </c>
    </row>
    <row r="6" ht="44" customHeight="1">
      <c r="A6" s="25" t="inlineStr">
        <is>
          <t>Bağlantı kimliği</t>
        </is>
      </c>
      <c r="B6" s="25" t="inlineStr">
        <is>
          <t>Şehir kimliği</t>
        </is>
      </c>
      <c r="C6" s="25" t="inlineStr">
        <is>
          <t>İçerik kimliği</t>
        </is>
      </c>
      <c r="D6" s="25" t="inlineStr">
        <is>
          <t>Bağlantı metni</t>
        </is>
      </c>
      <c r="E6" s="25" t="inlineStr">
        <is>
          <t>Doğrudan bağlantı</t>
        </is>
      </c>
      <c r="F6" s="25" t="inlineStr">
        <is>
          <t>Bağlantı kontrol tarihi</t>
        </is>
      </c>
      <c r="G6" s="25" t="inlineStr">
        <is>
          <t>Sıra</t>
        </is>
      </c>
    </row>
    <row r="7" ht="32" customHeight="1">
      <c r="A7" s="28" t="inlineStr">
        <is>
          <t>action_id</t>
        </is>
      </c>
      <c r="B7" s="28" t="inlineStr">
        <is>
          <t>city_id</t>
        </is>
      </c>
      <c r="C7" s="28" t="inlineStr">
        <is>
          <t>entry_id</t>
        </is>
      </c>
      <c r="D7" s="28" t="inlineStr">
        <is>
          <t>label</t>
        </is>
      </c>
      <c r="E7" s="28" t="inlineStr">
        <is>
          <t>url</t>
        </is>
      </c>
      <c r="F7" s="28" t="inlineStr">
        <is>
          <t>checked_on</t>
        </is>
      </c>
      <c r="G7" s="28" t="inlineStr">
        <is>
          <t>order</t>
        </is>
      </c>
    </row>
    <row r="8" ht="54" customHeight="1">
      <c r="A8" s="29" t="inlineStr">
        <is>
          <t>sevilla:action:egitim-sistemi-zorunlu-egitim-ve-okul-turleri-1</t>
        </is>
      </c>
      <c r="B8" s="29" t="inlineStr">
        <is>
          <t>sevilla</t>
        </is>
      </c>
      <c r="C8" s="29" t="inlineStr">
        <is>
          <t>sevilla:egitim-sistemi-zorunlu-egitim-ve-okul-turleri</t>
        </is>
      </c>
      <c r="D8" s="29" t="inlineStr">
        <is>
          <t>Bilgi al</t>
        </is>
      </c>
      <c r="E8" s="29" t="inlineStr">
        <is>
          <t>https://www.boe.es/buscar/act.php?id=BOE-A-2006-7899</t>
        </is>
      </c>
      <c r="F8" s="49" t="n">
        <v>46319</v>
      </c>
      <c r="G8" s="51" t="n">
        <v>1</v>
      </c>
    </row>
    <row r="9" ht="54" customHeight="1">
      <c r="A9" s="29" t="inlineStr">
        <is>
          <t>sevilla:action:yabanci-lise-diplomasi-ile-universiteye-giris-1</t>
        </is>
      </c>
      <c r="B9" s="29" t="inlineStr">
        <is>
          <t>sevilla</t>
        </is>
      </c>
      <c r="C9" s="29" t="inlineStr">
        <is>
          <t>sevilla:yabanci-lise-diplomasi-ile-universiteye-giris</t>
        </is>
      </c>
      <c r="D9" s="29" t="inlineStr">
        <is>
          <t>Bilgi al</t>
        </is>
      </c>
      <c r="E9" s="29" t="inlineStr">
        <is>
          <t>https://unedasiss.uned.es/publico_destino</t>
        </is>
      </c>
      <c r="F9" s="49" t="n">
        <v>46319</v>
      </c>
      <c r="G9" s="51" t="n">
        <v>1</v>
      </c>
    </row>
    <row r="10" ht="54" customHeight="1">
      <c r="A10" s="29" t="inlineStr">
        <is>
          <t>sevilla:action:yabanci-lise-diplomasi-ile-universiteye-giris-2</t>
        </is>
      </c>
      <c r="B10" s="29" t="inlineStr">
        <is>
          <t>sevilla</t>
        </is>
      </c>
      <c r="C10" s="29" t="inlineStr">
        <is>
          <t>sevilla:yabanci-lise-diplomasi-ile-universiteye-giris</t>
        </is>
      </c>
      <c r="D10" s="29" t="inlineStr">
        <is>
          <t>Bilgi al</t>
        </is>
      </c>
      <c r="E10" s="29" t="inlineStr">
        <is>
          <t>https://www.boe.es/buscar/act.php?id=BOE-A-2024-11858</t>
        </is>
      </c>
      <c r="F10" s="49" t="n">
        <v>46319</v>
      </c>
      <c r="G10" s="51" t="n">
        <v>2</v>
      </c>
    </row>
    <row r="11" ht="54" customHeight="1">
      <c r="A11" s="29" t="inlineStr">
        <is>
          <t>sevilla:action:ingreso-minimo-vital-ve-cocuk-destegi-1</t>
        </is>
      </c>
      <c r="B11" s="29" t="inlineStr">
        <is>
          <t>sevilla</t>
        </is>
      </c>
      <c r="C11" s="29" t="inlineStr">
        <is>
          <t>sevilla:ingreso-minimo-vital-ve-cocuk-destegi</t>
        </is>
      </c>
      <c r="D11" s="29" t="inlineStr">
        <is>
          <t>Bilgi al</t>
        </is>
      </c>
      <c r="E11" s="29" t="inlineStr">
        <is>
          <t>https://www.seg-social.es/wps/portal/wss/internet/Trabajadores/PrestacionesPensionesTrabajadores/65850d68-8d06-4645-bde7-05374ee42ac7</t>
        </is>
      </c>
      <c r="F11" s="49" t="n">
        <v>46319</v>
      </c>
      <c r="G11" s="51" t="n">
        <v>1</v>
      </c>
    </row>
    <row r="12" ht="54" customHeight="1">
      <c r="A12" s="29" t="inlineStr">
        <is>
          <t>sevilla:action:ingreso-minimo-vital-ve-cocuk-destegi-2</t>
        </is>
      </c>
      <c r="B12" s="29" t="inlineStr">
        <is>
          <t>sevilla</t>
        </is>
      </c>
      <c r="C12" s="29" t="inlineStr">
        <is>
          <t>sevilla:ingreso-minimo-vital-ve-cocuk-destegi</t>
        </is>
      </c>
      <c r="D12" s="29" t="inlineStr">
        <is>
          <t>Bilgi al</t>
        </is>
      </c>
      <c r="E12" s="29" t="inlineStr">
        <is>
          <t>https://www.boe.es/buscar/act.php?id=BOE-A-2021-21007</t>
        </is>
      </c>
      <c r="F12" s="49" t="n">
        <v>46319</v>
      </c>
      <c r="G12" s="51" t="n">
        <v>2</v>
      </c>
    </row>
    <row r="13" ht="54" customHeight="1">
      <c r="A13" s="29" t="inlineStr">
        <is>
          <t>sevilla:action:mec-burslari-ab-disi-sart-ve-basvuru-donemi-1</t>
        </is>
      </c>
      <c r="B13" s="29" t="inlineStr">
        <is>
          <t>sevilla</t>
        </is>
      </c>
      <c r="C13" s="29" t="inlineStr">
        <is>
          <t>sevilla:mec-burslari-ab-disi-sart-ve-basvuru-donemi</t>
        </is>
      </c>
      <c r="D13" s="29" t="inlineStr">
        <is>
          <t>Bilgi al</t>
        </is>
      </c>
      <c r="E13" s="29" t="inlineStr">
        <is>
          <t>https://www.becaseducacion.gob.es/becas-y-ayudas/universidad-grado-master/que-necesitas.html</t>
        </is>
      </c>
      <c r="F13" s="49" t="n">
        <v>46319</v>
      </c>
      <c r="G13" s="51" t="n">
        <v>1</v>
      </c>
    </row>
    <row r="14" ht="54" customHeight="1">
      <c r="A14" s="29" t="inlineStr">
        <is>
          <t>sevilla:action:mec-burslari-ab-disi-sart-ve-basvuru-donemi-2</t>
        </is>
      </c>
      <c r="B14" s="29" t="inlineStr">
        <is>
          <t>sevilla</t>
        </is>
      </c>
      <c r="C14" s="29" t="inlineStr">
        <is>
          <t>sevilla:mec-burslari-ab-disi-sart-ve-basvuru-donemi</t>
        </is>
      </c>
      <c r="D14" s="29" t="inlineStr">
        <is>
          <t>Bilgi al</t>
        </is>
      </c>
      <c r="E14" s="29" t="inlineStr">
        <is>
          <t>https://www.becaseducacion.gob.es/becas-y-ayudas/fp-bachillerato-otros/como-solicitarla.html</t>
        </is>
      </c>
      <c r="F14" s="49" t="n">
        <v>46319</v>
      </c>
      <c r="G14" s="51" t="n">
        <v>2</v>
      </c>
    </row>
    <row r="15" ht="54" customHeight="1">
      <c r="A15" s="29" t="inlineStr">
        <is>
          <t>sevilla:action:endulus-okul-kaydi-basvuru-donemi-ve-gec-gelen-ogrenci-1</t>
        </is>
      </c>
      <c r="B15" s="29" t="inlineStr">
        <is>
          <t>sevilla</t>
        </is>
      </c>
      <c r="C15" s="29" t="inlineStr">
        <is>
          <t>sevilla:endulus-okul-kaydi-basvuru-donemi-ve-gec-gelen-ogrenci</t>
        </is>
      </c>
      <c r="D15" s="29" t="inlineStr">
        <is>
          <t>Bilgi al</t>
        </is>
      </c>
      <c r="E15" s="29" t="inlineStr">
        <is>
          <t>https://www.juntadeandalucia.es/educacion/portales/web/escolarizacion/infantil-a-bachillerato/preguntas-frecuentes</t>
        </is>
      </c>
      <c r="F15" s="49" t="n">
        <v>46319</v>
      </c>
      <c r="G15" s="51" t="n">
        <v>1</v>
      </c>
    </row>
    <row r="16" ht="54" customHeight="1">
      <c r="A16" s="29" t="inlineStr">
        <is>
          <t>sevilla:action:endulus-okul-kaydi-basvuru-donemi-ve-gec-gelen-ogrenci-2</t>
        </is>
      </c>
      <c r="B16" s="29" t="inlineStr">
        <is>
          <t>sevilla</t>
        </is>
      </c>
      <c r="C16" s="29" t="inlineStr">
        <is>
          <t>sevilla:endulus-okul-kaydi-basvuru-donemi-ve-gec-gelen-ogrenci</t>
        </is>
      </c>
      <c r="D16" s="29" t="inlineStr">
        <is>
          <t>Bilgi al</t>
        </is>
      </c>
      <c r="E16" s="29" t="inlineStr">
        <is>
          <t>https://www.juntadeandalucia.es/boja/2020/34/1</t>
        </is>
      </c>
      <c r="F16" s="49" t="n">
        <v>46319</v>
      </c>
      <c r="G16" s="51" t="n">
        <v>2</v>
      </c>
    </row>
    <row r="17" ht="54" customHeight="1">
      <c r="A17" s="29" t="inlineStr">
        <is>
          <t>sevilla:action:sevilla-kres-escuela-infantil-0-3-yas-basvurusu-1</t>
        </is>
      </c>
      <c r="B17" s="29" t="inlineStr">
        <is>
          <t>sevilla</t>
        </is>
      </c>
      <c r="C17" s="29" t="inlineStr">
        <is>
          <t>sevilla:sevilla-kres-escuela-infantil-0-3-yas-basvurusu</t>
        </is>
      </c>
      <c r="D17" s="29" t="inlineStr">
        <is>
          <t>Bilgi al</t>
        </is>
      </c>
      <c r="E17" s="29" t="inlineStr">
        <is>
          <t>https://www.juntadeandalucia.es/temas/estudiar/infantil/admision-primer-ciclo.html</t>
        </is>
      </c>
      <c r="F17" s="49" t="n">
        <v>46319</v>
      </c>
      <c r="G17" s="51" t="n">
        <v>1</v>
      </c>
    </row>
    <row r="18" ht="54" customHeight="1">
      <c r="A18" s="29" t="inlineStr">
        <is>
          <t>sevilla:action:sevilla-kres-escuela-infantil-0-3-yas-basvurusu-2</t>
        </is>
      </c>
      <c r="B18" s="29" t="inlineStr">
        <is>
          <t>sevilla</t>
        </is>
      </c>
      <c r="C18" s="29" t="inlineStr">
        <is>
          <t>sevilla:sevilla-kres-escuela-infantil-0-3-yas-basvurusu</t>
        </is>
      </c>
      <c r="D18" s="29" t="inlineStr">
        <is>
          <t>Bilgi al</t>
        </is>
      </c>
      <c r="E18" s="29" t="inlineStr">
        <is>
          <t>https://www.juntadeandalucia.es/educacion/portales/web/escolarizacion/0-a-3-anos/calendario</t>
        </is>
      </c>
      <c r="F18" s="49" t="n">
        <v>46319</v>
      </c>
      <c r="G18" s="51" t="n">
        <v>2</v>
      </c>
    </row>
    <row r="19" ht="54" customHeight="1">
      <c r="A19" s="29" t="inlineStr">
        <is>
          <t>sevilla:action:sevilla-kres-sonuc-matrikul-bekleme-listesi-ve-olaganustu-basvuru-1</t>
        </is>
      </c>
      <c r="B19" s="29" t="inlineStr">
        <is>
          <t>sevilla</t>
        </is>
      </c>
      <c r="C19" s="29" t="inlineStr">
        <is>
          <t>sevilla:sevilla-kres-sonuc-matrikul-bekleme-listesi-ve-olaganustu-basvuru</t>
        </is>
      </c>
      <c r="D19" s="29" t="inlineStr">
        <is>
          <t>Formu doldur</t>
        </is>
      </c>
      <c r="E19" s="29" t="inlineStr">
        <is>
          <t>https://www.juntadeandalucia.es/educacion/portales/web/escolarizacion/0-a-3-anos/impresos</t>
        </is>
      </c>
      <c r="F19" s="49" t="n">
        <v>46319</v>
      </c>
      <c r="G19" s="51" t="n">
        <v>1</v>
      </c>
    </row>
    <row r="20" ht="54" customHeight="1">
      <c r="A20" s="29" t="inlineStr">
        <is>
          <t>sevilla:action:sevilla-kres-sonuc-matrikul-bekleme-listesi-ve-olaganustu-basvuru-2</t>
        </is>
      </c>
      <c r="B20" s="29" t="inlineStr">
        <is>
          <t>sevilla</t>
        </is>
      </c>
      <c r="C20" s="29" t="inlineStr">
        <is>
          <t>sevilla:sevilla-kres-sonuc-matrikul-bekleme-listesi-ve-olaganustu-basvuru</t>
        </is>
      </c>
      <c r="D20" s="29" t="inlineStr">
        <is>
          <t>Bilgi al</t>
        </is>
      </c>
      <c r="E20" s="29" t="inlineStr">
        <is>
          <t>https://www.juntadeandalucia.es/educacion/portales/web/escolarizacion/0-a-3-anos/calendario</t>
        </is>
      </c>
      <c r="F20" s="49" t="n">
        <v>46319</v>
      </c>
      <c r="G20" s="51" t="n">
        <v>2</v>
      </c>
    </row>
    <row r="21" ht="54" customHeight="1">
      <c r="A21" s="29" t="inlineStr">
        <is>
          <t>sevilla:action:sevilla-kres-ucret-yardimi-programa-de-ayuda-a-las-familias-1</t>
        </is>
      </c>
      <c r="B21" s="29" t="inlineStr">
        <is>
          <t>sevilla</t>
        </is>
      </c>
      <c r="C21" s="29" t="inlineStr">
        <is>
          <t>sevilla:sevilla-kres-ucret-yardimi-programa-de-ayuda-a-las-familias</t>
        </is>
      </c>
      <c r="D21" s="29" t="inlineStr">
        <is>
          <t>Formu doldur</t>
        </is>
      </c>
      <c r="E21" s="29" t="inlineStr">
        <is>
          <t>https://www.juntadeandalucia.es/educacion/portales/web/escolarizacion/0-a-3-anos/impresos</t>
        </is>
      </c>
      <c r="F21" s="49" t="n">
        <v>46319</v>
      </c>
      <c r="G21" s="51" t="n">
        <v>1</v>
      </c>
    </row>
    <row r="22" ht="54" customHeight="1">
      <c r="A22" s="29" t="inlineStr">
        <is>
          <t>sevilla:action:sevilla-kres-ucret-yardimi-programa-de-ayuda-a-las-familias-2</t>
        </is>
      </c>
      <c r="B22" s="29" t="inlineStr">
        <is>
          <t>sevilla</t>
        </is>
      </c>
      <c r="C22" s="29" t="inlineStr">
        <is>
          <t>sevilla:sevilla-kres-ucret-yardimi-programa-de-ayuda-a-las-familias</t>
        </is>
      </c>
      <c r="D22" s="29" t="inlineStr">
        <is>
          <t>Bilgi al</t>
        </is>
      </c>
      <c r="E22" s="29" t="inlineStr">
        <is>
          <t>https://www.juntadeandalucia.es/temas/estudiar/infantil/admision-primer-ciclo.html</t>
        </is>
      </c>
      <c r="F22" s="49" t="n">
        <v>46319</v>
      </c>
      <c r="G22" s="51" t="n">
        <v>2</v>
      </c>
    </row>
    <row r="23" ht="54" customHeight="1">
      <c r="A23" s="29" t="inlineStr">
        <is>
          <t>sevilla:action:sevilla-atal-ispanyolca-bilmeyen-cocuk-icin-okul-destegi-1</t>
        </is>
      </c>
      <c r="B23" s="29" t="inlineStr">
        <is>
          <t>sevilla</t>
        </is>
      </c>
      <c r="C23" s="29" t="inlineStr">
        <is>
          <t>sevilla:sevilla-atal-ispanyolca-bilmeyen-cocuk-icin-okul-destegi</t>
        </is>
      </c>
      <c r="D23" s="29" t="inlineStr">
        <is>
          <t>Bilgi al</t>
        </is>
      </c>
      <c r="E23" s="29" t="inlineStr">
        <is>
          <t>https://www.juntadeandalucia.es/organismos/educacionydeporte/consejeria/sobre-consejeria/planes/detalle/59497.html</t>
        </is>
      </c>
      <c r="F23" s="49" t="n">
        <v>46319</v>
      </c>
      <c r="G23" s="51" t="n">
        <v>1</v>
      </c>
    </row>
    <row r="24" ht="54" customHeight="1">
      <c r="A24" s="29" t="inlineStr">
        <is>
          <t>sevilla:action:sevilla-atal-ispanyolca-bilmeyen-cocuk-icin-okul-destegi-2</t>
        </is>
      </c>
      <c r="B24" s="29" t="inlineStr">
        <is>
          <t>sevilla</t>
        </is>
      </c>
      <c r="C24" s="29" t="inlineStr">
        <is>
          <t>sevilla:sevilla-atal-ispanyolca-bilmeyen-cocuk-icin-okul-destegi</t>
        </is>
      </c>
      <c r="D24" s="29" t="inlineStr">
        <is>
          <t>Bilgi al</t>
        </is>
      </c>
      <c r="E24" s="29" t="inlineStr">
        <is>
          <t>https://www.juntadeandalucia.es/organismos/educacion/consejeria/delegaciones/sevilla.html</t>
        </is>
      </c>
      <c r="F24" s="49" t="n">
        <v>46319</v>
      </c>
      <c r="G24" s="51" t="n">
        <v>2</v>
      </c>
    </row>
    <row r="25" ht="54" customHeight="1">
      <c r="A25" s="29" t="inlineStr">
        <is>
          <t>sevilla:action:sevilla-yenidogan-bebek-nufus-kaydi-registro-civil-1</t>
        </is>
      </c>
      <c r="B25" s="29" t="inlineStr">
        <is>
          <t>sevilla</t>
        </is>
      </c>
      <c r="C25" s="29" t="inlineStr">
        <is>
          <t>sevilla:sevilla-yenidogan-bebek-nufus-kaydi-registro-civil</t>
        </is>
      </c>
      <c r="D25" s="29" t="inlineStr">
        <is>
          <t>Randevu al</t>
        </is>
      </c>
      <c r="E25" s="29" t="inlineStr">
        <is>
          <t>https://sede.mjusticia.gob.es/tramites/cita-previa-registro-civil</t>
        </is>
      </c>
      <c r="F25" s="49" t="n">
        <v>46319</v>
      </c>
      <c r="G25" s="51" t="n">
        <v>1</v>
      </c>
    </row>
    <row r="26" ht="54" customHeight="1">
      <c r="A26" s="29" t="inlineStr">
        <is>
          <t>sevilla:action:sevilla-yenidogan-bebek-nufus-kaydi-registro-civil-2</t>
        </is>
      </c>
      <c r="B26" s="29" t="inlineStr">
        <is>
          <t>sevilla</t>
        </is>
      </c>
      <c r="C26" s="29" t="inlineStr">
        <is>
          <t>sevilla:sevilla-yenidogan-bebek-nufus-kaydi-registro-civil</t>
        </is>
      </c>
      <c r="D26" s="29" t="inlineStr">
        <is>
          <t>Bilgi al</t>
        </is>
      </c>
      <c r="E26" s="29" t="inlineStr">
        <is>
          <t>https://www.juntadeandalucia.es/organismos/turismojusticiadesregulacionyadministracionlocal/areas/justicia/atencion-ciudadania/tramites-registro-civil/informacion-adicional/rc-exclusivo-sevilla.html</t>
        </is>
      </c>
      <c r="F26" s="49" t="n">
        <v>46319</v>
      </c>
      <c r="G26" s="51" t="n">
        <v>2</v>
      </c>
    </row>
    <row r="27" ht="54" customHeight="1">
      <c r="A27" s="29" t="inlineStr">
        <is>
          <t>sevilla:action:sevilla-dogum-sonrasi-saglik-sosyal-guvenlik-ve-padron-adimlari-1</t>
        </is>
      </c>
      <c r="B27" s="29" t="inlineStr">
        <is>
          <t>sevilla</t>
        </is>
      </c>
      <c r="C27" s="29" t="inlineStr">
        <is>
          <t>sevilla:sevilla-dogum-sonrasi-saglik-sosyal-guvenlik-ve-padron-adimlari</t>
        </is>
      </c>
      <c r="D27" s="29" t="inlineStr">
        <is>
          <t>Bilgi al</t>
        </is>
      </c>
      <c r="E27" s="29" t="inlineStr">
        <is>
          <t>https://www.juntadeandalucia.es/temas/familias-igualdad/formar-familia/hijos.html</t>
        </is>
      </c>
      <c r="F27" s="49" t="n">
        <v>46319</v>
      </c>
      <c r="G27" s="51" t="n">
        <v>1</v>
      </c>
    </row>
    <row r="28" ht="54" customHeight="1">
      <c r="A28" s="29" t="inlineStr">
        <is>
          <t>sevilla:action:sevilla-dogum-sonrasi-saglik-sosyal-guvenlik-ve-padron-adimlari-2</t>
        </is>
      </c>
      <c r="B28" s="29" t="inlineStr">
        <is>
          <t>sevilla</t>
        </is>
      </c>
      <c r="C28" s="29" t="inlineStr">
        <is>
          <t>sevilla:sevilla-dogum-sonrasi-saglik-sosyal-guvenlik-ve-padron-adimlari</t>
        </is>
      </c>
      <c r="D28" s="29" t="inlineStr">
        <is>
          <t>Randevu al</t>
        </is>
      </c>
      <c r="E28" s="29" t="inlineStr">
        <is>
          <t>https://sede.mjusticia.gob.es/tramites/cita-previa-registro-civil</t>
        </is>
      </c>
      <c r="F28" s="49" t="n">
        <v>46319</v>
      </c>
      <c r="G28" s="51" t="n">
        <v>2</v>
      </c>
    </row>
    <row r="29" ht="54" customHeight="1">
      <c r="A29" s="29" t="inlineStr">
        <is>
          <t>sevilla:action:sevilla-registro-civil-hangi-islem-icin-hangi-telefon-1</t>
        </is>
      </c>
      <c r="B29" s="29" t="inlineStr">
        <is>
          <t>sevilla</t>
        </is>
      </c>
      <c r="C29" s="29" t="inlineStr">
        <is>
          <t>sevilla:sevilla-registro-civil-hangi-islem-icin-hangi-telefon</t>
        </is>
      </c>
      <c r="D29" s="29" t="inlineStr">
        <is>
          <t>Randevu al</t>
        </is>
      </c>
      <c r="E29" s="29" t="inlineStr">
        <is>
          <t>https://sede.mjusticia.gob.es/tramites/cita-previa-registro-civil</t>
        </is>
      </c>
      <c r="F29" s="49" t="n">
        <v>46319</v>
      </c>
      <c r="G29" s="51" t="n">
        <v>1</v>
      </c>
    </row>
    <row r="30" ht="54" customHeight="1">
      <c r="A30" s="29" t="inlineStr">
        <is>
          <t>sevilla:action:sevilla-registro-civil-hangi-islem-icin-hangi-telefon-2</t>
        </is>
      </c>
      <c r="B30" s="29" t="inlineStr">
        <is>
          <t>sevilla</t>
        </is>
      </c>
      <c r="C30" s="29" t="inlineStr">
        <is>
          <t>sevilla:sevilla-registro-civil-hangi-islem-icin-hangi-telefon</t>
        </is>
      </c>
      <c r="D30" s="29" t="inlineStr">
        <is>
          <t>Bilgi al</t>
        </is>
      </c>
      <c r="E30" s="29" t="inlineStr">
        <is>
          <t>https://www.juntadeandalucia.es/organismos/turismojusticiadesregulacionyadministracionlocal/areas/justicia/atencion-ciudadania/tramites-registro-civil/informacion-adicional/rc-exclusivo-sevilla.html</t>
        </is>
      </c>
      <c r="F30" s="49" t="n">
        <v>46319</v>
      </c>
      <c r="G30" s="51" t="n">
        <v>2</v>
      </c>
    </row>
    <row r="31" ht="54" customHeight="1">
      <c r="A31" s="29" t="inlineStr">
        <is>
          <t>sevilla:action:sevilla-aile-destekleri-ekonomik-yardim-bulusma-noktasi-arabuluculuk-1</t>
        </is>
      </c>
      <c r="B31" s="29" t="inlineStr">
        <is>
          <t>sevilla</t>
        </is>
      </c>
      <c r="C31" s="29" t="inlineStr">
        <is>
          <t>sevilla:sevilla-aile-destekleri-ekonomik-yardim-bulusma-noktasi-arabuluculuk</t>
        </is>
      </c>
      <c r="D31" s="29" t="inlineStr">
        <is>
          <t>Bilgi al</t>
        </is>
      </c>
      <c r="E31" s="29" t="inlineStr">
        <is>
          <t>https://www.juntadeandalucia.es/temas/familias-igualdad/formar-familia/apoyo.html</t>
        </is>
      </c>
      <c r="F31" s="49" t="n">
        <v>46319</v>
      </c>
      <c r="G31" s="51" t="n">
        <v>1</v>
      </c>
    </row>
    <row r="32" ht="54" customHeight="1">
      <c r="A32" s="29" t="inlineStr">
        <is>
          <t>sevilla:action:sevilla-aile-destekleri-ekonomik-yardim-bulusma-noktasi-arabuluculuk-2</t>
        </is>
      </c>
      <c r="B32" s="29" t="inlineStr">
        <is>
          <t>sevilla</t>
        </is>
      </c>
      <c r="C32" s="29" t="inlineStr">
        <is>
          <t>sevilla:sevilla-aile-destekleri-ekonomik-yardim-bulusma-noktasi-arabuluculuk</t>
        </is>
      </c>
      <c r="D32" s="29" t="inlineStr">
        <is>
          <t>Bilgi al</t>
        </is>
      </c>
      <c r="E32" s="29" t="inlineStr">
        <is>
          <t>https://www.juntadeandalucia.es/temas/familias-igualdad/formar-familia/hijos.html</t>
        </is>
      </c>
      <c r="F32" s="49" t="n">
        <v>46319</v>
      </c>
      <c r="G32" s="51" t="n">
        <v>2</v>
      </c>
    </row>
    <row r="33" ht="54" customHeight="1">
      <c r="A33" s="29" t="inlineStr">
        <is>
          <t>sevilla:action:sevilla-egitim-delegasyonu-delegacion-territorial-adres-telefon-1</t>
        </is>
      </c>
      <c r="B33" s="29" t="inlineStr">
        <is>
          <t>sevilla</t>
        </is>
      </c>
      <c r="C33" s="29" t="inlineStr">
        <is>
          <t>sevilla:sevilla-egitim-delegasyonu-delegacion-territorial-adres-telefon</t>
        </is>
      </c>
      <c r="D33" s="29" t="inlineStr">
        <is>
          <t>Bilgi al</t>
        </is>
      </c>
      <c r="E33" s="29" t="inlineStr">
        <is>
          <t>https://www.juntadeandalucia.es/organismos/educacion/consejeria/delegaciones/sevilla.html</t>
        </is>
      </c>
      <c r="F33" s="49" t="n">
        <v>46319</v>
      </c>
      <c r="G33" s="51" t="n">
        <v>1</v>
      </c>
    </row>
    <row r="34" ht="54" customHeight="1">
      <c r="A34" s="29" t="inlineStr">
        <is>
          <t>sevilla:action:sevilla-egitim-delegasyonu-delegacion-territorial-adres-telefon-2</t>
        </is>
      </c>
      <c r="B34" s="29" t="inlineStr">
        <is>
          <t>sevilla</t>
        </is>
      </c>
      <c r="C34" s="29" t="inlineStr">
        <is>
          <t>sevilla:sevilla-egitim-delegasyonu-delegacion-territorial-adres-telefon</t>
        </is>
      </c>
      <c r="D34" s="29" t="inlineStr">
        <is>
          <t>Bilgi al</t>
        </is>
      </c>
      <c r="E34" s="29" t="inlineStr">
        <is>
          <t>https://www.juntadeandalucia.es/temas/estudiar/primaria-eso/matriculacion.html</t>
        </is>
      </c>
      <c r="F34" s="49" t="n">
        <v>46319</v>
      </c>
      <c r="G34" s="51" t="n">
        <v>2</v>
      </c>
    </row>
    <row r="35" ht="54" customHeight="1">
      <c r="A35" s="29" t="inlineStr">
        <is>
          <t>sevilla:action:sevilla-okul-basvurusu-ve-matrikul-online-secretaria-virtual-iande-1</t>
        </is>
      </c>
      <c r="B35" s="29" t="inlineStr">
        <is>
          <t>sevilla</t>
        </is>
      </c>
      <c r="C35" s="29" t="inlineStr">
        <is>
          <t>sevilla:sevilla-okul-basvurusu-ve-matrikul-online-secretaria-virtual-iande</t>
        </is>
      </c>
      <c r="D35" s="29" t="inlineStr">
        <is>
          <t>Başvur</t>
        </is>
      </c>
      <c r="E35" s="29" t="inlineStr">
        <is>
          <t>https://www.juntadeandalucia.es/temas/estudiar/primaria-eso/matriculacion.html</t>
        </is>
      </c>
      <c r="F35" s="49" t="n">
        <v>46319</v>
      </c>
      <c r="G35" s="51" t="n">
        <v>1</v>
      </c>
    </row>
    <row r="36" ht="54" customHeight="1">
      <c r="A36" s="29" t="inlineStr">
        <is>
          <t>sevilla:action:sevilla-okul-basvurusu-ve-matrikul-online-secretaria-virtual-iande-2</t>
        </is>
      </c>
      <c r="B36" s="29" t="inlineStr">
        <is>
          <t>sevilla</t>
        </is>
      </c>
      <c r="C36" s="29" t="inlineStr">
        <is>
          <t>sevilla:sevilla-okul-basvurusu-ve-matrikul-online-secretaria-virtual-iande</t>
        </is>
      </c>
      <c r="D36" s="29" t="inlineStr">
        <is>
          <t>Bilgi al</t>
        </is>
      </c>
      <c r="E36" s="29" t="inlineStr">
        <is>
          <t>https://www.juntadeandalucia.es/temas/estudiar/infantil/admision-segundo-ciclo.html</t>
        </is>
      </c>
      <c r="F36" s="49" t="n">
        <v>46319</v>
      </c>
      <c r="G36" s="51" t="n">
        <v>2</v>
      </c>
    </row>
    <row r="37" ht="54" customHeight="1">
      <c r="A37" s="29" t="inlineStr">
        <is>
          <t>sevilla:action:sevilla-okul-yeri-yetersizse-puanlama-ve-oncelik-kriterleri-1</t>
        </is>
      </c>
      <c r="B37" s="29" t="inlineStr">
        <is>
          <t>sevilla</t>
        </is>
      </c>
      <c r="C37" s="29" t="inlineStr">
        <is>
          <t>sevilla:sevilla-okul-yeri-yetersizse-puanlama-ve-oncelik-kriterleri</t>
        </is>
      </c>
      <c r="D37" s="29" t="inlineStr">
        <is>
          <t>Bilgi al</t>
        </is>
      </c>
      <c r="E37" s="29" t="inlineStr">
        <is>
          <t>https://www.juntadeandalucia.es/educacion/portales/web/escolarizacion/infantil-a-bachillerato/preguntas-frecuentes</t>
        </is>
      </c>
      <c r="F37" s="49" t="n">
        <v>46319</v>
      </c>
      <c r="G37" s="51" t="n">
        <v>1</v>
      </c>
    </row>
    <row r="38" ht="54" customHeight="1">
      <c r="A38" s="29" t="inlineStr">
        <is>
          <t>sevilla:action:sevilla-okul-yeri-yetersizse-puanlama-ve-oncelik-kriterleri-2</t>
        </is>
      </c>
      <c r="B38" s="29" t="inlineStr">
        <is>
          <t>sevilla</t>
        </is>
      </c>
      <c r="C38" s="29" t="inlineStr">
        <is>
          <t>sevilla:sevilla-okul-yeri-yetersizse-puanlama-ve-oncelik-kriterleri</t>
        </is>
      </c>
      <c r="D38" s="29" t="inlineStr">
        <is>
          <t>Bilgi al</t>
        </is>
      </c>
      <c r="E38" s="29" t="inlineStr">
        <is>
          <t>https://www.juntadeandalucia.es/temas/estudiar/primaria-eso/matriculacion.html</t>
        </is>
      </c>
      <c r="F38" s="49" t="n">
        <v>46319</v>
      </c>
      <c r="G38" s="51" t="n">
        <v>2</v>
      </c>
    </row>
    <row r="39" ht="54" customHeight="1">
      <c r="A39" s="29" t="inlineStr">
        <is>
          <t>sevilla:action:sevilla-okul-yemegi-sabah-bakimi-ve-etkinlikler-servicios-complementarios-1</t>
        </is>
      </c>
      <c r="B39" s="29" t="inlineStr">
        <is>
          <t>sevilla</t>
        </is>
      </c>
      <c r="C39" s="29" t="inlineStr">
        <is>
          <t>sevilla:sevilla-okul-yemegi-sabah-bakimi-ve-etkinlikler-servicios-complementarios</t>
        </is>
      </c>
      <c r="D39" s="29" t="inlineStr">
        <is>
          <t>Bilgi al</t>
        </is>
      </c>
      <c r="E39" s="29" t="inlineStr">
        <is>
          <t>https://www.juntadeandalucia.es/educacion/portales/web/escolarizacion/infantil-a-bachillerato/preguntas-frecuentes</t>
        </is>
      </c>
      <c r="F39" s="49" t="n">
        <v>46319</v>
      </c>
      <c r="G39" s="51" t="n">
        <v>1</v>
      </c>
    </row>
    <row r="40" ht="54" customHeight="1">
      <c r="A40" s="29" t="inlineStr">
        <is>
          <t>sevilla:action:sevilla-okul-yemegi-sabah-bakimi-ve-etkinlikler-servicios-complementarios-2</t>
        </is>
      </c>
      <c r="B40" s="29" t="inlineStr">
        <is>
          <t>sevilla</t>
        </is>
      </c>
      <c r="C40" s="29" t="inlineStr">
        <is>
          <t>sevilla:sevilla-okul-yemegi-sabah-bakimi-ve-etkinlikler-servicios-complementarios</t>
        </is>
      </c>
      <c r="D40" s="29" t="inlineStr">
        <is>
          <t>Başvur</t>
        </is>
      </c>
      <c r="E40" s="29" t="inlineStr">
        <is>
          <t>https://www.juntadeandalucia.es/temas/estudiar/primaria-eso/matriculacion.html</t>
        </is>
      </c>
      <c r="F40" s="49" t="n">
        <v>46319</v>
      </c>
      <c r="G40" s="51" t="n">
        <v>2</v>
      </c>
    </row>
    <row r="41" ht="54" customHeight="1">
      <c r="A41" s="29" t="inlineStr">
        <is>
          <t>sevilla:action:sevilla-okul-yerlestirme-sonuclari-itiraz-ve-matrikul-takvimi-1</t>
        </is>
      </c>
      <c r="B41" s="29" t="inlineStr">
        <is>
          <t>sevilla</t>
        </is>
      </c>
      <c r="C41" s="29" t="inlineStr">
        <is>
          <t>sevilla:sevilla-okul-yerlestirme-sonuclari-itiraz-ve-matrikul-takvimi</t>
        </is>
      </c>
      <c r="D41" s="29" t="inlineStr">
        <is>
          <t>Bilgi al</t>
        </is>
      </c>
      <c r="E41" s="29" t="inlineStr">
        <is>
          <t>https://www.juntadeandalucia.es/educacion/portales/web/escolarizacion/infantil-a-bachillerato/calendario</t>
        </is>
      </c>
      <c r="F41" s="49" t="n">
        <v>46319</v>
      </c>
      <c r="G41" s="51" t="n">
        <v>1</v>
      </c>
    </row>
    <row r="42" ht="54" customHeight="1">
      <c r="A42" s="29" t="inlineStr">
        <is>
          <t>sevilla:action:sevilla-okul-yerlestirme-sonuclari-itiraz-ve-matrikul-takvimi-2</t>
        </is>
      </c>
      <c r="B42" s="29" t="inlineStr">
        <is>
          <t>sevilla</t>
        </is>
      </c>
      <c r="C42" s="29" t="inlineStr">
        <is>
          <t>sevilla:sevilla-okul-yerlestirme-sonuclari-itiraz-ve-matrikul-takvimi</t>
        </is>
      </c>
      <c r="D42" s="29" t="inlineStr">
        <is>
          <t>Başvur</t>
        </is>
      </c>
      <c r="E42" s="29" t="inlineStr">
        <is>
          <t>https://www.juntadeandalucia.es/temas/estudiar/primaria-eso/matriculacion.html</t>
        </is>
      </c>
      <c r="F42" s="49" t="n">
        <v>46319</v>
      </c>
      <c r="G42" s="51" t="n">
        <v>2</v>
      </c>
    </row>
    <row r="43" ht="54" customHeight="1">
      <c r="A43" s="29" t="inlineStr">
        <is>
          <t>sevilla:action:familia-numerosa-unvani-alma-yenileme-ve-sevilla-basvurusu-1</t>
        </is>
      </c>
      <c r="B43" s="29" t="inlineStr">
        <is>
          <t>sevilla</t>
        </is>
      </c>
      <c r="C43" s="29" t="inlineStr">
        <is>
          <t>sevilla:familia-numerosa-unvani-alma-yenileme-ve-sevilla-basvurusu</t>
        </is>
      </c>
      <c r="D43" s="29" t="inlineStr">
        <is>
          <t>Başvur</t>
        </is>
      </c>
      <c r="E43" s="29" t="inlineStr">
        <is>
          <t>https://www.juntadeandalucia.es/organismos/serviciossocialesfamiliaseigualdad/areas/familias/familia-numerosa/paginas/familia-numerosa-titulo.html</t>
        </is>
      </c>
      <c r="F43" s="49" t="n">
        <v>46320</v>
      </c>
      <c r="G43" s="51" t="n">
        <v>1</v>
      </c>
    </row>
    <row r="44" ht="54" customHeight="1">
      <c r="A44" s="29" t="inlineStr">
        <is>
          <t>sevilla:action:familia-numerosa-unvani-alma-yenileme-ve-sevilla-basvurusu-2</t>
        </is>
      </c>
      <c r="B44" s="29" t="inlineStr">
        <is>
          <t>sevilla</t>
        </is>
      </c>
      <c r="C44" s="29" t="inlineStr">
        <is>
          <t>sevilla:familia-numerosa-unvani-alma-yenileme-ve-sevilla-basvurusu</t>
        </is>
      </c>
      <c r="D44" s="29" t="inlineStr">
        <is>
          <t>Bilgi al</t>
        </is>
      </c>
      <c r="E44" s="29" t="inlineStr">
        <is>
          <t>https://www.juntadeandalucia.es/organismos/serviciossocialesfamiliaseigualdad/consejeria/delegaciones/sevilla.html</t>
        </is>
      </c>
      <c r="F44" s="49" t="n">
        <v>46320</v>
      </c>
      <c r="G44" s="51" t="n">
        <v>2</v>
      </c>
    </row>
    <row r="45" ht="54" customHeight="1">
      <c r="A45" s="29" t="inlineStr">
        <is>
          <t>sevilla:action:kira-sozlesmesi-suresi-ve-uzama-1</t>
        </is>
      </c>
      <c r="B45" s="29" t="inlineStr">
        <is>
          <t>sevilla</t>
        </is>
      </c>
      <c r="C45" s="29" t="inlineStr">
        <is>
          <t>sevilla:kira-sozlesmesi-suresi-ve-uzama</t>
        </is>
      </c>
      <c r="D45" s="29" t="inlineStr">
        <is>
          <t>Bilgi al</t>
        </is>
      </c>
      <c r="E45" s="29" t="inlineStr">
        <is>
          <t>https://www.boe.es/buscar/act.php?id=BOE-A-1994-26003</t>
        </is>
      </c>
      <c r="F45" s="49" t="n">
        <v>46319</v>
      </c>
      <c r="G45" s="51" t="n">
        <v>1</v>
      </c>
    </row>
    <row r="46" ht="54" customHeight="1">
      <c r="A46" s="29" t="inlineStr">
        <is>
          <t>sevilla:action:kira-depozitosu-fianza-ve-iade-1</t>
        </is>
      </c>
      <c r="B46" s="29" t="inlineStr">
        <is>
          <t>sevilla</t>
        </is>
      </c>
      <c r="C46" s="29" t="inlineStr">
        <is>
          <t>sevilla:kira-depozitosu-fianza-ve-iade</t>
        </is>
      </c>
      <c r="D46" s="29" t="inlineStr">
        <is>
          <t>Bilgi al</t>
        </is>
      </c>
      <c r="E46" s="29" t="inlineStr">
        <is>
          <t>https://www.boe.es/buscar/act.php?id=BOE-A-1994-26003</t>
        </is>
      </c>
      <c r="F46" s="49" t="n">
        <v>46319</v>
      </c>
      <c r="G46" s="51" t="n">
        <v>1</v>
      </c>
    </row>
    <row r="47" ht="54" customHeight="1">
      <c r="A47" s="29" t="inlineStr">
        <is>
          <t>sevilla:action:kira-artisi-siniri-irav-1</t>
        </is>
      </c>
      <c r="B47" s="29" t="inlineStr">
        <is>
          <t>sevilla</t>
        </is>
      </c>
      <c r="C47" s="29" t="inlineStr">
        <is>
          <t>sevilla:kira-artisi-siniri-irav</t>
        </is>
      </c>
      <c r="D47" s="29" t="inlineStr">
        <is>
          <t>Bilgi al</t>
        </is>
      </c>
      <c r="E47" s="29" t="inlineStr">
        <is>
          <t>https://ine.es/dyngs/INEbase/operacion.htm?c=Estadistica_C&amp;cid=1254736177110&amp;idp=1254735976607&amp;menu=ultiDatos</t>
        </is>
      </c>
      <c r="F47" s="49" t="n">
        <v>46319</v>
      </c>
      <c r="G47" s="51" t="n">
        <v>1</v>
      </c>
    </row>
    <row r="48" ht="54" customHeight="1">
      <c r="A48" s="29" t="inlineStr">
        <is>
          <t>sevilla:action:kira-artisi-siniri-irav-2</t>
        </is>
      </c>
      <c r="B48" s="29" t="inlineStr">
        <is>
          <t>sevilla</t>
        </is>
      </c>
      <c r="C48" s="29" t="inlineStr">
        <is>
          <t>sevilla:kira-artisi-siniri-irav</t>
        </is>
      </c>
      <c r="D48" s="29" t="inlineStr">
        <is>
          <t>Bilgi al</t>
        </is>
      </c>
      <c r="E48" s="29" t="inlineStr">
        <is>
          <t>https://www.boe.es/buscar/act.php?id=BOE-A-1994-26003</t>
        </is>
      </c>
      <c r="F48" s="49" t="n">
        <v>46319</v>
      </c>
      <c r="G48" s="51" t="n">
        <v>2</v>
      </c>
    </row>
    <row r="49" ht="54" customHeight="1">
      <c r="A49" s="29" t="inlineStr">
        <is>
          <t>sevilla:action:kirada-onarim-ve-hasar-sorumlulugu-1</t>
        </is>
      </c>
      <c r="B49" s="29" t="inlineStr">
        <is>
          <t>sevilla</t>
        </is>
      </c>
      <c r="C49" s="29" t="inlineStr">
        <is>
          <t>sevilla:kirada-onarim-ve-hasar-sorumlulugu</t>
        </is>
      </c>
      <c r="D49" s="29" t="inlineStr">
        <is>
          <t>Bilgi al</t>
        </is>
      </c>
      <c r="E49" s="29" t="inlineStr">
        <is>
          <t>https://www.boe.es/buscar/act.php?id=BOE-A-1994-26003</t>
        </is>
      </c>
      <c r="F49" s="49" t="n">
        <v>46319</v>
      </c>
      <c r="G49" s="51" t="n">
        <v>1</v>
      </c>
    </row>
    <row r="50" ht="54" customHeight="1">
      <c r="A50" s="29" t="inlineStr">
        <is>
          <t>sevilla:action:kiralik-evden-cikis-ve-ihbar-suresi-1</t>
        </is>
      </c>
      <c r="B50" s="29" t="inlineStr">
        <is>
          <t>sevilla</t>
        </is>
      </c>
      <c r="C50" s="29" t="inlineStr">
        <is>
          <t>sevilla:kiralik-evden-cikis-ve-ihbar-suresi</t>
        </is>
      </c>
      <c r="D50" s="29" t="inlineStr">
        <is>
          <t>Bilgi al</t>
        </is>
      </c>
      <c r="E50" s="29" t="inlineStr">
        <is>
          <t>https://www.boe.es/buscar/act.php?id=BOE-A-1994-26003</t>
        </is>
      </c>
      <c r="F50" s="49" t="n">
        <v>46319</v>
      </c>
      <c r="G50" s="51" t="n">
        <v>1</v>
      </c>
    </row>
    <row r="51" ht="54" customHeight="1">
      <c r="A51" s="29" t="inlineStr">
        <is>
          <t>sevilla:action:kiralik-ilan-dolandiriciligini-tanima-1</t>
        </is>
      </c>
      <c r="B51" s="29" t="inlineStr">
        <is>
          <t>sevilla</t>
        </is>
      </c>
      <c r="C51" s="29" t="inlineStr">
        <is>
          <t>sevilla:kiralik-ilan-dolandiriciligini-tanima</t>
        </is>
      </c>
      <c r="D51" s="29" t="inlineStr">
        <is>
          <t>Bilgi al</t>
        </is>
      </c>
      <c r="E51" s="29" t="inlineStr">
        <is>
          <t>https://www.incibe.es/ciudadania/estafas-alquileres</t>
        </is>
      </c>
      <c r="F51" s="49" t="n">
        <v>46319</v>
      </c>
      <c r="G51" s="51" t="n">
        <v>1</v>
      </c>
    </row>
    <row r="52" ht="54" customHeight="1">
      <c r="A52" s="29" t="inlineStr">
        <is>
          <t>sevilla:action:kiralik-ilan-dolandiriciligini-tanima-2</t>
        </is>
      </c>
      <c r="B52" s="29" t="inlineStr">
        <is>
          <t>sevilla</t>
        </is>
      </c>
      <c r="C52" s="29" t="inlineStr">
        <is>
          <t>sevilla:kiralik-ilan-dolandiriciligini-tanima</t>
        </is>
      </c>
      <c r="D52" s="29" t="inlineStr">
        <is>
          <t>Bilgi al</t>
        </is>
      </c>
      <c r="E52" s="29" t="inlineStr">
        <is>
          <t>https://www.boe.es/buscar/act.php?id=BOE-A-1994-26003</t>
        </is>
      </c>
      <c r="F52" s="49" t="n">
        <v>46319</v>
      </c>
      <c r="G52" s="51" t="n">
        <v>2</v>
      </c>
    </row>
    <row r="53" ht="54" customHeight="1">
      <c r="A53" s="29" t="inlineStr">
        <is>
          <t>sevilla:action:endulus-kira-depozitosu-fianza-avra-yatirma-zorunlulugu-1</t>
        </is>
      </c>
      <c r="B53" s="29" t="inlineStr">
        <is>
          <t>sevilla</t>
        </is>
      </c>
      <c r="C53" s="29" t="inlineStr">
        <is>
          <t>sevilla:endulus-kira-depozitosu-fianza-avra-yatirma-zorunlulugu</t>
        </is>
      </c>
      <c r="D53" s="29" t="inlineStr">
        <is>
          <t>Bilgi al</t>
        </is>
      </c>
      <c r="E53" s="29" t="inlineStr">
        <is>
          <t>https://www.juntadeandalucia.es/organismos/avra/areas/fianzas/notas-ley-vivienda-andalucia-2025.html</t>
        </is>
      </c>
      <c r="F53" s="49" t="n">
        <v>46319</v>
      </c>
      <c r="G53" s="51" t="n">
        <v>1</v>
      </c>
    </row>
    <row r="54" ht="54" customHeight="1">
      <c r="A54" s="29" t="inlineStr">
        <is>
          <t>sevilla:action:sevilla-korumali-konut-kayit-defteri-nedir-1</t>
        </is>
      </c>
      <c r="B54" s="29" t="inlineStr">
        <is>
          <t>sevilla</t>
        </is>
      </c>
      <c r="C54" s="29" t="inlineStr">
        <is>
          <t>sevilla:sevilla-korumali-konut-kayit-defteri-nedir</t>
        </is>
      </c>
      <c r="D54" s="29" t="inlineStr">
        <is>
          <t>Başvur</t>
        </is>
      </c>
      <c r="E54" s="29" t="inlineStr">
        <is>
          <t>https://www.emvisesa.org/viviendas/registro-publico-municipal-de-demandantes-de-vivienda-protegida-de-sevilla/solicitud-de-inscripcion-en-el-registro-de-demandantes/</t>
        </is>
      </c>
      <c r="F54" s="49" t="n">
        <v>46319</v>
      </c>
      <c r="G54" s="51" t="n">
        <v>1</v>
      </c>
    </row>
    <row r="55" ht="54" customHeight="1">
      <c r="A55" s="29" t="inlineStr">
        <is>
          <t>sevilla:action:sevilla-korumali-konut-kayit-defteri-nedir-2</t>
        </is>
      </c>
      <c r="B55" s="29" t="inlineStr">
        <is>
          <t>sevilla</t>
        </is>
      </c>
      <c r="C55" s="29" t="inlineStr">
        <is>
          <t>sevilla:sevilla-korumali-konut-kayit-defteri-nedir</t>
        </is>
      </c>
      <c r="D55" s="29" t="inlineStr">
        <is>
          <t>Bilgi al</t>
        </is>
      </c>
      <c r="E55" s="29" t="inlineStr">
        <is>
          <t>https://www.emvisesa.org/viviendas/registro-publico-municipal-de-demandantes-de-vivienda-protegida-de-sevilla/</t>
        </is>
      </c>
      <c r="F55" s="49" t="n">
        <v>46319</v>
      </c>
      <c r="G55" s="51" t="n">
        <v>2</v>
      </c>
    </row>
    <row r="56" ht="54" customHeight="1">
      <c r="A56" s="29" t="inlineStr">
        <is>
          <t>sevilla:action:sevilla-konut-kayit-basvurusu-randevu-ve-form-1</t>
        </is>
      </c>
      <c r="B56" s="29" t="inlineStr">
        <is>
          <t>sevilla</t>
        </is>
      </c>
      <c r="C56" s="29" t="inlineStr">
        <is>
          <t>sevilla:sevilla-konut-kayit-basvurusu-randevu-ve-form</t>
        </is>
      </c>
      <c r="D56" s="29" t="inlineStr">
        <is>
          <t>Randevu al</t>
        </is>
      </c>
      <c r="E56" s="29" t="inlineStr">
        <is>
          <t>https://www.emvisesa.org/viviendas/registro-publico-municipal-de-demandantes-de-vivienda-protegida-de-sevilla/solicitud-de-inscripcion-en-el-registro-de-demandantes/</t>
        </is>
      </c>
      <c r="F56" s="49" t="n">
        <v>46319</v>
      </c>
      <c r="G56" s="51" t="n">
        <v>1</v>
      </c>
    </row>
    <row r="57" ht="54" customHeight="1">
      <c r="A57" s="29" t="inlineStr">
        <is>
          <t>sevilla:action:sevilla-konut-kayit-basvurusu-randevu-ve-form-2</t>
        </is>
      </c>
      <c r="B57" s="29" t="inlineStr">
        <is>
          <t>sevilla</t>
        </is>
      </c>
      <c r="C57" s="29" t="inlineStr">
        <is>
          <t>sevilla:sevilla-konut-kayit-basvurusu-randevu-ve-form</t>
        </is>
      </c>
      <c r="D57" s="29" t="inlineStr">
        <is>
          <t>Bilgi al</t>
        </is>
      </c>
      <c r="E57" s="29" t="inlineStr">
        <is>
          <t>https://www.emvisesa.org/viviendas/solicitar-una-vivienda/</t>
        </is>
      </c>
      <c r="F57" s="49" t="n">
        <v>46319</v>
      </c>
      <c r="G57" s="51" t="n">
        <v>2</v>
      </c>
    </row>
    <row r="58" ht="54" customHeight="1">
      <c r="A58" s="29" t="inlineStr">
        <is>
          <t>sevilla:action:korumali-konut-oncelik-gruplari-ve-kontenjanlar-1</t>
        </is>
      </c>
      <c r="B58" s="29" t="inlineStr">
        <is>
          <t>sevilla</t>
        </is>
      </c>
      <c r="C58" s="29" t="inlineStr">
        <is>
          <t>sevilla:korumali-konut-oncelik-gruplari-ve-kontenjanlar</t>
        </is>
      </c>
      <c r="D58" s="29" t="inlineStr">
        <is>
          <t>Bilgi al</t>
        </is>
      </c>
      <c r="E58" s="29" t="inlineStr">
        <is>
          <t>https://www.emvisesa.org/viviendas/registro-publico-municipal-de-demandantes-de-vivienda-protegida-de-sevilla/faq-registro-de-demandantes/</t>
        </is>
      </c>
      <c r="F58" s="49" t="n">
        <v>46319</v>
      </c>
      <c r="G58" s="51" t="n">
        <v>1</v>
      </c>
    </row>
    <row r="59" ht="54" customHeight="1">
      <c r="A59" s="29" t="inlineStr">
        <is>
          <t>sevilla:action:korumali-konut-oncelik-gruplari-ve-kontenjanlar-2</t>
        </is>
      </c>
      <c r="B59" s="29" t="inlineStr">
        <is>
          <t>sevilla</t>
        </is>
      </c>
      <c r="C59" s="29" t="inlineStr">
        <is>
          <t>sevilla:korumali-konut-oncelik-gruplari-ve-kontenjanlar</t>
        </is>
      </c>
      <c r="D59" s="29" t="inlineStr">
        <is>
          <t>Başvur</t>
        </is>
      </c>
      <c r="E59" s="29" t="inlineStr">
        <is>
          <t>https://www.emvisesa.org/viviendas/registro-publico-municipal-de-demandantes-de-vivienda-protegida-de-sevilla/solicitud-de-inscripcion-en-el-registro-de-demandantes/</t>
        </is>
      </c>
      <c r="F59" s="49" t="n">
        <v>46319</v>
      </c>
      <c r="G59" s="51" t="n">
        <v>2</v>
      </c>
    </row>
    <row r="60" ht="54" customHeight="1">
      <c r="A60" s="29" t="inlineStr">
        <is>
          <t>sevilla:action:korumali-konut-cekilis-gecerlilik-ve-vazgecme-1</t>
        </is>
      </c>
      <c r="B60" s="29" t="inlineStr">
        <is>
          <t>sevilla</t>
        </is>
      </c>
      <c r="C60" s="29" t="inlineStr">
        <is>
          <t>sevilla:korumali-konut-cekilis-gecerlilik-ve-vazgecme</t>
        </is>
      </c>
      <c r="D60" s="29" t="inlineStr">
        <is>
          <t>Bilgi al</t>
        </is>
      </c>
      <c r="E60" s="29" t="inlineStr">
        <is>
          <t>https://www.emvisesa.org/viviendas/registro-publico-municipal-de-demandantes-de-vivienda-protegida-de-sevilla/faq-registro-de-demandantes/</t>
        </is>
      </c>
      <c r="F60" s="49" t="n">
        <v>46319</v>
      </c>
      <c r="G60" s="51" t="n">
        <v>1</v>
      </c>
    </row>
    <row r="61" ht="54" customHeight="1">
      <c r="A61" s="29" t="inlineStr">
        <is>
          <t>sevilla:action:korumali-konut-cekilis-gecerlilik-ve-vazgecme-2</t>
        </is>
      </c>
      <c r="B61" s="29" t="inlineStr">
        <is>
          <t>sevilla</t>
        </is>
      </c>
      <c r="C61" s="29" t="inlineStr">
        <is>
          <t>sevilla:korumali-konut-cekilis-gecerlilik-ve-vazgecme</t>
        </is>
      </c>
      <c r="D61" s="29" t="inlineStr">
        <is>
          <t>Başvur</t>
        </is>
      </c>
      <c r="E61" s="29" t="inlineStr">
        <is>
          <t>https://www.emvisesa.org/viviendas/solicitar-una-vivienda/</t>
        </is>
      </c>
      <c r="F61" s="49" t="n">
        <v>46319</v>
      </c>
      <c r="G61" s="51" t="n">
        <v>2</v>
      </c>
    </row>
    <row r="62" ht="54" customHeight="1">
      <c r="A62" s="29" t="inlineStr">
        <is>
          <t>sevilla:action:sevilla-kira-referans-fiyat-haritasi-ipra-1</t>
        </is>
      </c>
      <c r="B62" s="29" t="inlineStr">
        <is>
          <t>sevilla</t>
        </is>
      </c>
      <c r="C62" s="29" t="inlineStr">
        <is>
          <t>sevilla:sevilla-kira-referans-fiyat-haritasi-ipra</t>
        </is>
      </c>
      <c r="D62" s="29" t="inlineStr">
        <is>
          <t>Bilgi al</t>
        </is>
      </c>
      <c r="E62" s="29" t="inlineStr">
        <is>
          <t>https://www.emvisesa.org/aprobacion-definitiva-de-la-actualizacion-del-ipra/</t>
        </is>
      </c>
      <c r="F62" s="49" t="n">
        <v>46319</v>
      </c>
      <c r="G62" s="51" t="n">
        <v>1</v>
      </c>
    </row>
    <row r="63" ht="54" customHeight="1">
      <c r="A63" s="29" t="inlineStr">
        <is>
          <t>sevilla:action:bono-alquiler-joven-endulus-2026-1</t>
        </is>
      </c>
      <c r="B63" s="29" t="inlineStr">
        <is>
          <t>sevilla</t>
        </is>
      </c>
      <c r="C63" s="29" t="inlineStr">
        <is>
          <t>sevilla:bono-alquiler-joven-endulus-2026</t>
        </is>
      </c>
      <c r="D63" s="29" t="inlineStr">
        <is>
          <t>Bilgi al</t>
        </is>
      </c>
      <c r="E63" s="29" t="inlineStr">
        <is>
          <t>https://www.juntadeandalucia.es/organismos/fomentoarticulaciondelterritorioyvivienda/areas/vivienda-rehabilitacion/fomento-alquiler/bono-alquiler-joven/paginas/convocatoria-2025.html</t>
        </is>
      </c>
      <c r="F63" s="49" t="n">
        <v>46319</v>
      </c>
      <c r="G63" s="51" t="n">
        <v>1</v>
      </c>
    </row>
    <row r="64" ht="54" customHeight="1">
      <c r="A64" s="29" t="inlineStr">
        <is>
          <t>sevilla:action:bono-alquiler-joven-kira-tavani-sozlesme-turleri-1</t>
        </is>
      </c>
      <c r="B64" s="29" t="inlineStr">
        <is>
          <t>sevilla</t>
        </is>
      </c>
      <c r="C64" s="29" t="inlineStr">
        <is>
          <t>sevilla:bono-alquiler-joven-kira-tavani-sozlesme-turleri</t>
        </is>
      </c>
      <c r="D64" s="29" t="inlineStr">
        <is>
          <t>Bilgi al</t>
        </is>
      </c>
      <c r="E64" s="29" t="inlineStr">
        <is>
          <t>https://www.juntadeandalucia.es/organismos/fomentoarticulaciondelterritorioyvivienda/areas/vivienda-rehabilitacion/fomento-alquiler/bono-alquiler-joven/paginas/convocatoria-2025.html</t>
        </is>
      </c>
      <c r="F64" s="49" t="n">
        <v>46319</v>
      </c>
      <c r="G64" s="51" t="n">
        <v>1</v>
      </c>
    </row>
    <row r="65" ht="54" customHeight="1">
      <c r="A65" s="29" t="inlineStr">
        <is>
          <t>sevilla:action:emvisesa-ppr-2026-kira-yardimi-1</t>
        </is>
      </c>
      <c r="B65" s="29" t="inlineStr">
        <is>
          <t>sevilla</t>
        </is>
      </c>
      <c r="C65" s="29" t="inlineStr">
        <is>
          <t>sevilla:emvisesa-ppr-2026-kira-yardimi</t>
        </is>
      </c>
      <c r="D65" s="29" t="inlineStr">
        <is>
          <t>Randevu al</t>
        </is>
      </c>
      <c r="E65" s="29" t="inlineStr">
        <is>
          <t>https://www.emvisesa.org/tag/ayudas-al-alquiler/</t>
        </is>
      </c>
      <c r="F65" s="49" t="n">
        <v>46319</v>
      </c>
      <c r="G65" s="51" t="n">
        <v>1</v>
      </c>
    </row>
    <row r="66" ht="54" customHeight="1">
      <c r="A66" s="29" t="inlineStr">
        <is>
          <t>sevilla:action:sevilla-konut-isleri-adresler-emvisesa-registro-omdv-1</t>
        </is>
      </c>
      <c r="B66" s="29" t="inlineStr">
        <is>
          <t>sevilla</t>
        </is>
      </c>
      <c r="C66" s="29" t="inlineStr">
        <is>
          <t>sevilla:sevilla-konut-isleri-adresler-emvisesa-registro-omdv</t>
        </is>
      </c>
      <c r="D66" s="29" t="inlineStr">
        <is>
          <t>Randevu al</t>
        </is>
      </c>
      <c r="E66" s="29" t="inlineStr">
        <is>
          <t>https://www.emvisesa.org/viviendas/registro-publico-municipal-de-demandantes-de-vivienda-protegida-de-sevilla/</t>
        </is>
      </c>
      <c r="F66" s="49" t="n">
        <v>46319</v>
      </c>
      <c r="G66" s="51" t="n">
        <v>1</v>
      </c>
    </row>
    <row r="67" ht="54" customHeight="1">
      <c r="A67" s="29" t="inlineStr">
        <is>
          <t>sevilla:action:sevilla-konut-isleri-adresler-emvisesa-registro-omdv-2</t>
        </is>
      </c>
      <c r="B67" s="29" t="inlineStr">
        <is>
          <t>sevilla</t>
        </is>
      </c>
      <c r="C67" s="29" t="inlineStr">
        <is>
          <t>sevilla:sevilla-konut-isleri-adresler-emvisesa-registro-omdv</t>
        </is>
      </c>
      <c r="D67" s="29" t="inlineStr">
        <is>
          <t>Bilgi al</t>
        </is>
      </c>
      <c r="E67" s="29" t="inlineStr">
        <is>
          <t>https://www.emvisesa.org/tag/ayudas-al-alquiler/</t>
        </is>
      </c>
      <c r="F67" s="49" t="n">
        <v>46319</v>
      </c>
      <c r="G67" s="51" t="n">
        <v>2</v>
      </c>
    </row>
    <row r="68" ht="54" customHeight="1">
      <c r="A68" s="29" t="inlineStr">
        <is>
          <t>sevilla:action:endulus-kiraci-haklari-satis-ev-giris-faturalar-1</t>
        </is>
      </c>
      <c r="B68" s="29" t="inlineStr">
        <is>
          <t>sevilla</t>
        </is>
      </c>
      <c r="C68" s="29" t="inlineStr">
        <is>
          <t>sevilla:endulus-kiraci-haklari-satis-ev-giris-faturalar</t>
        </is>
      </c>
      <c r="D68" s="29" t="inlineStr">
        <is>
          <t>Bilgi al</t>
        </is>
      </c>
      <c r="E68" s="29" t="inlineStr">
        <is>
          <t>https://www.juntadeandalucia.es/temas/vivienda-consumo/alquiler/informacion/paginas/derechos-obligaciones.html</t>
        </is>
      </c>
      <c r="F68" s="49" t="n">
        <v>46319</v>
      </c>
      <c r="G68" s="51" t="n">
        <v>1</v>
      </c>
    </row>
    <row r="69" ht="54" customHeight="1">
      <c r="A69" s="29" t="inlineStr">
        <is>
          <t>sevilla:action:kira-ve-konut-hizmeti-sikayeti-hoja-de-reclamaciones-012-1</t>
        </is>
      </c>
      <c r="B69" s="29" t="inlineStr">
        <is>
          <t>sevilla</t>
        </is>
      </c>
      <c r="C69" s="29" t="inlineStr">
        <is>
          <t>sevilla:kira-ve-konut-hizmeti-sikayeti-hoja-de-reclamaciones-012</t>
        </is>
      </c>
      <c r="D69" s="29" t="inlineStr">
        <is>
          <t>Formu doldur</t>
        </is>
      </c>
      <c r="E69" s="29" t="inlineStr">
        <is>
          <t>https://www.juntadeandalucia.es/temas/vivienda-consumo/consumo/reclamaciones.html</t>
        </is>
      </c>
      <c r="F69" s="49" t="n">
        <v>46319</v>
      </c>
      <c r="G69" s="51" t="n">
        <v>1</v>
      </c>
    </row>
    <row r="70" ht="54" customHeight="1">
      <c r="A70" s="29" t="inlineStr">
        <is>
          <t>sevilla:action:kira-ve-konut-hizmeti-sikayeti-hoja-de-reclamaciones-012-2</t>
        </is>
      </c>
      <c r="B70" s="29" t="inlineStr">
        <is>
          <t>sevilla</t>
        </is>
      </c>
      <c r="C70" s="29" t="inlineStr">
        <is>
          <t>sevilla:kira-ve-konut-hizmeti-sikayeti-hoja-de-reclamaciones-012</t>
        </is>
      </c>
      <c r="D70" s="29" t="inlineStr">
        <is>
          <t>Bilgi al</t>
        </is>
      </c>
      <c r="E70" s="29" t="inlineStr">
        <is>
          <t>https://www.juntadeandalucia.es/temas/vivienda-consumo/alquiler/informacion/paginas/derechos-obligaciones.html</t>
        </is>
      </c>
      <c r="F70" s="49" t="n">
        <v>46319</v>
      </c>
      <c r="G70" s="51" t="n">
        <v>2</v>
      </c>
    </row>
    <row r="71" ht="54" customHeight="1">
      <c r="A71" s="29" t="inlineStr">
        <is>
          <t>sevilla:action:avra-eski-fianza-iade-basvurusu-model-810-1</t>
        </is>
      </c>
      <c r="B71" s="29" t="inlineStr">
        <is>
          <t>sevilla</t>
        </is>
      </c>
      <c r="C71" s="29" t="inlineStr">
        <is>
          <t>sevilla:avra-eski-fianza-iade-basvurusu-model-810</t>
        </is>
      </c>
      <c r="D71" s="29" t="inlineStr">
        <is>
          <t>Formu doldur</t>
        </is>
      </c>
      <c r="E71" s="29" t="inlineStr">
        <is>
          <t>https://www.juntadeandalucia.es/organismos/avra/areas/fianzas/recupera.html</t>
        </is>
      </c>
      <c r="F71" s="49" t="n">
        <v>46319</v>
      </c>
      <c r="G71" s="51" t="n">
        <v>1</v>
      </c>
    </row>
    <row r="72" ht="54" customHeight="1">
      <c r="A72" s="29" t="inlineStr">
        <is>
          <t>sevilla:action:avra-eski-fianza-iade-basvurusu-model-810-2</t>
        </is>
      </c>
      <c r="B72" s="29" t="inlineStr">
        <is>
          <t>sevilla</t>
        </is>
      </c>
      <c r="C72" s="29" t="inlineStr">
        <is>
          <t>sevilla:avra-eski-fianza-iade-basvurusu-model-810</t>
        </is>
      </c>
      <c r="D72" s="29" t="inlineStr">
        <is>
          <t>Bilgi al</t>
        </is>
      </c>
      <c r="E72" s="29" t="inlineStr">
        <is>
          <t>https://www.juntadeandalucia.es/organismos/avra/areas/fianzas/notas-ley-vivienda-andalucia-2025.html</t>
        </is>
      </c>
      <c r="F72" s="49" t="n">
        <v>46319</v>
      </c>
      <c r="G72" s="51" t="n">
        <v>2</v>
      </c>
    </row>
    <row r="73" ht="54" customHeight="1">
      <c r="A73" s="29" t="inlineStr">
        <is>
          <t>sevilla:action:elektrik-aboneligi-serbest-piyasa-pvpc-1</t>
        </is>
      </c>
      <c r="B73" s="29" t="inlineStr">
        <is>
          <t>sevilla</t>
        </is>
      </c>
      <c r="C73" s="29" t="inlineStr">
        <is>
          <t>sevilla:elektrik-aboneligi-serbest-piyasa-pvpc</t>
        </is>
      </c>
      <c r="D73" s="29" t="inlineStr">
        <is>
          <t>Bilgi al</t>
        </is>
      </c>
      <c r="E73" s="29" t="inlineStr">
        <is>
          <t>https://www.miteco.gob.es/es/energia/energia-electrica/electricidad/contratacion-suministro.html</t>
        </is>
      </c>
      <c r="F73" s="49" t="n">
        <v>46319</v>
      </c>
      <c r="G73" s="51" t="n">
        <v>1</v>
      </c>
    </row>
    <row r="74" ht="54" customHeight="1">
      <c r="A74" s="29" t="inlineStr">
        <is>
          <t>sevilla:action:elektrik-aboneligi-serbest-piyasa-pvpc-2</t>
        </is>
      </c>
      <c r="B74" s="29" t="inlineStr">
        <is>
          <t>sevilla</t>
        </is>
      </c>
      <c r="C74" s="29" t="inlineStr">
        <is>
          <t>sevilla:elektrik-aboneligi-serbest-piyasa-pvpc</t>
        </is>
      </c>
      <c r="D74" s="29" t="inlineStr">
        <is>
          <t>Bilgi al</t>
        </is>
      </c>
      <c r="E74" s="29" t="inlineStr">
        <is>
          <t>https://www.cnmc.es/facil-para-ti/que-hace-la-cnmc-para-consumidores/comercializacion-y-suministro-electrico</t>
        </is>
      </c>
      <c r="F74" s="49" t="n">
        <v>46319</v>
      </c>
      <c r="G74" s="51" t="n">
        <v>2</v>
      </c>
    </row>
    <row r="75" ht="54" customHeight="1">
      <c r="A75" s="29" t="inlineStr">
        <is>
          <t>sevilla:action:elektrik-faturasi-nasil-okunur-1</t>
        </is>
      </c>
      <c r="B75" s="29" t="inlineStr">
        <is>
          <t>sevilla</t>
        </is>
      </c>
      <c r="C75" s="29" t="inlineStr">
        <is>
          <t>sevilla:elektrik-faturasi-nasil-okunur</t>
        </is>
      </c>
      <c r="D75" s="29" t="inlineStr">
        <is>
          <t>Bilgi al</t>
        </is>
      </c>
      <c r="E75" s="29" t="inlineStr">
        <is>
          <t>https://www.cnmc.es/facil-para-ti/que-hace-la-cnmc-para-consumidores/comercializacion-y-suministro-electrico</t>
        </is>
      </c>
      <c r="F75" s="49" t="n">
        <v>46319</v>
      </c>
      <c r="G75" s="51" t="n">
        <v>1</v>
      </c>
    </row>
    <row r="76" ht="54" customHeight="1">
      <c r="A76" s="29" t="inlineStr">
        <is>
          <t>sevilla:action:elektrik-faturasi-nasil-okunur-2</t>
        </is>
      </c>
      <c r="B76" s="29" t="inlineStr">
        <is>
          <t>sevilla</t>
        </is>
      </c>
      <c r="C76" s="29" t="inlineStr">
        <is>
          <t>sevilla:elektrik-faturasi-nasil-okunur</t>
        </is>
      </c>
      <c r="D76" s="29" t="inlineStr">
        <is>
          <t>Bilgi al</t>
        </is>
      </c>
      <c r="E76" s="29" t="inlineStr">
        <is>
          <t>https://www.miteco.gob.es/es/energia/energia-electrica/electricidad/contratacion-suministro/precio-voluntario.html</t>
        </is>
      </c>
      <c r="F76" s="49" t="n">
        <v>46319</v>
      </c>
      <c r="G76" s="51" t="n">
        <v>2</v>
      </c>
    </row>
    <row r="77" ht="54" customHeight="1">
      <c r="A77" s="29" t="inlineStr">
        <is>
          <t>sevilla:action:sozlesmeli-elektrik-gucu-nasil-secilir-1</t>
        </is>
      </c>
      <c r="B77" s="29" t="inlineStr">
        <is>
          <t>sevilla</t>
        </is>
      </c>
      <c r="C77" s="29" t="inlineStr">
        <is>
          <t>sevilla:sozlesmeli-elektrik-gucu-nasil-secilir</t>
        </is>
      </c>
      <c r="D77" s="29" t="inlineStr">
        <is>
          <t>Bilgi al</t>
        </is>
      </c>
      <c r="E77" s="29" t="inlineStr">
        <is>
          <t>https://www.cnmc.es/facil-para-ti/que-hace-la-cnmc-para-consumidores/comercializacion-y-suministro-electrico</t>
        </is>
      </c>
      <c r="F77" s="49" t="n">
        <v>46319</v>
      </c>
      <c r="G77" s="51" t="n">
        <v>1</v>
      </c>
    </row>
    <row r="78" ht="54" customHeight="1">
      <c r="A78" s="29" t="inlineStr">
        <is>
          <t>sevilla:action:sozlesmeli-elektrik-gucu-nasil-secilir-2</t>
        </is>
      </c>
      <c r="B78" s="29" t="inlineStr">
        <is>
          <t>sevilla</t>
        </is>
      </c>
      <c r="C78" s="29" t="inlineStr">
        <is>
          <t>sevilla:sozlesmeli-elektrik-gucu-nasil-secilir</t>
        </is>
      </c>
      <c r="D78" s="29" t="inlineStr">
        <is>
          <t>Bilgi al</t>
        </is>
      </c>
      <c r="E78" s="29" t="inlineStr">
        <is>
          <t>https://www.miteco.gob.es/es/energia/energia-electrica/electricidad/contratacion-suministro.html</t>
        </is>
      </c>
      <c r="F78" s="49" t="n">
        <v>46319</v>
      </c>
      <c r="G78" s="51" t="n">
        <v>2</v>
      </c>
    </row>
    <row r="79" ht="54" customHeight="1">
      <c r="A79" s="29" t="inlineStr">
        <is>
          <t>sevilla:action:dogalgaz-aboneligi-tur-ve-fatura-1</t>
        </is>
      </c>
      <c r="B79" s="29" t="inlineStr">
        <is>
          <t>sevilla</t>
        </is>
      </c>
      <c r="C79" s="29" t="inlineStr">
        <is>
          <t>sevilla:dogalgaz-aboneligi-tur-ve-fatura</t>
        </is>
      </c>
      <c r="D79" s="29" t="inlineStr">
        <is>
          <t>Bilgi al</t>
        </is>
      </c>
      <c r="E79" s="29" t="inlineStr">
        <is>
          <t>https://www.cnmc.es/facil-para-ti/que-hace-la-cnmc-para-consumidores/consumidores-gas</t>
        </is>
      </c>
      <c r="F79" s="49" t="n">
        <v>46319</v>
      </c>
      <c r="G79" s="51" t="n">
        <v>1</v>
      </c>
    </row>
    <row r="80" ht="54" customHeight="1">
      <c r="A80" s="29" t="inlineStr">
        <is>
          <t>sevilla:action:bono-social-elektrik-kimler-alir-1</t>
        </is>
      </c>
      <c r="B80" s="29" t="inlineStr">
        <is>
          <t>sevilla</t>
        </is>
      </c>
      <c r="C80" s="29" t="inlineStr">
        <is>
          <t>sevilla:bono-social-elektrik-kimler-alir</t>
        </is>
      </c>
      <c r="D80" s="29" t="inlineStr">
        <is>
          <t>Bilgi al</t>
        </is>
      </c>
      <c r="E80" s="29" t="inlineStr">
        <is>
          <t>https://www.miteco.gob.es/es/energia/pobreza-energetica/pe-001/requisitos.html</t>
        </is>
      </c>
      <c r="F80" s="49" t="n">
        <v>46319</v>
      </c>
      <c r="G80" s="51" t="n">
        <v>1</v>
      </c>
    </row>
    <row r="81" ht="54" customHeight="1">
      <c r="A81" s="29" t="inlineStr">
        <is>
          <t>sevilla:action:bono-social-elektrik-kimler-alir-2</t>
        </is>
      </c>
      <c r="B81" s="29" t="inlineStr">
        <is>
          <t>sevilla</t>
        </is>
      </c>
      <c r="C81" s="29" t="inlineStr">
        <is>
          <t>sevilla:bono-social-elektrik-kimler-alir</t>
        </is>
      </c>
      <c r="D81" s="29" t="inlineStr">
        <is>
          <t>Bilgi al</t>
        </is>
      </c>
      <c r="E81" s="29" t="inlineStr">
        <is>
          <t>https://www.boe.es/buscar/act.php?id=BOE-A-2017-11505</t>
        </is>
      </c>
      <c r="F81" s="49" t="n">
        <v>46319</v>
      </c>
      <c r="G81" s="51" t="n">
        <v>2</v>
      </c>
    </row>
    <row r="82" ht="54" customHeight="1">
      <c r="A82" s="29" t="inlineStr">
        <is>
          <t>sevilla:action:internet-mobil-hat-sozlesmesi-taahhut-cayma-1</t>
        </is>
      </c>
      <c r="B82" s="29" t="inlineStr">
        <is>
          <t>sevilla</t>
        </is>
      </c>
      <c r="C82" s="29" t="inlineStr">
        <is>
          <t>sevilla:internet-mobil-hat-sozlesmesi-taahhut-cayma</t>
        </is>
      </c>
      <c r="D82" s="29" t="inlineStr">
        <is>
          <t>Bilgi al</t>
        </is>
      </c>
      <c r="E82" s="29" t="inlineStr">
        <is>
          <t>https://www.boe.es/buscar/act.php?id=BOE-A-2022-10757</t>
        </is>
      </c>
      <c r="F82" s="49" t="n">
        <v>46319</v>
      </c>
      <c r="G82" s="51" t="n">
        <v>1</v>
      </c>
    </row>
    <row r="83" ht="54" customHeight="1">
      <c r="A83" s="29" t="inlineStr">
        <is>
          <t>sevilla:action:internet-mobil-hat-sozlesmesi-taahhut-cayma-2</t>
        </is>
      </c>
      <c r="B83" s="29" t="inlineStr">
        <is>
          <t>sevilla</t>
        </is>
      </c>
      <c r="C83" s="29" t="inlineStr">
        <is>
          <t>sevilla:internet-mobil-hat-sozlesmesi-taahhut-cayma</t>
        </is>
      </c>
      <c r="D83" s="29" t="inlineStr">
        <is>
          <t>Bilgi al</t>
        </is>
      </c>
      <c r="E83" s="29" t="inlineStr">
        <is>
          <t>https://www.boe.es/buscar/act.php?id=BOE-A-2007-20555</t>
        </is>
      </c>
      <c r="F83" s="49" t="n">
        <v>46319</v>
      </c>
      <c r="G83" s="51" t="n">
        <v>2</v>
      </c>
    </row>
    <row r="84" ht="54" customHeight="1">
      <c r="A84" s="29" t="inlineStr">
        <is>
          <t>sevilla:action:cnmc-teklif-karsilastirma-araci-1</t>
        </is>
      </c>
      <c r="B84" s="29" t="inlineStr">
        <is>
          <t>sevilla</t>
        </is>
      </c>
      <c r="C84" s="29" t="inlineStr">
        <is>
          <t>sevilla:cnmc-teklif-karsilastirma-araci</t>
        </is>
      </c>
      <c r="D84" s="29" t="inlineStr">
        <is>
          <t>Hesapla</t>
        </is>
      </c>
      <c r="E84" s="29" t="inlineStr">
        <is>
          <t>https://www.cnmc.es/facil-para-ti/herramientas-utiles/energia</t>
        </is>
      </c>
      <c r="F84" s="49" t="n">
        <v>46319</v>
      </c>
      <c r="G84" s="51" t="n">
        <v>1</v>
      </c>
    </row>
    <row r="85" ht="54" customHeight="1">
      <c r="A85" s="29" t="inlineStr">
        <is>
          <t>sevilla:action:cnmc-teklif-karsilastirma-araci-2</t>
        </is>
      </c>
      <c r="B85" s="29" t="inlineStr">
        <is>
          <t>sevilla</t>
        </is>
      </c>
      <c r="C85" s="29" t="inlineStr">
        <is>
          <t>sevilla:cnmc-teklif-karsilastirma-araci</t>
        </is>
      </c>
      <c r="D85" s="29" t="inlineStr">
        <is>
          <t>Bilgi al</t>
        </is>
      </c>
      <c r="E85" s="29" t="inlineStr">
        <is>
          <t>https://www.cnmc.es/facil-para-ti/que-hace-la-cnmc-para-consumidores/consumidores-gas</t>
        </is>
      </c>
      <c r="F85" s="49" t="n">
        <v>46319</v>
      </c>
      <c r="G85" s="51" t="n">
        <v>2</v>
      </c>
    </row>
    <row r="86" ht="54" customHeight="1">
      <c r="A86" s="29" t="inlineStr">
        <is>
          <t>sevilla:action:elektrik-ve-telekom-sikayet-yollari-1</t>
        </is>
      </c>
      <c r="B86" s="29" t="inlineStr">
        <is>
          <t>sevilla</t>
        </is>
      </c>
      <c r="C86" s="29" t="inlineStr">
        <is>
          <t>sevilla:elektrik-ve-telekom-sikayet-yollari</t>
        </is>
      </c>
      <c r="D86" s="29" t="inlineStr">
        <is>
          <t>Bilgi al</t>
        </is>
      </c>
      <c r="E86" s="29" t="inlineStr">
        <is>
          <t>https://www.miteco.gob.es/es/energia/energia-electrica/electricidad/contratacion-suministro/reclamaciones.html</t>
        </is>
      </c>
      <c r="F86" s="49" t="n">
        <v>46319</v>
      </c>
      <c r="G86" s="51" t="n">
        <v>1</v>
      </c>
    </row>
    <row r="87" ht="54" customHeight="1">
      <c r="A87" s="29" t="inlineStr">
        <is>
          <t>sevilla:action:elektrik-ve-telekom-sikayet-yollari-2</t>
        </is>
      </c>
      <c r="B87" s="29" t="inlineStr">
        <is>
          <t>sevilla</t>
        </is>
      </c>
      <c r="C87" s="29" t="inlineStr">
        <is>
          <t>sevilla:elektrik-ve-telekom-sikayet-yollari</t>
        </is>
      </c>
      <c r="D87" s="29" t="inlineStr">
        <is>
          <t>Formu doldur</t>
        </is>
      </c>
      <c r="E87" s="29" t="inlineStr">
        <is>
          <t>https://usuariosteleco.digital.gob.es/reclamaciones/telefonia-e-internet</t>
        </is>
      </c>
      <c r="F87" s="49" t="n">
        <v>46319</v>
      </c>
      <c r="G87" s="51" t="n">
        <v>2</v>
      </c>
    </row>
    <row r="88" ht="54" customHeight="1">
      <c r="A88" s="29" t="inlineStr">
        <is>
          <t>sevilla:action:apartman-yonetimi-comunidad-de-vecinos-1</t>
        </is>
      </c>
      <c r="B88" s="29" t="inlineStr">
        <is>
          <t>sevilla</t>
        </is>
      </c>
      <c r="C88" s="29" t="inlineStr">
        <is>
          <t>sevilla:apartman-yonetimi-comunidad-de-vecinos</t>
        </is>
      </c>
      <c r="D88" s="29" t="inlineStr">
        <is>
          <t>Bilgi al</t>
        </is>
      </c>
      <c r="E88" s="29" t="inlineStr">
        <is>
          <t>https://www.boe.es/buscar/act.php?id=BOE-A-1960-10906</t>
        </is>
      </c>
      <c r="F88" s="49" t="n">
        <v>46319</v>
      </c>
      <c r="G88" s="51" t="n">
        <v>1</v>
      </c>
    </row>
    <row r="89" ht="54" customHeight="1">
      <c r="A89" s="29" t="inlineStr">
        <is>
          <t>sevilla:action:apartman-yonetimi-comunidad-de-vecinos-2</t>
        </is>
      </c>
      <c r="B89" s="29" t="inlineStr">
        <is>
          <t>sevilla</t>
        </is>
      </c>
      <c r="C89" s="29" t="inlineStr">
        <is>
          <t>sevilla:apartman-yonetimi-comunidad-de-vecinos</t>
        </is>
      </c>
      <c r="D89" s="29" t="inlineStr">
        <is>
          <t>Bilgi al</t>
        </is>
      </c>
      <c r="E89" s="29" t="inlineStr">
        <is>
          <t>https://www.boe.es/buscar/act.php?id=BOE-A-2006-11130</t>
        </is>
      </c>
      <c r="F89" s="49" t="n">
        <v>46319</v>
      </c>
      <c r="G89" s="51" t="n">
        <v>2</v>
      </c>
    </row>
    <row r="90" ht="54" customHeight="1">
      <c r="A90" s="29" t="inlineStr">
        <is>
          <t>sevilla:action:su-aboneligi-emasesa-ilk-kez-1</t>
        </is>
      </c>
      <c r="B90" s="29" t="inlineStr">
        <is>
          <t>sevilla</t>
        </is>
      </c>
      <c r="C90" s="29" t="inlineStr">
        <is>
          <t>sevilla:su-aboneligi-emasesa-ilk-kez</t>
        </is>
      </c>
      <c r="D90" s="29" t="inlineStr">
        <is>
          <t>Başvur</t>
        </is>
      </c>
      <c r="E90" s="29" t="inlineStr">
        <is>
          <t>https://www.emasesa.com/usuarios/contratar/contratar-agua/</t>
        </is>
      </c>
      <c r="F90" s="49" t="n">
        <v>46319</v>
      </c>
      <c r="G90" s="51" t="n">
        <v>1</v>
      </c>
    </row>
    <row r="91" ht="54" customHeight="1">
      <c r="A91" s="29" t="inlineStr">
        <is>
          <t>sevilla:action:su-aboneligi-emasesa-ilk-kez-2</t>
        </is>
      </c>
      <c r="B91" s="29" t="inlineStr">
        <is>
          <t>sevilla</t>
        </is>
      </c>
      <c r="C91" s="29" t="inlineStr">
        <is>
          <t>sevilla:su-aboneligi-emasesa-ilk-kez</t>
        </is>
      </c>
      <c r="D91" s="29" t="inlineStr">
        <is>
          <t>Bilgi al</t>
        </is>
      </c>
      <c r="E91" s="29" t="inlineStr">
        <is>
          <t>https://www.emasesa.com/usuarios/informacion-practica/preguntas-frecuentes/</t>
        </is>
      </c>
      <c r="F91" s="49" t="n">
        <v>46319</v>
      </c>
      <c r="G91" s="51" t="n">
        <v>2</v>
      </c>
    </row>
    <row r="92" ht="54" customHeight="1">
      <c r="A92" s="29" t="inlineStr">
        <is>
          <t>sevilla:action:su-sozlesmesi-devir-cambio-titularidad-ve-baja-1</t>
        </is>
      </c>
      <c r="B92" s="29" t="inlineStr">
        <is>
          <t>sevilla</t>
        </is>
      </c>
      <c r="C92" s="29" t="inlineStr">
        <is>
          <t>sevilla:su-sozlesmesi-devir-cambio-titularidad-ve-baja</t>
        </is>
      </c>
      <c r="D92" s="29" t="inlineStr">
        <is>
          <t>Başvur</t>
        </is>
      </c>
      <c r="E92" s="29" t="inlineStr">
        <is>
          <t>https://www.emasesa.com/usuarios/contratar/cambiar-titularidad-de-un-contrato/</t>
        </is>
      </c>
      <c r="F92" s="49" t="n">
        <v>46319</v>
      </c>
      <c r="G92" s="51" t="n">
        <v>1</v>
      </c>
    </row>
    <row r="93" ht="54" customHeight="1">
      <c r="A93" s="29" t="inlineStr">
        <is>
          <t>sevilla:action:su-sozlesmesi-devir-cambio-titularidad-ve-baja-2</t>
        </is>
      </c>
      <c r="B93" s="29" t="inlineStr">
        <is>
          <t>sevilla</t>
        </is>
      </c>
      <c r="C93" s="29" t="inlineStr">
        <is>
          <t>sevilla:su-sozlesmesi-devir-cambio-titularidad-ve-baja</t>
        </is>
      </c>
      <c r="D93" s="29" t="inlineStr">
        <is>
          <t>Bilgi al</t>
        </is>
      </c>
      <c r="E93" s="29" t="inlineStr">
        <is>
          <t>https://www.emasesa.com/usuarios/informacion-practica/preguntas-frecuentes/</t>
        </is>
      </c>
      <c r="F93" s="49" t="n">
        <v>46319</v>
      </c>
      <c r="G93" s="51" t="n">
        <v>2</v>
      </c>
    </row>
    <row r="94" ht="54" customHeight="1">
      <c r="A94" s="29" t="inlineStr">
        <is>
          <t>sevilla:action:su-fiyati-kisi-sayisina-gore-emasesa-tarifesi-1</t>
        </is>
      </c>
      <c r="B94" s="29" t="inlineStr">
        <is>
          <t>sevilla</t>
        </is>
      </c>
      <c r="C94" s="29" t="inlineStr">
        <is>
          <t>sevilla:su-fiyati-kisi-sayisina-gore-emasesa-tarifesi</t>
        </is>
      </c>
      <c r="D94" s="29" t="inlineStr">
        <is>
          <t>Tarifeyi gör</t>
        </is>
      </c>
      <c r="E94" s="29" t="inlineStr">
        <is>
          <t>https://www.emasesa.com/usuarios/tu-factura/tarifas/</t>
        </is>
      </c>
      <c r="F94" s="49" t="n">
        <v>46319</v>
      </c>
      <c r="G94" s="51" t="n">
        <v>1</v>
      </c>
    </row>
    <row r="95" ht="54" customHeight="1">
      <c r="A95" s="29" t="inlineStr">
        <is>
          <t>sevilla:action:su-fiyati-kisi-sayisina-gore-emasesa-tarifesi-2</t>
        </is>
      </c>
      <c r="B95" s="29" t="inlineStr">
        <is>
          <t>sevilla</t>
        </is>
      </c>
      <c r="C95" s="29" t="inlineStr">
        <is>
          <t>sevilla:su-fiyati-kisi-sayisina-gore-emasesa-tarifesi</t>
        </is>
      </c>
      <c r="D95" s="29" t="inlineStr">
        <is>
          <t>Hesapla</t>
        </is>
      </c>
      <c r="E95" s="29" t="inlineStr">
        <is>
          <t>https://www.emasesa.com/usuarios/tu-factura/entender-tu-factura/</t>
        </is>
      </c>
      <c r="F95" s="49" t="n">
        <v>46319</v>
      </c>
      <c r="G95" s="51" t="n">
        <v>2</v>
      </c>
    </row>
    <row r="96" ht="54" customHeight="1">
      <c r="A96" s="29" t="inlineStr">
        <is>
          <t>sevilla:action:emasesa-su-faturasi-nasil-okunur-kalemler-1</t>
        </is>
      </c>
      <c r="B96" s="29" t="inlineStr">
        <is>
          <t>sevilla</t>
        </is>
      </c>
      <c r="C96" s="29" t="inlineStr">
        <is>
          <t>sevilla:emasesa-su-faturasi-nasil-okunur-kalemler</t>
        </is>
      </c>
      <c r="D96" s="29" t="inlineStr">
        <is>
          <t>Bilgi al</t>
        </is>
      </c>
      <c r="E96" s="29" t="inlineStr">
        <is>
          <t>https://www.emasesa.com/usuarios/tu-factura/entender-tu-factura/</t>
        </is>
      </c>
      <c r="F96" s="49" t="n">
        <v>46319</v>
      </c>
      <c r="G96" s="51" t="n">
        <v>1</v>
      </c>
    </row>
    <row r="97" ht="54" customHeight="1">
      <c r="A97" s="29" t="inlineStr">
        <is>
          <t>sevilla:action:emasesa-sosyal-tarife-kimler-yararlanir-1</t>
        </is>
      </c>
      <c r="B97" s="29" t="inlineStr">
        <is>
          <t>sevilla</t>
        </is>
      </c>
      <c r="C97" s="29" t="inlineStr">
        <is>
          <t>sevilla:emasesa-sosyal-tarife-kimler-yararlanir</t>
        </is>
      </c>
      <c r="D97" s="29" t="inlineStr">
        <is>
          <t>Başvur</t>
        </is>
      </c>
      <c r="E97" s="29" t="inlineStr">
        <is>
          <t>https://www.emasesa.com/usuarios/tarifa-social-y-ayudas/tarifa-social/</t>
        </is>
      </c>
      <c r="F97" s="49" t="n">
        <v>46319</v>
      </c>
      <c r="G97" s="51" t="n">
        <v>1</v>
      </c>
    </row>
    <row r="98" ht="54" customHeight="1">
      <c r="A98" s="29" t="inlineStr">
        <is>
          <t>sevilla:action:emasesa-sosyal-tarife-kimler-yararlanir-2</t>
        </is>
      </c>
      <c r="B98" s="29" t="inlineStr">
        <is>
          <t>sevilla</t>
        </is>
      </c>
      <c r="C98" s="29" t="inlineStr">
        <is>
          <t>sevilla:emasesa-sosyal-tarife-kimler-yararlanir</t>
        </is>
      </c>
      <c r="D98" s="29" t="inlineStr">
        <is>
          <t>Bilgi al</t>
        </is>
      </c>
      <c r="E98" s="29" t="inlineStr">
        <is>
          <t>https://www.emasesa.com/usuarios/informacion-practica/preguntas-frecuentes/</t>
        </is>
      </c>
      <c r="F98" s="49" t="n">
        <v>46319</v>
      </c>
      <c r="G98" s="51" t="n">
        <v>2</v>
      </c>
    </row>
    <row r="99" ht="54" customHeight="1">
      <c r="A99" s="29" t="inlineStr">
        <is>
          <t>sevilla:action:emasesa-sosyal-tarife-basvuru-belgeler-yenileme-1</t>
        </is>
      </c>
      <c r="B99" s="29" t="inlineStr">
        <is>
          <t>sevilla</t>
        </is>
      </c>
      <c r="C99" s="29" t="inlineStr">
        <is>
          <t>sevilla:emasesa-sosyal-tarife-basvuru-belgeler-yenileme</t>
        </is>
      </c>
      <c r="D99" s="29" t="inlineStr">
        <is>
          <t>Başvur</t>
        </is>
      </c>
      <c r="E99" s="29" t="inlineStr">
        <is>
          <t>https://www.emasesa.com/usuarios/tarifa-social-y-ayudas/tarifa-social/</t>
        </is>
      </c>
      <c r="F99" s="49" t="n">
        <v>46319</v>
      </c>
      <c r="G99" s="51" t="n">
        <v>1</v>
      </c>
    </row>
    <row r="100" ht="54" customHeight="1">
      <c r="A100" s="29" t="inlineStr">
        <is>
          <t>sevilla:action:emasesa-sosyal-tarife-basvuru-belgeler-yenileme-2</t>
        </is>
      </c>
      <c r="B100" s="29" t="inlineStr">
        <is>
          <t>sevilla</t>
        </is>
      </c>
      <c r="C100" s="29" t="inlineStr">
        <is>
          <t>sevilla:emasesa-sosyal-tarife-basvuru-belgeler-yenileme</t>
        </is>
      </c>
      <c r="D100" s="29" t="inlineStr">
        <is>
          <t>Bilgi al</t>
        </is>
      </c>
      <c r="E100" s="29" t="inlineStr">
        <is>
          <t>https://www.emasesa.com/usuarios/informacion-practica/preguntas-frecuentes/</t>
        </is>
      </c>
      <c r="F100" s="49" t="n">
        <v>46319</v>
      </c>
      <c r="G100" s="51" t="n">
        <v>2</v>
      </c>
    </row>
    <row r="101" ht="54" customHeight="1">
      <c r="A101" s="29" t="inlineStr">
        <is>
          <t>sevilla:action:emasesa-su-faturasi-odeme-yollari-1</t>
        </is>
      </c>
      <c r="B101" s="29" t="inlineStr">
        <is>
          <t>sevilla</t>
        </is>
      </c>
      <c r="C101" s="29" t="inlineStr">
        <is>
          <t>sevilla:emasesa-su-faturasi-odeme-yollari</t>
        </is>
      </c>
      <c r="D101" s="29" t="inlineStr">
        <is>
          <t>Öde</t>
        </is>
      </c>
      <c r="E101" s="29" t="inlineStr">
        <is>
          <t>https://www.emasesa.com/usuarios/tu-factura/pagar-tu-factura/</t>
        </is>
      </c>
      <c r="F101" s="49" t="n">
        <v>46319</v>
      </c>
      <c r="G101" s="51" t="n">
        <v>1</v>
      </c>
    </row>
    <row r="102" ht="54" customHeight="1">
      <c r="A102" s="29" t="inlineStr">
        <is>
          <t>sevilla:action:emasesa-su-faturasi-odeme-yollari-2</t>
        </is>
      </c>
      <c r="B102" s="29" t="inlineStr">
        <is>
          <t>sevilla</t>
        </is>
      </c>
      <c r="C102" s="29" t="inlineStr">
        <is>
          <t>sevilla:emasesa-su-faturasi-odeme-yollari</t>
        </is>
      </c>
      <c r="D102" s="29" t="inlineStr">
        <is>
          <t>Bilgi al</t>
        </is>
      </c>
      <c r="E102" s="29" t="inlineStr">
        <is>
          <t>https://www.emasesa.com/usuarios/informacion-practica/preguntas-frecuentes/</t>
        </is>
      </c>
      <c r="F102" s="49" t="n">
        <v>46319</v>
      </c>
      <c r="G102" s="51" t="n">
        <v>2</v>
      </c>
    </row>
    <row r="103" ht="54" customHeight="1">
      <c r="A103" s="29" t="inlineStr">
        <is>
          <t>sevilla:action:su-faturasi-odenmezse-kesinti-mektubu-ve-yeniden-baglanma-1</t>
        </is>
      </c>
      <c r="B103" s="29" t="inlineStr">
        <is>
          <t>sevilla</t>
        </is>
      </c>
      <c r="C103" s="29" t="inlineStr">
        <is>
          <t>sevilla:su-faturasi-odenmezse-kesinti-mektubu-ve-yeniden-baglanma</t>
        </is>
      </c>
      <c r="D103" s="29" t="inlineStr">
        <is>
          <t>Bilgi al</t>
        </is>
      </c>
      <c r="E103" s="29" t="inlineStr">
        <is>
          <t>https://www.emasesa.com/usuarios/informacion-practica/preguntas-frecuentes/</t>
        </is>
      </c>
      <c r="F103" s="49" t="n">
        <v>46319</v>
      </c>
      <c r="G103" s="51" t="n">
        <v>1</v>
      </c>
    </row>
    <row r="104" ht="54" customHeight="1">
      <c r="A104" s="29" t="inlineStr">
        <is>
          <t>sevilla:action:su-faturasi-odenmezse-kesinti-mektubu-ve-yeniden-baglanma-2</t>
        </is>
      </c>
      <c r="B104" s="29" t="inlineStr">
        <is>
          <t>sevilla</t>
        </is>
      </c>
      <c r="C104" s="29" t="inlineStr">
        <is>
          <t>sevilla:su-faturasi-odenmezse-kesinti-mektubu-ve-yeniden-baglanma</t>
        </is>
      </c>
      <c r="D104" s="29" t="inlineStr">
        <is>
          <t>Öde</t>
        </is>
      </c>
      <c r="E104" s="29" t="inlineStr">
        <is>
          <t>https://www.emasesa.com/usuarios/tu-factura/pagar-tu-factura/</t>
        </is>
      </c>
      <c r="F104" s="49" t="n">
        <v>46319</v>
      </c>
      <c r="G104" s="51" t="n">
        <v>2</v>
      </c>
    </row>
    <row r="105" ht="54" customHeight="1">
      <c r="A105" s="29" t="inlineStr">
        <is>
          <t>sevilla:action:su-sayaci-tahmini-okuma-kacak-kontrolu-yuksek-fatura-1</t>
        </is>
      </c>
      <c r="B105" s="29" t="inlineStr">
        <is>
          <t>sevilla</t>
        </is>
      </c>
      <c r="C105" s="29" t="inlineStr">
        <is>
          <t>sevilla:su-sayaci-tahmini-okuma-kacak-kontrolu-yuksek-fatura</t>
        </is>
      </c>
      <c r="D105" s="29" t="inlineStr">
        <is>
          <t>Bilgi al</t>
        </is>
      </c>
      <c r="E105" s="29" t="inlineStr">
        <is>
          <t>https://www.emasesa.com/usuarios/informacion-practica/preguntas-frecuentes/</t>
        </is>
      </c>
      <c r="F105" s="49" t="n">
        <v>46319</v>
      </c>
      <c r="G105" s="51" t="n">
        <v>1</v>
      </c>
    </row>
    <row r="106" ht="54" customHeight="1">
      <c r="A106" s="29" t="inlineStr">
        <is>
          <t>sevilla:action:emasesa-sevilla-distrito-sur-ve-este-musteri-noktalari-1</t>
        </is>
      </c>
      <c r="B106" s="29" t="inlineStr">
        <is>
          <t>sevilla</t>
        </is>
      </c>
      <c r="C106" s="29" t="inlineStr">
        <is>
          <t>sevilla:emasesa-sevilla-distrito-sur-ve-este-musteri-noktalari</t>
        </is>
      </c>
      <c r="D106" s="29" t="inlineStr">
        <is>
          <t>Randevu al</t>
        </is>
      </c>
      <c r="E106" s="29" t="inlineStr">
        <is>
          <t>https://www.emasesa.com/usuarios/contratar/contratar-agua/</t>
        </is>
      </c>
      <c r="F106" s="49" t="n">
        <v>46319</v>
      </c>
      <c r="G106" s="51" t="n">
        <v>1</v>
      </c>
    </row>
    <row r="107" ht="54" customHeight="1">
      <c r="A107" s="29" t="inlineStr">
        <is>
          <t>sevilla:action:emasesa-sevilla-distrito-sur-ve-este-musteri-noktalari-2</t>
        </is>
      </c>
      <c r="B107" s="29" t="inlineStr">
        <is>
          <t>sevilla</t>
        </is>
      </c>
      <c r="C107" s="29" t="inlineStr">
        <is>
          <t>sevilla:emasesa-sevilla-distrito-sur-ve-este-musteri-noktalari</t>
        </is>
      </c>
      <c r="D107" s="29" t="inlineStr">
        <is>
          <t>Ziyaret bilgisi</t>
        </is>
      </c>
      <c r="E107" s="29" t="inlineStr">
        <is>
          <t>https://www.emasesa.com/oficinas/punto-de-atencion-al-ciudadano-distrito-sur/</t>
        </is>
      </c>
      <c r="F107" s="49" t="n">
        <v>46319</v>
      </c>
      <c r="G107" s="51" t="n">
        <v>2</v>
      </c>
    </row>
    <row r="108" ht="54" customHeight="1">
      <c r="A108" s="29" t="inlineStr">
        <is>
          <t>sevilla:action:resmi-tatiller-2027-1</t>
        </is>
      </c>
      <c r="B108" s="29" t="inlineStr">
        <is>
          <t>sevilla</t>
        </is>
      </c>
      <c r="C108" s="29" t="inlineStr">
        <is>
          <t>sevilla:resmi-tatiller-2027</t>
        </is>
      </c>
      <c r="D108" s="29" t="inlineStr">
        <is>
          <t>Bilgi al</t>
        </is>
      </c>
      <c r="E108" s="29" t="inlineStr">
        <is>
          <t>https://www.boe.es/buscar/doc.php?id=BOE-A-2026-21254</t>
        </is>
      </c>
      <c r="F108" s="49" t="n">
        <v>46319</v>
      </c>
      <c r="G108" s="51" t="n">
        <v>1</v>
      </c>
    </row>
    <row r="109" ht="54" customHeight="1">
      <c r="A109" s="29" t="inlineStr">
        <is>
          <t>sevilla:action:magaza-acilis-saatleri-cercevesi-1</t>
        </is>
      </c>
      <c r="B109" s="29" t="inlineStr">
        <is>
          <t>sevilla</t>
        </is>
      </c>
      <c r="C109" s="29" t="inlineStr">
        <is>
          <t>sevilla:magaza-acilis-saatleri-cercevesi</t>
        </is>
      </c>
      <c r="D109" s="29" t="inlineStr">
        <is>
          <t>Bilgi al</t>
        </is>
      </c>
      <c r="E109" s="29" t="inlineStr">
        <is>
          <t>https://www.boe.es/buscar/act.php?id=BOE-A-2004-21421</t>
        </is>
      </c>
      <c r="F109" s="49" t="n">
        <v>46319</v>
      </c>
      <c r="G109" s="51" t="n">
        <v>1</v>
      </c>
    </row>
    <row r="110" ht="54" customHeight="1">
      <c r="A110" s="29" t="inlineStr">
        <is>
          <t>sevilla:action:ab-disi-paket-gumruk-iva-1</t>
        </is>
      </c>
      <c r="B110" s="29" t="inlineStr">
        <is>
          <t>sevilla</t>
        </is>
      </c>
      <c r="C110" s="29" t="inlineStr">
        <is>
          <t>sevilla:ab-disi-paket-gumruk-iva</t>
        </is>
      </c>
      <c r="D110" s="29" t="inlineStr">
        <is>
          <t>Bilgi al</t>
        </is>
      </c>
      <c r="E110" s="29" t="inlineStr">
        <is>
          <t>https://sede.agenciatributaria.gob.es/Sede/aduanas/comercio-electronico-pipe-envios-particulares/compras-internet-envios-particulares/envios-valor-hasta-150-euros.html</t>
        </is>
      </c>
      <c r="F110" s="49" t="n">
        <v>46319</v>
      </c>
      <c r="G110" s="51" t="n">
        <v>1</v>
      </c>
    </row>
    <row r="111" ht="54" customHeight="1">
      <c r="A111" s="29" t="inlineStr">
        <is>
          <t>sevilla:action:ab-disi-paket-gumruk-iva-2</t>
        </is>
      </c>
      <c r="B111" s="29" t="inlineStr">
        <is>
          <t>sevilla</t>
        </is>
      </c>
      <c r="C111" s="29" t="inlineStr">
        <is>
          <t>sevilla:ab-disi-paket-gumruk-iva</t>
        </is>
      </c>
      <c r="D111" s="29" t="inlineStr">
        <is>
          <t>Bilgi al</t>
        </is>
      </c>
      <c r="E111" s="29" t="inlineStr">
        <is>
          <t>https://www.correos.es/es/es/atencion-al-cliente/informacion-aduanera</t>
        </is>
      </c>
      <c r="F111" s="49" t="n">
        <v>46319</v>
      </c>
      <c r="G111" s="51" t="n">
        <v>2</v>
      </c>
    </row>
    <row r="112" ht="54" customHeight="1">
      <c r="A112" s="29" t="inlineStr">
        <is>
          <t>sevilla:action:diger-resmi-yardim-hatlari-1</t>
        </is>
      </c>
      <c r="B112" s="29" t="inlineStr">
        <is>
          <t>sevilla</t>
        </is>
      </c>
      <c r="C112" s="29" t="inlineStr">
        <is>
          <t>sevilla:diger-resmi-yardim-hatlari</t>
        </is>
      </c>
      <c r="D112" s="29" t="inlineStr">
        <is>
          <t>Bilgi al</t>
        </is>
      </c>
      <c r="E112" s="29" t="inlineStr">
        <is>
          <t>https://www.igualdad.gob.es/accede-a-lineas-telefonicas-especializadas-para-atencion-apoyo-y-proteccion-en-casos-de-violencia-de-genero-lgtbifobia-o-discriminacion-racial/</t>
        </is>
      </c>
      <c r="F112" s="49" t="n">
        <v>46319</v>
      </c>
      <c r="G112" s="51" t="n">
        <v>1</v>
      </c>
    </row>
    <row r="113" ht="54" customHeight="1">
      <c r="A113" s="29" t="inlineStr">
        <is>
          <t>sevilla:action:diger-resmi-yardim-hatlari-2</t>
        </is>
      </c>
      <c r="B113" s="29" t="inlineStr">
        <is>
          <t>sevilla</t>
        </is>
      </c>
      <c r="C113" s="29" t="inlineStr">
        <is>
          <t>sevilla:diger-resmi-yardim-hatlari</t>
        </is>
      </c>
      <c r="D113" s="29" t="inlineStr">
        <is>
          <t>Bilgi al</t>
        </is>
      </c>
      <c r="E113" s="29" t="inlineStr">
        <is>
          <t>https://www.sanidad.gob.es/linea024/home.htm</t>
        </is>
      </c>
      <c r="F113" s="49" t="n">
        <v>46319</v>
      </c>
      <c r="G113" s="51" t="n">
        <v>2</v>
      </c>
    </row>
    <row r="114" ht="54" customHeight="1">
      <c r="A114" s="29" t="inlineStr">
        <is>
          <t>sevilla:action:bahsis-ve-odeme-aliskanliklari-1</t>
        </is>
      </c>
      <c r="B114" s="29" t="inlineStr">
        <is>
          <t>sevilla</t>
        </is>
      </c>
      <c r="C114" s="29" t="inlineStr">
        <is>
          <t>sevilla:bahsis-ve-odeme-aliskanliklari</t>
        </is>
      </c>
      <c r="D114" s="29" t="inlineStr">
        <is>
          <t>Bilgi al</t>
        </is>
      </c>
      <c r="E114" s="29" t="inlineStr">
        <is>
          <t>https://www.spain.info/es/consejos-viaje/moneda-billetes/</t>
        </is>
      </c>
      <c r="F114" s="49" t="n">
        <v>46319</v>
      </c>
      <c r="G114" s="51" t="n">
        <v>1</v>
      </c>
    </row>
    <row r="115" ht="54" customHeight="1">
      <c r="A115" s="29" t="inlineStr">
        <is>
          <t>sevilla:action:endulus-2027-resmi-tatilleri-1</t>
        </is>
      </c>
      <c r="B115" s="29" t="inlineStr">
        <is>
          <t>sevilla</t>
        </is>
      </c>
      <c r="C115" s="29" t="inlineStr">
        <is>
          <t>sevilla:endulus-2027-resmi-tatilleri</t>
        </is>
      </c>
      <c r="D115" s="29" t="inlineStr">
        <is>
          <t>Bilgi al</t>
        </is>
      </c>
      <c r="E115" s="29" t="inlineStr">
        <is>
          <t>https://www.juntadeandalucia.es/boja/2026/84/1</t>
        </is>
      </c>
      <c r="F115" s="49" t="n">
        <v>46319</v>
      </c>
      <c r="G115" s="51" t="n">
        <v>1</v>
      </c>
    </row>
    <row r="116" ht="54" customHeight="1">
      <c r="A116" s="29" t="inlineStr">
        <is>
          <t>sevilla:action:endulus-112-nasil-calisir-1</t>
        </is>
      </c>
      <c r="B116" s="29" t="inlineStr">
        <is>
          <t>sevilla</t>
        </is>
      </c>
      <c r="C116" s="29" t="inlineStr">
        <is>
          <t>sevilla:endulus-112-nasil-calisir</t>
        </is>
      </c>
      <c r="D116" s="29" t="inlineStr">
        <is>
          <t>Bilgi al</t>
        </is>
      </c>
      <c r="E116" s="29" t="inlineStr">
        <is>
          <t>https://www.juntadeandalucia.es/temas/seguridad/emergencias/que-hacer.html</t>
        </is>
      </c>
      <c r="F116" s="49" t="n">
        <v>46319</v>
      </c>
      <c r="G116" s="51" t="n">
        <v>1</v>
      </c>
    </row>
    <row r="117" ht="54" customHeight="1">
      <c r="A117" s="29" t="inlineStr">
        <is>
          <t>sevilla:action:endulus-112-nasil-calisir-2</t>
        </is>
      </c>
      <c r="B117" s="29" t="inlineStr">
        <is>
          <t>sevilla</t>
        </is>
      </c>
      <c r="C117" s="29" t="inlineStr">
        <is>
          <t>sevilla:endulus-112-nasil-calisir</t>
        </is>
      </c>
      <c r="D117" s="29" t="inlineStr">
        <is>
          <t>Bilgi al</t>
        </is>
      </c>
      <c r="E117" s="29" t="inlineStr">
        <is>
          <t>https://www.juntadeandalucia.es/temas/salud/urgencias/urgencias.html</t>
        </is>
      </c>
      <c r="F117" s="49" t="n">
        <v>46319</v>
      </c>
      <c r="G117" s="51" t="n">
        <v>2</v>
      </c>
    </row>
    <row r="118" ht="54" customHeight="1">
      <c r="A118" s="29" t="inlineStr">
        <is>
          <t>sevilla:action:061-ya-da-saglik-merkezi-acil-ayrimi-1</t>
        </is>
      </c>
      <c r="B118" s="29" t="inlineStr">
        <is>
          <t>sevilla</t>
        </is>
      </c>
      <c r="C118" s="29" t="inlineStr">
        <is>
          <t>sevilla:061-ya-da-saglik-merkezi-acil-ayrimi</t>
        </is>
      </c>
      <c r="D118" s="29" t="inlineStr">
        <is>
          <t>Bilgi al</t>
        </is>
      </c>
      <c r="E118" s="29" t="inlineStr">
        <is>
          <t>https://www.juntadeandalucia.es/temas/salud/urgencias/urgencias.html</t>
        </is>
      </c>
      <c r="F118" s="49" t="n">
        <v>46319</v>
      </c>
      <c r="G118" s="51" t="n">
        <v>1</v>
      </c>
    </row>
    <row r="119" ht="54" customHeight="1">
      <c r="A119" s="29" t="inlineStr">
        <is>
          <t>sevilla:action:061-ya-da-saglik-merkezi-acil-ayrimi-2</t>
        </is>
      </c>
      <c r="B119" s="29" t="inlineStr">
        <is>
          <t>sevilla</t>
        </is>
      </c>
      <c r="C119" s="29" t="inlineStr">
        <is>
          <t>sevilla:061-ya-da-saglik-merkezi-acil-ayrimi</t>
        </is>
      </c>
      <c r="D119" s="29" t="inlineStr">
        <is>
          <t>Bilgi al</t>
        </is>
      </c>
      <c r="E119" s="29" t="inlineStr">
        <is>
          <t>https://www.juntadeandalucia.es/organismos/sanidadpresidenciayemergencias/servicios/telefonos.html</t>
        </is>
      </c>
      <c r="F119" s="49" t="n">
        <v>46319</v>
      </c>
      <c r="G119" s="51" t="n">
        <v>2</v>
      </c>
    </row>
    <row r="120" ht="54" customHeight="1">
      <c r="A120" s="29" t="inlineStr">
        <is>
          <t>sevilla:action:endulus-bilgi-hatlari-salud-consumo-012-1</t>
        </is>
      </c>
      <c r="B120" s="29" t="inlineStr">
        <is>
          <t>sevilla</t>
        </is>
      </c>
      <c r="C120" s="29" t="inlineStr">
        <is>
          <t>sevilla:endulus-bilgi-hatlari-salud-consumo-012</t>
        </is>
      </c>
      <c r="D120" s="29" t="inlineStr">
        <is>
          <t>Bilgi al</t>
        </is>
      </c>
      <c r="E120" s="29" t="inlineStr">
        <is>
          <t>https://www.juntadeandalucia.es/organismos/sanidadpresidenciayemergencias/servicios/telefonos.html</t>
        </is>
      </c>
      <c r="F120" s="49" t="n">
        <v>46319</v>
      </c>
      <c r="G120" s="51" t="n">
        <v>1</v>
      </c>
    </row>
    <row r="121" ht="54" customHeight="1">
      <c r="A121" s="29" t="inlineStr">
        <is>
          <t>sevilla:action:konteyner-renkleri-sevilla-1</t>
        </is>
      </c>
      <c r="B121" s="29" t="inlineStr">
        <is>
          <t>sevilla</t>
        </is>
      </c>
      <c r="C121" s="29" t="inlineStr">
        <is>
          <t>sevilla:konteyner-renkleri-sevilla</t>
        </is>
      </c>
      <c r="D121" s="29" t="inlineStr">
        <is>
          <t>Bilgi al</t>
        </is>
      </c>
      <c r="E121" s="29" t="inlineStr">
        <is>
          <t>https://visitasevilla.es/guia-de-convivencia-en-la-ciudad/</t>
        </is>
      </c>
      <c r="F121" s="49" t="n">
        <v>46319</v>
      </c>
      <c r="G121" s="51" t="n">
        <v>1</v>
      </c>
    </row>
    <row r="122" ht="54" customHeight="1">
      <c r="A122" s="29" t="inlineStr">
        <is>
          <t>sevilla:action:konteyner-renkleri-sevilla-2</t>
        </is>
      </c>
      <c r="B122" s="29" t="inlineStr">
        <is>
          <t>sevilla</t>
        </is>
      </c>
      <c r="C122" s="29" t="inlineStr">
        <is>
          <t>sevilla:konteyner-renkleri-sevilla</t>
        </is>
      </c>
      <c r="D122" s="29" t="inlineStr">
        <is>
          <t>Bilgi al</t>
        </is>
      </c>
      <c r="E122" s="29" t="inlineStr">
        <is>
          <t>https://www.juntadeandalucia.es/medioambiente/portal/areas-tematicas/sensibilizacion-formacion/sensibilizacion-educacion-para-la-sostenibilidad/recapacicla/residuos-reciclaje</t>
        </is>
      </c>
      <c r="F122" s="49" t="n">
        <v>46319</v>
      </c>
      <c r="G122" s="51" t="n">
        <v>2</v>
      </c>
    </row>
    <row r="123" ht="54" customHeight="1">
      <c r="A123" s="29" t="inlineStr">
        <is>
          <t>sevilla:action:cam-sise-kavanoz-geri-donusum-kurallari-1</t>
        </is>
      </c>
      <c r="B123" s="29" t="inlineStr">
        <is>
          <t>sevilla</t>
        </is>
      </c>
      <c r="C123" s="29" t="inlineStr">
        <is>
          <t>sevilla:cam-sise-kavanoz-geri-donusum-kurallari</t>
        </is>
      </c>
      <c r="D123" s="29" t="inlineStr">
        <is>
          <t>Bilgi al</t>
        </is>
      </c>
      <c r="E123" s="29" t="inlineStr">
        <is>
          <t>https://www.juntadeandalucia.es/medioambiente/portal/web/guest/areas-tematicas/sensibilizacion-formacion/sensibilizacion-educacion-para-la-sostenibilidad/recapacicla/residuos-reciclaje/reciclaje-envases-vidrio</t>
        </is>
      </c>
      <c r="F123" s="49" t="n">
        <v>46319</v>
      </c>
      <c r="G123" s="51" t="n">
        <v>1</v>
      </c>
    </row>
    <row r="124" ht="54" customHeight="1">
      <c r="A124" s="29" t="inlineStr">
        <is>
          <t>sevilla:action:organik-atik-ayri-toplama-zorunlulugu-1</t>
        </is>
      </c>
      <c r="B124" s="29" t="inlineStr">
        <is>
          <t>sevilla</t>
        </is>
      </c>
      <c r="C124" s="29" t="inlineStr">
        <is>
          <t>sevilla:organik-atik-ayri-toplama-zorunlulugu</t>
        </is>
      </c>
      <c r="D124" s="29" t="inlineStr">
        <is>
          <t>Bilgi al</t>
        </is>
      </c>
      <c r="E124" s="29" t="inlineStr">
        <is>
          <t>https://www.miteco.gob.es/es/calidad-y-evaluacion-ambiental/temas/prevencion-y-gestion-residuos/flujos/biorresiduos/biorresiduos-como-se-recogen.html</t>
        </is>
      </c>
      <c r="F124" s="49" t="n">
        <v>46319</v>
      </c>
      <c r="G124" s="51" t="n">
        <v>1</v>
      </c>
    </row>
    <row r="125" ht="54" customHeight="1">
      <c r="A125" s="29" t="inlineStr">
        <is>
          <t>sevilla:action:organik-atik-ayri-toplama-zorunlulugu-2</t>
        </is>
      </c>
      <c r="B125" s="29" t="inlineStr">
        <is>
          <t>sevilla</t>
        </is>
      </c>
      <c r="C125" s="29" t="inlineStr">
        <is>
          <t>sevilla:organik-atik-ayri-toplama-zorunlulugu</t>
        </is>
      </c>
      <c r="D125" s="29" t="inlineStr">
        <is>
          <t>Bilgi al</t>
        </is>
      </c>
      <c r="E125" s="29" t="inlineStr">
        <is>
          <t>https://visitasevilla.es/guia-de-convivencia-en-la-ciudad/</t>
        </is>
      </c>
      <c r="F125" s="49" t="n">
        <v>46319</v>
      </c>
      <c r="G125" s="51" t="n">
        <v>2</v>
      </c>
    </row>
    <row r="126" ht="54" customHeight="1">
      <c r="A126" s="29" t="inlineStr">
        <is>
          <t>sevilla:action:idi-sevilla-universitesi-ispanyolca-kursu-1</t>
        </is>
      </c>
      <c r="B126" s="29" t="inlineStr">
        <is>
          <t>sevilla</t>
        </is>
      </c>
      <c r="C126" s="29" t="inlineStr">
        <is>
          <t>sevilla:idi-sevilla-universitesi-ispanyolca-kursu</t>
        </is>
      </c>
      <c r="D126" s="29" t="inlineStr">
        <is>
          <t>Bilgi al</t>
        </is>
      </c>
      <c r="E126" s="29" t="inlineStr">
        <is>
          <t>https://institutodeidiomas.us.es/cursos/idiomas/estudia-espanol-en-sevilla-con-el-idi</t>
        </is>
      </c>
      <c r="F126" s="49" t="n">
        <v>46319</v>
      </c>
      <c r="G126" s="51" t="n">
        <v>1</v>
      </c>
    </row>
    <row r="127" ht="54" customHeight="1">
      <c r="A127" s="29" t="inlineStr">
        <is>
          <t>sevilla:action:eoi-resmi-dil-okullari-sevilla-endulus-1</t>
        </is>
      </c>
      <c r="B127" s="29" t="inlineStr">
        <is>
          <t>sevilla</t>
        </is>
      </c>
      <c r="C127" s="29" t="inlineStr">
        <is>
          <t>sevilla:eoi-resmi-dil-okullari-sevilla-endulus</t>
        </is>
      </c>
      <c r="D127" s="29" t="inlineStr">
        <is>
          <t>Bilgi al</t>
        </is>
      </c>
      <c r="E127" s="29" t="inlineStr">
        <is>
          <t>https://www.juntadeandalucia.es/temas/estudiar/otras/idiomas.html</t>
        </is>
      </c>
      <c r="F127" s="49" t="n">
        <v>46319</v>
      </c>
      <c r="G127" s="51" t="n">
        <v>1</v>
      </c>
    </row>
    <row r="128" ht="54" customHeight="1">
      <c r="A128" s="29" t="inlineStr">
        <is>
          <t>sevilla:action:halk-kutuphanesi-uyelik-karti-endulus-1</t>
        </is>
      </c>
      <c r="B128" s="29" t="inlineStr">
        <is>
          <t>sevilla</t>
        </is>
      </c>
      <c r="C128" s="29" t="inlineStr">
        <is>
          <t>sevilla:halk-kutuphanesi-uyelik-karti-endulus</t>
        </is>
      </c>
      <c r="D128" s="29" t="inlineStr">
        <is>
          <t>Formu doldur</t>
        </is>
      </c>
      <c r="E128" s="29" t="inlineStr">
        <is>
          <t>https://www.juntadeandalucia.es/organismos/culturaydeporte/areas/cultura/bibliotecas-documentacion/red-publicas/paginas/tarjetausuario-bpja.html</t>
        </is>
      </c>
      <c r="F128" s="49" t="n">
        <v>46319</v>
      </c>
      <c r="G128" s="51" t="n">
        <v>1</v>
      </c>
    </row>
    <row r="129" ht="54" customHeight="1">
      <c r="A129" s="29" t="inlineStr">
        <is>
          <t>sevilla:action:halk-kutuphanesi-uyelik-karti-endulus-2</t>
        </is>
      </c>
      <c r="B129" s="29" t="inlineStr">
        <is>
          <t>sevilla</t>
        </is>
      </c>
      <c r="C129" s="29" t="inlineStr">
        <is>
          <t>sevilla:halk-kutuphanesi-uyelik-karti-endulus</t>
        </is>
      </c>
      <c r="D129" s="29" t="inlineStr">
        <is>
          <t>Ziyaret bilgisi</t>
        </is>
      </c>
      <c r="E129" s="29" t="inlineStr">
        <is>
          <t>https://www.juntadeandalucia.es/organismos/culturaydeporte/areas/cultura/bibliotecas-documentacion/red-publicas/paginas/datospracticosbpse.html</t>
        </is>
      </c>
      <c r="F129" s="49" t="n">
        <v>46319</v>
      </c>
      <c r="G129" s="51" t="n">
        <v>2</v>
      </c>
    </row>
    <row r="130" ht="54" customHeight="1">
      <c r="A130" s="29" t="inlineStr">
        <is>
          <t>sevilla:action:infanta-elena-kutuphanesi-sevilla-1</t>
        </is>
      </c>
      <c r="B130" s="29" t="inlineStr">
        <is>
          <t>sevilla</t>
        </is>
      </c>
      <c r="C130" s="29" t="inlineStr">
        <is>
          <t>sevilla:infanta-elena-kutuphanesi-sevilla</t>
        </is>
      </c>
      <c r="D130" s="29" t="inlineStr">
        <is>
          <t>Ziyaret bilgisi</t>
        </is>
      </c>
      <c r="E130" s="29" t="inlineStr">
        <is>
          <t>https://www.juntadeandalucia.es/organismos/culturaydeporte/areas/cultura/bibliotecas-documentacion/red-publicas/paginas/datospracticosbpse.html</t>
        </is>
      </c>
      <c r="F130" s="49" t="n">
        <v>46319</v>
      </c>
      <c r="G130" s="51" t="n">
        <v>1</v>
      </c>
    </row>
    <row r="131" ht="54" customHeight="1">
      <c r="A131" s="29" t="inlineStr">
        <is>
          <t>sevilla:action:semana-santa-2027-sevilla-gunluk-hayat-1</t>
        </is>
      </c>
      <c r="B131" s="29" t="inlineStr">
        <is>
          <t>sevilla</t>
        </is>
      </c>
      <c r="C131" s="29" t="inlineStr">
        <is>
          <t>sevilla:semana-santa-2027-sevilla-gunluk-hayat</t>
        </is>
      </c>
      <c r="D131" s="29" t="inlineStr">
        <is>
          <t>Bilgi al</t>
        </is>
      </c>
      <c r="E131" s="29" t="inlineStr">
        <is>
          <t>https://visitasevilla.es/en/holy-week-in-seville/</t>
        </is>
      </c>
      <c r="F131" s="49" t="n">
        <v>46319</v>
      </c>
      <c r="G131" s="51" t="n">
        <v>1</v>
      </c>
    </row>
    <row r="132" ht="54" customHeight="1">
      <c r="A132" s="29" t="inlineStr">
        <is>
          <t>sevilla:action:semana-santa-2027-sevilla-gunluk-hayat-2</t>
        </is>
      </c>
      <c r="B132" s="29" t="inlineStr">
        <is>
          <t>sevilla</t>
        </is>
      </c>
      <c r="C132" s="29" t="inlineStr">
        <is>
          <t>sevilla:semana-santa-2027-sevilla-gunluk-hayat</t>
        </is>
      </c>
      <c r="D132" s="29" t="inlineStr">
        <is>
          <t>Bilgi al</t>
        </is>
      </c>
      <c r="E132" s="29" t="inlineStr">
        <is>
          <t>https://www.juntadeandalucia.es/cultura/agendaculturaldeandalucia/planes-de-ocio/semana-santa-en-sevilla</t>
        </is>
      </c>
      <c r="F132" s="49" t="n">
        <v>46319</v>
      </c>
      <c r="G132" s="51" t="n">
        <v>2</v>
      </c>
    </row>
    <row r="133" ht="54" customHeight="1">
      <c r="A133" s="29" t="inlineStr">
        <is>
          <t>sevilla:action:feria-de-abril-el-real-casetas-gunluk-hayat-1</t>
        </is>
      </c>
      <c r="B133" s="29" t="inlineStr">
        <is>
          <t>sevilla</t>
        </is>
      </c>
      <c r="C133" s="29" t="inlineStr">
        <is>
          <t>sevilla:feria-de-abril-el-real-casetas-gunluk-hayat</t>
        </is>
      </c>
      <c r="D133" s="29" t="inlineStr">
        <is>
          <t>Bilgi al</t>
        </is>
      </c>
      <c r="E133" s="29" t="inlineStr">
        <is>
          <t>https://visitasevilla.es/en/the-april-fair/</t>
        </is>
      </c>
      <c r="F133" s="49" t="n">
        <v>46319</v>
      </c>
      <c r="G133" s="51" t="n">
        <v>1</v>
      </c>
    </row>
    <row r="134" ht="54" customHeight="1">
      <c r="A134" s="29" t="inlineStr">
        <is>
          <t>sevilla:action:sevilla-sokak-yasami-komsuluk-decalogo-1</t>
        </is>
      </c>
      <c r="B134" s="29" t="inlineStr">
        <is>
          <t>sevilla</t>
        </is>
      </c>
      <c r="C134" s="29" t="inlineStr">
        <is>
          <t>sevilla:sevilla-sokak-yasami-komsuluk-decalogo</t>
        </is>
      </c>
      <c r="D134" s="29" t="inlineStr">
        <is>
          <t>Bilgi al</t>
        </is>
      </c>
      <c r="E134" s="29" t="inlineStr">
        <is>
          <t>https://visitasevilla.es/guia-de-convivencia-en-la-ciudad/</t>
        </is>
      </c>
      <c r="F134" s="49" t="n">
        <v>46319</v>
      </c>
      <c r="G134" s="51" t="n">
        <v>1</v>
      </c>
    </row>
    <row r="135" ht="54" customHeight="1">
      <c r="A135" s="29" t="inlineStr">
        <is>
          <t>sevilla:action:feria-de-abril-ulasim-park-ve-erisilebilirlik-1</t>
        </is>
      </c>
      <c r="B135" s="29" t="inlineStr">
        <is>
          <t>sevilla</t>
        </is>
      </c>
      <c r="C135" s="29" t="inlineStr">
        <is>
          <t>sevilla:feria-de-abril-ulasim-park-ve-erisilebilirlik</t>
        </is>
      </c>
      <c r="D135" s="29" t="inlineStr">
        <is>
          <t>Bilgi al</t>
        </is>
      </c>
      <c r="E135" s="29" t="inlineStr">
        <is>
          <t>https://visitasevilla.es/la-feria-de-abril/</t>
        </is>
      </c>
      <c r="F135" s="49" t="n">
        <v>46320</v>
      </c>
      <c r="G135" s="51" t="n">
        <v>1</v>
      </c>
    </row>
    <row r="136" ht="54" customHeight="1">
      <c r="A136" s="29" t="inlineStr">
        <is>
          <t>sevilla:action:is-sozlesmesi-turleri-1</t>
        </is>
      </c>
      <c r="B136" s="29" t="inlineStr">
        <is>
          <t>sevilla</t>
        </is>
      </c>
      <c r="C136" s="29" t="inlineStr">
        <is>
          <t>sevilla:is-sozlesmesi-turleri</t>
        </is>
      </c>
      <c r="D136" s="29" t="inlineStr">
        <is>
          <t>Bilgi al</t>
        </is>
      </c>
      <c r="E136" s="29" t="inlineStr">
        <is>
          <t>https://www.boe.es/buscar/act.php?id=BOE-A-2015-11430</t>
        </is>
      </c>
      <c r="F136" s="49" t="n">
        <v>46319</v>
      </c>
      <c r="G136" s="51" t="n">
        <v>1</v>
      </c>
    </row>
    <row r="137" ht="54" customHeight="1">
      <c r="A137" s="29" t="inlineStr">
        <is>
          <t>sevilla:action:asgari-ucret-smi-2026-calisma-saatleri-1</t>
        </is>
      </c>
      <c r="B137" s="29" t="inlineStr">
        <is>
          <t>sevilla</t>
        </is>
      </c>
      <c r="C137" s="29" t="inlineStr">
        <is>
          <t>sevilla:asgari-ucret-smi-2026-calisma-saatleri</t>
        </is>
      </c>
      <c r="D137" s="29" t="inlineStr">
        <is>
          <t>Bilgi al</t>
        </is>
      </c>
      <c r="E137" s="29" t="inlineStr">
        <is>
          <t>https://www.boe.es/eli/es/rd/2026/02/18/126/con</t>
        </is>
      </c>
      <c r="F137" s="49" t="n">
        <v>46319</v>
      </c>
      <c r="G137" s="51" t="n">
        <v>1</v>
      </c>
    </row>
    <row r="138" ht="54" customHeight="1">
      <c r="A138" s="29" t="inlineStr">
        <is>
          <t>sevilla:action:asgari-ucret-smi-2026-calisma-saatleri-2</t>
        </is>
      </c>
      <c r="B138" s="29" t="inlineStr">
        <is>
          <t>sevilla</t>
        </is>
      </c>
      <c r="C138" s="29" t="inlineStr">
        <is>
          <t>sevilla:asgari-ucret-smi-2026-calisma-saatleri</t>
        </is>
      </c>
      <c r="D138" s="29" t="inlineStr">
        <is>
          <t>Bilgi al</t>
        </is>
      </c>
      <c r="E138" s="29" t="inlineStr">
        <is>
          <t>https://www.boe.es/buscar/act.php?id=BOE-A-2015-11430</t>
        </is>
      </c>
      <c r="F138" s="49" t="n">
        <v>46319</v>
      </c>
      <c r="G138" s="51" t="n">
        <v>2</v>
      </c>
    </row>
    <row r="139" ht="54" customHeight="1">
      <c r="A139" s="29" t="inlineStr">
        <is>
          <t>sevilla:action:yillik-izin-ve-resmi-tatiller-2026-1</t>
        </is>
      </c>
      <c r="B139" s="29" t="inlineStr">
        <is>
          <t>sevilla</t>
        </is>
      </c>
      <c r="C139" s="29" t="inlineStr">
        <is>
          <t>sevilla:yillik-izin-ve-resmi-tatiller-2026</t>
        </is>
      </c>
      <c r="D139" s="29" t="inlineStr">
        <is>
          <t>Bilgi al</t>
        </is>
      </c>
      <c r="E139" s="29" t="inlineStr">
        <is>
          <t>https://www.boe.es/diario_boe/txt.php?id=BOE-A-2025-21667</t>
        </is>
      </c>
      <c r="F139" s="49" t="n">
        <v>46319</v>
      </c>
      <c r="G139" s="51" t="n">
        <v>1</v>
      </c>
    </row>
    <row r="140" ht="54" customHeight="1">
      <c r="A140" s="29" t="inlineStr">
        <is>
          <t>sevilla:action:yillik-izin-ve-resmi-tatiller-2026-2</t>
        </is>
      </c>
      <c r="B140" s="29" t="inlineStr">
        <is>
          <t>sevilla</t>
        </is>
      </c>
      <c r="C140" s="29" t="inlineStr">
        <is>
          <t>sevilla:yillik-izin-ve-resmi-tatiller-2026</t>
        </is>
      </c>
      <c r="D140" s="29" t="inlineStr">
        <is>
          <t>Bilgi al</t>
        </is>
      </c>
      <c r="E140" s="29" t="inlineStr">
        <is>
          <t>https://www.boe.es/buscar/act.php?id=BOE-A-2015-11430</t>
        </is>
      </c>
      <c r="F140" s="49" t="n">
        <v>46319</v>
      </c>
      <c r="G140" s="51" t="n">
        <v>2</v>
      </c>
    </row>
    <row r="141" ht="54" customHeight="1">
      <c r="A141" s="29" t="inlineStr">
        <is>
          <t>sevilla:action:maas-bordrosu-nomina-icerigi-1</t>
        </is>
      </c>
      <c r="B141" s="29" t="inlineStr">
        <is>
          <t>sevilla</t>
        </is>
      </c>
      <c r="C141" s="29" t="inlineStr">
        <is>
          <t>sevilla:maas-bordrosu-nomina-icerigi</t>
        </is>
      </c>
      <c r="D141" s="29" t="inlineStr">
        <is>
          <t>Bilgi al</t>
        </is>
      </c>
      <c r="E141" s="29" t="inlineStr">
        <is>
          <t>https://www.boe.es/buscar/act.php?id=BOE-A-1995-912</t>
        </is>
      </c>
      <c r="F141" s="49" t="n">
        <v>46319</v>
      </c>
      <c r="G141" s="51" t="n">
        <v>1</v>
      </c>
    </row>
    <row r="142" ht="54" customHeight="1">
      <c r="A142" s="29" t="inlineStr">
        <is>
          <t>sevilla:action:maas-bordrosu-nomina-icerigi-2</t>
        </is>
      </c>
      <c r="B142" s="29" t="inlineStr">
        <is>
          <t>sevilla</t>
        </is>
      </c>
      <c r="C142" s="29" t="inlineStr">
        <is>
          <t>sevilla:maas-bordrosu-nomina-icerigi</t>
        </is>
      </c>
      <c r="D142" s="29" t="inlineStr">
        <is>
          <t>Bilgi al</t>
        </is>
      </c>
      <c r="E142" s="29" t="inlineStr">
        <is>
          <t>https://www.boe.es/diario_boe/txt.php?id=BOE-A-2026-7296</t>
        </is>
      </c>
      <c r="F142" s="49" t="n">
        <v>46319</v>
      </c>
      <c r="G142" s="51" t="n">
        <v>2</v>
      </c>
    </row>
    <row r="143" ht="54" customHeight="1">
      <c r="A143" s="29" t="inlineStr">
        <is>
          <t>sevilla:action:finiquito-isten-ayrilirken-tasfiye-belgesi-1</t>
        </is>
      </c>
      <c r="B143" s="29" t="inlineStr">
        <is>
          <t>sevilla</t>
        </is>
      </c>
      <c r="C143" s="29" t="inlineStr">
        <is>
          <t>sevilla:finiquito-isten-ayrilirken-tasfiye-belgesi</t>
        </is>
      </c>
      <c r="D143" s="29" t="inlineStr">
        <is>
          <t>Bilgi al</t>
        </is>
      </c>
      <c r="E143" s="29" t="inlineStr">
        <is>
          <t>https://www.boe.es/buscar/act.php?id=BOE-A-2015-11430</t>
        </is>
      </c>
      <c r="F143" s="49" t="n">
        <v>46319</v>
      </c>
      <c r="G143" s="51" t="n">
        <v>1</v>
      </c>
    </row>
    <row r="144" ht="54" customHeight="1">
      <c r="A144" s="29" t="inlineStr">
        <is>
          <t>sevilla:action:isten-cikarilma-despido-turleri-ve-tazminat-1</t>
        </is>
      </c>
      <c r="B144" s="29" t="inlineStr">
        <is>
          <t>sevilla</t>
        </is>
      </c>
      <c r="C144" s="29" t="inlineStr">
        <is>
          <t>sevilla:isten-cikarilma-despido-turleri-ve-tazminat</t>
        </is>
      </c>
      <c r="D144" s="29" t="inlineStr">
        <is>
          <t>Bilgi al</t>
        </is>
      </c>
      <c r="E144" s="29" t="inlineStr">
        <is>
          <t>https://www.boe.es/buscar/act.php?id=BOE-A-2015-11430</t>
        </is>
      </c>
      <c r="F144" s="49" t="n">
        <v>46319</v>
      </c>
      <c r="G144" s="51" t="n">
        <v>1</v>
      </c>
    </row>
    <row r="145" ht="54" customHeight="1">
      <c r="A145" s="29" t="inlineStr">
        <is>
          <t>sevilla:action:issizlik-maasi-paro-sepe-basvurusu-1</t>
        </is>
      </c>
      <c r="B145" s="29" t="inlineStr">
        <is>
          <t>sevilla</t>
        </is>
      </c>
      <c r="C145" s="29" t="inlineStr">
        <is>
          <t>sevilla:issizlik-maasi-paro-sepe-basvurusu</t>
        </is>
      </c>
      <c r="D145" s="29" t="inlineStr">
        <is>
          <t>Bilgi al</t>
        </is>
      </c>
      <c r="E145" s="29" t="inlineStr">
        <is>
          <t>https://www.sepe.es/HomeSepe/prestaciones-desempleo/prestacion-contributiva/prestacion-contributiva-mas-de-un-anyo.html</t>
        </is>
      </c>
      <c r="F145" s="49" t="n">
        <v>46319</v>
      </c>
      <c r="G145" s="51" t="n">
        <v>1</v>
      </c>
    </row>
    <row r="146" ht="54" customHeight="1">
      <c r="A146" s="29" t="inlineStr">
        <is>
          <t>sevilla:action:issizlik-maasi-paro-sepe-basvurusu-2</t>
        </is>
      </c>
      <c r="B146" s="29" t="inlineStr">
        <is>
          <t>sevilla</t>
        </is>
      </c>
      <c r="C146" s="29" t="inlineStr">
        <is>
          <t>sevilla:issizlik-maasi-paro-sepe-basvurusu</t>
        </is>
      </c>
      <c r="D146" s="29" t="inlineStr">
        <is>
          <t>Tarifeyi gör</t>
        </is>
      </c>
      <c r="E146" s="29" t="inlineStr">
        <is>
          <t>https://www.sepe.es/HomeSepe/prestaciones-desempleo/duracion-prestacion-contributiva.html</t>
        </is>
      </c>
      <c r="F146" s="49" t="n">
        <v>46319</v>
      </c>
      <c r="G146" s="51" t="n">
        <v>2</v>
      </c>
    </row>
    <row r="147" ht="54" customHeight="1">
      <c r="A147" s="29" t="inlineStr">
        <is>
          <t>sevilla:action:is-kazasi-ve-meslek-hastaligi-tanimi-1</t>
        </is>
      </c>
      <c r="B147" s="29" t="inlineStr">
        <is>
          <t>sevilla</t>
        </is>
      </c>
      <c r="C147" s="29" t="inlineStr">
        <is>
          <t>sevilla:is-kazasi-ve-meslek-hastaligi-tanimi</t>
        </is>
      </c>
      <c r="D147" s="29" t="inlineStr">
        <is>
          <t>Bilgi al</t>
        </is>
      </c>
      <c r="E147" s="29" t="inlineStr">
        <is>
          <t>https://www.boe.es/buscar/act.php?id=BOE-A-2015-11724</t>
        </is>
      </c>
      <c r="F147" s="49" t="n">
        <v>46319</v>
      </c>
      <c r="G147" s="51" t="n">
        <v>1</v>
      </c>
    </row>
    <row r="148" ht="54" customHeight="1">
      <c r="A148" s="29" t="inlineStr">
        <is>
          <t>sevilla:action:serbest-calisan-autonomo-kayit-ve-prim-tablosu-1</t>
        </is>
      </c>
      <c r="B148" s="29" t="inlineStr">
        <is>
          <t>sevilla</t>
        </is>
      </c>
      <c r="C148" s="29" t="inlineStr">
        <is>
          <t>sevilla:serbest-calisan-autonomo-kayit-ve-prim-tablosu</t>
        </is>
      </c>
      <c r="D148" s="29" t="inlineStr">
        <is>
          <t>Bilgi al</t>
        </is>
      </c>
      <c r="E148" s="29" t="inlineStr">
        <is>
          <t>https://revista.seg-social.es/-/guia-para-darte-de-alta-en-la-seguridad-social-como-trabajador-autonomo</t>
        </is>
      </c>
      <c r="F148" s="49" t="n">
        <v>46319</v>
      </c>
      <c r="G148" s="51" t="n">
        <v>1</v>
      </c>
    </row>
    <row r="149" ht="54" customHeight="1">
      <c r="A149" s="29" t="inlineStr">
        <is>
          <t>sevilla:action:serbest-calisan-autonomo-kayit-ve-prim-tablosu-2</t>
        </is>
      </c>
      <c r="B149" s="29" t="inlineStr">
        <is>
          <t>sevilla</t>
        </is>
      </c>
      <c r="C149" s="29" t="inlineStr">
        <is>
          <t>sevilla:serbest-calisan-autonomo-kayit-ve-prim-tablosu</t>
        </is>
      </c>
      <c r="D149" s="29" t="inlineStr">
        <is>
          <t>Bilgi al</t>
        </is>
      </c>
      <c r="E149" s="29" t="inlineStr">
        <is>
          <t>https://www.boe.es/diario_boe/txt.php?id=BOE-A-2026-7296</t>
        </is>
      </c>
      <c r="F149" s="49" t="n">
        <v>46319</v>
      </c>
      <c r="G149" s="51" t="n">
        <v>2</v>
      </c>
    </row>
    <row r="150" ht="54" customHeight="1">
      <c r="A150" s="29" t="inlineStr">
        <is>
          <t>sevilla:action:dogum-ve-babalik-izni-sureleri-1</t>
        </is>
      </c>
      <c r="B150" s="29" t="inlineStr">
        <is>
          <t>sevilla</t>
        </is>
      </c>
      <c r="C150" s="29" t="inlineStr">
        <is>
          <t>sevilla:dogum-ve-babalik-izni-sureleri</t>
        </is>
      </c>
      <c r="D150" s="29" t="inlineStr">
        <is>
          <t>Bilgi al</t>
        </is>
      </c>
      <c r="E150" s="29" t="inlineStr">
        <is>
          <t>https://www.boe.es/buscar/act.php?id=BOE-A-2015-11430</t>
        </is>
      </c>
      <c r="F150" s="49" t="n">
        <v>46319</v>
      </c>
      <c r="G150" s="51" t="n">
        <v>1</v>
      </c>
    </row>
    <row r="151" ht="54" customHeight="1">
      <c r="A151" s="29" t="inlineStr">
        <is>
          <t>sevilla:action:dogum-ve-babalik-izni-sureleri-2</t>
        </is>
      </c>
      <c r="B151" s="29" t="inlineStr">
        <is>
          <t>sevilla</t>
        </is>
      </c>
      <c r="C151" s="29" t="inlineStr">
        <is>
          <t>sevilla:dogum-ve-babalik-izni-sureleri</t>
        </is>
      </c>
      <c r="D151" s="29" t="inlineStr">
        <is>
          <t>Bilgi al</t>
        </is>
      </c>
      <c r="E151" s="29" t="inlineStr">
        <is>
          <t>https://www.boe.es/buscar/act.php?id=BOE-A-2015-11724</t>
        </is>
      </c>
      <c r="F151" s="49" t="n">
        <v>46319</v>
      </c>
      <c r="G151" s="51" t="n">
        <v>2</v>
      </c>
    </row>
    <row r="152" ht="54" customHeight="1">
      <c r="A152" s="29" t="inlineStr">
        <is>
          <t>sevilla:action:yabanci-diploma-denklik-okul-ve-universite-1</t>
        </is>
      </c>
      <c r="B152" s="29" t="inlineStr">
        <is>
          <t>sevilla</t>
        </is>
      </c>
      <c r="C152" s="29" t="inlineStr">
        <is>
          <t>sevilla:yabanci-diploma-denklik-okul-ve-universite</t>
        </is>
      </c>
      <c r="D152" s="29" t="inlineStr">
        <is>
          <t>Bilgi al</t>
        </is>
      </c>
      <c r="E152" s="29" t="inlineStr">
        <is>
          <t>https://www.educacionfpydeportes.gob.es/mc/convalidacion-homologacion/convalidacion-no-universitaria/homologar-convalidar.html</t>
        </is>
      </c>
      <c r="F152" s="49" t="n">
        <v>46319</v>
      </c>
      <c r="G152" s="51" t="n">
        <v>1</v>
      </c>
    </row>
    <row r="153" ht="54" customHeight="1">
      <c r="A153" s="29" t="inlineStr">
        <is>
          <t>sevilla:action:yabanci-diploma-denklik-okul-ve-universite-2</t>
        </is>
      </c>
      <c r="B153" s="29" t="inlineStr">
        <is>
          <t>sevilla</t>
        </is>
      </c>
      <c r="C153" s="29" t="inlineStr">
        <is>
          <t>sevilla:yabanci-diploma-denklik-okul-ve-universite</t>
        </is>
      </c>
      <c r="D153" s="29" t="inlineStr">
        <is>
          <t>Bilgi al</t>
        </is>
      </c>
      <c r="E153" s="29" t="inlineStr">
        <is>
          <t>https://www.boe.es/buscar/doc.php?id=BOE-A-2022-17045</t>
        </is>
      </c>
      <c r="F153" s="49" t="n">
        <v>46319</v>
      </c>
      <c r="G153" s="51" t="n">
        <v>2</v>
      </c>
    </row>
    <row r="154" ht="54" customHeight="1">
      <c r="A154" s="29" t="inlineStr">
        <is>
          <t>sevilla:action:endulus-sae-is-arayan-kaydi-demandante-de-empleo-1</t>
        </is>
      </c>
      <c r="B154" s="29" t="inlineStr">
        <is>
          <t>sevilla</t>
        </is>
      </c>
      <c r="C154" s="29" t="inlineStr">
        <is>
          <t>sevilla:endulus-sae-is-arayan-kaydi-demandante-de-empleo</t>
        </is>
      </c>
      <c r="D154" s="29" t="inlineStr">
        <is>
          <t>Kayıt ol</t>
        </is>
      </c>
      <c r="E154" s="29" t="inlineStr">
        <is>
          <t>https://ws054.juntadeandalucia.es/portalsae/quiero-trabajar/inscribirme-como-demandante-empleo</t>
        </is>
      </c>
      <c r="F154" s="49" t="n">
        <v>46319</v>
      </c>
      <c r="G154" s="51" t="n">
        <v>1</v>
      </c>
    </row>
    <row r="155" ht="54" customHeight="1">
      <c r="A155" s="29" t="inlineStr">
        <is>
          <t>sevilla:action:endulus-sae-is-arayan-kaydi-demandante-de-empleo-2</t>
        </is>
      </c>
      <c r="B155" s="29" t="inlineStr">
        <is>
          <t>sevilla</t>
        </is>
      </c>
      <c r="C155" s="29" t="inlineStr">
        <is>
          <t>sevilla:endulus-sae-is-arayan-kaydi-demandante-de-empleo</t>
        </is>
      </c>
      <c r="D155" s="29" t="inlineStr">
        <is>
          <t>Bilgi al</t>
        </is>
      </c>
      <c r="E155" s="29" t="inlineStr">
        <is>
          <t>https://ws054.juntadeandalucia.es/portalsae/quiero-trabajar/trabajar-en-andalucia-extranjero-ue</t>
        </is>
      </c>
      <c r="F155" s="49" t="n">
        <v>46319</v>
      </c>
      <c r="G155" s="51" t="n">
        <v>2</v>
      </c>
    </row>
    <row r="156" ht="54" customHeight="1">
      <c r="A156" s="29" t="inlineStr">
        <is>
          <t>sevilla:action:sevilla-sehrinde-is-ofisleri-adresleri-1</t>
        </is>
      </c>
      <c r="B156" s="29" t="inlineStr">
        <is>
          <t>sevilla</t>
        </is>
      </c>
      <c r="C156" s="29" t="inlineStr">
        <is>
          <t>sevilla:sevilla-sehrinde-is-ofisleri-adresleri</t>
        </is>
      </c>
      <c r="D156" s="29" t="inlineStr">
        <is>
          <t>Randevu al</t>
        </is>
      </c>
      <c r="E156" s="29" t="inlineStr">
        <is>
          <t>https://www.juntadeandalucia.es/organismos/sae/areas/demanda-empleo/cita-previa-empleo.html</t>
        </is>
      </c>
      <c r="F156" s="49" t="n">
        <v>46319</v>
      </c>
      <c r="G156" s="51" t="n">
        <v>1</v>
      </c>
    </row>
    <row r="157" ht="54" customHeight="1">
      <c r="A157" s="29" t="inlineStr">
        <is>
          <t>sevilla:action:sevilla-sehrinde-is-ofisleri-adresleri-2</t>
        </is>
      </c>
      <c r="B157" s="29" t="inlineStr">
        <is>
          <t>sevilla</t>
        </is>
      </c>
      <c r="C157" s="29" t="inlineStr">
        <is>
          <t>sevilla:sevilla-sehrinde-is-ofisleri-adresleri</t>
        </is>
      </c>
      <c r="D157" s="29" t="inlineStr">
        <is>
          <t>Bilgi al</t>
        </is>
      </c>
      <c r="E157" s="29" t="inlineStr">
        <is>
          <t>https://www.sepe.es/HomeSepe/en/que-es-el-sepe/Red-de-oficinas/ResultadosBusqueda.html?id=ce74b5f8-7045-4ee0-90e2-bdfa4d5d09df&amp;provinciaNombre=Sevilla</t>
        </is>
      </c>
      <c r="F157" s="49" t="n">
        <v>46319</v>
      </c>
      <c r="G157" s="51" t="n">
        <v>2</v>
      </c>
    </row>
    <row r="158" ht="54" customHeight="1">
      <c r="A158" s="29" t="inlineStr">
        <is>
          <t>sevilla:action:sae-randevusu-ve-demanda-yenileme-sevilla-1</t>
        </is>
      </c>
      <c r="B158" s="29" t="inlineStr">
        <is>
          <t>sevilla</t>
        </is>
      </c>
      <c r="C158" s="29" t="inlineStr">
        <is>
          <t>sevilla:sae-randevusu-ve-demanda-yenileme-sevilla</t>
        </is>
      </c>
      <c r="D158" s="29" t="inlineStr">
        <is>
          <t>Randevu al</t>
        </is>
      </c>
      <c r="E158" s="29" t="inlineStr">
        <is>
          <t>https://www.juntadeandalucia.es/organismos/sae/areas/demanda-empleo/cita-previa-empleo.html</t>
        </is>
      </c>
      <c r="F158" s="49" t="n">
        <v>46319</v>
      </c>
      <c r="G158" s="51" t="n">
        <v>1</v>
      </c>
    </row>
    <row r="159" ht="54" customHeight="1">
      <c r="A159" s="29" t="inlineStr">
        <is>
          <t>sevilla:action:sae-randevusu-ve-demanda-yenileme-sevilla-2</t>
        </is>
      </c>
      <c r="B159" s="29" t="inlineStr">
        <is>
          <t>sevilla</t>
        </is>
      </c>
      <c r="C159" s="29" t="inlineStr">
        <is>
          <t>sevilla:sae-randevusu-ve-demanda-yenileme-sevilla</t>
        </is>
      </c>
      <c r="D159" s="29" t="inlineStr">
        <is>
          <t>Bilgi al</t>
        </is>
      </c>
      <c r="E159" s="29" t="inlineStr">
        <is>
          <t>https://www.juntadeandalucia.es/temas/trabajar/desempleo/demanda.html</t>
        </is>
      </c>
      <c r="F159" s="49" t="n">
        <v>46319</v>
      </c>
      <c r="G159" s="51" t="n">
        <v>2</v>
      </c>
    </row>
    <row r="160" ht="54" customHeight="1">
      <c r="A160" s="29" t="inlineStr">
        <is>
          <t>sevilla:action:sevilla-sepe-il-mudurlugu-adresi-1</t>
        </is>
      </c>
      <c r="B160" s="29" t="inlineStr">
        <is>
          <t>sevilla</t>
        </is>
      </c>
      <c r="C160" s="29" t="inlineStr">
        <is>
          <t>sevilla:sevilla-sepe-il-mudurlugu-adresi</t>
        </is>
      </c>
      <c r="D160" s="29" t="inlineStr">
        <is>
          <t>Bilgi al</t>
        </is>
      </c>
      <c r="E160" s="29" t="inlineStr">
        <is>
          <t>https://www.sepe.es/HomeSepe/en/que-es-el-sepe/Red-de-oficinas/ResultadosBusqueda.html?id=ce74b5f8-7045-4ee0-90e2-bdfa4d5d09df&amp;provinciaNombre=Sevilla</t>
        </is>
      </c>
      <c r="F160" s="49" t="n">
        <v>46319</v>
      </c>
      <c r="G160" s="51" t="n">
        <v>1</v>
      </c>
    </row>
    <row r="161" ht="54" customHeight="1">
      <c r="A161" s="29" t="inlineStr">
        <is>
          <t>sevilla:action:sevilla-sepe-il-mudurlugu-adresi-2</t>
        </is>
      </c>
      <c r="B161" s="29" t="inlineStr">
        <is>
          <t>sevilla</t>
        </is>
      </c>
      <c r="C161" s="29" t="inlineStr">
        <is>
          <t>sevilla:sevilla-sepe-il-mudurlugu-adresi</t>
        </is>
      </c>
      <c r="D161" s="29" t="inlineStr">
        <is>
          <t>Kayıt ol</t>
        </is>
      </c>
      <c r="E161" s="29" t="inlineStr">
        <is>
          <t>https://www.juntadeandalucia.es/organismos/sae/areas/demanda-empleo/inscripcion-demandante.html</t>
        </is>
      </c>
      <c r="F161" s="49" t="n">
        <v>46319</v>
      </c>
      <c r="G161" s="51" t="n">
        <v>2</v>
      </c>
    </row>
    <row r="162" ht="54" customHeight="1">
      <c r="A162" s="29" t="inlineStr">
        <is>
          <t>sevilla:action:sevilla-emprendedora-belediye-girisimcilik-programi-1</t>
        </is>
      </c>
      <c r="B162" s="29" t="inlineStr">
        <is>
          <t>sevilla</t>
        </is>
      </c>
      <c r="C162" s="29" t="inlineStr">
        <is>
          <t>sevilla:sevilla-emprendedora-belediye-girisimcilik-programi</t>
        </is>
      </c>
      <c r="D162" s="29" t="inlineStr">
        <is>
          <t>Bilgi al</t>
        </is>
      </c>
      <c r="E162" s="29" t="inlineStr">
        <is>
          <t>https://www.sevillaemprendedora.org/programa/sevilla-emprendedora/</t>
        </is>
      </c>
      <c r="F162" s="49" t="n">
        <v>46319</v>
      </c>
      <c r="G162" s="51" t="n">
        <v>1</v>
      </c>
    </row>
    <row r="163" ht="54" customHeight="1">
      <c r="A163" s="29" t="inlineStr">
        <is>
          <t>sevilla:action:sevilla-serbest-calisma-vergi-dairesi-ofisleri-ve-cade-1</t>
        </is>
      </c>
      <c r="B163" s="29" t="inlineStr">
        <is>
          <t>sevilla</t>
        </is>
      </c>
      <c r="C163" s="29" t="inlineStr">
        <is>
          <t>sevilla:sevilla-serbest-calisma-vergi-dairesi-ofisleri-ve-cade</t>
        </is>
      </c>
      <c r="D163" s="29" t="inlineStr">
        <is>
          <t>Başvur</t>
        </is>
      </c>
      <c r="E163" s="29" t="inlineStr">
        <is>
          <t>https://www.juntadeandalucia.es/temas/trabajar/autoempleo/alta-autonomos.html</t>
        </is>
      </c>
      <c r="F163" s="49" t="n">
        <v>46319</v>
      </c>
      <c r="G163" s="51" t="n">
        <v>1</v>
      </c>
    </row>
    <row r="164" ht="54" customHeight="1">
      <c r="A164" s="29" t="inlineStr">
        <is>
          <t>sevilla:action:sevilla-serbest-calisma-vergi-dairesi-ofisleri-ve-cade-2</t>
        </is>
      </c>
      <c r="B164" s="29" t="inlineStr">
        <is>
          <t>sevilla</t>
        </is>
      </c>
      <c r="C164" s="29" t="inlineStr">
        <is>
          <t>sevilla:sevilla-serbest-calisma-vergi-dairesi-ofisleri-ve-cade</t>
        </is>
      </c>
      <c r="D164" s="29" t="inlineStr">
        <is>
          <t>Bilgi al</t>
        </is>
      </c>
      <c r="E164" s="29" t="inlineStr">
        <is>
          <t>https://sede.agenciatributaria.gob.es/Sede/buscador-oficinas/sevilla.html</t>
        </is>
      </c>
      <c r="F164" s="49" t="n">
        <v>46319</v>
      </c>
      <c r="G164" s="51" t="n">
        <v>2</v>
      </c>
    </row>
    <row r="165" ht="54" customHeight="1">
      <c r="A165" s="29" t="inlineStr">
        <is>
          <t>sevilla:action:endulus-ucretsiz-meslek-kurslari-fpe-ve-burslar-1</t>
        </is>
      </c>
      <c r="B165" s="29" t="inlineStr">
        <is>
          <t>sevilla</t>
        </is>
      </c>
      <c r="C165" s="29" t="inlineStr">
        <is>
          <t>sevilla:endulus-ucretsiz-meslek-kurslari-fpe-ve-burslar</t>
        </is>
      </c>
      <c r="D165" s="29" t="inlineStr">
        <is>
          <t>Bilgi al</t>
        </is>
      </c>
      <c r="E165" s="29" t="inlineStr">
        <is>
          <t>https://www.juntadeandalucia.es/temas/trabajar/formacion/fpe.html</t>
        </is>
      </c>
      <c r="F165" s="49" t="n">
        <v>46319</v>
      </c>
      <c r="G165" s="51" t="n">
        <v>1</v>
      </c>
    </row>
    <row r="166" ht="54" customHeight="1">
      <c r="A166" s="29" t="inlineStr">
        <is>
          <t>sevilla:action:sevilla-is-ve-sosyal-guvenlik-mufettisligi-itss-iletisim-1</t>
        </is>
      </c>
      <c r="B166" s="29" t="inlineStr">
        <is>
          <t>sevilla</t>
        </is>
      </c>
      <c r="C166" s="29" t="inlineStr">
        <is>
          <t>sevilla:sevilla-is-ve-sosyal-guvenlik-mufettisligi-itss-iletisim</t>
        </is>
      </c>
      <c r="D166" s="29" t="inlineStr">
        <is>
          <t>Bilgi al</t>
        </is>
      </c>
      <c r="E166" s="29" t="inlineStr">
        <is>
          <t>https://oeitss.gob.es/en/sobre-la-itss/donde-estamos/andalucia</t>
        </is>
      </c>
      <c r="F166" s="49" t="n">
        <v>46319</v>
      </c>
      <c r="G166" s="51" t="n">
        <v>1</v>
      </c>
    </row>
    <row r="167" ht="54" customHeight="1">
      <c r="A167" s="29" t="inlineStr">
        <is>
          <t>sevilla:action:sevilla-cmac-zorunlu-uzlastirma-ve-sercla-1</t>
        </is>
      </c>
      <c r="B167" s="29" t="inlineStr">
        <is>
          <t>sevilla</t>
        </is>
      </c>
      <c r="C167" s="29" t="inlineStr">
        <is>
          <t>sevilla:sevilla-cmac-zorunlu-uzlastirma-ve-sercla</t>
        </is>
      </c>
      <c r="D167" s="29" t="inlineStr">
        <is>
          <t>Başvur</t>
        </is>
      </c>
      <c r="E167" s="29" t="inlineStr">
        <is>
          <t>https://www.juntadeandalucia.es/organismos/empleoempresaytrabajoautonomo/areas/relaciones-laborales/mediacion.html</t>
        </is>
      </c>
      <c r="F167" s="49" t="n">
        <v>46319</v>
      </c>
      <c r="G167" s="51" t="n">
        <v>1</v>
      </c>
    </row>
    <row r="168" ht="54" customHeight="1">
      <c r="A168" s="29" t="inlineStr">
        <is>
          <t>sevilla:action:sevilla-cmac-zorunlu-uzlastirma-ve-sercla-2</t>
        </is>
      </c>
      <c r="B168" s="29" t="inlineStr">
        <is>
          <t>sevilla</t>
        </is>
      </c>
      <c r="C168" s="29" t="inlineStr">
        <is>
          <t>sevilla:sevilla-cmac-zorunlu-uzlastirma-ve-sercla</t>
        </is>
      </c>
      <c r="D168" s="29" t="inlineStr">
        <is>
          <t>Bilgi al</t>
        </is>
      </c>
      <c r="E168" s="29" t="inlineStr">
        <is>
          <t>https://www.juntadeandalucia.es/organismos/empleoempresaytrabajoautonomo/areas/relaciones-laborales/organos-dialogo/carl/sercla/procedimientos-formularios.html</t>
        </is>
      </c>
      <c r="F168" s="49" t="n">
        <v>46319</v>
      </c>
      <c r="G168" s="51" t="n">
        <v>2</v>
      </c>
    </row>
    <row r="169" ht="54" customHeight="1">
      <c r="A169" s="29" t="inlineStr">
        <is>
          <t>sevilla:action:sevilla-gorulmesi-gereken-anitlar-1</t>
        </is>
      </c>
      <c r="B169" s="29" t="inlineStr">
        <is>
          <t>sevilla</t>
        </is>
      </c>
      <c r="C169" s="29" t="inlineStr">
        <is>
          <t>sevilla:sevilla-gorulmesi-gereken-anitlar</t>
        </is>
      </c>
      <c r="D169" s="29" t="inlineStr">
        <is>
          <t>Bilgi al</t>
        </is>
      </c>
      <c r="E169" s="29" t="inlineStr">
        <is>
          <t>https://visitasevilla.es/sevilla-se-vive-en-familia/</t>
        </is>
      </c>
      <c r="F169" s="49" t="n">
        <v>46319</v>
      </c>
      <c r="G169" s="51" t="n">
        <v>1</v>
      </c>
    </row>
    <row r="170" ht="54" customHeight="1">
      <c r="A170" s="29" t="inlineStr">
        <is>
          <t>sevilla:action:sevilla-gorulmesi-gereken-anitlar-2</t>
        </is>
      </c>
      <c r="B170" s="29" t="inlineStr">
        <is>
          <t>sevilla</t>
        </is>
      </c>
      <c r="C170" s="29" t="inlineStr">
        <is>
          <t>sevilla:sevilla-gorulmesi-gereken-anitlar</t>
        </is>
      </c>
      <c r="D170" s="29" t="inlineStr">
        <is>
          <t>Bilgi al</t>
        </is>
      </c>
      <c r="E170" s="29" t="inlineStr">
        <is>
          <t>https://visitasevilla.es/sevilla-a-traves-de-sus-parques/</t>
        </is>
      </c>
      <c r="F170" s="49" t="n">
        <v>46319</v>
      </c>
      <c r="G170" s="51" t="n">
        <v>2</v>
      </c>
    </row>
    <row r="171" ht="54" customHeight="1">
      <c r="A171" s="29" t="inlineStr">
        <is>
          <t>sevilla:action:real-alcazar-saatler-bilet-ve-giris-kurallari-1</t>
        </is>
      </c>
      <c r="B171" s="29" t="inlineStr">
        <is>
          <t>sevilla</t>
        </is>
      </c>
      <c r="C171" s="29" t="inlineStr">
        <is>
          <t>sevilla:real-alcazar-saatler-bilet-ve-giris-kurallari</t>
        </is>
      </c>
      <c r="D171" s="29" t="inlineStr">
        <is>
          <t>Bilet al</t>
        </is>
      </c>
      <c r="E171" s="29" t="inlineStr">
        <is>
          <t>https://alcazarsevilla.org/prepara-la-visita/</t>
        </is>
      </c>
      <c r="F171" s="49" t="n">
        <v>46319</v>
      </c>
      <c r="G171" s="51" t="n">
        <v>1</v>
      </c>
    </row>
    <row r="172" ht="54" customHeight="1">
      <c r="A172" s="29" t="inlineStr">
        <is>
          <t>sevilla:action:katedral-ve-giralda-saatler-bilet-ve-rehberli-tur-1</t>
        </is>
      </c>
      <c r="B172" s="29" t="inlineStr">
        <is>
          <t>sevilla</t>
        </is>
      </c>
      <c r="C172" s="29" t="inlineStr">
        <is>
          <t>sevilla:katedral-ve-giralda-saatler-bilet-ve-rehberli-tur</t>
        </is>
      </c>
      <c r="D172" s="29" t="inlineStr">
        <is>
          <t>Bilet al</t>
        </is>
      </c>
      <c r="E172" s="29" t="inlineStr">
        <is>
          <t>https://www.catedraldesevilla.es/visita-cultural/horarios-y-tarifas/</t>
        </is>
      </c>
      <c r="F172" s="49" t="n">
        <v>46319</v>
      </c>
      <c r="G172" s="51" t="n">
        <v>1</v>
      </c>
    </row>
    <row r="173" ht="54" customHeight="1">
      <c r="A173" s="29" t="inlineStr">
        <is>
          <t>sevilla:action:anitlarda-ucretsiz-ve-indirimli-giris-hakki-1</t>
        </is>
      </c>
      <c r="B173" s="29" t="inlineStr">
        <is>
          <t>sevilla</t>
        </is>
      </c>
      <c r="C173" s="29" t="inlineStr">
        <is>
          <t>sevilla:anitlarda-ucretsiz-ve-indirimli-giris-hakki</t>
        </is>
      </c>
      <c r="D173" s="29" t="inlineStr">
        <is>
          <t>Bilet al</t>
        </is>
      </c>
      <c r="E173" s="29" t="inlineStr">
        <is>
          <t>https://alcazarsevilla.org/prepara-la-visita/</t>
        </is>
      </c>
      <c r="F173" s="49" t="n">
        <v>46319</v>
      </c>
      <c r="G173" s="51" t="n">
        <v>1</v>
      </c>
    </row>
    <row r="174" ht="54" customHeight="1">
      <c r="A174" s="29" t="inlineStr">
        <is>
          <t>sevilla:action:anitlarda-ucretsiz-ve-indirimli-giris-hakki-2</t>
        </is>
      </c>
      <c r="B174" s="29" t="inlineStr">
        <is>
          <t>sevilla</t>
        </is>
      </c>
      <c r="C174" s="29" t="inlineStr">
        <is>
          <t>sevilla:anitlarda-ucretsiz-ve-indirimli-giris-hakki</t>
        </is>
      </c>
      <c r="D174" s="29" t="inlineStr">
        <is>
          <t>Bilet al</t>
        </is>
      </c>
      <c r="E174" s="29" t="inlineStr">
        <is>
          <t>https://www.catedraldesevilla.es/visita-cultural/horarios-y-tarifas/</t>
        </is>
      </c>
      <c r="F174" s="49" t="n">
        <v>46319</v>
      </c>
      <c r="G174" s="51" t="n">
        <v>2</v>
      </c>
    </row>
    <row r="175" ht="54" customHeight="1">
      <c r="A175" s="29" t="inlineStr">
        <is>
          <t>sevilla:action:bellas-artes-muzesi-pazartesi-agustos-ve-son-giris-1</t>
        </is>
      </c>
      <c r="B175" s="29" t="inlineStr">
        <is>
          <t>sevilla</t>
        </is>
      </c>
      <c r="C175" s="29" t="inlineStr">
        <is>
          <t>sevilla:bellas-artes-muzesi-pazartesi-agustos-ve-son-giris</t>
        </is>
      </c>
      <c r="D175" s="29" t="inlineStr">
        <is>
          <t>Ziyaret bilgisi</t>
        </is>
      </c>
      <c r="E175" s="29" t="inlineStr">
        <is>
          <t>https://www.juntadeandalucia.es/organismos/culturaydeporte/areas/cultura/museos-arte/directorio-museos/detalle/2631.html</t>
        </is>
      </c>
      <c r="F175" s="49" t="n">
        <v>46319</v>
      </c>
      <c r="G175" s="51" t="n">
        <v>1</v>
      </c>
    </row>
    <row r="176" ht="54" customHeight="1">
      <c r="A176" s="29" t="inlineStr">
        <is>
          <t>sevilla:action:italica-roma-kenti-yarim-gunluk-gezi-1</t>
        </is>
      </c>
      <c r="B176" s="29" t="inlineStr">
        <is>
          <t>sevilla</t>
        </is>
      </c>
      <c r="C176" s="29" t="inlineStr">
        <is>
          <t>sevilla:italica-roma-kenti-yarim-gunluk-gezi</t>
        </is>
      </c>
      <c r="D176" s="29" t="inlineStr">
        <is>
          <t>Ziyaret bilgisi</t>
        </is>
      </c>
      <c r="E176" s="29" t="inlineStr">
        <is>
          <t>https://www.juntadeandalucia.es/cultura/agendaculturaldeandalucia/espacios/conjunto-arqueologico-de-italica</t>
        </is>
      </c>
      <c r="F176" s="49" t="n">
        <v>46319</v>
      </c>
      <c r="G176" s="51" t="n">
        <v>1</v>
      </c>
    </row>
    <row r="177" ht="54" customHeight="1">
      <c r="A177" s="29" t="inlineStr">
        <is>
          <t>sevilla:action:sevilla-muzelerde-ucretsiz-etkinlik-gunleri-1</t>
        </is>
      </c>
      <c r="B177" s="29" t="inlineStr">
        <is>
          <t>sevilla</t>
        </is>
      </c>
      <c r="C177" s="29" t="inlineStr">
        <is>
          <t>sevilla:sevilla-muzelerde-ucretsiz-etkinlik-gunleri</t>
        </is>
      </c>
      <c r="D177" s="29" t="inlineStr">
        <is>
          <t>Bilgi al</t>
        </is>
      </c>
      <c r="E177" s="29" t="inlineStr">
        <is>
          <t>https://www.juntadeandalucia.es/cultura/agendaculturaldeandalucia/evento/dia-internacional-de-los-museos-en-sevilla</t>
        </is>
      </c>
      <c r="F177" s="49" t="n">
        <v>46319</v>
      </c>
      <c r="G177" s="51" t="n">
        <v>1</v>
      </c>
    </row>
    <row r="178" ht="54" customHeight="1">
      <c r="A178" s="29" t="inlineStr">
        <is>
          <t>sevilla:action:sevilla-muzelerde-ucretsiz-etkinlik-gunleri-2</t>
        </is>
      </c>
      <c r="B178" s="29" t="inlineStr">
        <is>
          <t>sevilla</t>
        </is>
      </c>
      <c r="C178" s="29" t="inlineStr">
        <is>
          <t>sevilla:sevilla-muzelerde-ucretsiz-etkinlik-gunleri</t>
        </is>
      </c>
      <c r="D178" s="29" t="inlineStr">
        <is>
          <t>Bilgi al</t>
        </is>
      </c>
      <c r="E178" s="29" t="inlineStr">
        <is>
          <t>https://www.juntadeandalucia.es/organismos/culturaydeporte/areas/cultura/museos-arte/programacion-actividades/paginas/actividades-culturales-28f-2025.html</t>
        </is>
      </c>
      <c r="F178" s="49" t="n">
        <v>46319</v>
      </c>
      <c r="G178" s="51" t="n">
        <v>2</v>
      </c>
    </row>
    <row r="179" ht="54" customHeight="1">
      <c r="A179" s="29" t="inlineStr">
        <is>
          <t>sevilla:action:flamenko-sevilla-da-nerede-izlenir-1</t>
        </is>
      </c>
      <c r="B179" s="29" t="inlineStr">
        <is>
          <t>sevilla</t>
        </is>
      </c>
      <c r="C179" s="29" t="inlineStr">
        <is>
          <t>sevilla:flamenko-sevilla-da-nerede-izlenir</t>
        </is>
      </c>
      <c r="D179" s="29" t="inlineStr">
        <is>
          <t>Bilgi al</t>
        </is>
      </c>
      <c r="E179" s="29" t="inlineStr">
        <is>
          <t>https://visitasevilla.es/el-flamenco/</t>
        </is>
      </c>
      <c r="F179" s="49" t="n">
        <v>46319</v>
      </c>
      <c r="G179" s="51" t="n">
        <v>1</v>
      </c>
    </row>
    <row r="180" ht="54" customHeight="1">
      <c r="A180" s="29" t="inlineStr">
        <is>
          <t>sevilla:action:flamenko-bienali-ne-zaman-nasil-izlenir-1</t>
        </is>
      </c>
      <c r="B180" s="29" t="inlineStr">
        <is>
          <t>sevilla</t>
        </is>
      </c>
      <c r="C180" s="29" t="inlineStr">
        <is>
          <t>sevilla:flamenko-bienali-ne-zaman-nasil-izlenir</t>
        </is>
      </c>
      <c r="D180" s="29" t="inlineStr">
        <is>
          <t>Bilgi al</t>
        </is>
      </c>
      <c r="E180" s="29" t="inlineStr">
        <is>
          <t>https://www.juntadeandalucia.es/cultura/agendaculturaldeandalucia/evento/bienal-de-flamenco-de-sevilla-en-el-teatro-central</t>
        </is>
      </c>
      <c r="F180" s="49" t="n">
        <v>46319</v>
      </c>
      <c r="G180" s="51" t="n">
        <v>1</v>
      </c>
    </row>
    <row r="181" ht="54" customHeight="1">
      <c r="A181" s="29" t="inlineStr">
        <is>
          <t>sevilla:action:andalucia-flamenco-programi-ve-teatro-central-1</t>
        </is>
      </c>
      <c r="B181" s="29" t="inlineStr">
        <is>
          <t>sevilla</t>
        </is>
      </c>
      <c r="C181" s="29" t="inlineStr">
        <is>
          <t>sevilla:andalucia-flamenco-programi-ve-teatro-central</t>
        </is>
      </c>
      <c r="D181" s="29" t="inlineStr">
        <is>
          <t>Bilgi al</t>
        </is>
      </c>
      <c r="E181" s="29" t="inlineStr">
        <is>
          <t>https://www.juntadeandalucia.es/cultura/flamenco/content/programaci%C3%B3n-andaluc%C3%ADa%C2%B7flamenco-teatros-propios</t>
        </is>
      </c>
      <c r="F181" s="49" t="n">
        <v>46319</v>
      </c>
      <c r="G181" s="51" t="n">
        <v>1</v>
      </c>
    </row>
    <row r="182" ht="54" customHeight="1">
      <c r="A182" s="29" t="inlineStr">
        <is>
          <t>sevilla:action:sevilla-cocuklarla-acik-hava-ve-eglence-1</t>
        </is>
      </c>
      <c r="B182" s="29" t="inlineStr">
        <is>
          <t>sevilla</t>
        </is>
      </c>
      <c r="C182" s="29" t="inlineStr">
        <is>
          <t>sevilla:sevilla-cocuklarla-acik-hava-ve-eglence</t>
        </is>
      </c>
      <c r="D182" s="29" t="inlineStr">
        <is>
          <t>Bilgi al</t>
        </is>
      </c>
      <c r="E182" s="29" t="inlineStr">
        <is>
          <t>https://visitasevilla.es/sevilla-se-vive-en-familia/</t>
        </is>
      </c>
      <c r="F182" s="49" t="n">
        <v>46319</v>
      </c>
      <c r="G182" s="51" t="n">
        <v>1</v>
      </c>
    </row>
    <row r="183" ht="54" customHeight="1">
      <c r="A183" s="29" t="inlineStr">
        <is>
          <t>sevilla:action:sevilla-cocuklarla-muze-tiyatro-ve-bilim-1</t>
        </is>
      </c>
      <c r="B183" s="29" t="inlineStr">
        <is>
          <t>sevilla</t>
        </is>
      </c>
      <c r="C183" s="29" t="inlineStr">
        <is>
          <t>sevilla:sevilla-cocuklarla-muze-tiyatro-ve-bilim</t>
        </is>
      </c>
      <c r="D183" s="29" t="inlineStr">
        <is>
          <t>Bilgi al</t>
        </is>
      </c>
      <c r="E183" s="29" t="inlineStr">
        <is>
          <t>https://visitasevilla.es/sevilla-se-vive-en-familia/</t>
        </is>
      </c>
      <c r="F183" s="49" t="n">
        <v>46319</v>
      </c>
      <c r="G183" s="51" t="n">
        <v>1</v>
      </c>
    </row>
    <row r="184" ht="54" customHeight="1">
      <c r="A184" s="29" t="inlineStr">
        <is>
          <t>sevilla:action:sevilla-cocuklarla-muze-tiyatro-ve-bilim-2</t>
        </is>
      </c>
      <c r="B184" s="29" t="inlineStr">
        <is>
          <t>sevilla</t>
        </is>
      </c>
      <c r="C184" s="29" t="inlineStr">
        <is>
          <t>sevilla:sevilla-cocuklarla-muze-tiyatro-ve-bilim</t>
        </is>
      </c>
      <c r="D184" s="29" t="inlineStr">
        <is>
          <t>Bilet al</t>
        </is>
      </c>
      <c r="E184" s="29" t="inlineStr">
        <is>
          <t>https://alcazarsevilla.org/prepara-la-visita/</t>
        </is>
      </c>
      <c r="F184" s="49" t="n">
        <v>46319</v>
      </c>
      <c r="G184" s="51" t="n">
        <v>2</v>
      </c>
    </row>
    <row r="185" ht="54" customHeight="1">
      <c r="A185" s="29" t="inlineStr">
        <is>
          <t>sevilla:action:sevilla-parklari-ve-bahceleri-1</t>
        </is>
      </c>
      <c r="B185" s="29" t="inlineStr">
        <is>
          <t>sevilla</t>
        </is>
      </c>
      <c r="C185" s="29" t="inlineStr">
        <is>
          <t>sevilla:sevilla-parklari-ve-bahceleri</t>
        </is>
      </c>
      <c r="D185" s="29" t="inlineStr">
        <is>
          <t>Bilgi al</t>
        </is>
      </c>
      <c r="E185" s="29" t="inlineStr">
        <is>
          <t>https://visitasevilla.es/sevilla-a-traves-de-sus-parques/</t>
        </is>
      </c>
      <c r="F185" s="49" t="n">
        <v>46319</v>
      </c>
      <c r="G185" s="51" t="n">
        <v>1</v>
      </c>
    </row>
    <row r="186" ht="54" customHeight="1">
      <c r="A186" s="29" t="inlineStr">
        <is>
          <t>sevilla:action:sevilla-parklari-ve-bahceleri-2</t>
        </is>
      </c>
      <c r="B186" s="29" t="inlineStr">
        <is>
          <t>sevilla</t>
        </is>
      </c>
      <c r="C186" s="29" t="inlineStr">
        <is>
          <t>sevilla:sevilla-parklari-ve-bahceleri</t>
        </is>
      </c>
      <c r="D186" s="29" t="inlineStr">
        <is>
          <t>Bilgi al</t>
        </is>
      </c>
      <c r="E186" s="29" t="inlineStr">
        <is>
          <t>https://visitasevilla.es/el-parque-de-maria-luisa-y-otros-jardines/</t>
        </is>
      </c>
      <c r="F186" s="49" t="n">
        <v>46319</v>
      </c>
      <c r="G186" s="51" t="n">
        <v>2</v>
      </c>
    </row>
    <row r="187" ht="54" customHeight="1">
      <c r="A187" s="29" t="inlineStr">
        <is>
          <t>sevilla:action:guadalquivir-nehir-kiyisinda-yuruyus-ve-su-sporlari-1</t>
        </is>
      </c>
      <c r="B187" s="29" t="inlineStr">
        <is>
          <t>sevilla</t>
        </is>
      </c>
      <c r="C187" s="29" t="inlineStr">
        <is>
          <t>sevilla:guadalquivir-nehir-kiyisinda-yuruyus-ve-su-sporlari</t>
        </is>
      </c>
      <c r="D187" s="29" t="inlineStr">
        <is>
          <t>Bilgi al</t>
        </is>
      </c>
      <c r="E187" s="29" t="inlineStr">
        <is>
          <t>https://visitasevilla.es/sevilla-entre-aguas-un-paseo-historico-a-traves-del-guadalquivir/</t>
        </is>
      </c>
      <c r="F187" s="49" t="n">
        <v>46319</v>
      </c>
      <c r="G187" s="51" t="n">
        <v>1</v>
      </c>
    </row>
    <row r="188" ht="54" customHeight="1">
      <c r="A188" s="29" t="inlineStr">
        <is>
          <t>sevilla:action:guadalquivir-nehir-kiyisinda-yuruyus-ve-su-sporlari-2</t>
        </is>
      </c>
      <c r="B188" s="29" t="inlineStr">
        <is>
          <t>sevilla</t>
        </is>
      </c>
      <c r="C188" s="29" t="inlineStr">
        <is>
          <t>sevilla:guadalquivir-nehir-kiyisinda-yuruyus-ve-su-sporlari</t>
        </is>
      </c>
      <c r="D188" s="29" t="inlineStr">
        <is>
          <t>Bilgi al</t>
        </is>
      </c>
      <c r="E188" s="29" t="inlineStr">
        <is>
          <t>https://visitasevilla.es/sevilla-es-una-ciudad-para-el-deporte/</t>
        </is>
      </c>
      <c r="F188" s="49" t="n">
        <v>46319</v>
      </c>
      <c r="G188" s="51" t="n">
        <v>2</v>
      </c>
    </row>
    <row r="189" ht="54" customHeight="1">
      <c r="A189" s="29" t="inlineStr">
        <is>
          <t>sevilla:action:bisikletle-sevilla-sevici-ve-tematik-rotalar-1</t>
        </is>
      </c>
      <c r="B189" s="29" t="inlineStr">
        <is>
          <t>sevilla</t>
        </is>
      </c>
      <c r="C189" s="29" t="inlineStr">
        <is>
          <t>sevilla:bisikletle-sevilla-sevici-ve-tematik-rotalar</t>
        </is>
      </c>
      <c r="D189" s="29" t="inlineStr">
        <is>
          <t>Bilgi al</t>
        </is>
      </c>
      <c r="E189" s="29" t="inlineStr">
        <is>
          <t>https://visitasevilla.es/una-ciudad-para-las-bicis/</t>
        </is>
      </c>
      <c r="F189" s="49" t="n">
        <v>46319</v>
      </c>
      <c r="G189" s="51" t="n">
        <v>1</v>
      </c>
    </row>
    <row r="190" ht="54" customHeight="1">
      <c r="A190" s="29" t="inlineStr">
        <is>
          <t>sevilla:action:sevilla-acik-havada-spor-secenekleri-1</t>
        </is>
      </c>
      <c r="B190" s="29" t="inlineStr">
        <is>
          <t>sevilla</t>
        </is>
      </c>
      <c r="C190" s="29" t="inlineStr">
        <is>
          <t>sevilla:sevilla-acik-havada-spor-secenekleri</t>
        </is>
      </c>
      <c r="D190" s="29" t="inlineStr">
        <is>
          <t>Bilgi al</t>
        </is>
      </c>
      <c r="E190" s="29" t="inlineStr">
        <is>
          <t>https://visitasevilla.es/sevilla-es-una-ciudad-para-el-deporte/</t>
        </is>
      </c>
      <c r="F190" s="49" t="n">
        <v>46319</v>
      </c>
      <c r="G190" s="51" t="n">
        <v>1</v>
      </c>
    </row>
    <row r="191" ht="54" customHeight="1">
      <c r="A191" s="29" t="inlineStr">
        <is>
          <t>sevilla:action:sevilla-acik-havada-spor-secenekleri-2</t>
        </is>
      </c>
      <c r="B191" s="29" t="inlineStr">
        <is>
          <t>sevilla</t>
        </is>
      </c>
      <c r="C191" s="29" t="inlineStr">
        <is>
          <t>sevilla:sevilla-acik-havada-spor-secenekleri</t>
        </is>
      </c>
      <c r="D191" s="29" t="inlineStr">
        <is>
          <t>Bilgi al</t>
        </is>
      </c>
      <c r="E191" s="29" t="inlineStr">
        <is>
          <t>https://visitasevilla.es/sevilla-se-vive-en-familia/</t>
        </is>
      </c>
      <c r="F191" s="49" t="n">
        <v>46319</v>
      </c>
      <c r="G191" s="51" t="n">
        <v>2</v>
      </c>
    </row>
    <row r="192" ht="54" customHeight="1">
      <c r="A192" s="29" t="inlineStr">
        <is>
          <t>sevilla:action:sevilla-ziyaretci-davranis-kurallari-ve-geri-donusum-1</t>
        </is>
      </c>
      <c r="B192" s="29" t="inlineStr">
        <is>
          <t>sevilla</t>
        </is>
      </c>
      <c r="C192" s="29" t="inlineStr">
        <is>
          <t>sevilla:sevilla-ziyaretci-davranis-kurallari-ve-geri-donusum</t>
        </is>
      </c>
      <c r="D192" s="29" t="inlineStr">
        <is>
          <t>Bilgi al</t>
        </is>
      </c>
      <c r="E192" s="29" t="inlineStr">
        <is>
          <t>https://visitasevilla.es/guia-de-convivencia-en-la-ciudad/</t>
        </is>
      </c>
      <c r="F192" s="49" t="n">
        <v>46319</v>
      </c>
      <c r="G192" s="51" t="n">
        <v>1</v>
      </c>
    </row>
    <row r="193" ht="54" customHeight="1">
      <c r="A193" s="29" t="inlineStr">
        <is>
          <t>sevilla:action:turizm-bilgi-ofisleri-adres-ve-saatler-1</t>
        </is>
      </c>
      <c r="B193" s="29" t="inlineStr">
        <is>
          <t>sevilla</t>
        </is>
      </c>
      <c r="C193" s="29" t="inlineStr">
        <is>
          <t>sevilla:turizm-bilgi-ofisleri-adres-ve-saatler</t>
        </is>
      </c>
      <c r="D193" s="29" t="inlineStr">
        <is>
          <t>Bilgi al</t>
        </is>
      </c>
      <c r="E193" s="29" t="inlineStr">
        <is>
          <t>https://visitasevilla.es/puntos-de-informacion-turistica/</t>
        </is>
      </c>
      <c r="F193" s="49" t="n">
        <v>46319</v>
      </c>
      <c r="G193" s="51" t="n">
        <v>1</v>
      </c>
    </row>
    <row r="194" ht="54" customHeight="1">
      <c r="A194" s="29" t="inlineStr">
        <is>
          <t>sevilla:action:erisilebilir-sevilla-rotalari-ve-dokunsal-maketler-1</t>
        </is>
      </c>
      <c r="B194" s="29" t="inlineStr">
        <is>
          <t>sevilla</t>
        </is>
      </c>
      <c r="C194" s="29" t="inlineStr">
        <is>
          <t>sevilla:erisilebilir-sevilla-rotalari-ve-dokunsal-maketler</t>
        </is>
      </c>
      <c r="D194" s="29" t="inlineStr">
        <is>
          <t>Bilgi al</t>
        </is>
      </c>
      <c r="E194" s="29" t="inlineStr">
        <is>
          <t>https://visitasevilla.es/turismo-accesible/</t>
        </is>
      </c>
      <c r="F194" s="49" t="n">
        <v>46319</v>
      </c>
      <c r="G194" s="51" t="n">
        <v>1</v>
      </c>
    </row>
    <row r="195" ht="54" customHeight="1">
      <c r="A195" s="29" t="inlineStr">
        <is>
          <t>sevilla:action:real-alcazar-konserler-gece-ziyaretleri-ve-sergiler-1</t>
        </is>
      </c>
      <c r="B195" s="29" t="inlineStr">
        <is>
          <t>sevilla</t>
        </is>
      </c>
      <c r="C195" s="29" t="inlineStr">
        <is>
          <t>sevilla:real-alcazar-konserler-gece-ziyaretleri-ve-sergiler</t>
        </is>
      </c>
      <c r="D195" s="29" t="inlineStr">
        <is>
          <t>Bilet al</t>
        </is>
      </c>
      <c r="E195" s="29" t="inlineStr">
        <is>
          <t>https://alcazarsevilla.org/prepara-la-visita/</t>
        </is>
      </c>
      <c r="F195" s="49" t="n">
        <v>46319</v>
      </c>
      <c r="G195" s="51" t="n">
        <v>1</v>
      </c>
    </row>
    <row r="196" ht="54" customHeight="1">
      <c r="A196" s="29" t="inlineStr">
        <is>
          <t>sevilla:action:santa-cruz-1</t>
        </is>
      </c>
      <c r="B196" s="29" t="inlineStr">
        <is>
          <t>sevilla</t>
        </is>
      </c>
      <c r="C196" s="29" t="inlineStr">
        <is>
          <t>sevilla:santa-cruz</t>
        </is>
      </c>
      <c r="D196" s="29" t="inlineStr">
        <is>
          <t>Ziyaret bilgisi</t>
        </is>
      </c>
      <c r="E196" s="29" t="inlineStr">
        <is>
          <t>https://visitasevilla.es/barrio-de-santa-cruz/</t>
        </is>
      </c>
      <c r="F196" s="49" t="n">
        <v>46320</v>
      </c>
      <c r="G196" s="51" t="n">
        <v>1</v>
      </c>
    </row>
    <row r="197" ht="54" customHeight="1">
      <c r="A197" s="29" t="inlineStr">
        <is>
          <t>sevilla:action:santa-cruz-2</t>
        </is>
      </c>
      <c r="B197" s="29" t="inlineStr">
        <is>
          <t>sevilla</t>
        </is>
      </c>
      <c r="C197" s="29" t="inlineStr">
        <is>
          <t>sevilla:santa-cruz</t>
        </is>
      </c>
      <c r="D197" s="29" t="inlineStr">
        <is>
          <t>Bilgi al</t>
        </is>
      </c>
      <c r="E197" s="29" t="inlineStr">
        <is>
          <t>https://visitasevilla.es/buenas-practicas-barrio-santa-cruz/</t>
        </is>
      </c>
      <c r="F197" s="49" t="n">
        <v>46320</v>
      </c>
      <c r="G197" s="51" t="n">
        <v>2</v>
      </c>
    </row>
    <row r="198" ht="54" customHeight="1">
      <c r="A198" s="29" t="inlineStr">
        <is>
          <t>sevilla:action:el-arenal-1</t>
        </is>
      </c>
      <c r="B198" s="29" t="inlineStr">
        <is>
          <t>sevilla</t>
        </is>
      </c>
      <c r="C198" s="29" t="inlineStr">
        <is>
          <t>sevilla:el-arenal</t>
        </is>
      </c>
      <c r="D198" s="29" t="inlineStr">
        <is>
          <t>Ziyaret bilgisi</t>
        </is>
      </c>
      <c r="E198" s="29" t="inlineStr">
        <is>
          <t>https://visitasevilla.es/barrio-de-el-arenal/</t>
        </is>
      </c>
      <c r="F198" s="49" t="n">
        <v>46320</v>
      </c>
      <c r="G198" s="51" t="n">
        <v>1</v>
      </c>
    </row>
    <row r="199" ht="54" customHeight="1">
      <c r="A199" s="29" t="inlineStr">
        <is>
          <t>sevilla:action:el-arenal-2</t>
        </is>
      </c>
      <c r="B199" s="29" t="inlineStr">
        <is>
          <t>sevilla</t>
        </is>
      </c>
      <c r="C199" s="29" t="inlineStr">
        <is>
          <t>sevilla:el-arenal</t>
        </is>
      </c>
      <c r="D199" s="29" t="inlineStr">
        <is>
          <t>Bilgi al</t>
        </is>
      </c>
      <c r="E199" s="29" t="inlineStr">
        <is>
          <t>https://visitasevilla.es/plaza-nueva/</t>
        </is>
      </c>
      <c r="F199" s="49" t="n">
        <v>46320</v>
      </c>
      <c r="G199" s="51" t="n">
        <v>2</v>
      </c>
    </row>
    <row r="200" ht="54" customHeight="1">
      <c r="A200" s="29" t="inlineStr">
        <is>
          <t>sevilla:action:triana-1</t>
        </is>
      </c>
      <c r="B200" s="29" t="inlineStr">
        <is>
          <t>sevilla</t>
        </is>
      </c>
      <c r="C200" s="29" t="inlineStr">
        <is>
          <t>sevilla:triana</t>
        </is>
      </c>
      <c r="D200" s="29" t="inlineStr">
        <is>
          <t>Ziyaret bilgisi</t>
        </is>
      </c>
      <c r="E200" s="29" t="inlineStr">
        <is>
          <t>https://visitasevilla.es/barrio-de-triana-y-los-remedios/</t>
        </is>
      </c>
      <c r="F200" s="49" t="n">
        <v>46320</v>
      </c>
      <c r="G200" s="51" t="n">
        <v>1</v>
      </c>
    </row>
    <row r="201" ht="54" customHeight="1">
      <c r="A201" s="29" t="inlineStr">
        <is>
          <t>sevilla:action:triana-2</t>
        </is>
      </c>
      <c r="B201" s="29" t="inlineStr">
        <is>
          <t>sevilla</t>
        </is>
      </c>
      <c r="C201" s="29" t="inlineStr">
        <is>
          <t>sevilla:triana</t>
        </is>
      </c>
      <c r="D201" s="29" t="inlineStr">
        <is>
          <t>Bilgi al</t>
        </is>
      </c>
      <c r="E201" s="29" t="inlineStr">
        <is>
          <t>https://visitasevilla.es/triana-el-encanto-de-lo-singular/</t>
        </is>
      </c>
      <c r="F201" s="49" t="n">
        <v>46320</v>
      </c>
      <c r="G201" s="51" t="n">
        <v>2</v>
      </c>
    </row>
    <row r="202" ht="54" customHeight="1">
      <c r="A202" s="29" t="inlineStr">
        <is>
          <t>sevilla:action:los-remedios-1</t>
        </is>
      </c>
      <c r="B202" s="29" t="inlineStr">
        <is>
          <t>sevilla</t>
        </is>
      </c>
      <c r="C202" s="29" t="inlineStr">
        <is>
          <t>sevilla:los-remedios</t>
        </is>
      </c>
      <c r="D202" s="29" t="inlineStr">
        <is>
          <t>Ziyaret bilgisi</t>
        </is>
      </c>
      <c r="E202" s="29" t="inlineStr">
        <is>
          <t>https://visitasevilla.es/calle-asuncion/</t>
        </is>
      </c>
      <c r="F202" s="49" t="n">
        <v>46320</v>
      </c>
      <c r="G202" s="51" t="n">
        <v>1</v>
      </c>
    </row>
    <row r="203" ht="54" customHeight="1">
      <c r="A203" s="29" t="inlineStr">
        <is>
          <t>sevilla:action:los-remedios-2</t>
        </is>
      </c>
      <c r="B203" s="29" t="inlineStr">
        <is>
          <t>sevilla</t>
        </is>
      </c>
      <c r="C203" s="29" t="inlineStr">
        <is>
          <t>sevilla:los-remedios</t>
        </is>
      </c>
      <c r="D203" s="29" t="inlineStr">
        <is>
          <t>Bilgi al</t>
        </is>
      </c>
      <c r="E203" s="29" t="inlineStr">
        <is>
          <t>https://visitasevilla.es/barrio-de-triana-y-los-remedios/</t>
        </is>
      </c>
      <c r="F203" s="49" t="n">
        <v>46320</v>
      </c>
      <c r="G203" s="51" t="n">
        <v>2</v>
      </c>
    </row>
    <row r="204" ht="54" customHeight="1">
      <c r="A204" s="29" t="inlineStr">
        <is>
          <t>sevilla:action:la-macarena-1</t>
        </is>
      </c>
      <c r="B204" s="29" t="inlineStr">
        <is>
          <t>sevilla</t>
        </is>
      </c>
      <c r="C204" s="29" t="inlineStr">
        <is>
          <t>sevilla:la-macarena</t>
        </is>
      </c>
      <c r="D204" s="29" t="inlineStr">
        <is>
          <t>Ziyaret bilgisi</t>
        </is>
      </c>
      <c r="E204" s="29" t="inlineStr">
        <is>
          <t>https://visitasevilla.es/basilica-y-murallas-de-la-macarena/</t>
        </is>
      </c>
      <c r="F204" s="49" t="n">
        <v>46320</v>
      </c>
      <c r="G204" s="51" t="n">
        <v>1</v>
      </c>
    </row>
    <row r="205" ht="54" customHeight="1">
      <c r="A205" s="29" t="inlineStr">
        <is>
          <t>sevilla:action:la-macarena-2</t>
        </is>
      </c>
      <c r="B205" s="29" t="inlineStr">
        <is>
          <t>sevilla</t>
        </is>
      </c>
      <c r="C205" s="29" t="inlineStr">
        <is>
          <t>sevilla:la-macarena</t>
        </is>
      </c>
      <c r="D205" s="29" t="inlineStr">
        <is>
          <t>Bilgi al</t>
        </is>
      </c>
      <c r="E205" s="29" t="inlineStr">
        <is>
          <t>https://visitasevilla.es/barrio-de-la-macarena/</t>
        </is>
      </c>
      <c r="F205" s="49" t="n">
        <v>46320</v>
      </c>
      <c r="G205" s="51" t="n">
        <v>2</v>
      </c>
    </row>
    <row r="206" ht="54" customHeight="1">
      <c r="A206" s="29" t="inlineStr">
        <is>
          <t>sevilla:action:alameda-de-hercules-cevresi-1</t>
        </is>
      </c>
      <c r="B206" s="29" t="inlineStr">
        <is>
          <t>sevilla</t>
        </is>
      </c>
      <c r="C206" s="29" t="inlineStr">
        <is>
          <t>sevilla:alameda-de-hercules-cevresi</t>
        </is>
      </c>
      <c r="D206" s="29" t="inlineStr">
        <is>
          <t>Ziyaret bilgisi</t>
        </is>
      </c>
      <c r="E206" s="29" t="inlineStr">
        <is>
          <t>https://visitasevilla.es/alameda-de-hercules/</t>
        </is>
      </c>
      <c r="F206" s="49" t="n">
        <v>46320</v>
      </c>
      <c r="G206" s="51" t="n">
        <v>1</v>
      </c>
    </row>
    <row r="207" ht="54" customHeight="1">
      <c r="A207" s="29" t="inlineStr">
        <is>
          <t>sevilla:action:alameda-de-hercules-cevresi-2</t>
        </is>
      </c>
      <c r="B207" s="29" t="inlineStr">
        <is>
          <t>sevilla</t>
        </is>
      </c>
      <c r="C207" s="29" t="inlineStr">
        <is>
          <t>sevilla:alameda-de-hercules-cevresi</t>
        </is>
      </c>
      <c r="D207" s="29" t="inlineStr">
        <is>
          <t>Bilgi al</t>
        </is>
      </c>
      <c r="E207" s="29" t="inlineStr">
        <is>
          <t>https://visitasevilla.es/sevilla-a-traves-de-sus-parques/</t>
        </is>
      </c>
      <c r="F207" s="49" t="n">
        <v>46320</v>
      </c>
      <c r="G207" s="51" t="n">
        <v>2</v>
      </c>
    </row>
    <row r="208" ht="54" customHeight="1">
      <c r="A208" s="29" t="inlineStr">
        <is>
          <t>sevilla:action:nervion-1</t>
        </is>
      </c>
      <c r="B208" s="29" t="inlineStr">
        <is>
          <t>sevilla</t>
        </is>
      </c>
      <c r="C208" s="29" t="inlineStr">
        <is>
          <t>sevilla:nervion</t>
        </is>
      </c>
      <c r="D208" s="29" t="inlineStr">
        <is>
          <t>Ziyaret bilgisi</t>
        </is>
      </c>
      <c r="E208" s="29" t="inlineStr">
        <is>
          <t>https://visitasevilla.es/barrio-de-nervion/</t>
        </is>
      </c>
      <c r="F208" s="49" t="n">
        <v>46320</v>
      </c>
      <c r="G208" s="51" t="n">
        <v>1</v>
      </c>
    </row>
    <row r="209" ht="54" customHeight="1">
      <c r="A209" s="29" t="inlineStr">
        <is>
          <t>sevilla:action:nervion-2</t>
        </is>
      </c>
      <c r="B209" s="29" t="inlineStr">
        <is>
          <t>sevilla</t>
        </is>
      </c>
      <c r="C209" s="29" t="inlineStr">
        <is>
          <t>sevilla:nervion</t>
        </is>
      </c>
      <c r="D209" s="29" t="inlineStr">
        <is>
          <t>Ulaşımı planla</t>
        </is>
      </c>
      <c r="E209" s="29" t="inlineStr">
        <is>
          <t>https://www.ctas.es/lineas-y-horarios/bus-metro-y-cercanias/metro</t>
        </is>
      </c>
      <c r="F209" s="49" t="n">
        <v>46320</v>
      </c>
      <c r="G209" s="51" t="n">
        <v>2</v>
      </c>
    </row>
    <row r="210" ht="54" customHeight="1">
      <c r="A210" s="29" t="inlineStr">
        <is>
          <t>sevilla:action:la-cartuja-1</t>
        </is>
      </c>
      <c r="B210" s="29" t="inlineStr">
        <is>
          <t>sevilla</t>
        </is>
      </c>
      <c r="C210" s="29" t="inlineStr">
        <is>
          <t>sevilla:la-cartuja</t>
        </is>
      </c>
      <c r="D210" s="29" t="inlineStr">
        <is>
          <t>Ziyaret bilgisi</t>
        </is>
      </c>
      <c r="E210" s="29" t="inlineStr">
        <is>
          <t>https://visitasevilla.es/barrio-de-cartuja/</t>
        </is>
      </c>
      <c r="F210" s="49" t="n">
        <v>46320</v>
      </c>
      <c r="G210" s="51" t="n">
        <v>1</v>
      </c>
    </row>
    <row r="211" ht="54" customHeight="1">
      <c r="A211" s="29" t="inlineStr">
        <is>
          <t>sevilla:action:la-cartuja-2</t>
        </is>
      </c>
      <c r="B211" s="29" t="inlineStr">
        <is>
          <t>sevilla</t>
        </is>
      </c>
      <c r="C211" s="29" t="inlineStr">
        <is>
          <t>sevilla:la-cartuja</t>
        </is>
      </c>
      <c r="D211" s="29" t="inlineStr">
        <is>
          <t>Bilgi al</t>
        </is>
      </c>
      <c r="E211" s="29" t="inlineStr">
        <is>
          <t>https://visitasevilla.es/sevilla-a-traves-de-sus-parques/</t>
        </is>
      </c>
      <c r="F211" s="49" t="n">
        <v>46320</v>
      </c>
      <c r="G211" s="51" t="n">
        <v>2</v>
      </c>
    </row>
    <row r="212" ht="54" customHeight="1">
      <c r="A212" s="29" t="inlineStr">
        <is>
          <t>sevilla:action:sevilla-este-1</t>
        </is>
      </c>
      <c r="B212" s="29" t="inlineStr">
        <is>
          <t>sevilla</t>
        </is>
      </c>
      <c r="C212" s="29" t="inlineStr">
        <is>
          <t>sevilla:sevilla-este</t>
        </is>
      </c>
      <c r="D212" s="29" t="inlineStr">
        <is>
          <t>Ziyaret bilgisi</t>
        </is>
      </c>
      <c r="E212" s="29" t="inlineStr">
        <is>
          <t>https://visitasevilla.es/barrio-de-sevilla-este/</t>
        </is>
      </c>
      <c r="F212" s="49" t="n">
        <v>46320</v>
      </c>
      <c r="G212" s="51" t="n">
        <v>1</v>
      </c>
    </row>
    <row r="213" ht="54" customHeight="1">
      <c r="A213" s="29" t="inlineStr">
        <is>
          <t>sevilla:action:sevilla-este-2</t>
        </is>
      </c>
      <c r="B213" s="29" t="inlineStr">
        <is>
          <t>sevilla</t>
        </is>
      </c>
      <c r="C213" s="29" t="inlineStr">
        <is>
          <t>sevilla:sevilla-este</t>
        </is>
      </c>
      <c r="D213" s="29" t="inlineStr">
        <is>
          <t>Bilgi al</t>
        </is>
      </c>
      <c r="E213" s="29" t="inlineStr">
        <is>
          <t>https://visitasevilla.es/fibes-palacio-de-exposiciones-y-congresos-de-sevilla/</t>
        </is>
      </c>
      <c r="F213" s="49" t="n">
        <v>46320</v>
      </c>
      <c r="G213" s="51" t="n">
        <v>2</v>
      </c>
    </row>
    <row r="214" ht="54" customHeight="1">
      <c r="A214" s="29" t="inlineStr">
        <is>
          <t>sevilla:action:san-bernardo-1</t>
        </is>
      </c>
      <c r="B214" s="29" t="inlineStr">
        <is>
          <t>sevilla</t>
        </is>
      </c>
      <c r="C214" s="29" t="inlineStr">
        <is>
          <t>sevilla:san-bernardo</t>
        </is>
      </c>
      <c r="D214" s="29" t="inlineStr">
        <is>
          <t>Ziyaret bilgisi</t>
        </is>
      </c>
      <c r="E214" s="29" t="inlineStr">
        <is>
          <t>https://visitasevilla.es/barrio-de-san-bernardo-la-historia-mas-alla-de-las-murallas/</t>
        </is>
      </c>
      <c r="F214" s="49" t="n">
        <v>46320</v>
      </c>
      <c r="G214" s="51" t="n">
        <v>1</v>
      </c>
    </row>
    <row r="215" ht="54" customHeight="1">
      <c r="A215" s="29" t="inlineStr">
        <is>
          <t>sevilla:action:san-bernardo-2</t>
        </is>
      </c>
      <c r="B215" s="29" t="inlineStr">
        <is>
          <t>sevilla</t>
        </is>
      </c>
      <c r="C215" s="29" t="inlineStr">
        <is>
          <t>sevilla:san-bernardo</t>
        </is>
      </c>
      <c r="D215" s="29" t="inlineStr">
        <is>
          <t>Ulaşımı planla</t>
        </is>
      </c>
      <c r="E215" s="29" t="inlineStr">
        <is>
          <t>https://visitasevilla.es/estacion-de-tren-san-bernardo/</t>
        </is>
      </c>
      <c r="F215" s="49" t="n">
        <v>46320</v>
      </c>
      <c r="G215" s="51" t="n">
        <v>2</v>
      </c>
    </row>
    <row r="216" ht="54" customHeight="1">
      <c r="A216" s="29" t="inlineStr">
        <is>
          <t>sevilla:action:alfalfa-ve-encarnacion-1</t>
        </is>
      </c>
      <c r="B216" s="29" t="inlineStr">
        <is>
          <t>sevilla</t>
        </is>
      </c>
      <c r="C216" s="29" t="inlineStr">
        <is>
          <t>sevilla:alfalfa-ve-encarnacion</t>
        </is>
      </c>
      <c r="D216" s="29" t="inlineStr">
        <is>
          <t>Ziyaret bilgisi</t>
        </is>
      </c>
      <c r="E216" s="29" t="inlineStr">
        <is>
          <t>https://visitasevilla.es/barrio-de-la-alfalfa-y-encarnacion/</t>
        </is>
      </c>
      <c r="F216" s="49" t="n">
        <v>46320</v>
      </c>
      <c r="G216" s="51" t="n">
        <v>1</v>
      </c>
    </row>
    <row r="217" ht="54" customHeight="1">
      <c r="A217" s="29" t="inlineStr">
        <is>
          <t>sevilla:action:alfalfa-ve-encarnacion-2</t>
        </is>
      </c>
      <c r="B217" s="29" t="inlineStr">
        <is>
          <t>sevilla</t>
        </is>
      </c>
      <c r="C217" s="29" t="inlineStr">
        <is>
          <t>sevilla:alfalfa-ve-encarnacion</t>
        </is>
      </c>
      <c r="D217" s="29" t="inlineStr">
        <is>
          <t>Bilgi al</t>
        </is>
      </c>
      <c r="E217" s="29" t="inlineStr">
        <is>
          <t>https://visitasevilla.es/setas-y-mercado-de-la-encarnacion/</t>
        </is>
      </c>
      <c r="F217" s="49" t="n">
        <v>46320</v>
      </c>
      <c r="G217" s="51" t="n">
        <v>2</v>
      </c>
    </row>
    <row r="218" ht="54" customHeight="1">
      <c r="A218" s="29" t="inlineStr">
        <is>
          <t>sevilla:action:museo-ve-plaza-nueva-1</t>
        </is>
      </c>
      <c r="B218" s="29" t="inlineStr">
        <is>
          <t>sevilla</t>
        </is>
      </c>
      <c r="C218" s="29" t="inlineStr">
        <is>
          <t>sevilla:museo-ve-plaza-nueva</t>
        </is>
      </c>
      <c r="D218" s="29" t="inlineStr">
        <is>
          <t>Ziyaret bilgisi</t>
        </is>
      </c>
      <c r="E218" s="29" t="inlineStr">
        <is>
          <t>https://visitasevilla.es/barrio-del-museo-y-plaza-nueva/</t>
        </is>
      </c>
      <c r="F218" s="49" t="n">
        <v>46320</v>
      </c>
      <c r="G218" s="51" t="n">
        <v>1</v>
      </c>
    </row>
    <row r="219" ht="54" customHeight="1">
      <c r="A219" s="29" t="inlineStr">
        <is>
          <t>sevilla:action:museo-ve-plaza-nueva-2</t>
        </is>
      </c>
      <c r="B219" s="29" t="inlineStr">
        <is>
          <t>sevilla</t>
        </is>
      </c>
      <c r="C219" s="29" t="inlineStr">
        <is>
          <t>sevilla:museo-ve-plaza-nueva</t>
        </is>
      </c>
      <c r="D219" s="29" t="inlineStr">
        <is>
          <t>Bilgi al</t>
        </is>
      </c>
      <c r="E219" s="29" t="inlineStr">
        <is>
          <t>https://visitasevilla.es/plaza-nueva/</t>
        </is>
      </c>
      <c r="F219" s="49" t="n">
        <v>46320</v>
      </c>
      <c r="G219" s="51" t="n">
        <v>2</v>
      </c>
    </row>
    <row r="220" ht="54" customHeight="1">
      <c r="A220" s="29" t="inlineStr">
        <is>
          <t>sevilla:action:sevilla-del-29-1</t>
        </is>
      </c>
      <c r="B220" s="29" t="inlineStr">
        <is>
          <t>sevilla</t>
        </is>
      </c>
      <c r="C220" s="29" t="inlineStr">
        <is>
          <t>sevilla:sevilla-del-29</t>
        </is>
      </c>
      <c r="D220" s="29" t="inlineStr">
        <is>
          <t>Ziyaret bilgisi</t>
        </is>
      </c>
      <c r="E220" s="29" t="inlineStr">
        <is>
          <t>https://visitasevilla.es/barrio-de-la-sevilla-del-29/</t>
        </is>
      </c>
      <c r="F220" s="49" t="n">
        <v>46320</v>
      </c>
      <c r="G220" s="51" t="n">
        <v>1</v>
      </c>
    </row>
    <row r="221" ht="54" customHeight="1">
      <c r="A221" s="29" t="inlineStr">
        <is>
          <t>sevilla:action:sevilla-del-29-2</t>
        </is>
      </c>
      <c r="B221" s="29" t="inlineStr">
        <is>
          <t>sevilla</t>
        </is>
      </c>
      <c r="C221" s="29" t="inlineStr">
        <is>
          <t>sevilla:sevilla-del-29</t>
        </is>
      </c>
      <c r="D221" s="29" t="inlineStr">
        <is>
          <t>Bilgi al</t>
        </is>
      </c>
      <c r="E221" s="29" t="inlineStr">
        <is>
          <t>https://visitasevilla.es/sevilla-a-traves-de-sus-parques/</t>
        </is>
      </c>
      <c r="F221" s="49" t="n">
        <v>46320</v>
      </c>
      <c r="G221" s="51" t="n">
        <v>2</v>
      </c>
    </row>
    <row r="222" ht="54" customHeight="1">
      <c r="A222" s="29" t="inlineStr">
        <is>
          <t>sevilla:action:calle-feria-1</t>
        </is>
      </c>
      <c r="B222" s="29" t="inlineStr">
        <is>
          <t>sevilla</t>
        </is>
      </c>
      <c r="C222" s="29" t="inlineStr">
        <is>
          <t>sevilla:calle-feria</t>
        </is>
      </c>
      <c r="D222" s="29" t="inlineStr">
        <is>
          <t>Ziyaret bilgisi</t>
        </is>
      </c>
      <c r="E222" s="29" t="inlineStr">
        <is>
          <t>https://visitasevilla.es/mercado-de-la-calle-feria/</t>
        </is>
      </c>
      <c r="F222" s="49" t="n">
        <v>46320</v>
      </c>
      <c r="G222" s="51" t="n">
        <v>1</v>
      </c>
    </row>
    <row r="223" ht="54" customHeight="1">
      <c r="A223" s="29" t="inlineStr">
        <is>
          <t>sevilla:action:calle-feria-2</t>
        </is>
      </c>
      <c r="B223" s="29" t="inlineStr">
        <is>
          <t>sevilla</t>
        </is>
      </c>
      <c r="C223" s="29" t="inlineStr">
        <is>
          <t>sevilla:calle-feria</t>
        </is>
      </c>
      <c r="D223" s="29" t="inlineStr">
        <is>
          <t>Bilgi al</t>
        </is>
      </c>
      <c r="E223" s="29" t="inlineStr">
        <is>
          <t>https://visitasevilla.es/barrio-de-la-macarena/</t>
        </is>
      </c>
      <c r="F223" s="49" t="n">
        <v>46320</v>
      </c>
      <c r="G223" s="51" t="n">
        <v>2</v>
      </c>
    </row>
    <row r="224" ht="54" customHeight="1">
      <c r="A224" s="29" t="inlineStr">
        <is>
          <t>sevilla:action:el-porvenir-1</t>
        </is>
      </c>
      <c r="B224" s="29" t="inlineStr">
        <is>
          <t>sevilla</t>
        </is>
      </c>
      <c r="C224" s="29" t="inlineStr">
        <is>
          <t>sevilla:el-porvenir</t>
        </is>
      </c>
      <c r="D224" s="29" t="inlineStr">
        <is>
          <t>Ziyaret bilgisi</t>
        </is>
      </c>
      <c r="E224" s="29" t="inlineStr">
        <is>
          <t>https://visitasevilla.es/el-porvenir-recuerdo-pasado-industrial/</t>
        </is>
      </c>
      <c r="F224" s="49" t="n">
        <v>46320</v>
      </c>
      <c r="G224" s="51" t="n">
        <v>1</v>
      </c>
    </row>
    <row r="225" ht="54" customHeight="1">
      <c r="A225" s="29" t="inlineStr">
        <is>
          <t>sevilla:action:el-porvenir-2</t>
        </is>
      </c>
      <c r="B225" s="29" t="inlineStr">
        <is>
          <t>sevilla</t>
        </is>
      </c>
      <c r="C225" s="29" t="inlineStr">
        <is>
          <t>sevilla:el-porvenir</t>
        </is>
      </c>
      <c r="D225" s="29" t="inlineStr">
        <is>
          <t>Bilgi al</t>
        </is>
      </c>
      <c r="E225" s="29" t="inlineStr">
        <is>
          <t>https://visitasevilla.es/ruta-edificios-mas-emblematicos-sevilla-29/</t>
        </is>
      </c>
      <c r="F225" s="49" t="n">
        <v>46320</v>
      </c>
      <c r="G225" s="51" t="n">
        <v>2</v>
      </c>
    </row>
    <row r="226" ht="54" customHeight="1">
      <c r="A226" s="29" t="inlineStr">
        <is>
          <t>sevilla:action:san-lorenzo-ve-san-vicente-1</t>
        </is>
      </c>
      <c r="B226" s="29" t="inlineStr">
        <is>
          <t>sevilla</t>
        </is>
      </c>
      <c r="C226" s="29" t="inlineStr">
        <is>
          <t>sevilla:san-lorenzo-ve-san-vicente</t>
        </is>
      </c>
      <c r="D226" s="29" t="inlineStr">
        <is>
          <t>Ziyaret bilgisi</t>
        </is>
      </c>
      <c r="E226" s="29" t="inlineStr">
        <is>
          <t>https://visitasevilla.es/iglesia-de-san-vicente/</t>
        </is>
      </c>
      <c r="F226" s="49" t="n">
        <v>46320</v>
      </c>
      <c r="G226" s="51" t="n">
        <v>1</v>
      </c>
    </row>
    <row r="227" ht="54" customHeight="1">
      <c r="A227" s="29" t="inlineStr">
        <is>
          <t>sevilla:action:san-lorenzo-ve-san-vicente-2</t>
        </is>
      </c>
      <c r="B227" s="29" t="inlineStr">
        <is>
          <t>sevilla</t>
        </is>
      </c>
      <c r="C227" s="29" t="inlineStr">
        <is>
          <t>sevilla:san-lorenzo-ve-san-vicente</t>
        </is>
      </c>
      <c r="D227" s="29" t="inlineStr">
        <is>
          <t>Bilgi al</t>
        </is>
      </c>
      <c r="E227" s="29" t="inlineStr">
        <is>
          <t>https://visitasevilla.es/ruta-gastro-norte-sevilla/</t>
        </is>
      </c>
      <c r="F227" s="49" t="n">
        <v>46320</v>
      </c>
      <c r="G227" s="51" t="n">
        <v>2</v>
      </c>
    </row>
    <row r="228" ht="54" customHeight="1">
      <c r="A228" s="29" t="inlineStr">
        <is>
          <t>sevilla:action:real-alcazar-de-sevilla-1</t>
        </is>
      </c>
      <c r="B228" s="29" t="inlineStr">
        <is>
          <t>sevilla</t>
        </is>
      </c>
      <c r="C228" s="29" t="inlineStr">
        <is>
          <t>sevilla:real-alcazar-de-sevilla</t>
        </is>
      </c>
      <c r="D228" s="29" t="inlineStr">
        <is>
          <t>Bilet al</t>
        </is>
      </c>
      <c r="E228" s="29" t="inlineStr">
        <is>
          <t>https://alcazarsevilla.org/prepara-la-visita/</t>
        </is>
      </c>
      <c r="F228" s="49" t="n">
        <v>46320</v>
      </c>
      <c r="G228" s="51" t="n">
        <v>1</v>
      </c>
    </row>
    <row r="229" ht="54" customHeight="1">
      <c r="A229" s="29" t="inlineStr">
        <is>
          <t>sevilla:action:real-alcazar-de-sevilla-2</t>
        </is>
      </c>
      <c r="B229" s="29" t="inlineStr">
        <is>
          <t>sevilla</t>
        </is>
      </c>
      <c r="C229" s="29" t="inlineStr">
        <is>
          <t>sevilla:real-alcazar-de-sevilla</t>
        </is>
      </c>
      <c r="D229" s="29" t="inlineStr">
        <is>
          <t>Ziyaret bilgisi</t>
        </is>
      </c>
      <c r="E229" s="29" t="inlineStr">
        <is>
          <t>https://alcazarsevilla.org/contacto/</t>
        </is>
      </c>
      <c r="F229" s="49" t="n">
        <v>46320</v>
      </c>
      <c r="G229" s="51" t="n">
        <v>2</v>
      </c>
    </row>
    <row r="230" ht="54" customHeight="1">
      <c r="A230" s="29" t="inlineStr">
        <is>
          <t>sevilla:action:palacio-de-las-duenas-1</t>
        </is>
      </c>
      <c r="B230" s="29" t="inlineStr">
        <is>
          <t>sevilla</t>
        </is>
      </c>
      <c r="C230" s="29" t="inlineStr">
        <is>
          <t>sevilla:palacio-de-las-duenas</t>
        </is>
      </c>
      <c r="D230" s="29" t="inlineStr">
        <is>
          <t>Ziyaret bilgisi</t>
        </is>
      </c>
      <c r="E230" s="29" t="inlineStr">
        <is>
          <t>https://www.lasduenas.es/info-al-visitante</t>
        </is>
      </c>
      <c r="F230" s="49" t="n">
        <v>46320</v>
      </c>
      <c r="G230" s="51" t="n">
        <v>1</v>
      </c>
    </row>
    <row r="231" ht="54" customHeight="1">
      <c r="A231" s="29" t="inlineStr">
        <is>
          <t>sevilla:action:palacio-de-la-condesa-de-lebrija-1</t>
        </is>
      </c>
      <c r="B231" s="29" t="inlineStr">
        <is>
          <t>sevilla</t>
        </is>
      </c>
      <c r="C231" s="29" t="inlineStr">
        <is>
          <t>sevilla:palacio-de-la-condesa-de-lebrija</t>
        </is>
      </c>
      <c r="D231" s="29" t="inlineStr">
        <is>
          <t>Bilet al</t>
        </is>
      </c>
      <c r="E231" s="29" t="inlineStr">
        <is>
          <t>https://palaciodelebrija.com/visita-cultural/</t>
        </is>
      </c>
      <c r="F231" s="49" t="n">
        <v>46320</v>
      </c>
      <c r="G231" s="51" t="n">
        <v>1</v>
      </c>
    </row>
    <row r="232" ht="54" customHeight="1">
      <c r="A232" s="29" t="inlineStr">
        <is>
          <t>sevilla:action:palacio-de-la-condesa-de-lebrija-2</t>
        </is>
      </c>
      <c r="B232" s="29" t="inlineStr">
        <is>
          <t>sevilla</t>
        </is>
      </c>
      <c r="C232" s="29" t="inlineStr">
        <is>
          <t>sevilla:palacio-de-la-condesa-de-lebrija</t>
        </is>
      </c>
      <c r="D232" s="29" t="inlineStr">
        <is>
          <t>Ziyaret bilgisi</t>
        </is>
      </c>
      <c r="E232" s="29" t="inlineStr">
        <is>
          <t>https://palaciodelebrija.com/contacto/</t>
        </is>
      </c>
      <c r="F232" s="49" t="n">
        <v>46320</v>
      </c>
      <c r="G232" s="51" t="n">
        <v>2</v>
      </c>
    </row>
    <row r="233" ht="54" customHeight="1">
      <c r="A233" s="29" t="inlineStr">
        <is>
          <t>sevilla:action:iglesia-del-divino-salvador-1</t>
        </is>
      </c>
      <c r="B233" s="29" t="inlineStr">
        <is>
          <t>sevilla</t>
        </is>
      </c>
      <c r="C233" s="29" t="inlineStr">
        <is>
          <t>sevilla:iglesia-del-divino-salvador</t>
        </is>
      </c>
      <c r="D233" s="29" t="inlineStr">
        <is>
          <t>Ziyaret bilgisi</t>
        </is>
      </c>
      <c r="E233" s="29" t="inlineStr">
        <is>
          <t>https://visitasevilla.es/iglesia-del-salvador/</t>
        </is>
      </c>
      <c r="F233" s="49" t="n">
        <v>46320</v>
      </c>
      <c r="G233" s="51" t="n">
        <v>1</v>
      </c>
    </row>
    <row r="234" ht="54" customHeight="1">
      <c r="A234" s="29" t="inlineStr">
        <is>
          <t>sevilla:action:metropol-parasol-antiquarium-1</t>
        </is>
      </c>
      <c r="B234" s="29" t="inlineStr">
        <is>
          <t>sevilla</t>
        </is>
      </c>
      <c r="C234" s="29" t="inlineStr">
        <is>
          <t>sevilla:metropol-parasol-antiquarium</t>
        </is>
      </c>
      <c r="D234" s="29" t="inlineStr">
        <is>
          <t>Ziyaret bilgisi</t>
        </is>
      </c>
      <c r="E234" s="29" t="inlineStr">
        <is>
          <t>https://visitasevilla.es/antiquarium/</t>
        </is>
      </c>
      <c r="F234" s="49" t="n">
        <v>46320</v>
      </c>
      <c r="G234" s="51" t="n">
        <v>1</v>
      </c>
    </row>
    <row r="235" ht="54" customHeight="1">
      <c r="A235" s="29" t="inlineStr">
        <is>
          <t>sevilla:action:palacio-de-san-telmo-1</t>
        </is>
      </c>
      <c r="B235" s="29" t="inlineStr">
        <is>
          <t>sevilla</t>
        </is>
      </c>
      <c r="C235" s="29" t="inlineStr">
        <is>
          <t>sevilla:palacio-de-san-telmo</t>
        </is>
      </c>
      <c r="D235" s="29" t="inlineStr">
        <is>
          <t>Rezervasyon yap</t>
        </is>
      </c>
      <c r="E235" s="29" t="inlineStr">
        <is>
          <t>https://www.juntadeandalucia.es/organismos/presidenciainteriordialogosocialysimplificacionadministrativa/consejeria/transparencia/informacion-sectorial/san-telmo/visitas.html</t>
        </is>
      </c>
      <c r="F235" s="49" t="n">
        <v>46320</v>
      </c>
      <c r="G235" s="51" t="n">
        <v>1</v>
      </c>
    </row>
    <row r="236" ht="54" customHeight="1">
      <c r="A236" s="29" t="inlineStr">
        <is>
          <t>sevilla:action:basilica-del-gran-poder-1</t>
        </is>
      </c>
      <c r="B236" s="29" t="inlineStr">
        <is>
          <t>sevilla</t>
        </is>
      </c>
      <c r="C236" s="29" t="inlineStr">
        <is>
          <t>sevilla:basilica-del-gran-poder</t>
        </is>
      </c>
      <c r="D236" s="29" t="inlineStr">
        <is>
          <t>Ziyaret bilgisi</t>
        </is>
      </c>
      <c r="E236" s="29" t="inlineStr">
        <is>
          <t>https://visitasevilla.es/basilica-del-gran-poder/</t>
        </is>
      </c>
      <c r="F236" s="49" t="n">
        <v>46320</v>
      </c>
      <c r="G236" s="51" t="n">
        <v>1</v>
      </c>
    </row>
    <row r="237" ht="54" customHeight="1">
      <c r="A237" s="29" t="inlineStr">
        <is>
          <t>sevilla:action:capilla-de-los-marineros-1</t>
        </is>
      </c>
      <c r="B237" s="29" t="inlineStr">
        <is>
          <t>sevilla</t>
        </is>
      </c>
      <c r="C237" s="29" t="inlineStr">
        <is>
          <t>sevilla:capilla-de-los-marineros</t>
        </is>
      </c>
      <c r="D237" s="29" t="inlineStr">
        <is>
          <t>Ziyaret bilgisi</t>
        </is>
      </c>
      <c r="E237" s="29" t="inlineStr">
        <is>
          <t>https://visitasevilla.es/capilla-de-los-marineros/</t>
        </is>
      </c>
      <c r="F237" s="49" t="n">
        <v>46320</v>
      </c>
      <c r="G237" s="51" t="n">
        <v>1</v>
      </c>
    </row>
    <row r="238" ht="54" customHeight="1">
      <c r="A238" s="29" t="inlineStr">
        <is>
          <t>sevilla:action:basilica-del-cachorro-1</t>
        </is>
      </c>
      <c r="B238" s="29" t="inlineStr">
        <is>
          <t>sevilla</t>
        </is>
      </c>
      <c r="C238" s="29" t="inlineStr">
        <is>
          <t>sevilla:basilica-del-cachorro</t>
        </is>
      </c>
      <c r="D238" s="29" t="inlineStr">
        <is>
          <t>Ziyaret bilgisi</t>
        </is>
      </c>
      <c r="E238" s="29" t="inlineStr">
        <is>
          <t>https://visitasevilla.es/basilica-del-cachorro/</t>
        </is>
      </c>
      <c r="F238" s="49" t="n">
        <v>46320</v>
      </c>
      <c r="G238" s="51" t="n">
        <v>1</v>
      </c>
    </row>
    <row r="239" ht="54" customHeight="1">
      <c r="A239" s="29" t="inlineStr">
        <is>
          <t>sevilla:action:plaza-de-espana-1</t>
        </is>
      </c>
      <c r="B239" s="29" t="inlineStr">
        <is>
          <t>sevilla</t>
        </is>
      </c>
      <c r="C239" s="29" t="inlineStr">
        <is>
          <t>sevilla:plaza-de-espana</t>
        </is>
      </c>
      <c r="D239" s="29" t="inlineStr">
        <is>
          <t>Ziyaret bilgisi</t>
        </is>
      </c>
      <c r="E239" s="29" t="inlineStr">
        <is>
          <t>https://visitasevilla.es/plaza-de-espana/</t>
        </is>
      </c>
      <c r="F239" s="49" t="n">
        <v>46320</v>
      </c>
      <c r="G239" s="51" t="n">
        <v>1</v>
      </c>
    </row>
    <row r="240" ht="54" customHeight="1">
      <c r="A240" s="29" t="inlineStr">
        <is>
          <t>sevilla:action:archivo-general-de-indias-1</t>
        </is>
      </c>
      <c r="B240" s="29" t="inlineStr">
        <is>
          <t>sevilla</t>
        </is>
      </c>
      <c r="C240" s="29" t="inlineStr">
        <is>
          <t>sevilla:archivo-general-de-indias</t>
        </is>
      </c>
      <c r="D240" s="29" t="inlineStr">
        <is>
          <t>Ziyaret bilgisi</t>
        </is>
      </c>
      <c r="E240" s="29" t="inlineStr">
        <is>
          <t>https://www.cultura.gob.es/cultura/areas/archivos/mc/archivos/agi/portada.html</t>
        </is>
      </c>
      <c r="F240" s="49" t="n">
        <v>46320</v>
      </c>
      <c r="G240" s="51" t="n">
        <v>1</v>
      </c>
    </row>
    <row r="241" ht="54" customHeight="1">
      <c r="A241" s="29" t="inlineStr">
        <is>
          <t>sevilla:action:archivo-general-de-indias-2</t>
        </is>
      </c>
      <c r="B241" s="29" t="inlineStr">
        <is>
          <t>sevilla</t>
        </is>
      </c>
      <c r="C241" s="29" t="inlineStr">
        <is>
          <t>sevilla:archivo-general-de-indias</t>
        </is>
      </c>
      <c r="D241" s="29" t="inlineStr">
        <is>
          <t>Bilgi al</t>
        </is>
      </c>
      <c r="E241" s="29" t="inlineStr">
        <is>
          <t>https://visitasevilla.es/archivo-de-indias/</t>
        </is>
      </c>
      <c r="F241" s="49" t="n">
        <v>46320</v>
      </c>
      <c r="G241" s="51" t="n">
        <v>2</v>
      </c>
    </row>
    <row r="242" ht="54" customHeight="1">
      <c r="A242" s="29" t="inlineStr">
        <is>
          <t>sevilla:action:puente-de-triana-1</t>
        </is>
      </c>
      <c r="B242" s="29" t="inlineStr">
        <is>
          <t>sevilla</t>
        </is>
      </c>
      <c r="C242" s="29" t="inlineStr">
        <is>
          <t>sevilla:puente-de-triana</t>
        </is>
      </c>
      <c r="D242" s="29" t="inlineStr">
        <is>
          <t>Bilgi al</t>
        </is>
      </c>
      <c r="E242" s="29" t="inlineStr">
        <is>
          <t>https://visitasevilla.es/puente-de-triana/</t>
        </is>
      </c>
      <c r="F242" s="49" t="n">
        <v>46320</v>
      </c>
      <c r="G242" s="51" t="n">
        <v>1</v>
      </c>
    </row>
    <row r="243" ht="54" customHeight="1">
      <c r="A243" s="29" t="inlineStr">
        <is>
          <t>sevilla:action:muralla-de-la-macarena-1</t>
        </is>
      </c>
      <c r="B243" s="29" t="inlineStr">
        <is>
          <t>sevilla</t>
        </is>
      </c>
      <c r="C243" s="29" t="inlineStr">
        <is>
          <t>sevilla:muralla-de-la-macarena</t>
        </is>
      </c>
      <c r="D243" s="29" t="inlineStr">
        <is>
          <t>Ziyaret bilgisi</t>
        </is>
      </c>
      <c r="E243" s="29" t="inlineStr">
        <is>
          <t>https://visitasevilla.es/basilica-y-murallas-de-la-macarena/</t>
        </is>
      </c>
      <c r="F243" s="49" t="n">
        <v>46320</v>
      </c>
      <c r="G243" s="51" t="n">
        <v>1</v>
      </c>
    </row>
    <row r="244" ht="54" customHeight="1">
      <c r="A244" s="29" t="inlineStr">
        <is>
          <t>sevilla:action:cementerio-de-san-fernando-1</t>
        </is>
      </c>
      <c r="B244" s="29" t="inlineStr">
        <is>
          <t>sevilla</t>
        </is>
      </c>
      <c r="C244" s="29" t="inlineStr">
        <is>
          <t>sevilla:cementerio-de-san-fernando</t>
        </is>
      </c>
      <c r="D244" s="29" t="inlineStr">
        <is>
          <t>Ziyaret bilgisi</t>
        </is>
      </c>
      <c r="E244" s="29" t="inlineStr">
        <is>
          <t>https://visitasevilla.es/cementerio-de-san-fernando/</t>
        </is>
      </c>
      <c r="F244" s="49" t="n">
        <v>46320</v>
      </c>
      <c r="G244" s="51" t="n">
        <v>1</v>
      </c>
    </row>
    <row r="245" ht="54" customHeight="1">
      <c r="A245" s="29" t="inlineStr">
        <is>
          <t>sevilla:action:plaza-de-toros-de-la-maestranza-1</t>
        </is>
      </c>
      <c r="B245" s="29" t="inlineStr">
        <is>
          <t>sevilla</t>
        </is>
      </c>
      <c r="C245" s="29" t="inlineStr">
        <is>
          <t>sevilla:plaza-de-toros-de-la-maestranza</t>
        </is>
      </c>
      <c r="D245" s="29" t="inlineStr">
        <is>
          <t>Bilet al</t>
        </is>
      </c>
      <c r="E245" s="29" t="inlineStr">
        <is>
          <t>https://visitasevilla.es/museo-taurino-de-la-plaza-de-toros/</t>
        </is>
      </c>
      <c r="F245" s="49" t="n">
        <v>46320</v>
      </c>
      <c r="G245" s="51" t="n">
        <v>1</v>
      </c>
    </row>
    <row r="246" ht="54" customHeight="1">
      <c r="A246" s="29" t="inlineStr">
        <is>
          <t>sevilla:action:plaza-de-toros-de-la-maestranza-2</t>
        </is>
      </c>
      <c r="B246" s="29" t="inlineStr">
        <is>
          <t>sevilla</t>
        </is>
      </c>
      <c r="C246" s="29" t="inlineStr">
        <is>
          <t>sevilla:plaza-de-toros-de-la-maestranza</t>
        </is>
      </c>
      <c r="D246" s="29" t="inlineStr">
        <is>
          <t>Ziyaret bilgisi</t>
        </is>
      </c>
      <c r="E246" s="29" t="inlineStr">
        <is>
          <t>https://visitasevilla.es/plaza-de-toros-de-la-maestranza/</t>
        </is>
      </c>
      <c r="F246" s="49" t="n">
        <v>46320</v>
      </c>
      <c r="G246" s="51" t="n">
        <v>2</v>
      </c>
    </row>
    <row r="247" ht="54" customHeight="1">
      <c r="A247" s="29" t="inlineStr">
        <is>
          <t>sevilla:action:costurero-de-la-reina-1</t>
        </is>
      </c>
      <c r="B247" s="29" t="inlineStr">
        <is>
          <t>sevilla</t>
        </is>
      </c>
      <c r="C247" s="29" t="inlineStr">
        <is>
          <t>sevilla:costurero-de-la-reina</t>
        </is>
      </c>
      <c r="D247" s="29" t="inlineStr">
        <is>
          <t>Ziyaret bilgisi</t>
        </is>
      </c>
      <c r="E247" s="29" t="inlineStr">
        <is>
          <t>https://visitasevilla.es/costurero-de-la-reina/</t>
        </is>
      </c>
      <c r="F247" s="49" t="n">
        <v>46320</v>
      </c>
      <c r="G247" s="51" t="n">
        <v>1</v>
      </c>
    </row>
    <row r="248" ht="54" customHeight="1">
      <c r="A248" s="29" t="inlineStr">
        <is>
          <t>sevilla:action:espacio-santa-clara-1</t>
        </is>
      </c>
      <c r="B248" s="29" t="inlineStr">
        <is>
          <t>sevilla</t>
        </is>
      </c>
      <c r="C248" s="29" t="inlineStr">
        <is>
          <t>sevilla:espacio-santa-clara</t>
        </is>
      </c>
      <c r="D248" s="29" t="inlineStr">
        <is>
          <t>Ziyaret bilgisi</t>
        </is>
      </c>
      <c r="E248" s="29" t="inlineStr">
        <is>
          <t>https://visitasevilla.es/espacio-santa-clara/</t>
        </is>
      </c>
      <c r="F248" s="49" t="n">
        <v>46320</v>
      </c>
      <c r="G248" s="51" t="n">
        <v>1</v>
      </c>
    </row>
    <row r="249" ht="54" customHeight="1">
      <c r="A249" s="29" t="inlineStr">
        <is>
          <t>sevilla:action:parque-de-maria-luisa-1</t>
        </is>
      </c>
      <c r="B249" s="29" t="inlineStr">
        <is>
          <t>sevilla</t>
        </is>
      </c>
      <c r="C249" s="29" t="inlineStr">
        <is>
          <t>sevilla:parque-de-maria-luisa</t>
        </is>
      </c>
      <c r="D249" s="29" t="inlineStr">
        <is>
          <t>Bilgi al</t>
        </is>
      </c>
      <c r="E249" s="29" t="inlineStr">
        <is>
          <t>https://visitasevilla.es/parque-de-maria-luisa/</t>
        </is>
      </c>
      <c r="F249" s="49" t="n">
        <v>46320</v>
      </c>
      <c r="G249" s="51" t="n">
        <v>1</v>
      </c>
    </row>
    <row r="250" ht="54" customHeight="1">
      <c r="A250" s="29" t="inlineStr">
        <is>
          <t>sevilla:action:jardines-de-la-buhaira-1</t>
        </is>
      </c>
      <c r="B250" s="29" t="inlineStr">
        <is>
          <t>sevilla</t>
        </is>
      </c>
      <c r="C250" s="29" t="inlineStr">
        <is>
          <t>sevilla:jardines-de-la-buhaira</t>
        </is>
      </c>
      <c r="D250" s="29" t="inlineStr">
        <is>
          <t>Bilgi al</t>
        </is>
      </c>
      <c r="E250" s="29" t="inlineStr">
        <is>
          <t>https://visitasevilla.es/jardines-de-la-buhaira/</t>
        </is>
      </c>
      <c r="F250" s="49" t="n">
        <v>46320</v>
      </c>
      <c r="G250" s="51" t="n">
        <v>1</v>
      </c>
    </row>
    <row r="251" ht="54" customHeight="1">
      <c r="A251" s="29" t="inlineStr">
        <is>
          <t>sevilla:action:jardines-de-murillo-1</t>
        </is>
      </c>
      <c r="B251" s="29" t="inlineStr">
        <is>
          <t>sevilla</t>
        </is>
      </c>
      <c r="C251" s="29" t="inlineStr">
        <is>
          <t>sevilla:jardines-de-murillo</t>
        </is>
      </c>
      <c r="D251" s="29" t="inlineStr">
        <is>
          <t>Bilgi al</t>
        </is>
      </c>
      <c r="E251" s="29" t="inlineStr">
        <is>
          <t>https://visitasevilla.es/jardines-de-murillo/</t>
        </is>
      </c>
      <c r="F251" s="49" t="n">
        <v>46320</v>
      </c>
      <c r="G251" s="51" t="n">
        <v>1</v>
      </c>
    </row>
    <row r="252" ht="54" customHeight="1">
      <c r="A252" s="29" t="inlineStr">
        <is>
          <t>sevilla:action:jardines-de-las-delicias-1</t>
        </is>
      </c>
      <c r="B252" s="29" t="inlineStr">
        <is>
          <t>sevilla</t>
        </is>
      </c>
      <c r="C252" s="29" t="inlineStr">
        <is>
          <t>sevilla:jardines-de-las-delicias</t>
        </is>
      </c>
      <c r="D252" s="29" t="inlineStr">
        <is>
          <t>Bilgi al</t>
        </is>
      </c>
      <c r="E252" s="29" t="inlineStr">
        <is>
          <t>https://visitasevilla.es/jardines-de-las-delicias/</t>
        </is>
      </c>
      <c r="F252" s="49" t="n">
        <v>46320</v>
      </c>
      <c r="G252" s="51" t="n">
        <v>1</v>
      </c>
    </row>
    <row r="253" ht="54" customHeight="1">
      <c r="A253" s="29" t="inlineStr">
        <is>
          <t>sevilla:action:paseo-catalina-de-ribera-1</t>
        </is>
      </c>
      <c r="B253" s="29" t="inlineStr">
        <is>
          <t>sevilla</t>
        </is>
      </c>
      <c r="C253" s="29" t="inlineStr">
        <is>
          <t>sevilla:paseo-catalina-de-ribera</t>
        </is>
      </c>
      <c r="D253" s="29" t="inlineStr">
        <is>
          <t>Bilgi al</t>
        </is>
      </c>
      <c r="E253" s="29" t="inlineStr">
        <is>
          <t>https://visitasevilla.es/jardines-de-catalina-de-ribera/</t>
        </is>
      </c>
      <c r="F253" s="49" t="n">
        <v>46320</v>
      </c>
      <c r="G253" s="51" t="n">
        <v>1</v>
      </c>
    </row>
    <row r="254" ht="54" customHeight="1">
      <c r="A254" s="29" t="inlineStr">
        <is>
          <t>sevilla:action:parque-del-alamillo-1</t>
        </is>
      </c>
      <c r="B254" s="29" t="inlineStr">
        <is>
          <t>sevilla</t>
        </is>
      </c>
      <c r="C254" s="29" t="inlineStr">
        <is>
          <t>sevilla:parque-del-alamillo</t>
        </is>
      </c>
      <c r="D254" s="29" t="inlineStr">
        <is>
          <t>Bilgi al</t>
        </is>
      </c>
      <c r="E254" s="29" t="inlineStr">
        <is>
          <t>https://www.juntadeandalucia.es/avra/parque-alamillo/</t>
        </is>
      </c>
      <c r="F254" s="49" t="n">
        <v>46320</v>
      </c>
      <c r="G254" s="51" t="n">
        <v>1</v>
      </c>
    </row>
    <row r="255" ht="54" customHeight="1">
      <c r="A255" s="29" t="inlineStr">
        <is>
          <t>sevilla:action:parque-infanta-elena-1</t>
        </is>
      </c>
      <c r="B255" s="29" t="inlineStr">
        <is>
          <t>sevilla</t>
        </is>
      </c>
      <c r="C255" s="29" t="inlineStr">
        <is>
          <t>sevilla:parque-infanta-elena</t>
        </is>
      </c>
      <c r="D255" s="29" t="inlineStr">
        <is>
          <t>Bilgi al</t>
        </is>
      </c>
      <c r="E255" s="29" t="inlineStr">
        <is>
          <t>https://visitasevilla.es/parque-infanta-elena/</t>
        </is>
      </c>
      <c r="F255" s="49" t="n">
        <v>46320</v>
      </c>
      <c r="G255" s="51" t="n">
        <v>1</v>
      </c>
    </row>
    <row r="256" ht="54" customHeight="1">
      <c r="A256" s="29" t="inlineStr">
        <is>
          <t>sevilla:action:alameda-de-hercules-1</t>
        </is>
      </c>
      <c r="B256" s="29" t="inlineStr">
        <is>
          <t>sevilla</t>
        </is>
      </c>
      <c r="C256" s="29" t="inlineStr">
        <is>
          <t>sevilla:alameda-de-hercules</t>
        </is>
      </c>
      <c r="D256" s="29" t="inlineStr">
        <is>
          <t>Bilgi al</t>
        </is>
      </c>
      <c r="E256" s="29" t="inlineStr">
        <is>
          <t>https://visitasevilla.es/alameda-de-hercules/</t>
        </is>
      </c>
      <c r="F256" s="49" t="n">
        <v>46320</v>
      </c>
      <c r="G256" s="51" t="n">
        <v>1</v>
      </c>
    </row>
    <row r="257" ht="54" customHeight="1">
      <c r="A257" s="29" t="inlineStr">
        <is>
          <t>sevilla:action:real-alcazar-jardines-1</t>
        </is>
      </c>
      <c r="B257" s="29" t="inlineStr">
        <is>
          <t>sevilla</t>
        </is>
      </c>
      <c r="C257" s="29" t="inlineStr">
        <is>
          <t>sevilla:real-alcazar-jardines</t>
        </is>
      </c>
      <c r="D257" s="29" t="inlineStr">
        <is>
          <t>Bilet al</t>
        </is>
      </c>
      <c r="E257" s="29" t="inlineStr">
        <is>
          <t>https://alcazarsevilla.org/prepara-la-visita/</t>
        </is>
      </c>
      <c r="F257" s="49" t="n">
        <v>46320</v>
      </c>
      <c r="G257" s="51" t="n">
        <v>1</v>
      </c>
    </row>
    <row r="258" ht="54" customHeight="1">
      <c r="A258" s="29" t="inlineStr">
        <is>
          <t>sevilla:action:real-alcazar-jardines-2</t>
        </is>
      </c>
      <c r="B258" s="29" t="inlineStr">
        <is>
          <t>sevilla</t>
        </is>
      </c>
      <c r="C258" s="29" t="inlineStr">
        <is>
          <t>sevilla:real-alcazar-jardines</t>
        </is>
      </c>
      <c r="D258" s="29" t="inlineStr">
        <is>
          <t>Ziyaret bilgisi</t>
        </is>
      </c>
      <c r="E258" s="29" t="inlineStr">
        <is>
          <t>https://alcazarsevilla.org/contacto/</t>
        </is>
      </c>
      <c r="F258" s="49" t="n">
        <v>46320</v>
      </c>
      <c r="G258" s="51" t="n">
        <v>2</v>
      </c>
    </row>
    <row r="259" ht="54" customHeight="1">
      <c r="A259" s="29" t="inlineStr">
        <is>
          <t>sevilla:action:guadalquivir-paseo-de-las-delicias-1</t>
        </is>
      </c>
      <c r="B259" s="29" t="inlineStr">
        <is>
          <t>sevilla</t>
        </is>
      </c>
      <c r="C259" s="29" t="inlineStr">
        <is>
          <t>sevilla:guadalquivir-paseo-de-las-delicias</t>
        </is>
      </c>
      <c r="D259" s="29" t="inlineStr">
        <is>
          <t>Bilgi al</t>
        </is>
      </c>
      <c r="E259" s="29" t="inlineStr">
        <is>
          <t>https://visitasevilla.es/el-guadalquivir/</t>
        </is>
      </c>
      <c r="F259" s="49" t="n">
        <v>46320</v>
      </c>
      <c r="G259" s="51" t="n">
        <v>1</v>
      </c>
    </row>
    <row r="260" ht="54" customHeight="1">
      <c r="A260" s="29" t="inlineStr">
        <is>
          <t>sevilla:action:museo-de-bellas-artes-de-sevilla-1</t>
        </is>
      </c>
      <c r="B260" s="29" t="inlineStr">
        <is>
          <t>sevilla</t>
        </is>
      </c>
      <c r="C260" s="29" t="inlineStr">
        <is>
          <t>sevilla:museo-de-bellas-artes-de-sevilla</t>
        </is>
      </c>
      <c r="D260" s="29" t="inlineStr">
        <is>
          <t>Ziyaret bilgisi</t>
        </is>
      </c>
      <c r="E260" s="29" t="inlineStr">
        <is>
          <t>https://visitasevilla.es/museo-de-bellas-artes/</t>
        </is>
      </c>
      <c r="F260" s="49" t="n">
        <v>46320</v>
      </c>
      <c r="G260" s="51" t="n">
        <v>1</v>
      </c>
    </row>
    <row r="261" ht="54" customHeight="1">
      <c r="A261" s="29" t="inlineStr">
        <is>
          <t>sevilla:action:museo-arqueologico-de-sevilla-1</t>
        </is>
      </c>
      <c r="B261" s="29" t="inlineStr">
        <is>
          <t>sevilla</t>
        </is>
      </c>
      <c r="C261" s="29" t="inlineStr">
        <is>
          <t>sevilla:museo-arqueologico-de-sevilla</t>
        </is>
      </c>
      <c r="D261" s="29" t="inlineStr">
        <is>
          <t>Ziyaret bilgisi</t>
        </is>
      </c>
      <c r="E261" s="29" t="inlineStr">
        <is>
          <t>https://visitasevilla.es/el-museo-arqueologico/</t>
        </is>
      </c>
      <c r="F261" s="49" t="n">
        <v>46320</v>
      </c>
      <c r="G261" s="51" t="n">
        <v>1</v>
      </c>
    </row>
    <row r="262" ht="54" customHeight="1">
      <c r="A262" s="29" t="inlineStr">
        <is>
          <t>sevilla:action:museo-de-artes-y-costumbres-populares-1</t>
        </is>
      </c>
      <c r="B262" s="29" t="inlineStr">
        <is>
          <t>sevilla</t>
        </is>
      </c>
      <c r="C262" s="29" t="inlineStr">
        <is>
          <t>sevilla:museo-de-artes-y-costumbres-populares</t>
        </is>
      </c>
      <c r="D262" s="29" t="inlineStr">
        <is>
          <t>Ziyaret bilgisi</t>
        </is>
      </c>
      <c r="E262" s="29" t="inlineStr">
        <is>
          <t>https://visitasevilla.es/museo-de-artes-y-costumbres-populares/</t>
        </is>
      </c>
      <c r="F262" s="49" t="n">
        <v>46320</v>
      </c>
      <c r="G262" s="51" t="n">
        <v>1</v>
      </c>
    </row>
    <row r="263" ht="54" customHeight="1">
      <c r="A263" s="29" t="inlineStr">
        <is>
          <t>sevilla:action:museo-del-baile-flamenco-1</t>
        </is>
      </c>
      <c r="B263" s="29" t="inlineStr">
        <is>
          <t>sevilla</t>
        </is>
      </c>
      <c r="C263" s="29" t="inlineStr">
        <is>
          <t>sevilla:museo-del-baile-flamenco</t>
        </is>
      </c>
      <c r="D263" s="29" t="inlineStr">
        <is>
          <t>Ziyaret bilgisi</t>
        </is>
      </c>
      <c r="E263" s="29" t="inlineStr">
        <is>
          <t>https://visitasevilla.es/museo-del-baile-flamenco/</t>
        </is>
      </c>
      <c r="F263" s="49" t="n">
        <v>46320</v>
      </c>
      <c r="G263" s="51" t="n">
        <v>1</v>
      </c>
    </row>
    <row r="264" ht="54" customHeight="1">
      <c r="A264" s="29" t="inlineStr">
        <is>
          <t>sevilla:action:casa-fabiola-coleccion-bellver-1</t>
        </is>
      </c>
      <c r="B264" s="29" t="inlineStr">
        <is>
          <t>sevilla</t>
        </is>
      </c>
      <c r="C264" s="29" t="inlineStr">
        <is>
          <t>sevilla:casa-fabiola-coleccion-bellver</t>
        </is>
      </c>
      <c r="D264" s="29" t="inlineStr">
        <is>
          <t>Ziyaret bilgisi</t>
        </is>
      </c>
      <c r="E264" s="29" t="inlineStr">
        <is>
          <t>https://visitasevilla.es/casa-fabiola/</t>
        </is>
      </c>
      <c r="F264" s="49" t="n">
        <v>46320</v>
      </c>
      <c r="G264" s="51" t="n">
        <v>1</v>
      </c>
    </row>
    <row r="265" ht="54" customHeight="1">
      <c r="A265" s="29" t="inlineStr">
        <is>
          <t>sevilla:action:centro-ceramica-triana-1</t>
        </is>
      </c>
      <c r="B265" s="29" t="inlineStr">
        <is>
          <t>sevilla</t>
        </is>
      </c>
      <c r="C265" s="29" t="inlineStr">
        <is>
          <t>sevilla:centro-ceramica-triana</t>
        </is>
      </c>
      <c r="D265" s="29" t="inlineStr">
        <is>
          <t>Ziyaret bilgisi</t>
        </is>
      </c>
      <c r="E265" s="29" t="inlineStr">
        <is>
          <t>https://visitasevilla.es/centro-ceramica-triana/</t>
        </is>
      </c>
      <c r="F265" s="49" t="n">
        <v>46320</v>
      </c>
      <c r="G265" s="51" t="n">
        <v>1</v>
      </c>
    </row>
    <row r="266" ht="54" customHeight="1">
      <c r="A266" s="29" t="inlineStr">
        <is>
          <t>sevilla:action:museo-taurino-real-maestranza-1</t>
        </is>
      </c>
      <c r="B266" s="29" t="inlineStr">
        <is>
          <t>sevilla</t>
        </is>
      </c>
      <c r="C266" s="29" t="inlineStr">
        <is>
          <t>sevilla:museo-taurino-real-maestranza</t>
        </is>
      </c>
      <c r="D266" s="29" t="inlineStr">
        <is>
          <t>Bilet al</t>
        </is>
      </c>
      <c r="E266" s="29" t="inlineStr">
        <is>
          <t>https://visitasevilla.es/museo-taurino-de-la-plaza-de-toros/</t>
        </is>
      </c>
      <c r="F266" s="49" t="n">
        <v>46320</v>
      </c>
      <c r="G266" s="51" t="n">
        <v>1</v>
      </c>
    </row>
    <row r="267" ht="54" customHeight="1">
      <c r="A267" s="29" t="inlineStr">
        <is>
          <t>sevilla:action:museo-historico-militar-sevilla-1</t>
        </is>
      </c>
      <c r="B267" s="29" t="inlineStr">
        <is>
          <t>sevilla</t>
        </is>
      </c>
      <c r="C267" s="29" t="inlineStr">
        <is>
          <t>sevilla:museo-historico-militar-sevilla</t>
        </is>
      </c>
      <c r="D267" s="29" t="inlineStr">
        <is>
          <t>Ziyaret bilgisi</t>
        </is>
      </c>
      <c r="E267" s="29" t="inlineStr">
        <is>
          <t>https://visitasevilla.es/museo-historico-militar/</t>
        </is>
      </c>
      <c r="F267" s="49" t="n">
        <v>46320</v>
      </c>
      <c r="G267" s="51" t="n">
        <v>1</v>
      </c>
    </row>
    <row r="268" ht="54" customHeight="1">
      <c r="A268" s="29" t="inlineStr">
        <is>
          <t>sevilla:action:museo-maritimo-torre-del-oro-1</t>
        </is>
      </c>
      <c r="B268" s="29" t="inlineStr">
        <is>
          <t>sevilla</t>
        </is>
      </c>
      <c r="C268" s="29" t="inlineStr">
        <is>
          <t>sevilla:museo-maritimo-torre-del-oro</t>
        </is>
      </c>
      <c r="D268" s="29" t="inlineStr">
        <is>
          <t>Ziyaret bilgisi</t>
        </is>
      </c>
      <c r="E268" s="29" t="inlineStr">
        <is>
          <t>https://www.fundacionmuseonaval.com/museonavalsevilla.html</t>
        </is>
      </c>
      <c r="F268" s="49" t="n">
        <v>46320</v>
      </c>
      <c r="G268" s="51" t="n">
        <v>1</v>
      </c>
    </row>
    <row r="269" ht="54" customHeight="1">
      <c r="A269" s="29" t="inlineStr">
        <is>
          <t>sevilla:action:museo-historia-de-la-farmacia-us-1</t>
        </is>
      </c>
      <c r="B269" s="29" t="inlineStr">
        <is>
          <t>sevilla</t>
        </is>
      </c>
      <c r="C269" s="29" t="inlineStr">
        <is>
          <t>sevilla:museo-historia-de-la-farmacia-us</t>
        </is>
      </c>
      <c r="D269" s="29" t="inlineStr">
        <is>
          <t>Ziyaret bilgisi</t>
        </is>
      </c>
      <c r="E269" s="29" t="inlineStr">
        <is>
          <t>https://institucional.us.es/museohistfarm/</t>
        </is>
      </c>
      <c r="F269" s="49" t="n">
        <v>46320</v>
      </c>
      <c r="G269" s="51" t="n">
        <v>1</v>
      </c>
    </row>
    <row r="270" ht="54" customHeight="1">
      <c r="A270" s="29" t="inlineStr">
        <is>
          <t>sevilla:action:caac-centro-andaluz-arte-contemporaneo-1</t>
        </is>
      </c>
      <c r="B270" s="29" t="inlineStr">
        <is>
          <t>sevilla</t>
        </is>
      </c>
      <c r="C270" s="29" t="inlineStr">
        <is>
          <t>sevilla:caac-centro-andaluz-arte-contemporaneo</t>
        </is>
      </c>
      <c r="D270" s="29" t="inlineStr">
        <is>
          <t>Ziyaret bilgisi</t>
        </is>
      </c>
      <c r="E270" s="29" t="inlineStr">
        <is>
          <t>https://visitasevilla.es/caac/</t>
        </is>
      </c>
      <c r="F270" s="49" t="n">
        <v>46320</v>
      </c>
      <c r="G270" s="51" t="n">
        <v>1</v>
      </c>
    </row>
    <row r="271" ht="54" customHeight="1">
      <c r="A271" s="29" t="inlineStr">
        <is>
          <t>sevilla:action:caixaforum-sevilla-1</t>
        </is>
      </c>
      <c r="B271" s="29" t="inlineStr">
        <is>
          <t>sevilla</t>
        </is>
      </c>
      <c r="C271" s="29" t="inlineStr">
        <is>
          <t>sevilla:caixaforum-sevilla</t>
        </is>
      </c>
      <c r="D271" s="29" t="inlineStr">
        <is>
          <t>Ziyaret bilgisi</t>
        </is>
      </c>
      <c r="E271" s="29" t="inlineStr">
        <is>
          <t>https://visitasevilla.es/caixaforum-sevilla/</t>
        </is>
      </c>
      <c r="F271" s="49" t="n">
        <v>46320</v>
      </c>
      <c r="G271" s="51" t="n">
        <v>1</v>
      </c>
    </row>
    <row r="272" ht="54" customHeight="1">
      <c r="A272" s="29" t="inlineStr">
        <is>
          <t>sevilla:action:real-academia-bellas-artes-sevilla-1</t>
        </is>
      </c>
      <c r="B272" s="29" t="inlineStr">
        <is>
          <t>sevilla</t>
        </is>
      </c>
      <c r="C272" s="29" t="inlineStr">
        <is>
          <t>sevilla:real-academia-bellas-artes-sevilla</t>
        </is>
      </c>
      <c r="D272" s="29" t="inlineStr">
        <is>
          <t>Bilgi al</t>
        </is>
      </c>
      <c r="E272" s="29" t="inlineStr">
        <is>
          <t>https://www.realacademiabellasartessevilla.com/?page_id=2</t>
        </is>
      </c>
      <c r="F272" s="49" t="n">
        <v>46320</v>
      </c>
      <c r="G272" s="51" t="n">
        <v>1</v>
      </c>
    </row>
    <row r="273" ht="54" customHeight="1">
      <c r="A273" s="29" t="inlineStr">
        <is>
          <t>sevilla:action:palacio-marqueses-de-la-algaba-1</t>
        </is>
      </c>
      <c r="B273" s="29" t="inlineStr">
        <is>
          <t>sevilla</t>
        </is>
      </c>
      <c r="C273" s="29" t="inlineStr">
        <is>
          <t>sevilla:palacio-marqueses-de-la-algaba</t>
        </is>
      </c>
      <c r="D273" s="29" t="inlineStr">
        <is>
          <t>Ziyaret bilgisi</t>
        </is>
      </c>
      <c r="E273" s="29" t="inlineStr">
        <is>
          <t>https://visitasevilla.es/palacio-de-los-marqueses-de-la-algaba/</t>
        </is>
      </c>
      <c r="F273" s="49" t="n">
        <v>46320</v>
      </c>
      <c r="G273" s="51" t="n">
        <v>1</v>
      </c>
    </row>
    <row r="274" ht="54" customHeight="1">
      <c r="A274" s="29" t="inlineStr">
        <is>
          <t>sevilla:action:casa-de-la-provincia-sevilla-1</t>
        </is>
      </c>
      <c r="B274" s="29" t="inlineStr">
        <is>
          <t>sevilla</t>
        </is>
      </c>
      <c r="C274" s="29" t="inlineStr">
        <is>
          <t>sevilla:casa-de-la-provincia-sevilla</t>
        </is>
      </c>
      <c r="D274" s="29" t="inlineStr">
        <is>
          <t>Ziyaret bilgisi</t>
        </is>
      </c>
      <c r="E274" s="29" t="inlineStr">
        <is>
          <t>https://www.casadelaprovincia.es/accesibilidad/</t>
        </is>
      </c>
      <c r="F274" s="49" t="n">
        <v>46320</v>
      </c>
      <c r="G274" s="51" t="n">
        <v>1</v>
      </c>
    </row>
    <row r="275" ht="54" customHeight="1">
      <c r="A275" s="29" t="inlineStr">
        <is>
          <t>sevilla:action:acuario-de-sevilla-1</t>
        </is>
      </c>
      <c r="B275" s="29" t="inlineStr">
        <is>
          <t>sevilla</t>
        </is>
      </c>
      <c r="C275" s="29" t="inlineStr">
        <is>
          <t>sevilla:acuario-de-sevilla</t>
        </is>
      </c>
      <c r="D275" s="29" t="inlineStr">
        <is>
          <t>Ziyaret bilgisi</t>
        </is>
      </c>
      <c r="E275" s="29" t="inlineStr">
        <is>
          <t>https://www.acuariosevilla.es/contacto/</t>
        </is>
      </c>
      <c r="F275" s="49" t="n">
        <v>46320</v>
      </c>
      <c r="G275" s="51" t="n">
        <v>1</v>
      </c>
    </row>
    <row r="276" ht="54" customHeight="1">
      <c r="A276" s="29" t="inlineStr">
        <is>
          <t>sevilla:action:acuario-de-sevilla-2</t>
        </is>
      </c>
      <c r="B276" s="29" t="inlineStr">
        <is>
          <t>sevilla</t>
        </is>
      </c>
      <c r="C276" s="29" t="inlineStr">
        <is>
          <t>sevilla:acuario-de-sevilla</t>
        </is>
      </c>
      <c r="D276" s="29" t="inlineStr">
        <is>
          <t>Bilet al</t>
        </is>
      </c>
      <c r="E276" s="29" t="inlineStr">
        <is>
          <t>https://www.acuariosevilla.es/accesibilidad/</t>
        </is>
      </c>
      <c r="F276" s="49" t="n">
        <v>46320</v>
      </c>
      <c r="G276" s="51" t="n">
        <v>2</v>
      </c>
    </row>
    <row r="277" ht="54" customHeight="1">
      <c r="A277" s="29" t="inlineStr">
        <is>
          <t>sevilla:action:museo-de-las-ilusiones-1</t>
        </is>
      </c>
      <c r="B277" s="29" t="inlineStr">
        <is>
          <t>sevilla</t>
        </is>
      </c>
      <c r="C277" s="29" t="inlineStr">
        <is>
          <t>sevilla:museo-de-las-ilusiones</t>
        </is>
      </c>
      <c r="D277" s="29" t="inlineStr">
        <is>
          <t>Ziyaret bilgisi</t>
        </is>
      </c>
      <c r="E277" s="29" t="inlineStr">
        <is>
          <t>https://visitasevilla.es/museo-de-las-ilusiones/</t>
        </is>
      </c>
      <c r="F277" s="49" t="n">
        <v>46320</v>
      </c>
      <c r="G277" s="51" t="n">
        <v>1</v>
      </c>
    </row>
    <row r="278" ht="54" customHeight="1">
      <c r="A278" s="29" t="inlineStr">
        <is>
          <t>sevilla:action:estadio-sanchez-pizjuan-tur-1</t>
        </is>
      </c>
      <c r="B278" s="29" t="inlineStr">
        <is>
          <t>sevilla</t>
        </is>
      </c>
      <c r="C278" s="29" t="inlineStr">
        <is>
          <t>sevilla:estadio-sanchez-pizjuan-tur</t>
        </is>
      </c>
      <c r="D278" s="29" t="inlineStr">
        <is>
          <t>Ziyaret bilgisi</t>
        </is>
      </c>
      <c r="E278" s="29" t="inlineStr">
        <is>
          <t>https://visitasevilla.es/sevilla-fc-stadium-club-tour/</t>
        </is>
      </c>
      <c r="F278" s="49" t="n">
        <v>46320</v>
      </c>
      <c r="G278" s="51" t="n">
        <v>1</v>
      </c>
    </row>
    <row r="279" ht="54" customHeight="1">
      <c r="A279" s="29" t="inlineStr">
        <is>
          <t>sevilla:action:estadio-la-cartuja-1</t>
        </is>
      </c>
      <c r="B279" s="29" t="inlineStr">
        <is>
          <t>sevilla</t>
        </is>
      </c>
      <c r="C279" s="29" t="inlineStr">
        <is>
          <t>sevilla:estadio-la-cartuja</t>
        </is>
      </c>
      <c r="D279" s="29" t="inlineStr">
        <is>
          <t>Bilgi al</t>
        </is>
      </c>
      <c r="E279" s="29" t="inlineStr">
        <is>
          <t>https://www.estadiolacartuja.es/contacto/</t>
        </is>
      </c>
      <c r="F279" s="49" t="n">
        <v>46320</v>
      </c>
      <c r="G279" s="51" t="n">
        <v>1</v>
      </c>
    </row>
    <row r="280" ht="54" customHeight="1">
      <c r="A280" s="29" t="inlineStr">
        <is>
          <t>sevilla:action:centro-nautico-alamillo-1</t>
        </is>
      </c>
      <c r="B280" s="29" t="inlineStr">
        <is>
          <t>sevilla</t>
        </is>
      </c>
      <c r="C280" s="29" t="inlineStr">
        <is>
          <t>sevilla:centro-nautico-alamillo</t>
        </is>
      </c>
      <c r="D280" s="29" t="inlineStr">
        <is>
          <t>Bilgi al</t>
        </is>
      </c>
      <c r="E280" s="29" t="inlineStr">
        <is>
          <t>https://www.juntadeandalucia.es/avra/opencms/parque-alamillo/contenido/actividades/Actividad_nautica/actividadNautica.html</t>
        </is>
      </c>
      <c r="F280" s="49" t="n">
        <v>46320</v>
      </c>
      <c r="G280" s="51" t="n">
        <v>1</v>
      </c>
    </row>
    <row r="281" ht="54" customHeight="1">
      <c r="A281" s="29" t="inlineStr">
        <is>
          <t>sevilla:action:teatro-de-la-maestranza-1</t>
        </is>
      </c>
      <c r="B281" s="29" t="inlineStr">
        <is>
          <t>sevilla</t>
        </is>
      </c>
      <c r="C281" s="29" t="inlineStr">
        <is>
          <t>sevilla:teatro-de-la-maestranza</t>
        </is>
      </c>
      <c r="D281" s="29" t="inlineStr">
        <is>
          <t>Bilgi al</t>
        </is>
      </c>
      <c r="E281" s="29" t="inlineStr">
        <is>
          <t>https://www.teatrodelamaestranza.es/en/architecture/</t>
        </is>
      </c>
      <c r="F281" s="49" t="n">
        <v>46320</v>
      </c>
      <c r="G281" s="51" t="n">
        <v>1</v>
      </c>
    </row>
    <row r="282" ht="54" customHeight="1">
      <c r="A282" s="29" t="inlineStr">
        <is>
          <t>sevilla:action:teatro-lope-de-vega-1</t>
        </is>
      </c>
      <c r="B282" s="29" t="inlineStr">
        <is>
          <t>sevilla</t>
        </is>
      </c>
      <c r="C282" s="29" t="inlineStr">
        <is>
          <t>sevilla:teatro-lope-de-vega</t>
        </is>
      </c>
      <c r="D282" s="29" t="inlineStr">
        <is>
          <t>Bilgi al</t>
        </is>
      </c>
      <c r="E282" s="29" t="inlineStr">
        <is>
          <t>https://visitasevilla.es/teatro-lope-de-vega/</t>
        </is>
      </c>
      <c r="F282" s="49" t="n">
        <v>46320</v>
      </c>
      <c r="G282" s="51" t="n">
        <v>1</v>
      </c>
    </row>
    <row r="283" ht="54" customHeight="1">
      <c r="A283" s="29" t="inlineStr">
        <is>
          <t>sevilla:action:el-patio-sevillano-1</t>
        </is>
      </c>
      <c r="B283" s="29" t="inlineStr">
        <is>
          <t>sevilla</t>
        </is>
      </c>
      <c r="C283" s="29" t="inlineStr">
        <is>
          <t>sevilla:el-patio-sevillano</t>
        </is>
      </c>
      <c r="D283" s="29" t="inlineStr">
        <is>
          <t>Rezervasyon yap</t>
        </is>
      </c>
      <c r="E283" s="29" t="inlineStr">
        <is>
          <t>https://www.elpatiosevillano.com/contacto</t>
        </is>
      </c>
      <c r="F283" s="49" t="n">
        <v>46320</v>
      </c>
      <c r="G283" s="51" t="n">
        <v>1</v>
      </c>
    </row>
    <row r="284" ht="54" customHeight="1">
      <c r="A284" s="29" t="inlineStr">
        <is>
          <t>sevilla:action:cartuja-center-cite-1</t>
        </is>
      </c>
      <c r="B284" s="29" t="inlineStr">
        <is>
          <t>sevilla</t>
        </is>
      </c>
      <c r="C284" s="29" t="inlineStr">
        <is>
          <t>sevilla:cartuja-center-cite</t>
        </is>
      </c>
      <c r="D284" s="29" t="inlineStr">
        <is>
          <t>Bilgi al</t>
        </is>
      </c>
      <c r="E284" s="29" t="inlineStr">
        <is>
          <t>https://visitasevilla.es/cartuja-center/</t>
        </is>
      </c>
      <c r="F284" s="49" t="n">
        <v>46320</v>
      </c>
      <c r="G284" s="51" t="n">
        <v>1</v>
      </c>
    </row>
    <row r="285" ht="54" customHeight="1">
      <c r="A285" s="29" t="inlineStr">
        <is>
          <t>sevilla:action:teatro-central-sevilla-1</t>
        </is>
      </c>
      <c r="B285" s="29" t="inlineStr">
        <is>
          <t>sevilla</t>
        </is>
      </c>
      <c r="C285" s="29" t="inlineStr">
        <is>
          <t>sevilla:teatro-central-sevilla</t>
        </is>
      </c>
      <c r="D285" s="29" t="inlineStr">
        <is>
          <t>Bilet al</t>
        </is>
      </c>
      <c r="E285" s="29" t="inlineStr">
        <is>
          <t>https://www.juntadeandalucia.es/cultura/teatros/teatro-central</t>
        </is>
      </c>
      <c r="F285" s="49" t="n">
        <v>46320</v>
      </c>
      <c r="G285" s="51" t="n">
        <v>1</v>
      </c>
    </row>
    <row r="286" ht="54" customHeight="1">
      <c r="A286" s="29" t="inlineStr">
        <is>
          <t>sevilla:action:auditorio-cartuja-sevilla-1</t>
        </is>
      </c>
      <c r="B286" s="29" t="inlineStr">
        <is>
          <t>sevilla</t>
        </is>
      </c>
      <c r="C286" s="29" t="inlineStr">
        <is>
          <t>sevilla:auditorio-cartuja-sevilla</t>
        </is>
      </c>
      <c r="D286" s="29" t="inlineStr">
        <is>
          <t>Bilgi al</t>
        </is>
      </c>
      <c r="E286" s="29" t="inlineStr">
        <is>
          <t>https://www.auditorionissancartuja.com/contacto</t>
        </is>
      </c>
      <c r="F286" s="49" t="n">
        <v>46320</v>
      </c>
      <c r="G286" s="51" t="n">
        <v>1</v>
      </c>
    </row>
    <row r="287" ht="54" customHeight="1">
      <c r="A287" s="29" t="inlineStr">
        <is>
          <t>sevilla:action:mercado-de-triana-1</t>
        </is>
      </c>
      <c r="B287" s="29" t="inlineStr">
        <is>
          <t>sevilla</t>
        </is>
      </c>
      <c r="C287" s="29" t="inlineStr">
        <is>
          <t>sevilla:mercado-de-triana</t>
        </is>
      </c>
      <c r="D287" s="29" t="inlineStr">
        <is>
          <t>Ziyaret bilgisi</t>
        </is>
      </c>
      <c r="E287" s="29" t="inlineStr">
        <is>
          <t>https://visitasevilla.es/mercado-de-triana/</t>
        </is>
      </c>
      <c r="F287" s="49" t="n">
        <v>46320</v>
      </c>
      <c r="G287" s="51" t="n">
        <v>1</v>
      </c>
    </row>
    <row r="288" ht="54" customHeight="1">
      <c r="A288" s="29" t="inlineStr">
        <is>
          <t>sevilla:action:mercado-de-la-calle-feria-1</t>
        </is>
      </c>
      <c r="B288" s="29" t="inlineStr">
        <is>
          <t>sevilla</t>
        </is>
      </c>
      <c r="C288" s="29" t="inlineStr">
        <is>
          <t>sevilla:mercado-de-la-calle-feria</t>
        </is>
      </c>
      <c r="D288" s="29" t="inlineStr">
        <is>
          <t>Ziyaret bilgisi</t>
        </is>
      </c>
      <c r="E288" s="29" t="inlineStr">
        <is>
          <t>https://visitasevilla.es/mercado-de-la-calle-feria/</t>
        </is>
      </c>
      <c r="F288" s="49" t="n">
        <v>46320</v>
      </c>
      <c r="G288" s="51" t="n">
        <v>1</v>
      </c>
    </row>
    <row r="289" ht="54" customHeight="1">
      <c r="A289" s="29" t="inlineStr">
        <is>
          <t>sevilla:action:el-rinconcillo-1</t>
        </is>
      </c>
      <c r="B289" s="29" t="inlineStr">
        <is>
          <t>sevilla</t>
        </is>
      </c>
      <c r="C289" s="29" t="inlineStr">
        <is>
          <t>sevilla:el-rinconcillo</t>
        </is>
      </c>
      <c r="D289" s="29" t="inlineStr">
        <is>
          <t>Rezervasyon yap</t>
        </is>
      </c>
      <c r="E289" s="29" t="inlineStr">
        <is>
          <t>https://www.elrinconcillo.es/contacto</t>
        </is>
      </c>
      <c r="F289" s="49" t="n">
        <v>46320</v>
      </c>
      <c r="G289" s="51" t="n">
        <v>1</v>
      </c>
    </row>
    <row r="290" ht="54" customHeight="1">
      <c r="A290" s="29" t="inlineStr">
        <is>
          <t>sevilla:action:bodega-gongora-1</t>
        </is>
      </c>
      <c r="B290" s="29" t="inlineStr">
        <is>
          <t>sevilla</t>
        </is>
      </c>
      <c r="C290" s="29" t="inlineStr">
        <is>
          <t>sevilla:bodega-gongora</t>
        </is>
      </c>
      <c r="D290" s="29" t="inlineStr">
        <is>
          <t>Rezervasyon yap</t>
        </is>
      </c>
      <c r="E290" s="29" t="inlineStr">
        <is>
          <t>https://www.bodegagongora.com/localizacion/</t>
        </is>
      </c>
      <c r="F290" s="49" t="n">
        <v>46320</v>
      </c>
      <c r="G290" s="51" t="n">
        <v>1</v>
      </c>
    </row>
    <row r="291" ht="54" customHeight="1">
      <c r="A291" s="29" t="inlineStr">
        <is>
          <t>sevilla:action:museo-maritimo-torre-del-oro-2</t>
        </is>
      </c>
      <c r="B291" s="29" t="inlineStr">
        <is>
          <t>sevilla</t>
        </is>
      </c>
      <c r="C291" s="29" t="inlineStr">
        <is>
          <t>sevilla:museo-maritimo-torre-del-oro</t>
        </is>
      </c>
      <c r="D291" s="29" t="inlineStr">
        <is>
          <t>Bilgi al</t>
        </is>
      </c>
      <c r="E291" s="29" t="inlineStr">
        <is>
          <t>https://visitasevilla.es/torre-del-oro/</t>
        </is>
      </c>
      <c r="F291" s="49" t="n">
        <v>46320</v>
      </c>
      <c r="G291" s="51" t="n">
        <v>2</v>
      </c>
    </row>
    <row r="292" ht="54" customHeight="1">
      <c r="A292" s="29" t="inlineStr">
        <is>
          <t>sevilla:action:catedral-de-sevilla-giralda-1</t>
        </is>
      </c>
      <c r="B292" s="29" t="inlineStr">
        <is>
          <t>sevilla</t>
        </is>
      </c>
      <c r="C292" s="29" t="inlineStr">
        <is>
          <t>sevilla:catedral-de-sevilla-giralda</t>
        </is>
      </c>
      <c r="D292" s="29" t="inlineStr">
        <is>
          <t>Tarifeyi gör</t>
        </is>
      </c>
      <c r="E292" s="29" t="inlineStr">
        <is>
          <t>https://www.catedraldesevilla.es/visita-cultural/horarios-y-tarifas/</t>
        </is>
      </c>
      <c r="F292" s="49" t="n">
        <v>46320</v>
      </c>
      <c r="G292" s="51" t="n">
        <v>1</v>
      </c>
    </row>
    <row r="293" ht="54" customHeight="1">
      <c r="A293" s="29" t="inlineStr">
        <is>
          <t>sevilla:action:catedral-de-sevilla-giralda-2</t>
        </is>
      </c>
      <c r="B293" s="29" t="inlineStr">
        <is>
          <t>sevilla</t>
        </is>
      </c>
      <c r="C293" s="29" t="inlineStr">
        <is>
          <t>sevilla:catedral-de-sevilla-giralda</t>
        </is>
      </c>
      <c r="D293" s="29" t="inlineStr">
        <is>
          <t>Ziyaret bilgisi</t>
        </is>
      </c>
      <c r="E293" s="29" t="inlineStr">
        <is>
          <t>https://visitasevilla.es/catedral-de-sevilla-y-giralda/</t>
        </is>
      </c>
      <c r="F293" s="49" t="n">
        <v>46320</v>
      </c>
      <c r="G293" s="51" t="n">
        <v>2</v>
      </c>
    </row>
    <row r="294" ht="54" customHeight="1">
      <c r="A294" s="29" t="inlineStr">
        <is>
          <t>sevilla:action:casa-de-pilatos-1</t>
        </is>
      </c>
      <c r="B294" s="29" t="inlineStr">
        <is>
          <t>sevilla</t>
        </is>
      </c>
      <c r="C294" s="29" t="inlineStr">
        <is>
          <t>sevilla:casa-de-pilatos</t>
        </is>
      </c>
      <c r="D294" s="29" t="inlineStr">
        <is>
          <t>Ziyaret bilgisi</t>
        </is>
      </c>
      <c r="E294" s="29" t="inlineStr">
        <is>
          <t>https://www.visitasevilla.es/es/casa-de-pilatos</t>
        </is>
      </c>
      <c r="F294" s="49" t="n">
        <v>46320</v>
      </c>
      <c r="G294" s="51" t="n">
        <v>1</v>
      </c>
    </row>
    <row r="295" ht="54" customHeight="1">
      <c r="A295" s="29" t="inlineStr">
        <is>
          <t>sevilla:action:basilica-de-la-macarena-1</t>
        </is>
      </c>
      <c r="B295" s="29" t="inlineStr">
        <is>
          <t>sevilla</t>
        </is>
      </c>
      <c r="C295" s="29" t="inlineStr">
        <is>
          <t>sevilla:basilica-de-la-macarena</t>
        </is>
      </c>
      <c r="D295" s="29" t="inlineStr">
        <is>
          <t>Ziyaret bilgisi</t>
        </is>
      </c>
      <c r="E295" s="29" t="inlineStr">
        <is>
          <t>https://visitasevilla.es/basilica-y-murallas-de-la-macarena/</t>
        </is>
      </c>
      <c r="F295" s="49" t="n">
        <v>46320</v>
      </c>
      <c r="G295" s="51" t="n">
        <v>1</v>
      </c>
    </row>
    <row r="296" ht="54" customHeight="1">
      <c r="A296" s="29" t="inlineStr">
        <is>
          <t>sevilla:action:casa-de-la-memoria-al-andalus-1</t>
        </is>
      </c>
      <c r="B296" s="29" t="inlineStr">
        <is>
          <t>sevilla</t>
        </is>
      </c>
      <c r="C296" s="29" t="inlineStr">
        <is>
          <t>sevilla:casa-de-la-memoria-al-andalus</t>
        </is>
      </c>
      <c r="D296" s="29" t="inlineStr">
        <is>
          <t>Bilet al</t>
        </is>
      </c>
      <c r="E296" s="29" t="inlineStr">
        <is>
          <t>https://casadelamemoria.es/informacion/</t>
        </is>
      </c>
      <c r="F296" s="49" t="n">
        <v>46320</v>
      </c>
      <c r="G296" s="51" t="n">
        <v>1</v>
      </c>
    </row>
    <row r="297" ht="54" customHeight="1">
      <c r="A297" s="29" t="inlineStr">
        <is>
          <t>sevilla:action:musan-museo-del-santo-angel-1</t>
        </is>
      </c>
      <c r="B297" s="29" t="inlineStr">
        <is>
          <t>sevilla</t>
        </is>
      </c>
      <c r="C297" s="29" t="inlineStr">
        <is>
          <t>sevilla:musan-museo-del-santo-angel</t>
        </is>
      </c>
      <c r="D297" s="29" t="inlineStr">
        <is>
          <t>Bilgi al</t>
        </is>
      </c>
      <c r="E297" s="29" t="inlineStr">
        <is>
          <t>https://www.conventosantoangel.es/contacto/</t>
        </is>
      </c>
      <c r="F297" s="49" t="n">
        <v>46320</v>
      </c>
      <c r="G297" s="51" t="n">
        <v>1</v>
      </c>
    </row>
    <row r="298" ht="54" customHeight="1">
      <c r="A298" s="29" t="inlineStr">
        <is>
          <t>sevilla:action:galeria-rafael-ortiz-1</t>
        </is>
      </c>
      <c r="B298" s="29" t="inlineStr">
        <is>
          <t>sevilla</t>
        </is>
      </c>
      <c r="C298" s="29" t="inlineStr">
        <is>
          <t>sevilla:galeria-rafael-ortiz</t>
        </is>
      </c>
      <c r="D298" s="29" t="inlineStr">
        <is>
          <t>Bilgi al</t>
        </is>
      </c>
      <c r="E298" s="29" t="inlineStr">
        <is>
          <t>https://www.galeriarafaelortiz.com/contactar/</t>
        </is>
      </c>
      <c r="F298" s="49" t="n">
        <v>46320</v>
      </c>
      <c r="G298" s="51" t="n">
        <v>1</v>
      </c>
    </row>
    <row r="299" ht="54" customHeight="1">
      <c r="A299" s="29" t="inlineStr">
        <is>
          <t>sevilla:action:isla-magica-1</t>
        </is>
      </c>
      <c r="B299" s="29" t="inlineStr">
        <is>
          <t>sevilla</t>
        </is>
      </c>
      <c r="C299" s="29" t="inlineStr">
        <is>
          <t>sevilla:isla-magica</t>
        </is>
      </c>
      <c r="D299" s="29" t="inlineStr">
        <is>
          <t>Ulaşımı planla</t>
        </is>
      </c>
      <c r="E299" s="29" t="inlineStr">
        <is>
          <t>https://www.islamagica.es/como-llegar</t>
        </is>
      </c>
      <c r="F299" s="49" t="n">
        <v>46320</v>
      </c>
      <c r="G299" s="51" t="n">
        <v>1</v>
      </c>
    </row>
    <row r="300" ht="54" customHeight="1">
      <c r="A300" s="29" t="inlineStr">
        <is>
          <t>sevilla:action:casa-de-la-ciencia-1</t>
        </is>
      </c>
      <c r="B300" s="29" t="inlineStr">
        <is>
          <t>sevilla</t>
        </is>
      </c>
      <c r="C300" s="29" t="inlineStr">
        <is>
          <t>sevilla:casa-de-la-ciencia</t>
        </is>
      </c>
      <c r="D300" s="29" t="inlineStr">
        <is>
          <t>Ziyaret bilgisi</t>
        </is>
      </c>
      <c r="E300" s="29" t="inlineStr">
        <is>
          <t>https://visitasevilla.es/museo-casa-de-la-ciencia-csic/</t>
        </is>
      </c>
      <c r="F300" s="49" t="n">
        <v>46320</v>
      </c>
      <c r="G300" s="51" t="n">
        <v>1</v>
      </c>
    </row>
    <row r="301" ht="54" customHeight="1">
      <c r="A301" s="29" t="inlineStr">
        <is>
          <t>sevilla:action:estadio-benito-villamarin-tur-1</t>
        </is>
      </c>
      <c r="B301" s="29" t="inlineStr">
        <is>
          <t>sevilla</t>
        </is>
      </c>
      <c r="C301" s="29" t="inlineStr">
        <is>
          <t>sevilla:estadio-benito-villamarin-tur</t>
        </is>
      </c>
      <c r="D301" s="29" t="inlineStr">
        <is>
          <t>Bilet al</t>
        </is>
      </c>
      <c r="E301" s="29" t="inlineStr">
        <is>
          <t>https://visitasevilla.es/betis-tour/</t>
        </is>
      </c>
      <c r="F301" s="49" t="n">
        <v>46320</v>
      </c>
      <c r="G301" s="51" t="n">
        <v>1</v>
      </c>
    </row>
    <row r="302" ht="54" customHeight="1">
      <c r="A302" s="29" t="inlineStr">
        <is>
          <t>sevilla:action:tablao-los-gallos-1</t>
        </is>
      </c>
      <c r="B302" s="29" t="inlineStr">
        <is>
          <t>sevilla</t>
        </is>
      </c>
      <c r="C302" s="29" t="inlineStr">
        <is>
          <t>sevilla:tablao-los-gallos</t>
        </is>
      </c>
      <c r="D302" s="29" t="inlineStr">
        <is>
          <t>Rezervasyon yap</t>
        </is>
      </c>
      <c r="E302" s="29" t="inlineStr">
        <is>
          <t>https://www.tablaolosgallos.com/maria-moreno-y-patricia-guerrero-celebran-con-nosotros-los-60-anos-de-los-gallos-en-sevilla/</t>
        </is>
      </c>
      <c r="F302" s="49" t="n">
        <v>46320</v>
      </c>
      <c r="G302" s="51" t="n">
        <v>1</v>
      </c>
    </row>
    <row r="303" ht="54" customHeight="1">
      <c r="A303" s="29" t="inlineStr">
        <is>
          <t>sevilla:action:tablao-el-arenal-1</t>
        </is>
      </c>
      <c r="B303" s="29" t="inlineStr">
        <is>
          <t>sevilla</t>
        </is>
      </c>
      <c r="C303" s="29" t="inlineStr">
        <is>
          <t>sevilla:tablao-el-arenal</t>
        </is>
      </c>
      <c r="D303" s="29" t="inlineStr">
        <is>
          <t>Rezervasyon yap</t>
        </is>
      </c>
      <c r="E303" s="29" t="inlineStr">
        <is>
          <t>https://tablaoelarenal.com/contactar/</t>
        </is>
      </c>
      <c r="F303" s="49" t="n">
        <v>46320</v>
      </c>
      <c r="G303" s="51" t="n">
        <v>1</v>
      </c>
    </row>
    <row r="304" ht="54" customHeight="1">
      <c r="A304" s="29" t="inlineStr">
        <is>
          <t>sevilla:action:fundacion-cajasol-sevilla-1</t>
        </is>
      </c>
      <c r="B304" s="29" t="inlineStr">
        <is>
          <t>sevilla</t>
        </is>
      </c>
      <c r="C304" s="29" t="inlineStr">
        <is>
          <t>sevilla:fundacion-cajasol-sevilla</t>
        </is>
      </c>
      <c r="D304" s="29" t="inlineStr">
        <is>
          <t>Bilgi al</t>
        </is>
      </c>
      <c r="E304" s="29" t="inlineStr">
        <is>
          <t>https://fundacioncajasol.com/salas/</t>
        </is>
      </c>
      <c r="F304" s="49" t="n">
        <v>46320</v>
      </c>
      <c r="G304" s="51" t="n">
        <v>1</v>
      </c>
    </row>
    <row r="305" ht="54" customHeight="1">
      <c r="A305" s="29" t="inlineStr">
        <is>
          <t>sevilla:action:confiteria-la-campana-1</t>
        </is>
      </c>
      <c r="B305" s="29" t="inlineStr">
        <is>
          <t>sevilla</t>
        </is>
      </c>
      <c r="C305" s="29" t="inlineStr">
        <is>
          <t>sevilla:confiteria-la-campana</t>
        </is>
      </c>
      <c r="D305" s="29" t="inlineStr">
        <is>
          <t>Bilgi al</t>
        </is>
      </c>
      <c r="E305" s="29" t="inlineStr">
        <is>
          <t>https://www.confiterialacampana.com/contacto/</t>
        </is>
      </c>
      <c r="F305" s="49" t="n">
        <v>46320</v>
      </c>
      <c r="G305" s="51" t="n">
        <v>1</v>
      </c>
    </row>
    <row r="306" ht="54" customHeight="1">
      <c r="A306" s="29" t="inlineStr">
        <is>
          <t>sevilla:action:casa-roman-sevilla-1</t>
        </is>
      </c>
      <c r="B306" s="29" t="inlineStr">
        <is>
          <t>sevilla</t>
        </is>
      </c>
      <c r="C306" s="29" t="inlineStr">
        <is>
          <t>sevilla:casa-roman-sevilla</t>
        </is>
      </c>
      <c r="D306" s="29" t="inlineStr">
        <is>
          <t>Bilgi al</t>
        </is>
      </c>
      <c r="E306" s="29" t="inlineStr">
        <is>
          <t>https://www.casaromansevilla.com/contacto/</t>
        </is>
      </c>
      <c r="F306" s="49" t="n">
        <v>46320</v>
      </c>
      <c r="G306" s="51" t="n">
        <v>1</v>
      </c>
    </row>
    <row r="307" ht="54" customHeight="1">
      <c r="A307" s="29" t="inlineStr">
        <is>
          <t>sevilla:action:huevo-de-colon-1</t>
        </is>
      </c>
      <c r="B307" s="29" t="inlineStr">
        <is>
          <t>sevilla</t>
        </is>
      </c>
      <c r="C307" s="29" t="inlineStr">
        <is>
          <t>sevilla:huevo-de-colon</t>
        </is>
      </c>
      <c r="D307" s="29" t="inlineStr">
        <is>
          <t>Ziyaret bilgisi</t>
        </is>
      </c>
      <c r="E307" s="29" t="inlineStr">
        <is>
          <t>https://visitasevilla.es/huevo-de-colon/</t>
        </is>
      </c>
      <c r="F307" s="49" t="n">
        <v>46320</v>
      </c>
      <c r="G307" s="51" t="n">
        <v>1</v>
      </c>
    </row>
    <row r="308" ht="54" customHeight="1">
      <c r="A308" s="29" t="inlineStr">
        <is>
          <t>sevilla:action:real-fabrica-de-artilleria-1</t>
        </is>
      </c>
      <c r="B308" s="29" t="inlineStr">
        <is>
          <t>sevilla</t>
        </is>
      </c>
      <c r="C308" s="29" t="inlineStr">
        <is>
          <t>sevilla:real-fabrica-de-artilleria</t>
        </is>
      </c>
      <c r="D308" s="29" t="inlineStr">
        <is>
          <t>Ziyaret bilgisi</t>
        </is>
      </c>
      <c r="E308" s="29" t="inlineStr">
        <is>
          <t>https://visitasevilla.es/real-fabrica-de-artilleria/</t>
        </is>
      </c>
      <c r="F308" s="49" t="n">
        <v>46320</v>
      </c>
      <c r="G308" s="51" t="n">
        <v>1</v>
      </c>
    </row>
    <row r="309" ht="54" customHeight="1">
      <c r="A309" s="29" t="inlineStr">
        <is>
          <t>sevilla:action:iglesia-de-san-luis-de-los-franceses-1</t>
        </is>
      </c>
      <c r="B309" s="29" t="inlineStr">
        <is>
          <t>sevilla</t>
        </is>
      </c>
      <c r="C309" s="29" t="inlineStr">
        <is>
          <t>sevilla:iglesia-de-san-luis-de-los-franceses</t>
        </is>
      </c>
      <c r="D309" s="29" t="inlineStr">
        <is>
          <t>Ziyaret bilgisi</t>
        </is>
      </c>
      <c r="E309" s="29" t="inlineStr">
        <is>
          <t>https://visitasevilla.es/iglesia-de-san-luis-de-los-franceses/</t>
        </is>
      </c>
      <c r="F309" s="49" t="n">
        <v>46320</v>
      </c>
      <c r="G309" s="51" t="n">
        <v>1</v>
      </c>
    </row>
    <row r="310" ht="54" customHeight="1">
      <c r="A310" s="29" t="inlineStr">
        <is>
          <t>sevilla:action:ceramica-santa-ana-1</t>
        </is>
      </c>
      <c r="B310" s="29" t="inlineStr">
        <is>
          <t>sevilla</t>
        </is>
      </c>
      <c r="C310" s="29" t="inlineStr">
        <is>
          <t>sevilla:ceramica-santa-ana</t>
        </is>
      </c>
      <c r="D310" s="29" t="inlineStr">
        <is>
          <t>Bilgi al</t>
        </is>
      </c>
      <c r="E310" s="29" t="inlineStr">
        <is>
          <t>https://ceramicasantaana.com/about.html</t>
        </is>
      </c>
      <c r="F310" s="49" t="n">
        <v>46320</v>
      </c>
      <c r="G310" s="51" t="n">
        <v>1</v>
      </c>
    </row>
    <row r="311" ht="54" customHeight="1">
      <c r="A311" s="29" t="inlineStr">
        <is>
          <t>sevilla:action:teatro-flamenco-sevilla-1</t>
        </is>
      </c>
      <c r="B311" s="29" t="inlineStr">
        <is>
          <t>sevilla</t>
        </is>
      </c>
      <c r="C311" s="29" t="inlineStr">
        <is>
          <t>sevilla:teatro-flamenco-sevilla</t>
        </is>
      </c>
      <c r="D311" s="29" t="inlineStr">
        <is>
          <t>Bilet al</t>
        </is>
      </c>
      <c r="E311" s="29" t="inlineStr">
        <is>
          <t>https://teatroflamencosevilla.com/ciclo/domingos-de-vermut-y-potaje</t>
        </is>
      </c>
      <c r="F311" s="49" t="n">
        <v>46320</v>
      </c>
      <c r="G311" s="51" t="n">
        <v>1</v>
      </c>
    </row>
    <row r="312" ht="54" customHeight="1">
      <c r="A312" s="29" t="inlineStr">
        <is>
          <t>sevilla:action:casa-de-la-guitarra-1</t>
        </is>
      </c>
      <c r="B312" s="29" t="inlineStr">
        <is>
          <t>sevilla</t>
        </is>
      </c>
      <c r="C312" s="29" t="inlineStr">
        <is>
          <t>sevilla:casa-de-la-guitarra</t>
        </is>
      </c>
      <c r="D312" s="29" t="inlineStr">
        <is>
          <t>Bilet al</t>
        </is>
      </c>
      <c r="E312" s="29" t="inlineStr">
        <is>
          <t>https://casadelaguitarra.es/</t>
        </is>
      </c>
      <c r="F312" s="49" t="n">
        <v>46320</v>
      </c>
      <c r="G312" s="51" t="n">
        <v>1</v>
      </c>
    </row>
    <row r="313" ht="54" customHeight="1">
      <c r="A313" s="29" t="inlineStr">
        <is>
          <t>sevilla:action:mercado-lonja-del-barranco-1</t>
        </is>
      </c>
      <c r="B313" s="29" t="inlineStr">
        <is>
          <t>sevilla</t>
        </is>
      </c>
      <c r="C313" s="29" t="inlineStr">
        <is>
          <t>sevilla:mercado-lonja-del-barranco</t>
        </is>
      </c>
      <c r="D313" s="29" t="inlineStr">
        <is>
          <t>Bilgi al</t>
        </is>
      </c>
      <c r="E313" s="29" t="inlineStr">
        <is>
          <t>https://www.spain.info/es/lugares-interes/mercado-barranco/</t>
        </is>
      </c>
      <c r="F313" s="49" t="n">
        <v>46320</v>
      </c>
      <c r="G313" s="51" t="n">
        <v>1</v>
      </c>
    </row>
    <row r="314" ht="54" customHeight="1">
      <c r="A314" s="29" t="inlineStr">
        <is>
          <t>sevilla:action:mercado-de-la-encarnacion-1</t>
        </is>
      </c>
      <c r="B314" s="29" t="inlineStr">
        <is>
          <t>sevilla</t>
        </is>
      </c>
      <c r="C314" s="29" t="inlineStr">
        <is>
          <t>sevilla:mercado-de-la-encarnacion</t>
        </is>
      </c>
      <c r="D314" s="29" t="inlineStr">
        <is>
          <t>Ziyaret bilgisi</t>
        </is>
      </c>
      <c r="E314" s="29" t="inlineStr">
        <is>
          <t>https://visitasevilla.es/setas-y-mercado-de-la-encarnacion/</t>
        </is>
      </c>
      <c r="F314" s="49" t="n">
        <v>46320</v>
      </c>
      <c r="G314" s="51" t="n">
        <v>1</v>
      </c>
    </row>
    <row r="315" ht="54" customHeight="1">
      <c r="A315" s="29" t="inlineStr">
        <is>
          <t>sevilla:action:convento-de-santa-paula-1</t>
        </is>
      </c>
      <c r="B315" s="29" t="inlineStr">
        <is>
          <t>sevilla</t>
        </is>
      </c>
      <c r="C315" s="29" t="inlineStr">
        <is>
          <t>sevilla:convento-de-santa-paula</t>
        </is>
      </c>
      <c r="D315" s="29" t="inlineStr">
        <is>
          <t>Ziyaret bilgisi</t>
        </is>
      </c>
      <c r="E315" s="29" t="inlineStr">
        <is>
          <t>https://visitasevilla.es/convento-de-santa-paula/</t>
        </is>
      </c>
      <c r="F315" s="49" t="n">
        <v>46320</v>
      </c>
      <c r="G315" s="51" t="n">
        <v>1</v>
      </c>
    </row>
    <row r="316" ht="54" customHeight="1">
      <c r="A316" s="29" t="inlineStr">
        <is>
          <t>sevilla:action:ciudad-de-los-ninos-prado-1</t>
        </is>
      </c>
      <c r="B316" s="29" t="inlineStr">
        <is>
          <t>sevilla</t>
        </is>
      </c>
      <c r="C316" s="29" t="inlineStr">
        <is>
          <t>sevilla:ciudad-de-los-ninos-prado</t>
        </is>
      </c>
      <c r="D316" s="29" t="inlineStr">
        <is>
          <t>Ziyaret bilgisi</t>
        </is>
      </c>
      <c r="E316" s="29" t="inlineStr">
        <is>
          <t>https://www.juntadeandalucia.es/cultura/agendaculturaldeandalucia/espacios/la-ciudad-de-los-ninos-de-sevilla</t>
        </is>
      </c>
      <c r="F316" s="49" t="n">
        <v>46320</v>
      </c>
      <c r="G316" s="51" t="n">
        <v>1</v>
      </c>
    </row>
    <row r="317" ht="54" customHeight="1">
      <c r="A317" s="29" t="inlineStr">
        <is>
          <t>sevilla:action:indoor-minigolf-sevilla-1</t>
        </is>
      </c>
      <c r="B317" s="29" t="inlineStr">
        <is>
          <t>sevilla</t>
        </is>
      </c>
      <c r="C317" s="29" t="inlineStr">
        <is>
          <t>sevilla:indoor-minigolf-sevilla</t>
        </is>
      </c>
      <c r="D317" s="29" t="inlineStr">
        <is>
          <t>Rezervasyon yap</t>
        </is>
      </c>
      <c r="E317" s="29" t="inlineStr">
        <is>
          <t>https://minigolfsevilla.com/</t>
        </is>
      </c>
      <c r="F317" s="49" t="n">
        <v>46320</v>
      </c>
      <c r="G317" s="51" t="n">
        <v>1</v>
      </c>
    </row>
    <row r="318" ht="54" customHeight="1">
      <c r="A318" s="29" t="inlineStr">
        <is>
          <t>sevilla:action:parque-de-miraflores-1</t>
        </is>
      </c>
      <c r="B318" s="29" t="inlineStr">
        <is>
          <t>sevilla</t>
        </is>
      </c>
      <c r="C318" s="29" t="inlineStr">
        <is>
          <t>sevilla:parque-de-miraflores</t>
        </is>
      </c>
      <c r="D318" s="29" t="inlineStr">
        <is>
          <t>Ziyaret bilgisi</t>
        </is>
      </c>
      <c r="E318" s="29" t="inlineStr">
        <is>
          <t>https://www.juntadeandalucia.es/cultura/agendaculturaldeandalucia/espacios/parque-miraflores</t>
        </is>
      </c>
      <c r="F318" s="49" t="n">
        <v>46320</v>
      </c>
      <c r="G318" s="51" t="n">
        <v>1</v>
      </c>
    </row>
    <row r="319" ht="54" customHeight="1">
      <c r="A319" s="29" t="inlineStr">
        <is>
          <t>sevilla:action:parque-de-san-jeronimo-1</t>
        </is>
      </c>
      <c r="B319" s="29" t="inlineStr">
        <is>
          <t>sevilla</t>
        </is>
      </c>
      <c r="C319" s="29" t="inlineStr">
        <is>
          <t>sevilla:parque-de-san-jeronimo</t>
        </is>
      </c>
      <c r="D319" s="29" t="inlineStr">
        <is>
          <t>Ziyaret bilgisi</t>
        </is>
      </c>
      <c r="E319" s="29" t="inlineStr">
        <is>
          <t>https://www.juntadeandalucia.es/cultura/agendaculturaldeandalucia/espacios/parque-de-san-jeronimo</t>
        </is>
      </c>
      <c r="F319" s="49" t="n">
        <v>46320</v>
      </c>
      <c r="G319" s="51" t="n">
        <v>1</v>
      </c>
    </row>
    <row r="320" ht="54" customHeight="1">
      <c r="A320" s="29" t="inlineStr">
        <is>
          <t>sevilla:action:jardines-torre-de-los-perdigones-1</t>
        </is>
      </c>
      <c r="B320" s="29" t="inlineStr">
        <is>
          <t>sevilla</t>
        </is>
      </c>
      <c r="C320" s="29" t="inlineStr">
        <is>
          <t>sevilla:jardines-torre-de-los-perdigones</t>
        </is>
      </c>
      <c r="D320" s="29" t="inlineStr">
        <is>
          <t>Ziyaret bilgisi</t>
        </is>
      </c>
      <c r="E320" s="29" t="inlineStr">
        <is>
          <t>https://www.juntadeandalucia.es/cultura/agendaculturaldeandalucia/espacios/torre-de-los-perdigones</t>
        </is>
      </c>
      <c r="F320" s="49" t="n">
        <v>46320</v>
      </c>
      <c r="G320" s="51" t="n">
        <v>1</v>
      </c>
    </row>
    <row r="321" ht="54" customHeight="1">
      <c r="A321" s="29" t="inlineStr">
        <is>
          <t>sevilla:action:parque-de-los-principes-1</t>
        </is>
      </c>
      <c r="B321" s="29" t="inlineStr">
        <is>
          <t>sevilla</t>
        </is>
      </c>
      <c r="C321" s="29" t="inlineStr">
        <is>
          <t>sevilla:parque-de-los-principes</t>
        </is>
      </c>
      <c r="D321" s="29" t="inlineStr">
        <is>
          <t>Ziyaret bilgisi</t>
        </is>
      </c>
      <c r="E321" s="29" t="inlineStr">
        <is>
          <t>https://www.juntadeandalucia.es/cultura/agendaculturaldeandalucia/espacios/parque-de-los-principes</t>
        </is>
      </c>
      <c r="F321" s="49" t="n">
        <v>46320</v>
      </c>
      <c r="G321" s="51" t="n">
        <v>1</v>
      </c>
    </row>
    <row r="322" ht="54" customHeight="1">
      <c r="A322" s="29" t="inlineStr">
        <is>
          <t>sevilla:action:iglesia-de-santa-catalina-1</t>
        </is>
      </c>
      <c r="B322" s="29" t="inlineStr">
        <is>
          <t>sevilla</t>
        </is>
      </c>
      <c r="C322" s="29" t="inlineStr">
        <is>
          <t>sevilla:iglesia-de-santa-catalina</t>
        </is>
      </c>
      <c r="D322" s="29" t="inlineStr">
        <is>
          <t>Ziyaret bilgisi</t>
        </is>
      </c>
      <c r="E322" s="29" t="inlineStr">
        <is>
          <t>https://www.juntadeandalucia.es/cultura/agendaculturaldeandalucia/espacios/iglesia-de-santa-catalina</t>
        </is>
      </c>
      <c r="F322" s="49" t="n">
        <v>46320</v>
      </c>
      <c r="G322" s="51" t="n">
        <v>1</v>
      </c>
    </row>
    <row r="323" ht="54" customHeight="1">
      <c r="A323" s="29" t="inlineStr">
        <is>
          <t>sevilla:action:iglesia-de-san-marcos-1</t>
        </is>
      </c>
      <c r="B323" s="29" t="inlineStr">
        <is>
          <t>sevilla</t>
        </is>
      </c>
      <c r="C323" s="29" t="inlineStr">
        <is>
          <t>sevilla:iglesia-de-san-marcos</t>
        </is>
      </c>
      <c r="D323" s="29" t="inlineStr">
        <is>
          <t>Ziyaret bilgisi</t>
        </is>
      </c>
      <c r="E323" s="29" t="inlineStr">
        <is>
          <t>https://visitasevilla.es/iglesia-de-san-marcos/</t>
        </is>
      </c>
      <c r="F323" s="49" t="n">
        <v>46320</v>
      </c>
      <c r="G323" s="51" t="n">
        <v>1</v>
      </c>
    </row>
    <row r="324" ht="54" customHeight="1">
      <c r="A324" s="29" t="inlineStr">
        <is>
          <t>sevilla:action:iglesia-de-san-roman-1</t>
        </is>
      </c>
      <c r="B324" s="29" t="inlineStr">
        <is>
          <t>sevilla</t>
        </is>
      </c>
      <c r="C324" s="29" t="inlineStr">
        <is>
          <t>sevilla:iglesia-de-san-roman</t>
        </is>
      </c>
      <c r="D324" s="29" t="inlineStr">
        <is>
          <t>Ziyaret bilgisi</t>
        </is>
      </c>
      <c r="E324" s="29" t="inlineStr">
        <is>
          <t>https://visitasevilla.es/iglesia-de-san-roman/</t>
        </is>
      </c>
      <c r="F324" s="49" t="n">
        <v>46320</v>
      </c>
      <c r="G324" s="51" t="n">
        <v>1</v>
      </c>
    </row>
    <row r="325" ht="54" customHeight="1">
      <c r="A325" s="29" t="inlineStr">
        <is>
          <t>sevilla:action:iglesia-de-la-magdalena-1</t>
        </is>
      </c>
      <c r="B325" s="29" t="inlineStr">
        <is>
          <t>sevilla</t>
        </is>
      </c>
      <c r="C325" s="29" t="inlineStr">
        <is>
          <t>sevilla:iglesia-de-la-magdalena</t>
        </is>
      </c>
      <c r="D325" s="29" t="inlineStr">
        <is>
          <t>Ziyaret bilgisi</t>
        </is>
      </c>
      <c r="E325" s="29" t="inlineStr">
        <is>
          <t>https://visitasevilla.es/iglesia-magdalena/</t>
        </is>
      </c>
      <c r="F325" s="49" t="n">
        <v>46320</v>
      </c>
      <c r="G325" s="51" t="n">
        <v>1</v>
      </c>
    </row>
    <row r="326" ht="54" customHeight="1">
      <c r="A326" s="29" t="inlineStr">
        <is>
          <t>sevilla:action:rock-and-wall-climbing-1</t>
        </is>
      </c>
      <c r="B326" s="29" t="inlineStr">
        <is>
          <t>sevilla</t>
        </is>
      </c>
      <c r="C326" s="29" t="inlineStr">
        <is>
          <t>sevilla:rock-and-wall-climbing</t>
        </is>
      </c>
      <c r="D326" s="29" t="inlineStr">
        <is>
          <t>Rezervasyon yap</t>
        </is>
      </c>
      <c r="E326" s="29" t="inlineStr">
        <is>
          <t>https://www.rockandwallclimbing.com/tarifas-y-horarios/</t>
        </is>
      </c>
      <c r="F326" s="49" t="n">
        <v>46320</v>
      </c>
      <c r="G326" s="51" t="n">
        <v>1</v>
      </c>
    </row>
    <row r="327" ht="54" customHeight="1">
      <c r="A327" s="29" t="inlineStr">
        <is>
          <t>sevilla:action:espacio-primera-vuelta-al-mundo-nao-victoria-1</t>
        </is>
      </c>
      <c r="B327" s="29" t="inlineStr">
        <is>
          <t>sevilla</t>
        </is>
      </c>
      <c r="C327" s="29" t="inlineStr">
        <is>
          <t>sevilla:espacio-primera-vuelta-al-mundo-nao-victoria</t>
        </is>
      </c>
      <c r="D327" s="29" t="inlineStr">
        <is>
          <t>Ziyaret bilgisi</t>
        </is>
      </c>
      <c r="E327" s="29" t="inlineStr">
        <is>
          <t>https://visitasevilla.es/espacio-primera-vuelta-al-mundo-nao-victoria-500/</t>
        </is>
      </c>
      <c r="F327" s="49" t="n">
        <v>46320</v>
      </c>
      <c r="G327" s="51" t="n">
        <v>1</v>
      </c>
    </row>
    <row r="328" ht="54" customHeight="1">
      <c r="A328" s="29" t="inlineStr">
        <is>
          <t>sevilla:action:hospital-de-las-cinco-llagas-1</t>
        </is>
      </c>
      <c r="B328" s="29" t="inlineStr">
        <is>
          <t>sevilla</t>
        </is>
      </c>
      <c r="C328" s="29" t="inlineStr">
        <is>
          <t>sevilla:hospital-de-las-cinco-llagas</t>
        </is>
      </c>
      <c r="D328" s="29" t="inlineStr">
        <is>
          <t>Rezervasyon yap</t>
        </is>
      </c>
      <c r="E328" s="29" t="inlineStr">
        <is>
          <t>https://www.parlamentodeandalucia.es/web/guest/solicitud-visitas</t>
        </is>
      </c>
      <c r="F328" s="49" t="n">
        <v>46320</v>
      </c>
      <c r="G328" s="51" t="n">
        <v>1</v>
      </c>
    </row>
    <row r="329" ht="54" customHeight="1">
      <c r="A329" s="29" t="inlineStr">
        <is>
          <t>sevilla:action:hospital-de-las-cinco-llagas-2</t>
        </is>
      </c>
      <c r="B329" s="29" t="inlineStr">
        <is>
          <t>sevilla</t>
        </is>
      </c>
      <c r="C329" s="29" t="inlineStr">
        <is>
          <t>sevilla:hospital-de-las-cinco-llagas</t>
        </is>
      </c>
      <c r="D329" s="29" t="inlineStr">
        <is>
          <t>Ziyaret bilgisi</t>
        </is>
      </c>
      <c r="E329" s="29" t="inlineStr">
        <is>
          <t>https://visitasevilla.es/parlamento-de-andalucia/</t>
        </is>
      </c>
      <c r="F329" s="49" t="n">
        <v>46320</v>
      </c>
      <c r="G329" s="51" t="n">
        <v>2</v>
      </c>
    </row>
    <row r="330" ht="54" customHeight="1">
      <c r="A330" s="29" t="inlineStr">
        <is>
          <t>sevilla:action:convento-de-santa-ines-1</t>
        </is>
      </c>
      <c r="B330" s="29" t="inlineStr">
        <is>
          <t>sevilla</t>
        </is>
      </c>
      <c r="C330" s="29" t="inlineStr">
        <is>
          <t>sevilla:convento-de-santa-ines</t>
        </is>
      </c>
      <c r="D330" s="29" t="inlineStr">
        <is>
          <t>Ziyaret bilgisi</t>
        </is>
      </c>
      <c r="E330" s="29" t="inlineStr">
        <is>
          <t>https://visitasevilla.es/convento-de-santa-ines/</t>
        </is>
      </c>
      <c r="F330" s="49" t="n">
        <v>46320</v>
      </c>
      <c r="G330" s="51" t="n">
        <v>1</v>
      </c>
    </row>
    <row r="331" ht="54" customHeight="1">
      <c r="A331" s="29" t="inlineStr">
        <is>
          <t>sevilla:action:convento-de-santa-ines-2</t>
        </is>
      </c>
      <c r="B331" s="29" t="inlineStr">
        <is>
          <t>sevilla</t>
        </is>
      </c>
      <c r="C331" s="29" t="inlineStr">
        <is>
          <t>sevilla:convento-de-santa-ines</t>
        </is>
      </c>
      <c r="D331" s="29" t="inlineStr">
        <is>
          <t>Bilgi al</t>
        </is>
      </c>
      <c r="E331" s="29" t="inlineStr">
        <is>
          <t>https://visitasevilla.es/ruta-conventos-sevilla/</t>
        </is>
      </c>
      <c r="F331" s="49" t="n">
        <v>46320</v>
      </c>
      <c r="G331" s="51" t="n">
        <v>2</v>
      </c>
    </row>
    <row r="332" ht="54" customHeight="1">
      <c r="A332" s="29" t="inlineStr">
        <is>
          <t>sevilla:action:monasterio-de-san-clemente-1</t>
        </is>
      </c>
      <c r="B332" s="29" t="inlineStr">
        <is>
          <t>sevilla</t>
        </is>
      </c>
      <c r="C332" s="29" t="inlineStr">
        <is>
          <t>sevilla:monasterio-de-san-clemente</t>
        </is>
      </c>
      <c r="D332" s="29" t="inlineStr">
        <is>
          <t>Ziyaret bilgisi</t>
        </is>
      </c>
      <c r="E332" s="29" t="inlineStr">
        <is>
          <t>https://visitasevilla.es/monasterio-de-san-clemente/</t>
        </is>
      </c>
      <c r="F332" s="49" t="n">
        <v>46320</v>
      </c>
      <c r="G332" s="51" t="n">
        <v>1</v>
      </c>
    </row>
    <row r="333" ht="54" customHeight="1">
      <c r="A333" s="29" t="inlineStr">
        <is>
          <t>sevilla:action:monasterio-de-san-clemente-2</t>
        </is>
      </c>
      <c r="B333" s="29" t="inlineStr">
        <is>
          <t>sevilla</t>
        </is>
      </c>
      <c r="C333" s="29" t="inlineStr">
        <is>
          <t>sevilla:monasterio-de-san-clemente</t>
        </is>
      </c>
      <c r="D333" s="29" t="inlineStr">
        <is>
          <t>Bilgi al</t>
        </is>
      </c>
      <c r="E333" s="29" t="inlineStr">
        <is>
          <t>https://visitasevilla.es/ruta-conventos-sevilla/</t>
        </is>
      </c>
      <c r="F333" s="49" t="n">
        <v>46320</v>
      </c>
      <c r="G333" s="51" t="n">
        <v>2</v>
      </c>
    </row>
    <row r="334" ht="54" customHeight="1">
      <c r="A334" s="29" t="inlineStr">
        <is>
          <t>sevilla:action:real-fabrica-de-tabacos-rectorado-1</t>
        </is>
      </c>
      <c r="B334" s="29" t="inlineStr">
        <is>
          <t>sevilla</t>
        </is>
      </c>
      <c r="C334" s="29" t="inlineStr">
        <is>
          <t>sevilla:real-fabrica-de-tabacos-rectorado</t>
        </is>
      </c>
      <c r="D334" s="29" t="inlineStr">
        <is>
          <t>Ziyaret bilgisi</t>
        </is>
      </c>
      <c r="E334" s="29" t="inlineStr">
        <is>
          <t>https://visitasevilla.es/el-rectorado/</t>
        </is>
      </c>
      <c r="F334" s="49" t="n">
        <v>46320</v>
      </c>
      <c r="G334" s="51" t="n">
        <v>1</v>
      </c>
    </row>
    <row r="335" ht="54" customHeight="1">
      <c r="A335" s="29" t="inlineStr">
        <is>
          <t>sevilla:action:parroquia-de-san-jacinto-1</t>
        </is>
      </c>
      <c r="B335" s="29" t="inlineStr">
        <is>
          <t>sevilla</t>
        </is>
      </c>
      <c r="C335" s="29" t="inlineStr">
        <is>
          <t>sevilla:parroquia-de-san-jacinto</t>
        </is>
      </c>
      <c r="D335" s="29" t="inlineStr">
        <is>
          <t>Bilet al</t>
        </is>
      </c>
      <c r="E335" s="29" t="inlineStr">
        <is>
          <t>https://visitasevilla.es/evento/luminiscence-iglesia-san-jacinto/</t>
        </is>
      </c>
      <c r="F335" s="49" t="n">
        <v>46320</v>
      </c>
      <c r="G335" s="51" t="n">
        <v>1</v>
      </c>
    </row>
    <row r="336" ht="54" customHeight="1">
      <c r="A336" s="29" t="inlineStr">
        <is>
          <t>sevilla:action:parroquia-de-san-jacinto-2</t>
        </is>
      </c>
      <c r="B336" s="29" t="inlineStr">
        <is>
          <t>sevilla</t>
        </is>
      </c>
      <c r="C336" s="29" t="inlineStr">
        <is>
          <t>sevilla:parroquia-de-san-jacinto</t>
        </is>
      </c>
      <c r="D336" s="29" t="inlineStr">
        <is>
          <t>Ziyaret bilgisi</t>
        </is>
      </c>
      <c r="E336" s="29" t="inlineStr">
        <is>
          <t>https://visitasevilla.es/parroquia-de-san-jacinto/</t>
        </is>
      </c>
      <c r="F336" s="49" t="n">
        <v>46320</v>
      </c>
      <c r="G336" s="51" t="n">
        <v>2</v>
      </c>
    </row>
    <row r="337" ht="54" customHeight="1">
      <c r="A337" s="29" t="inlineStr">
        <is>
          <t>sevilla:action:capilla-del-carmen-triana-1</t>
        </is>
      </c>
      <c r="B337" s="29" t="inlineStr">
        <is>
          <t>sevilla</t>
        </is>
      </c>
      <c r="C337" s="29" t="inlineStr">
        <is>
          <t>sevilla:capilla-del-carmen-triana</t>
        </is>
      </c>
      <c r="D337" s="29" t="inlineStr">
        <is>
          <t>Ziyaret bilgisi</t>
        </is>
      </c>
      <c r="E337" s="29" t="inlineStr">
        <is>
          <t>https://visitasevilla.es/capilla-del-carmen/</t>
        </is>
      </c>
      <c r="F337" s="49" t="n">
        <v>46320</v>
      </c>
      <c r="G337" s="51" t="n">
        <v>1</v>
      </c>
    </row>
    <row r="338" ht="54" customHeight="1">
      <c r="A338" s="29" t="inlineStr">
        <is>
          <t>sevilla:action:capilla-del-carmen-triana-2</t>
        </is>
      </c>
      <c r="B338" s="29" t="inlineStr">
        <is>
          <t>sevilla</t>
        </is>
      </c>
      <c r="C338" s="29" t="inlineStr">
        <is>
          <t>sevilla:capilla-del-carmen-triana</t>
        </is>
      </c>
      <c r="D338" s="29" t="inlineStr">
        <is>
          <t>Bilgi al</t>
        </is>
      </c>
      <c r="E338" s="29" t="inlineStr">
        <is>
          <t>https://visitasevilla.es/sabias-que-la-capilla-del-carmen-se-diseno-como-faro-ceramico-para-los-barcos-nocturnos/</t>
        </is>
      </c>
      <c r="F338" s="49" t="n">
        <v>46320</v>
      </c>
      <c r="G338" s="51" t="n">
        <v>2</v>
      </c>
    </row>
    <row r="339" ht="54" customHeight="1">
      <c r="A339" s="29" t="inlineStr">
        <is>
          <t>sevilla:action:iglesia-de-santa-maria-la-blanca-1</t>
        </is>
      </c>
      <c r="B339" s="29" t="inlineStr">
        <is>
          <t>sevilla</t>
        </is>
      </c>
      <c r="C339" s="29" t="inlineStr">
        <is>
          <t>sevilla:iglesia-de-santa-maria-la-blanca</t>
        </is>
      </c>
      <c r="D339" s="29" t="inlineStr">
        <is>
          <t>Ziyaret bilgisi</t>
        </is>
      </c>
      <c r="E339" s="29" t="inlineStr">
        <is>
          <t>https://visitasevilla.es/santa-maria-la-blanca/</t>
        </is>
      </c>
      <c r="F339" s="49" t="n">
        <v>46320</v>
      </c>
      <c r="G339" s="51" t="n">
        <v>1</v>
      </c>
    </row>
    <row r="340" ht="54" customHeight="1">
      <c r="A340" s="29" t="inlineStr">
        <is>
          <t>sevilla:action:iglesia-de-san-pedro-1</t>
        </is>
      </c>
      <c r="B340" s="29" t="inlineStr">
        <is>
          <t>sevilla</t>
        </is>
      </c>
      <c r="C340" s="29" t="inlineStr">
        <is>
          <t>sevilla:iglesia-de-san-pedro</t>
        </is>
      </c>
      <c r="D340" s="29" t="inlineStr">
        <is>
          <t>Ziyaret bilgisi</t>
        </is>
      </c>
      <c r="E340" s="29" t="inlineStr">
        <is>
          <t>https://visitasevilla.es/iglesia-de-san-pedro/</t>
        </is>
      </c>
      <c r="F340" s="49" t="n">
        <v>46320</v>
      </c>
      <c r="G340" s="51" t="n">
        <v>1</v>
      </c>
    </row>
    <row r="341" ht="54" customHeight="1">
      <c r="A341" s="29" t="inlineStr">
        <is>
          <t>sevilla:action:iglesia-de-san-pedro-2</t>
        </is>
      </c>
      <c r="B341" s="29" t="inlineStr">
        <is>
          <t>sevilla</t>
        </is>
      </c>
      <c r="C341" s="29" t="inlineStr">
        <is>
          <t>sevilla:iglesia-de-san-pedro</t>
        </is>
      </c>
      <c r="D341" s="29" t="inlineStr">
        <is>
          <t>Bilgi al</t>
        </is>
      </c>
      <c r="E341" s="29" t="inlineStr">
        <is>
          <t>https://visitasevilla.es/sabias-que-en-sevilla-hay-un-azulejo-que-predice-bodas/</t>
        </is>
      </c>
      <c r="F341" s="49" t="n">
        <v>46320</v>
      </c>
      <c r="G341" s="51" t="n">
        <v>2</v>
      </c>
    </row>
    <row r="342" ht="54" customHeight="1">
      <c r="A342" s="29" t="inlineStr">
        <is>
          <t>sevilla:action:cine-cervantes-sevilla-1</t>
        </is>
      </c>
      <c r="B342" s="29" t="inlineStr">
        <is>
          <t>sevilla</t>
        </is>
      </c>
      <c r="C342" s="29" t="inlineStr">
        <is>
          <t>sevilla:cine-cervantes-sevilla</t>
        </is>
      </c>
      <c r="D342" s="29" t="inlineStr">
        <is>
          <t>Bilgi al</t>
        </is>
      </c>
      <c r="E342" s="29" t="inlineStr">
        <is>
          <t>https://www.juntadeandalucia.es/cultura/agendaculturaldeandalucia/espacios/cine-cervantes</t>
        </is>
      </c>
      <c r="F342" s="49" t="n">
        <v>46320</v>
      </c>
      <c r="G342" s="51" t="n">
        <v>1</v>
      </c>
    </row>
    <row r="343" ht="54" customHeight="1">
      <c r="A343" s="29" t="inlineStr">
        <is>
          <t>sevilla:action:teatro-la-fundicion-1</t>
        </is>
      </c>
      <c r="B343" s="29" t="inlineStr">
        <is>
          <t>sevilla</t>
        </is>
      </c>
      <c r="C343" s="29" t="inlineStr">
        <is>
          <t>sevilla:teatro-la-fundicion</t>
        </is>
      </c>
      <c r="D343" s="29" t="inlineStr">
        <is>
          <t>Ziyaret bilgisi</t>
        </is>
      </c>
      <c r="E343" s="29" t="inlineStr">
        <is>
          <t>https://fundiciondesevilla.es/tu-visita/</t>
        </is>
      </c>
      <c r="F343" s="49" t="n">
        <v>46320</v>
      </c>
      <c r="G343" s="51" t="n">
        <v>1</v>
      </c>
    </row>
    <row r="344" ht="54" customHeight="1">
      <c r="A344" s="29" t="inlineStr">
        <is>
          <t>sevilla:action:teatro-la-fundicion-2</t>
        </is>
      </c>
      <c r="B344" s="29" t="inlineStr">
        <is>
          <t>sevilla</t>
        </is>
      </c>
      <c r="C344" s="29" t="inlineStr">
        <is>
          <t>sevilla:teatro-la-fundicion</t>
        </is>
      </c>
      <c r="D344" s="29" t="inlineStr">
        <is>
          <t>Bilgi al</t>
        </is>
      </c>
      <c r="E344" s="29" t="inlineStr">
        <is>
          <t>https://www.juntadeandalucia.es/cultura/agendaculturaldeandalucia/espacios/teatro-la-fundicion</t>
        </is>
      </c>
      <c r="F344" s="49" t="n">
        <v>46320</v>
      </c>
      <c r="G344" s="51" t="n">
        <v>2</v>
      </c>
    </row>
    <row r="345" ht="54" customHeight="1">
      <c r="A345" s="29" t="inlineStr">
        <is>
          <t>sevilla:action:sala-cero-teatro-1</t>
        </is>
      </c>
      <c r="B345" s="29" t="inlineStr">
        <is>
          <t>sevilla</t>
        </is>
      </c>
      <c r="C345" s="29" t="inlineStr">
        <is>
          <t>sevilla:sala-cero-teatro</t>
        </is>
      </c>
      <c r="D345" s="29" t="inlineStr">
        <is>
          <t>Bilgi al</t>
        </is>
      </c>
      <c r="E345" s="29" t="inlineStr">
        <is>
          <t>https://www.juntadeandalucia.es/cultura/agendaculturaldeandalucia/espacios/sala-cero-teatro</t>
        </is>
      </c>
      <c r="F345" s="49" t="n">
        <v>46320</v>
      </c>
      <c r="G345" s="51" t="n">
        <v>1</v>
      </c>
    </row>
    <row r="346" ht="54" customHeight="1">
      <c r="A346" s="29" t="inlineStr">
        <is>
          <t>sevilla:action:teatro-alameda-1</t>
        </is>
      </c>
      <c r="B346" s="29" t="inlineStr">
        <is>
          <t>sevilla</t>
        </is>
      </c>
      <c r="C346" s="29" t="inlineStr">
        <is>
          <t>sevilla:teatro-alameda</t>
        </is>
      </c>
      <c r="D346" s="29" t="inlineStr">
        <is>
          <t>Bilgi al</t>
        </is>
      </c>
      <c r="E346" s="29" t="inlineStr">
        <is>
          <t>https://www.juntadeandalucia.es/cultura/agendaculturaldeandalucia/espacios/teatro-alameda</t>
        </is>
      </c>
      <c r="F346" s="49" t="n">
        <v>46320</v>
      </c>
      <c r="G346" s="51" t="n">
        <v>1</v>
      </c>
    </row>
    <row r="347" ht="54" customHeight="1">
      <c r="A347" s="29" t="inlineStr">
        <is>
          <t>sevilla:action:cerveceria-giralda-1</t>
        </is>
      </c>
      <c r="B347" s="29" t="inlineStr">
        <is>
          <t>sevilla</t>
        </is>
      </c>
      <c r="C347" s="29" t="inlineStr">
        <is>
          <t>sevilla:cerveceria-giralda</t>
        </is>
      </c>
      <c r="D347" s="29" t="inlineStr">
        <is>
          <t>Rezervasyon yap</t>
        </is>
      </c>
      <c r="E347" s="29" t="inlineStr">
        <is>
          <t>https://cerveceriagiralda.es/contacto/</t>
        </is>
      </c>
      <c r="F347" s="49" t="n">
        <v>46320</v>
      </c>
      <c r="G347" s="51" t="n">
        <v>1</v>
      </c>
    </row>
    <row r="348" ht="54" customHeight="1">
      <c r="A348" s="29" t="inlineStr">
        <is>
          <t>sevilla:action:bodega-dos-de-mayo-1</t>
        </is>
      </c>
      <c r="B348" s="29" t="inlineStr">
        <is>
          <t>sevilla</t>
        </is>
      </c>
      <c r="C348" s="29" t="inlineStr">
        <is>
          <t>sevilla:bodega-dos-de-mayo</t>
        </is>
      </c>
      <c r="D348" s="29" t="inlineStr">
        <is>
          <t>Ziyaret bilgisi</t>
        </is>
      </c>
      <c r="E348" s="29" t="inlineStr">
        <is>
          <t>https://bodegadosdemayo.com/ubicacion/</t>
        </is>
      </c>
      <c r="F348" s="49" t="n">
        <v>46320</v>
      </c>
      <c r="G348" s="51" t="n">
        <v>1</v>
      </c>
    </row>
    <row r="349" ht="54" customHeight="1">
      <c r="A349" s="29" t="inlineStr">
        <is>
          <t>sevilla:action:parque-magallanes-1</t>
        </is>
      </c>
      <c r="B349" s="29" t="inlineStr">
        <is>
          <t>sevilla</t>
        </is>
      </c>
      <c r="C349" s="29" t="inlineStr">
        <is>
          <t>sevilla:parque-magallanes</t>
        </is>
      </c>
      <c r="D349" s="29" t="inlineStr">
        <is>
          <t>Ziyaret bilgisi</t>
        </is>
      </c>
      <c r="E349" s="29" t="inlineStr">
        <is>
          <t>https://www.juntadeandalucia.es/cultura/agendaculturaldeandalucia/espacios/parque-magallanes</t>
        </is>
      </c>
      <c r="F349" s="49" t="n">
        <v>46320</v>
      </c>
      <c r="G349" s="51" t="n">
        <v>1</v>
      </c>
    </row>
    <row r="350" ht="54" customHeight="1">
      <c r="A350" s="29" t="inlineStr">
        <is>
          <t>sevilla:action:cartuja-qanat-1</t>
        </is>
      </c>
      <c r="B350" s="29" t="inlineStr">
        <is>
          <t>sevilla</t>
        </is>
      </c>
      <c r="C350" s="29" t="inlineStr">
        <is>
          <t>sevilla:cartuja-qanat</t>
        </is>
      </c>
      <c r="D350" s="29" t="inlineStr">
        <is>
          <t>Bilgi al</t>
        </is>
      </c>
      <c r="E350" s="29" t="inlineStr">
        <is>
          <t>https://www.juntadeandalucia.es/cultura/agendaculturaldeandalucia/espacios/cartuja-qanat</t>
        </is>
      </c>
      <c r="F350" s="49" t="n">
        <v>46320</v>
      </c>
      <c r="G350" s="51" t="n">
        <v>1</v>
      </c>
    </row>
    <row r="351" ht="54" customHeight="1">
      <c r="A351" s="29" t="inlineStr">
        <is>
          <t>sevilla:action:muelle-de-la-sal-1</t>
        </is>
      </c>
      <c r="B351" s="29" t="inlineStr">
        <is>
          <t>sevilla</t>
        </is>
      </c>
      <c r="C351" s="29" t="inlineStr">
        <is>
          <t>sevilla:muelle-de-la-sal</t>
        </is>
      </c>
      <c r="D351" s="29" t="inlineStr">
        <is>
          <t>Bilgi al</t>
        </is>
      </c>
      <c r="E351" s="29" t="inlineStr">
        <is>
          <t>https://www.juntadeandalucia.es/cultura/agendaculturaldeandalucia/espacios/muelle-de-la-sal</t>
        </is>
      </c>
      <c r="F351" s="49" t="n">
        <v>46320</v>
      </c>
      <c r="G351" s="51" t="n">
        <v>1</v>
      </c>
    </row>
    <row r="352" ht="54" customHeight="1">
      <c r="A352" s="29" t="inlineStr">
        <is>
          <t>sevilla:action:parroquia-de-santa-ana-triana-1</t>
        </is>
      </c>
      <c r="B352" s="29" t="inlineStr">
        <is>
          <t>sevilla</t>
        </is>
      </c>
      <c r="C352" s="29" t="inlineStr">
        <is>
          <t>sevilla:parroquia-de-santa-ana-triana</t>
        </is>
      </c>
      <c r="D352" s="29" t="inlineStr">
        <is>
          <t>Ziyaret bilgisi</t>
        </is>
      </c>
      <c r="E352" s="29" t="inlineStr">
        <is>
          <t>https://visitasevilla.es/parroquia-de-santa-ana/</t>
        </is>
      </c>
      <c r="F352" s="49" t="n">
        <v>46320</v>
      </c>
      <c r="G352" s="51" t="n">
        <v>1</v>
      </c>
    </row>
    <row r="353" ht="54" customHeight="1">
      <c r="A353" s="29" t="inlineStr">
        <is>
          <t>sevilla:action:parroquia-de-santa-ana-triana-2</t>
        </is>
      </c>
      <c r="B353" s="29" t="inlineStr">
        <is>
          <t>sevilla</t>
        </is>
      </c>
      <c r="C353" s="29" t="inlineStr">
        <is>
          <t>sevilla:parroquia-de-santa-ana-triana</t>
        </is>
      </c>
      <c r="D353" s="29" t="inlineStr">
        <is>
          <t>Bilgi al</t>
        </is>
      </c>
      <c r="E353" s="29" t="inlineStr">
        <is>
          <t>https://www.archisevilla.org/horarios-de-apertura-de-los-bienes-bic-de-la-iglesia-sevilla-capital/</t>
        </is>
      </c>
      <c r="F353" s="49" t="n">
        <v>46320</v>
      </c>
      <c r="G353" s="51" t="n">
        <v>2</v>
      </c>
    </row>
    <row r="354" ht="54" customHeight="1">
      <c r="A354" s="29" t="inlineStr">
        <is>
          <t>sevilla:action:iglesia-del-valle-1</t>
        </is>
      </c>
      <c r="B354" s="29" t="inlineStr">
        <is>
          <t>sevilla</t>
        </is>
      </c>
      <c r="C354" s="29" t="inlineStr">
        <is>
          <t>sevilla:iglesia-del-valle</t>
        </is>
      </c>
      <c r="D354" s="29" t="inlineStr">
        <is>
          <t>Ziyaret bilgisi</t>
        </is>
      </c>
      <c r="E354" s="29" t="inlineStr">
        <is>
          <t>https://visitasevilla.es/iglesia-del-valle/</t>
        </is>
      </c>
      <c r="F354" s="49" t="n">
        <v>46320</v>
      </c>
      <c r="G354" s="51" t="n">
        <v>1</v>
      </c>
    </row>
    <row r="355" ht="54" customHeight="1">
      <c r="A355" s="29" t="inlineStr">
        <is>
          <t>sevilla:action:parroquia-de-la-o-1</t>
        </is>
      </c>
      <c r="B355" s="29" t="inlineStr">
        <is>
          <t>sevilla</t>
        </is>
      </c>
      <c r="C355" s="29" t="inlineStr">
        <is>
          <t>sevilla:parroquia-de-la-o</t>
        </is>
      </c>
      <c r="D355" s="29" t="inlineStr">
        <is>
          <t>Ziyaret bilgisi</t>
        </is>
      </c>
      <c r="E355" s="29" t="inlineStr">
        <is>
          <t>https://visitasevilla.es/parroquia-de-la-o/</t>
        </is>
      </c>
      <c r="F355" s="49" t="n">
        <v>46320</v>
      </c>
      <c r="G355" s="51" t="n">
        <v>1</v>
      </c>
    </row>
    <row r="356" ht="54" customHeight="1">
      <c r="A356" s="29" t="inlineStr">
        <is>
          <t>sevilla:action:parroquia-de-la-o-2</t>
        </is>
      </c>
      <c r="B356" s="29" t="inlineStr">
        <is>
          <t>sevilla</t>
        </is>
      </c>
      <c r="C356" s="29" t="inlineStr">
        <is>
          <t>sevilla:parroquia-de-la-o</t>
        </is>
      </c>
      <c r="D356" s="29" t="inlineStr">
        <is>
          <t>Bilgi al</t>
        </is>
      </c>
      <c r="E356" s="29" t="inlineStr">
        <is>
          <t>https://www.archisevilla.org/horarios-de-apertura-de-los-bienes-bic-de-la-iglesia-sevilla-capital/</t>
        </is>
      </c>
      <c r="F356" s="49" t="n">
        <v>46320</v>
      </c>
      <c r="G356" s="51" t="n">
        <v>2</v>
      </c>
    </row>
    <row r="357" ht="54" customHeight="1">
      <c r="A357" s="29" t="inlineStr">
        <is>
          <t>sevilla:action:iglesia-de-san-vicente-1</t>
        </is>
      </c>
      <c r="B357" s="29" t="inlineStr">
        <is>
          <t>sevilla</t>
        </is>
      </c>
      <c r="C357" s="29" t="inlineStr">
        <is>
          <t>sevilla:iglesia-de-san-vicente</t>
        </is>
      </c>
      <c r="D357" s="29" t="inlineStr">
        <is>
          <t>Ziyaret bilgisi</t>
        </is>
      </c>
      <c r="E357" s="29" t="inlineStr">
        <is>
          <t>https://visitasevilla.es/iglesia-de-san-vicente/</t>
        </is>
      </c>
      <c r="F357" s="49" t="n">
        <v>46320</v>
      </c>
      <c r="G357" s="51" t="n">
        <v>1</v>
      </c>
    </row>
    <row r="358" ht="54" customHeight="1">
      <c r="A358" s="29" t="inlineStr">
        <is>
          <t>sevilla:action:monasterio-de-san-jeronimo-de-buenavista-1</t>
        </is>
      </c>
      <c r="B358" s="29" t="inlineStr">
        <is>
          <t>sevilla</t>
        </is>
      </c>
      <c r="C358" s="29" t="inlineStr">
        <is>
          <t>sevilla:monasterio-de-san-jeronimo-de-buenavista</t>
        </is>
      </c>
      <c r="D358" s="29" t="inlineStr">
        <is>
          <t>Ziyaret bilgisi</t>
        </is>
      </c>
      <c r="E358" s="29" t="inlineStr">
        <is>
          <t>https://visitasevilla.es/monasterio-san-jeronimo/</t>
        </is>
      </c>
      <c r="F358" s="49" t="n">
        <v>46320</v>
      </c>
      <c r="G358" s="51" t="n">
        <v>1</v>
      </c>
    </row>
    <row r="359" ht="54" customHeight="1">
      <c r="A359" s="29" t="inlineStr">
        <is>
          <t>sevilla:action:iglesia-de-santa-marina-1</t>
        </is>
      </c>
      <c r="B359" s="29" t="inlineStr">
        <is>
          <t>sevilla</t>
        </is>
      </c>
      <c r="C359" s="29" t="inlineStr">
        <is>
          <t>sevilla:iglesia-de-santa-marina</t>
        </is>
      </c>
      <c r="D359" s="29" t="inlineStr">
        <is>
          <t>Ziyaret bilgisi</t>
        </is>
      </c>
      <c r="E359" s="29" t="inlineStr">
        <is>
          <t>https://visitasevilla.es/iglesia-de-santa-marina/</t>
        </is>
      </c>
      <c r="F359" s="49" t="n">
        <v>46320</v>
      </c>
      <c r="G359" s="51" t="n">
        <v>1</v>
      </c>
    </row>
    <row r="360" ht="54" customHeight="1">
      <c r="A360" s="29" t="inlineStr">
        <is>
          <t>sevilla:action:iglesia-de-santa-marina-2</t>
        </is>
      </c>
      <c r="B360" s="29" t="inlineStr">
        <is>
          <t>sevilla</t>
        </is>
      </c>
      <c r="C360" s="29" t="inlineStr">
        <is>
          <t>sevilla:iglesia-de-santa-marina</t>
        </is>
      </c>
      <c r="D360" s="29" t="inlineStr">
        <is>
          <t>Bilgi al</t>
        </is>
      </c>
      <c r="E360" s="29" t="inlineStr">
        <is>
          <t>https://www.archisevilla.org/horarios-de-apertura-de-los-bienes-bic-de-la-iglesia-sevilla-capital/</t>
        </is>
      </c>
      <c r="F360" s="49" t="n">
        <v>46320</v>
      </c>
      <c r="G360" s="51" t="n">
        <v>2</v>
      </c>
    </row>
    <row r="361" ht="54" customHeight="1">
      <c r="A361" s="29" t="inlineStr">
        <is>
          <t>sevilla:action:iglesia-de-san-sebastian-1</t>
        </is>
      </c>
      <c r="B361" s="29" t="inlineStr">
        <is>
          <t>sevilla</t>
        </is>
      </c>
      <c r="C361" s="29" t="inlineStr">
        <is>
          <t>sevilla:iglesia-de-san-sebastian</t>
        </is>
      </c>
      <c r="D361" s="29" t="inlineStr">
        <is>
          <t>Ziyaret bilgisi</t>
        </is>
      </c>
      <c r="E361" s="29" t="inlineStr">
        <is>
          <t>https://www.archisevilla.org/horarios-de-apertura-de-los-bienes-bic-de-la-iglesia-sevilla-capital/</t>
        </is>
      </c>
      <c r="F361" s="49" t="n">
        <v>46320</v>
      </c>
      <c r="G361" s="51" t="n">
        <v>1</v>
      </c>
    </row>
    <row r="362" ht="54" customHeight="1">
      <c r="A362" s="29" t="inlineStr">
        <is>
          <t>sevilla:action:archivo-historico-provincial-de-sevilla-1</t>
        </is>
      </c>
      <c r="B362" s="29" t="inlineStr">
        <is>
          <t>sevilla</t>
        </is>
      </c>
      <c r="C362" s="29" t="inlineStr">
        <is>
          <t>sevilla:archivo-historico-provincial-de-sevilla</t>
        </is>
      </c>
      <c r="D362" s="29" t="inlineStr">
        <is>
          <t>Ziyaret bilgisi</t>
        </is>
      </c>
      <c r="E362" s="29" t="inlineStr">
        <is>
          <t>https://www.juntadeandalucia.es/organismos/culturaydeporte/servicios/directorio-instituciones/detalle/1196.html</t>
        </is>
      </c>
      <c r="F362" s="49" t="n">
        <v>46320</v>
      </c>
      <c r="G362" s="51" t="n">
        <v>1</v>
      </c>
    </row>
    <row r="363" ht="54" customHeight="1">
      <c r="A363" s="29" t="inlineStr">
        <is>
          <t>sevilla:action:biblioteca-infanta-elena-1</t>
        </is>
      </c>
      <c r="B363" s="29" t="inlineStr">
        <is>
          <t>sevilla</t>
        </is>
      </c>
      <c r="C363" s="29" t="inlineStr">
        <is>
          <t>sevilla:biblioteca-infanta-elena</t>
        </is>
      </c>
      <c r="D363" s="29" t="inlineStr">
        <is>
          <t>Ziyaret bilgisi</t>
        </is>
      </c>
      <c r="E363" s="29" t="inlineStr">
        <is>
          <t>https://www.bibliotecasdeandalucia.es/web/biblioteca-del-estado-publica-provincial-de-sevilla/informacion/datos-practicos/sede</t>
        </is>
      </c>
      <c r="F363" s="49" t="n">
        <v>46320</v>
      </c>
      <c r="G363" s="51" t="n">
        <v>1</v>
      </c>
    </row>
    <row r="364" ht="54" customHeight="1">
      <c r="A364" s="29" t="inlineStr">
        <is>
          <t>sevilla:action:biblioteca-infanta-elena-2</t>
        </is>
      </c>
      <c r="B364" s="29" t="inlineStr">
        <is>
          <t>sevilla</t>
        </is>
      </c>
      <c r="C364" s="29" t="inlineStr">
        <is>
          <t>sevilla:biblioteca-infanta-elena</t>
        </is>
      </c>
      <c r="D364" s="29" t="inlineStr">
        <is>
          <t>Bilgi al</t>
        </is>
      </c>
      <c r="E364" s="29" t="inlineStr">
        <is>
          <t>https://www.juntadeandalucia.es/organismos/culturaydeporte/areas/cultura/bibliotecas-documentacion/red-publicas/paginas/datospracticosbpse.html</t>
        </is>
      </c>
      <c r="F364" s="49" t="n">
        <v>46320</v>
      </c>
      <c r="G364" s="51" t="n">
        <v>2</v>
      </c>
    </row>
    <row r="365" ht="54" customHeight="1">
      <c r="A365" s="29" t="inlineStr">
        <is>
          <t>sevilla:action:hospital-de-los-venerables-1</t>
        </is>
      </c>
      <c r="B365" s="29" t="inlineStr">
        <is>
          <t>sevilla</t>
        </is>
      </c>
      <c r="C365" s="29" t="inlineStr">
        <is>
          <t>sevilla:hospital-de-los-venerables</t>
        </is>
      </c>
      <c r="D365" s="29" t="inlineStr">
        <is>
          <t>Ziyaret bilgisi</t>
        </is>
      </c>
      <c r="E365" s="29" t="inlineStr">
        <is>
          <t>https://visitasevilla.es/hospital-de-los-venerables-2/</t>
        </is>
      </c>
      <c r="F365" s="49" t="n">
        <v>46320</v>
      </c>
      <c r="G365" s="51" t="n">
        <v>1</v>
      </c>
    </row>
    <row r="366" ht="54" customHeight="1">
      <c r="A366" s="29" t="inlineStr">
        <is>
          <t>sevilla:action:cicus-centro-iniciativas-culturales-1</t>
        </is>
      </c>
      <c r="B366" s="29" t="inlineStr">
        <is>
          <t>sevilla</t>
        </is>
      </c>
      <c r="C366" s="29" t="inlineStr">
        <is>
          <t>sevilla:cicus-centro-iniciativas-culturales</t>
        </is>
      </c>
      <c r="D366" s="29" t="inlineStr">
        <is>
          <t>Rezervasyon yap</t>
        </is>
      </c>
      <c r="E366" s="29" t="inlineStr">
        <is>
          <t>https://cicus.us.es/detalle-exposicion/patrimonio-en-transito</t>
        </is>
      </c>
      <c r="F366" s="49" t="n">
        <v>46320</v>
      </c>
      <c r="G366" s="51" t="n">
        <v>1</v>
      </c>
    </row>
    <row r="367" ht="54" customHeight="1">
      <c r="A367" s="29" t="inlineStr">
        <is>
          <t>sevilla:action:nie-nedir-ne-ise-yarar-1</t>
        </is>
      </c>
      <c r="B367" s="29" t="inlineStr">
        <is>
          <t>sevilla</t>
        </is>
      </c>
      <c r="C367" s="29" t="inlineStr">
        <is>
          <t>sevilla:nie-nedir-ne-ise-yarar</t>
        </is>
      </c>
      <c r="D367" s="29" t="inlineStr">
        <is>
          <t>Başvur</t>
        </is>
      </c>
      <c r="E367" s="29" t="inlineStr">
        <is>
          <t>https://sede.policia.gob.es/portalCiudadano/_es/tramites_extranjeria_tramite_asignacion_nie.php</t>
        </is>
      </c>
      <c r="F367" s="49" t="n">
        <v>46319</v>
      </c>
      <c r="G367" s="51" t="n">
        <v>1</v>
      </c>
    </row>
    <row r="368" ht="54" customHeight="1">
      <c r="A368" s="29" t="inlineStr">
        <is>
          <t>sevilla:action:nie-nedir-ne-ise-yarar-2</t>
        </is>
      </c>
      <c r="B368" s="29" t="inlineStr">
        <is>
          <t>sevilla</t>
        </is>
      </c>
      <c r="C368" s="29" t="inlineStr">
        <is>
          <t>sevilla:nie-nedir-ne-ise-yarar</t>
        </is>
      </c>
      <c r="D368" s="29" t="inlineStr">
        <is>
          <t>Tarifeyi gör</t>
        </is>
      </c>
      <c r="E368" s="29" t="inlineStr">
        <is>
          <t>https://www.boe.es/buscar/doc.php?id=BOE-A-2025-12056</t>
        </is>
      </c>
      <c r="F368" s="49" t="n">
        <v>46319</v>
      </c>
      <c r="G368" s="51" t="n">
        <v>2</v>
      </c>
    </row>
    <row r="369" ht="54" customHeight="1">
      <c r="A369" s="29" t="inlineStr">
        <is>
          <t>sevilla:action:ab-vatandasi-kayit-sertifikasi-1</t>
        </is>
      </c>
      <c r="B369" s="29" t="inlineStr">
        <is>
          <t>sevilla</t>
        </is>
      </c>
      <c r="C369" s="29" t="inlineStr">
        <is>
          <t>sevilla:ab-vatandasi-kayit-sertifikasi</t>
        </is>
      </c>
      <c r="D369" s="29" t="inlineStr">
        <is>
          <t>Başvur</t>
        </is>
      </c>
      <c r="E369" s="29" t="inlineStr">
        <is>
          <t>https://sede.policia.gob.es/portalCiudadano/_es/tramites_extranjeria_tramite_certificadoregistro_ciudadanoue.php</t>
        </is>
      </c>
      <c r="F369" s="49" t="n">
        <v>46319</v>
      </c>
      <c r="G369" s="51" t="n">
        <v>1</v>
      </c>
    </row>
    <row r="370" ht="54" customHeight="1">
      <c r="A370" s="29" t="inlineStr">
        <is>
          <t>sevilla:action:ab-vatandasi-kayit-sertifikasi-2</t>
        </is>
      </c>
      <c r="B370" s="29" t="inlineStr">
        <is>
          <t>sevilla</t>
        </is>
      </c>
      <c r="C370" s="29" t="inlineStr">
        <is>
          <t>sevilla:ab-vatandasi-kayit-sertifikasi</t>
        </is>
      </c>
      <c r="D370" s="29" t="inlineStr">
        <is>
          <t>Tarifeyi gör</t>
        </is>
      </c>
      <c r="E370" s="29" t="inlineStr">
        <is>
          <t>https://sede.policia.gob.es/portalCiudadano/_es/tramites_extranjeria_tasas.php</t>
        </is>
      </c>
      <c r="F370" s="49" t="n">
        <v>46319</v>
      </c>
      <c r="G370" s="51" t="n">
        <v>2</v>
      </c>
    </row>
    <row r="371" ht="54" customHeight="1">
      <c r="A371" s="29" t="inlineStr">
        <is>
          <t>sevilla:action:tie-yabanci-kimlik-karti-1</t>
        </is>
      </c>
      <c r="B371" s="29" t="inlineStr">
        <is>
          <t>sevilla</t>
        </is>
      </c>
      <c r="C371" s="29" t="inlineStr">
        <is>
          <t>sevilla:tie-yabanci-kimlik-karti</t>
        </is>
      </c>
      <c r="D371" s="29" t="inlineStr">
        <is>
          <t>Bilgi al</t>
        </is>
      </c>
      <c r="E371" s="29" t="inlineStr">
        <is>
          <t>https://www.boe.es/buscar/act.php?id=BOE-A-2024-24099</t>
        </is>
      </c>
      <c r="F371" s="49" t="n">
        <v>46319</v>
      </c>
      <c r="G371" s="51" t="n">
        <v>1</v>
      </c>
    </row>
    <row r="372" ht="54" customHeight="1">
      <c r="A372" s="29" t="inlineStr">
        <is>
          <t>sevilla:action:tie-yabanci-kimlik-karti-2</t>
        </is>
      </c>
      <c r="B372" s="29" t="inlineStr">
        <is>
          <t>sevilla</t>
        </is>
      </c>
      <c r="C372" s="29" t="inlineStr">
        <is>
          <t>sevilla:tie-yabanci-kimlik-karti</t>
        </is>
      </c>
      <c r="D372" s="29" t="inlineStr">
        <is>
          <t>Tarifeyi gör</t>
        </is>
      </c>
      <c r="E372" s="29" t="inlineStr">
        <is>
          <t>https://sede.policia.gob.es/portalCiudadano/_es/tramites_extranjeria_tasas.php</t>
        </is>
      </c>
      <c r="F372" s="49" t="n">
        <v>46319</v>
      </c>
      <c r="G372" s="51" t="n">
        <v>2</v>
      </c>
    </row>
    <row r="373" ht="54" customHeight="1">
      <c r="A373" s="29" t="inlineStr">
        <is>
          <t>sevilla:action:ab-vatandasi-calisma-izni-gerekli-mi-1</t>
        </is>
      </c>
      <c r="B373" s="29" t="inlineStr">
        <is>
          <t>sevilla</t>
        </is>
      </c>
      <c r="C373" s="29" t="inlineStr">
        <is>
          <t>sevilla:ab-vatandasi-calisma-izni-gerekli-mi</t>
        </is>
      </c>
      <c r="D373" s="29" t="inlineStr">
        <is>
          <t>Bilgi al</t>
        </is>
      </c>
      <c r="E373" s="29" t="inlineStr">
        <is>
          <t>https://www.boe.es/buscar/act.php?id=BOE-A-2007-4184</t>
        </is>
      </c>
      <c r="F373" s="49" t="n">
        <v>46319</v>
      </c>
      <c r="G373" s="51" t="n">
        <v>1</v>
      </c>
    </row>
    <row r="374" ht="54" customHeight="1">
      <c r="A374" s="29" t="inlineStr">
        <is>
          <t>sevilla:action:oturum-izni-yenileme-1</t>
        </is>
      </c>
      <c r="B374" s="29" t="inlineStr">
        <is>
          <t>sevilla</t>
        </is>
      </c>
      <c r="C374" s="29" t="inlineStr">
        <is>
          <t>sevilla:oturum-izni-yenileme</t>
        </is>
      </c>
      <c r="D374" s="29" t="inlineStr">
        <is>
          <t>Bilgi al</t>
        </is>
      </c>
      <c r="E374" s="29" t="inlineStr">
        <is>
          <t>https://www.boe.es/buscar/act.php?id=BOE-A-2024-24099</t>
        </is>
      </c>
      <c r="F374" s="49" t="n">
        <v>46319</v>
      </c>
      <c r="G374" s="51" t="n">
        <v>1</v>
      </c>
    </row>
    <row r="375" ht="54" customHeight="1">
      <c r="A375" s="29" t="inlineStr">
        <is>
          <t>sevilla:action:oturum-izni-yenileme-2</t>
        </is>
      </c>
      <c r="B375" s="29" t="inlineStr">
        <is>
          <t>sevilla</t>
        </is>
      </c>
      <c r="C375" s="29" t="inlineStr">
        <is>
          <t>sevilla:oturum-izni-yenileme</t>
        </is>
      </c>
      <c r="D375" s="29" t="inlineStr">
        <is>
          <t>Tarifeyi gör</t>
        </is>
      </c>
      <c r="E375" s="29" t="inlineStr">
        <is>
          <t>https://www.boe.es/buscar/doc.php?id=BOE-A-2025-12056</t>
        </is>
      </c>
      <c r="F375" s="49" t="n">
        <v>46319</v>
      </c>
      <c r="G375" s="51" t="n">
        <v>2</v>
      </c>
    </row>
    <row r="376" ht="54" customHeight="1">
      <c r="A376" s="29" t="inlineStr">
        <is>
          <t>sevilla:action:aile-birlesimi-ile-oturum-1</t>
        </is>
      </c>
      <c r="B376" s="29" t="inlineStr">
        <is>
          <t>sevilla</t>
        </is>
      </c>
      <c r="C376" s="29" t="inlineStr">
        <is>
          <t>sevilla:aile-birlesimi-ile-oturum</t>
        </is>
      </c>
      <c r="D376" s="29" t="inlineStr">
        <is>
          <t>Bilgi al</t>
        </is>
      </c>
      <c r="E376" s="29" t="inlineStr">
        <is>
          <t>https://www.boe.es/buscar/act.php?id=BOE-A-2024-24099</t>
        </is>
      </c>
      <c r="F376" s="49" t="n">
        <v>46319</v>
      </c>
      <c r="G376" s="51" t="n">
        <v>1</v>
      </c>
    </row>
    <row r="377" ht="54" customHeight="1">
      <c r="A377" s="29" t="inlineStr">
        <is>
          <t>sevilla:action:aile-birlesimi-ile-oturum-2</t>
        </is>
      </c>
      <c r="B377" s="29" t="inlineStr">
        <is>
          <t>sevilla</t>
        </is>
      </c>
      <c r="C377" s="29" t="inlineStr">
        <is>
          <t>sevilla:aile-birlesimi-ile-oturum</t>
        </is>
      </c>
      <c r="D377" s="29" t="inlineStr">
        <is>
          <t>Tarifeyi gör</t>
        </is>
      </c>
      <c r="E377" s="29" t="inlineStr">
        <is>
          <t>https://www.boe.es/buscar/doc.php?id=BOE-A-2025-12056</t>
        </is>
      </c>
      <c r="F377" s="49" t="n">
        <v>46319</v>
      </c>
      <c r="G377" s="51" t="n">
        <v>2</v>
      </c>
    </row>
    <row r="378" ht="54" customHeight="1">
      <c r="A378" s="29" t="inlineStr">
        <is>
          <t>sevilla:action:kalici-oturum-bes-yil-1</t>
        </is>
      </c>
      <c r="B378" s="29" t="inlineStr">
        <is>
          <t>sevilla</t>
        </is>
      </c>
      <c r="C378" s="29" t="inlineStr">
        <is>
          <t>sevilla:kalici-oturum-bes-yil</t>
        </is>
      </c>
      <c r="D378" s="29" t="inlineStr">
        <is>
          <t>Bilgi al</t>
        </is>
      </c>
      <c r="E378" s="29" t="inlineStr">
        <is>
          <t>https://www.boe.es/buscar/act.php?id=BOE-A-2024-24099</t>
        </is>
      </c>
      <c r="F378" s="49" t="n">
        <v>46319</v>
      </c>
      <c r="G378" s="51" t="n">
        <v>1</v>
      </c>
    </row>
    <row r="379" ht="54" customHeight="1">
      <c r="A379" s="29" t="inlineStr">
        <is>
          <t>sevilla:action:kalici-oturum-bes-yil-2</t>
        </is>
      </c>
      <c r="B379" s="29" t="inlineStr">
        <is>
          <t>sevilla</t>
        </is>
      </c>
      <c r="C379" s="29" t="inlineStr">
        <is>
          <t>sevilla:kalici-oturum-bes-yil</t>
        </is>
      </c>
      <c r="D379" s="29" t="inlineStr">
        <is>
          <t>Tarifeyi gör</t>
        </is>
      </c>
      <c r="E379" s="29" t="inlineStr">
        <is>
          <t>https://www.boe.es/buscar/doc.php?id=BOE-A-2025-12056</t>
        </is>
      </c>
      <c r="F379" s="49" t="n">
        <v>46319</v>
      </c>
      <c r="G379" s="51" t="n">
        <v>2</v>
      </c>
    </row>
    <row r="380" ht="54" customHeight="1">
      <c r="A380" s="29" t="inlineStr">
        <is>
          <t>sevilla:action:arraigo-kok-salma-oturumu-1</t>
        </is>
      </c>
      <c r="B380" s="29" t="inlineStr">
        <is>
          <t>sevilla</t>
        </is>
      </c>
      <c r="C380" s="29" t="inlineStr">
        <is>
          <t>sevilla:arraigo-kok-salma-oturumu</t>
        </is>
      </c>
      <c r="D380" s="29" t="inlineStr">
        <is>
          <t>Başvur</t>
        </is>
      </c>
      <c r="E380" s="29" t="inlineStr">
        <is>
          <t>https://sede.policia.gob.es/portalCiudadano/_es/tramites_extranjeria_tramite_residenciatemporal_circunstanciasexcepcionales.php</t>
        </is>
      </c>
      <c r="F380" s="49" t="n">
        <v>46319</v>
      </c>
      <c r="G380" s="51" t="n">
        <v>1</v>
      </c>
    </row>
    <row r="381" ht="54" customHeight="1">
      <c r="A381" s="29" t="inlineStr">
        <is>
          <t>sevilla:action:arraigo-kok-salma-oturumu-2</t>
        </is>
      </c>
      <c r="B381" s="29" t="inlineStr">
        <is>
          <t>sevilla</t>
        </is>
      </c>
      <c r="C381" s="29" t="inlineStr">
        <is>
          <t>sevilla:arraigo-kok-salma-oturumu</t>
        </is>
      </c>
      <c r="D381" s="29" t="inlineStr">
        <is>
          <t>Bilgi al</t>
        </is>
      </c>
      <c r="E381" s="29" t="inlineStr">
        <is>
          <t>https://www.boe.es/buscar/act.php?id=BOE-A-2024-24099</t>
        </is>
      </c>
      <c r="F381" s="49" t="n">
        <v>46319</v>
      </c>
      <c r="G381" s="51" t="n">
        <v>2</v>
      </c>
    </row>
    <row r="382" ht="54" customHeight="1">
      <c r="A382" s="29" t="inlineStr">
        <is>
          <t>sevilla:action:dijital-gocebe-vizesi-1</t>
        </is>
      </c>
      <c r="B382" s="29" t="inlineStr">
        <is>
          <t>sevilla</t>
        </is>
      </c>
      <c r="C382" s="29" t="inlineStr">
        <is>
          <t>sevilla:dijital-gocebe-vizesi</t>
        </is>
      </c>
      <c r="D382" s="29" t="inlineStr">
        <is>
          <t>Bilgi al</t>
        </is>
      </c>
      <c r="E382" s="29" t="inlineStr">
        <is>
          <t>https://www.exteriores.gob.es/Consulados/estambul/es/Comunicacion/Noticias/Paginas/Articulos/Requisitos-Visado-Teletrabajo.aspx</t>
        </is>
      </c>
      <c r="F382" s="49" t="n">
        <v>46319</v>
      </c>
      <c r="G382" s="51" t="n">
        <v>1</v>
      </c>
    </row>
    <row r="383" ht="54" customHeight="1">
      <c r="A383" s="29" t="inlineStr">
        <is>
          <t>sevilla:action:dijital-gocebe-vizesi-2</t>
        </is>
      </c>
      <c r="B383" s="29" t="inlineStr">
        <is>
          <t>sevilla</t>
        </is>
      </c>
      <c r="C383" s="29" t="inlineStr">
        <is>
          <t>sevilla:dijital-gocebe-vizesi</t>
        </is>
      </c>
      <c r="D383" s="29" t="inlineStr">
        <is>
          <t>Bilgi al</t>
        </is>
      </c>
      <c r="E383" s="29" t="inlineStr">
        <is>
          <t>https://www.boe.es/buscar/act.php?id=BOE-A-2022-21739</t>
        </is>
      </c>
      <c r="F383" s="49" t="n">
        <v>46319</v>
      </c>
      <c r="G383" s="51" t="n">
        <v>2</v>
      </c>
    </row>
    <row r="384" ht="54" customHeight="1">
      <c r="A384" s="29" t="inlineStr">
        <is>
          <t>sevilla:action:kar-amaci-gutmeyen-oturum-vizesi-1</t>
        </is>
      </c>
      <c r="B384" s="29" t="inlineStr">
        <is>
          <t>sevilla</t>
        </is>
      </c>
      <c r="C384" s="29" t="inlineStr">
        <is>
          <t>sevilla:kar-amaci-gutmeyen-oturum-vizesi</t>
        </is>
      </c>
      <c r="D384" s="29" t="inlineStr">
        <is>
          <t>Bilgi al</t>
        </is>
      </c>
      <c r="E384" s="29" t="inlineStr">
        <is>
          <t>https://www.exteriores.gob.es/Consulados/estambul/es/ServiciosConsulares/Paginas/index.aspx?scca=Visados&amp;scco=Turqu%C3%ADa&amp;scd=141&amp;scs=Visados+Nacionales+-+Visado+de+residencia+no+lucrativa</t>
        </is>
      </c>
      <c r="F384" s="49" t="n">
        <v>46319</v>
      </c>
      <c r="G384" s="51" t="n">
        <v>1</v>
      </c>
    </row>
    <row r="385" ht="54" customHeight="1">
      <c r="A385" s="29" t="inlineStr">
        <is>
          <t>sevilla:action:kar-amaci-gutmeyen-oturum-vizesi-2</t>
        </is>
      </c>
      <c r="B385" s="29" t="inlineStr">
        <is>
          <t>sevilla</t>
        </is>
      </c>
      <c r="C385" s="29" t="inlineStr">
        <is>
          <t>sevilla:kar-amaci-gutmeyen-oturum-vizesi</t>
        </is>
      </c>
      <c r="D385" s="29" t="inlineStr">
        <is>
          <t>Bilgi al</t>
        </is>
      </c>
      <c r="E385" s="29" t="inlineStr">
        <is>
          <t>https://www.exteriores.gob.es/Embajadas/nuevadelhi/en/ServiciosConsulares/Paginas/Consular/Visado-de-residencia-no-lucrativa.aspx</t>
        </is>
      </c>
      <c r="F385" s="49" t="n">
        <v>46319</v>
      </c>
      <c r="G385" s="51" t="n">
        <v>2</v>
      </c>
    </row>
    <row r="386" ht="54" customHeight="1">
      <c r="A386" s="29" t="inlineStr">
        <is>
          <t>sevilla:action:altin-vize-sona-erdi-1</t>
        </is>
      </c>
      <c r="B386" s="29" t="inlineStr">
        <is>
          <t>sevilla</t>
        </is>
      </c>
      <c r="C386" s="29" t="inlineStr">
        <is>
          <t>sevilla:altin-vize-sona-erdi</t>
        </is>
      </c>
      <c r="D386" s="29" t="inlineStr">
        <is>
          <t>Bilgi al</t>
        </is>
      </c>
      <c r="E386" s="29" t="inlineStr">
        <is>
          <t>https://www.lamoncloa.gob.es/serviciosdeprensa/notasprensa/vivienda-agenda-urbana/paginas/2025/020425-fin-golden-visa.aspx</t>
        </is>
      </c>
      <c r="F386" s="49" t="n">
        <v>46319</v>
      </c>
      <c r="G386" s="51" t="n">
        <v>1</v>
      </c>
    </row>
    <row r="387" ht="54" customHeight="1">
      <c r="A387" s="29" t="inlineStr">
        <is>
          <t>sevilla:action:altin-vize-sona-erdi-2</t>
        </is>
      </c>
      <c r="B387" s="29" t="inlineStr">
        <is>
          <t>sevilla</t>
        </is>
      </c>
      <c r="C387" s="29" t="inlineStr">
        <is>
          <t>sevilla:altin-vize-sona-erdi</t>
        </is>
      </c>
      <c r="D387" s="29" t="inlineStr">
        <is>
          <t>Bilgi al</t>
        </is>
      </c>
      <c r="E387" s="29" t="inlineStr">
        <is>
          <t>https://www.boe.es/buscar/act.php?id=BOE-A-2025-76</t>
        </is>
      </c>
      <c r="F387" s="49" t="n">
        <v>46319</v>
      </c>
      <c r="G387" s="51" t="n">
        <v>2</v>
      </c>
    </row>
    <row r="388" ht="54" customHeight="1">
      <c r="A388" s="29" t="inlineStr">
        <is>
          <t>sevilla:action:ogrenci-oturumuyla-calisma-hakki-1</t>
        </is>
      </c>
      <c r="B388" s="29" t="inlineStr">
        <is>
          <t>sevilla</t>
        </is>
      </c>
      <c r="C388" s="29" t="inlineStr">
        <is>
          <t>sevilla:ogrenci-oturumuyla-calisma-hakki</t>
        </is>
      </c>
      <c r="D388" s="29" t="inlineStr">
        <is>
          <t>Bilgi al</t>
        </is>
      </c>
      <c r="E388" s="29" t="inlineStr">
        <is>
          <t>https://www.boe.es/buscar/act.php?id=BOE-A-2024-24099</t>
        </is>
      </c>
      <c r="F388" s="49" t="n">
        <v>46319</v>
      </c>
      <c r="G388" s="51" t="n">
        <v>1</v>
      </c>
    </row>
    <row r="389" ht="54" customHeight="1">
      <c r="A389" s="29" t="inlineStr">
        <is>
          <t>sevilla:action:ispanyol-vatandasligi-basvurusu-1</t>
        </is>
      </c>
      <c r="B389" s="29" t="inlineStr">
        <is>
          <t>sevilla</t>
        </is>
      </c>
      <c r="C389" s="29" t="inlineStr">
        <is>
          <t>sevilla:ispanyol-vatandasligi-basvurusu</t>
        </is>
      </c>
      <c r="D389" s="29" t="inlineStr">
        <is>
          <t>Bilgi al</t>
        </is>
      </c>
      <c r="E389" s="29" t="inlineStr">
        <is>
          <t>https://www.boe.es/buscar/act.php?id=BOE-A-1889-4763</t>
        </is>
      </c>
      <c r="F389" s="49" t="n">
        <v>46319</v>
      </c>
      <c r="G389" s="51" t="n">
        <v>1</v>
      </c>
    </row>
    <row r="390" ht="54" customHeight="1">
      <c r="A390" s="29" t="inlineStr">
        <is>
          <t>sevilla:action:ispanyol-vatandasligi-basvurusu-2</t>
        </is>
      </c>
      <c r="B390" s="29" t="inlineStr">
        <is>
          <t>sevilla</t>
        </is>
      </c>
      <c r="C390" s="29" t="inlineStr">
        <is>
          <t>sevilla:ispanyol-vatandasligi-basvurusu</t>
        </is>
      </c>
      <c r="D390" s="29" t="inlineStr">
        <is>
          <t>Bilgi al</t>
        </is>
      </c>
      <c r="E390" s="29" t="inlineStr">
        <is>
          <t>https://www.boe.es/buscar/act.php?id=BOE-A-2015-12047</t>
        </is>
      </c>
      <c r="F390" s="49" t="n">
        <v>46319</v>
      </c>
      <c r="G390" s="51" t="n">
        <v>2</v>
      </c>
    </row>
    <row r="391" ht="54" customHeight="1">
      <c r="A391" s="29" t="inlineStr">
        <is>
          <t>sevilla:action:brexit-sonrasi-ingiliz-oturumu-1</t>
        </is>
      </c>
      <c r="B391" s="29" t="inlineStr">
        <is>
          <t>sevilla</t>
        </is>
      </c>
      <c r="C391" s="29" t="inlineStr">
        <is>
          <t>sevilla:brexit-sonrasi-ingiliz-oturumu</t>
        </is>
      </c>
      <c r="D391" s="29" t="inlineStr">
        <is>
          <t>Bilgi al</t>
        </is>
      </c>
      <c r="E391" s="29" t="inlineStr">
        <is>
          <t>https://www.boe.es/diario_boe/txt.php?id=BOE-A-2020-7276</t>
        </is>
      </c>
      <c r="F391" s="49" t="n">
        <v>46319</v>
      </c>
      <c r="G391" s="51" t="n">
        <v>1</v>
      </c>
    </row>
    <row r="392" ht="54" customHeight="1">
      <c r="A392" s="29" t="inlineStr">
        <is>
          <t>sevilla:action:brexit-sonrasi-ingiliz-oturumu-2</t>
        </is>
      </c>
      <c r="B392" s="29" t="inlineStr">
        <is>
          <t>sevilla</t>
        </is>
      </c>
      <c r="C392" s="29" t="inlineStr">
        <is>
          <t>sevilla:brexit-sonrasi-ingiliz-oturumu</t>
        </is>
      </c>
      <c r="D392" s="29" t="inlineStr">
        <is>
          <t>Tarifeyi gör</t>
        </is>
      </c>
      <c r="E392" s="29" t="inlineStr">
        <is>
          <t>https://sede.policia.gob.es/portalCiudadano/_es/tramites_extranjeria_tasas.php</t>
        </is>
      </c>
      <c r="F392" s="49" t="n">
        <v>46319</v>
      </c>
      <c r="G392" s="51" t="n">
        <v>2</v>
      </c>
    </row>
    <row r="393" ht="54" customHeight="1">
      <c r="A393" s="29" t="inlineStr">
        <is>
          <t>sevilla:action:junta-kayit-ofisinde-dilekce-sunma-1</t>
        </is>
      </c>
      <c r="B393" s="29" t="inlineStr">
        <is>
          <t>sevilla</t>
        </is>
      </c>
      <c r="C393" s="29" t="inlineStr">
        <is>
          <t>sevilla:junta-kayit-ofisinde-dilekce-sunma</t>
        </is>
      </c>
      <c r="D393" s="29" t="inlineStr">
        <is>
          <t>Bilgi al</t>
        </is>
      </c>
      <c r="E393" s="29" t="inlineStr">
        <is>
          <t>https://www.juntadeandalucia.es/servicios/tramites/presentacion-documentos/oficinas-asistencia-registros/paginas/informacion.html</t>
        </is>
      </c>
      <c r="F393" s="49" t="n">
        <v>46319</v>
      </c>
      <c r="G393" s="51" t="n">
        <v>1</v>
      </c>
    </row>
    <row r="394" ht="54" customHeight="1">
      <c r="A394" s="29" t="inlineStr">
        <is>
          <t>sevilla:action:junta-kayit-ofisinde-dilekce-sunma-2</t>
        </is>
      </c>
      <c r="B394" s="29" t="inlineStr">
        <is>
          <t>sevilla</t>
        </is>
      </c>
      <c r="C394" s="29" t="inlineStr">
        <is>
          <t>sevilla:junta-kayit-ofisinde-dilekce-sunma</t>
        </is>
      </c>
      <c r="D394" s="29" t="inlineStr">
        <is>
          <t>Randevu al</t>
        </is>
      </c>
      <c r="E394" s="29" t="inlineStr">
        <is>
          <t>https://www.juntadeandalucia.es/servicios/tramites/presentacion-documentos/oficinas-asistencia-registros/paginas/cita-previa.html</t>
        </is>
      </c>
      <c r="F394" s="49" t="n">
        <v>46319</v>
      </c>
      <c r="G394" s="51" t="n">
        <v>2</v>
      </c>
    </row>
    <row r="395" ht="54" customHeight="1">
      <c r="A395" s="29" t="inlineStr">
        <is>
          <t>sevilla:action:junta-kayit-ofisi-randevu-alma-adimlari-1</t>
        </is>
      </c>
      <c r="B395" s="29" t="inlineStr">
        <is>
          <t>sevilla</t>
        </is>
      </c>
      <c r="C395" s="29" t="inlineStr">
        <is>
          <t>sevilla:junta-kayit-ofisi-randevu-alma-adimlari</t>
        </is>
      </c>
      <c r="D395" s="29" t="inlineStr">
        <is>
          <t>Randevu al</t>
        </is>
      </c>
      <c r="E395" s="29" t="inlineStr">
        <is>
          <t>https://www.juntadeandalucia.es/servicios/tramites/presentacion-documentos/oficinas-asistencia-registros/paginas/cita-previa.html</t>
        </is>
      </c>
      <c r="F395" s="49" t="n">
        <v>46319</v>
      </c>
      <c r="G395" s="51" t="n">
        <v>1</v>
      </c>
    </row>
    <row r="396" ht="54" customHeight="1">
      <c r="A396" s="29" t="inlineStr">
        <is>
          <t>sevilla:action:junta-kayit-ofisi-randevu-alma-adimlari-2</t>
        </is>
      </c>
      <c r="B396" s="29" t="inlineStr">
        <is>
          <t>sevilla</t>
        </is>
      </c>
      <c r="C396" s="29" t="inlineStr">
        <is>
          <t>sevilla:junta-kayit-ofisi-randevu-alma-adimlari</t>
        </is>
      </c>
      <c r="D396" s="29" t="inlineStr">
        <is>
          <t>Bilgi al</t>
        </is>
      </c>
      <c r="E396" s="29" t="inlineStr">
        <is>
          <t>https://www.juntadeandalucia.es/servicios/sede/tramites/oficinas-asistencia-registros.html</t>
        </is>
      </c>
      <c r="F396" s="49" t="n">
        <v>46319</v>
      </c>
      <c r="G396" s="51" t="n">
        <v>2</v>
      </c>
    </row>
    <row r="397" ht="54" customHeight="1">
      <c r="A397" s="29" t="inlineStr">
        <is>
          <t>sevilla:action:sevilla-dijital-kimlik-bildirim-yuz-yuze-yardim-1</t>
        </is>
      </c>
      <c r="B397" s="29" t="inlineStr">
        <is>
          <t>sevilla</t>
        </is>
      </c>
      <c r="C397" s="29" t="inlineStr">
        <is>
          <t>sevilla:sevilla-dijital-kimlik-bildirim-yuz-yuze-yardim</t>
        </is>
      </c>
      <c r="D397" s="29" t="inlineStr">
        <is>
          <t>Randevu al</t>
        </is>
      </c>
      <c r="E397" s="29" t="inlineStr">
        <is>
          <t>https://www.juntadeandalucia.es/servicios/tramites/presentacion-documentos/oficinas-asistencia-registros/paginas/cita-previa.html</t>
        </is>
      </c>
      <c r="F397" s="49" t="n">
        <v>46319</v>
      </c>
      <c r="G397" s="51" t="n">
        <v>1</v>
      </c>
    </row>
    <row r="398" ht="54" customHeight="1">
      <c r="A398" s="29" t="inlineStr">
        <is>
          <t>sevilla:action:sevilla-dijital-kimlik-bildirim-yuz-yuze-yardim-2</t>
        </is>
      </c>
      <c r="B398" s="29" t="inlineStr">
        <is>
          <t>sevilla</t>
        </is>
      </c>
      <c r="C398" s="29" t="inlineStr">
        <is>
          <t>sevilla:sevilla-dijital-kimlik-bildirim-yuz-yuze-yardim</t>
        </is>
      </c>
      <c r="D398" s="29" t="inlineStr">
        <is>
          <t>Bilgi al</t>
        </is>
      </c>
      <c r="E398" s="29" t="inlineStr">
        <is>
          <t>https://www.juntadeandalucia.es/servicios/tramites/presentacion-documentos/oficinas-asistencia-registros/paginas/informacion.html</t>
        </is>
      </c>
      <c r="F398" s="49" t="n">
        <v>46319</v>
      </c>
      <c r="G398" s="51" t="n">
        <v>2</v>
      </c>
    </row>
    <row r="399" ht="54" customHeight="1">
      <c r="A399" s="29" t="inlineStr">
        <is>
          <t>sevilla:action:sevilla-tie-nie-polis-birimleri-brigada-extranjeria-1</t>
        </is>
      </c>
      <c r="B399" s="29" t="inlineStr">
        <is>
          <t>sevilla</t>
        </is>
      </c>
      <c r="C399" s="29" t="inlineStr">
        <is>
          <t>sevilla:sevilla-tie-nie-polis-birimleri-brigada-extranjeria</t>
        </is>
      </c>
      <c r="D399" s="29" t="inlineStr">
        <is>
          <t>Bilgi al</t>
        </is>
      </c>
      <c r="E399" s="29" t="inlineStr">
        <is>
          <t>https://sede.policia.gob.es/portalCiudadano/_es/dependencias_localizador_accesible.php</t>
        </is>
      </c>
      <c r="F399" s="49" t="n">
        <v>46320</v>
      </c>
      <c r="G399" s="51" t="n">
        <v>1</v>
      </c>
    </row>
    <row r="400" ht="54" customHeight="1">
      <c r="A400" s="29" t="inlineStr">
        <is>
          <t>sevilla:action:turk-vatandaslari-icin-madrid-buyukelciligi-konsolosluk-1</t>
        </is>
      </c>
      <c r="B400" s="29" t="inlineStr">
        <is>
          <t>sevilla</t>
        </is>
      </c>
      <c r="C400" s="29" t="inlineStr">
        <is>
          <t>sevilla:turk-vatandaslari-icin-madrid-buyukelciligi-konsolosluk</t>
        </is>
      </c>
      <c r="D400" s="29" t="inlineStr">
        <is>
          <t>Bilgi al</t>
        </is>
      </c>
      <c r="E400" s="29" t="inlineStr">
        <is>
          <t>https://madrid-emb.mfa.gov.tr/Mission/Contact</t>
        </is>
      </c>
      <c r="F400" s="49" t="n">
        <v>46320</v>
      </c>
      <c r="G400" s="51" t="n">
        <v>1</v>
      </c>
    </row>
    <row r="401" ht="54" customHeight="1">
      <c r="A401" s="29" t="inlineStr">
        <is>
          <t>sevilla:action:banka-hesabi-acma-ve-temel-odeme-hesabi-1</t>
        </is>
      </c>
      <c r="B401" s="29" t="inlineStr">
        <is>
          <t>sevilla</t>
        </is>
      </c>
      <c r="C401" s="29" t="inlineStr">
        <is>
          <t>sevilla:banka-hesabi-acma-ve-temel-odeme-hesabi</t>
        </is>
      </c>
      <c r="D401" s="29" t="inlineStr">
        <is>
          <t>Bilgi al</t>
        </is>
      </c>
      <c r="E401" s="29" t="inlineStr">
        <is>
          <t>https://clientebancario.bde.es/pcb/es/blog/solicitud-de-apertura-de-cuentas-de-pago.html</t>
        </is>
      </c>
      <c r="F401" s="49" t="n">
        <v>46319</v>
      </c>
      <c r="G401" s="51" t="n">
        <v>1</v>
      </c>
    </row>
    <row r="402" ht="54" customHeight="1">
      <c r="A402" s="29" t="inlineStr">
        <is>
          <t>sevilla:action:banka-hesabi-acma-ve-temel-odeme-hesabi-2</t>
        </is>
      </c>
      <c r="B402" s="29" t="inlineStr">
        <is>
          <t>sevilla</t>
        </is>
      </c>
      <c r="C402" s="29" t="inlineStr">
        <is>
          <t>sevilla:banka-hesabi-acma-ve-temel-odeme-hesabi</t>
        </is>
      </c>
      <c r="D402" s="29" t="inlineStr">
        <is>
          <t>Bilgi al</t>
        </is>
      </c>
      <c r="E402" s="29" t="inlineStr">
        <is>
          <t>https://clientebancario.bde.es/pcb/es/menu-horizontal/productosservici/cuentasdepositos/cuentascorriente/guia-textual/CuentadepagoBasica/quienes-pueden-solicitarla-.html</t>
        </is>
      </c>
      <c r="F402" s="49" t="n">
        <v>46319</v>
      </c>
      <c r="G402" s="51" t="n">
        <v>2</v>
      </c>
    </row>
    <row r="403" ht="54" customHeight="1">
      <c r="A403" s="29" t="inlineStr">
        <is>
          <t>sevilla:action:iban-ve-sepa-havalesi-2</t>
        </is>
      </c>
      <c r="B403" s="29" t="inlineStr">
        <is>
          <t>sevilla</t>
        </is>
      </c>
      <c r="C403" s="29" t="inlineStr">
        <is>
          <t>sevilla:iban-ve-sepa-havalesi</t>
        </is>
      </c>
      <c r="D403" s="29" t="inlineStr">
        <is>
          <t>Bilgi al</t>
        </is>
      </c>
      <c r="E403" s="29" t="inlineStr">
        <is>
          <t>https://clientebancario.bde.es/pcb/es/menu-horizontal/productosservici/serviciospago/traspasostransfe/guia-textual/tipos/Transferencia_SEPA.html</t>
        </is>
      </c>
      <c r="F403" s="49" t="n">
        <v>46319</v>
      </c>
      <c r="G403" s="51" t="n">
        <v>1</v>
      </c>
    </row>
    <row r="404" ht="54" customHeight="1">
      <c r="A404" s="29" t="inlineStr">
        <is>
          <t>sevilla:action:iban-ve-sepa-havalesi-3</t>
        </is>
      </c>
      <c r="B404" s="29" t="inlineStr">
        <is>
          <t>sevilla</t>
        </is>
      </c>
      <c r="C404" s="29" t="inlineStr">
        <is>
          <t>sevilla:iban-ve-sepa-havalesi</t>
        </is>
      </c>
      <c r="D404" s="29" t="inlineStr">
        <is>
          <t>Bilgi al</t>
        </is>
      </c>
      <c r="E404" s="29" t="inlineStr">
        <is>
          <t>https://clientebancario.bde.es/pcb/es/blog/upppssstransferencia-enviada-al-iban-equivocado.html</t>
        </is>
      </c>
      <c r="F404" s="49" t="n">
        <v>46319</v>
      </c>
      <c r="G404" s="51" t="n">
        <v>2</v>
      </c>
    </row>
    <row r="405" ht="54" customHeight="1">
      <c r="A405" s="29" t="inlineStr">
        <is>
          <t>sevilla:action:gelir-vergisi-irpf-devlet-dilimleri-1</t>
        </is>
      </c>
      <c r="B405" s="29" t="inlineStr">
        <is>
          <t>sevilla</t>
        </is>
      </c>
      <c r="C405" s="29" t="inlineStr">
        <is>
          <t>sevilla:gelir-vergisi-irpf-devlet-dilimleri</t>
        </is>
      </c>
      <c r="D405" s="29" t="inlineStr">
        <is>
          <t>Hesapla</t>
        </is>
      </c>
      <c r="E405" s="29" t="inlineStr">
        <is>
          <t>https://sede.agenciatributaria.gob.es/Sede/ayuda/manuales-videos-folletos/manuales-practicos/irpf-2025/c15-calculo-impuesto-determinacion-cuotas-integras/gravamen-base-liquidable-general/gravamen-estatal.html</t>
        </is>
      </c>
      <c r="F405" s="49" t="n">
        <v>46319</v>
      </c>
      <c r="G405" s="51" t="n">
        <v>1</v>
      </c>
    </row>
    <row r="406" ht="54" customHeight="1">
      <c r="A406" s="29" t="inlineStr">
        <is>
          <t>sevilla:action:gelir-vergisi-irpf-devlet-dilimleri-2</t>
        </is>
      </c>
      <c r="B406" s="29" t="inlineStr">
        <is>
          <t>sevilla</t>
        </is>
      </c>
      <c r="C406" s="29" t="inlineStr">
        <is>
          <t>sevilla:gelir-vergisi-irpf-devlet-dilimleri</t>
        </is>
      </c>
      <c r="D406" s="29" t="inlineStr">
        <is>
          <t>Bilgi al</t>
        </is>
      </c>
      <c r="E406" s="29" t="inlineStr">
        <is>
          <t>https://sede.agenciatributaria.gob.es/Sede/ayuda/manuales-videos-folletos/manuales-practicos/irpf-2025/c15-calculo-impuesto-determinacion-cuotas-integras/gravamen-base-liquidable-general/gravamen-autonomico.html</t>
        </is>
      </c>
      <c r="F406" s="49" t="n">
        <v>46319</v>
      </c>
      <c r="G406" s="51" t="n">
        <v>2</v>
      </c>
    </row>
    <row r="407" ht="54" customHeight="1">
      <c r="A407" s="29" t="inlineStr">
        <is>
          <t>sevilla:action:kdv-iva-oranlari-1</t>
        </is>
      </c>
      <c r="B407" s="29" t="inlineStr">
        <is>
          <t>sevilla</t>
        </is>
      </c>
      <c r="C407" s="29" t="inlineStr">
        <is>
          <t>sevilla:kdv-iva-oranlari</t>
        </is>
      </c>
      <c r="D407" s="29" t="inlineStr">
        <is>
          <t>Tarifeyi gör</t>
        </is>
      </c>
      <c r="E407" s="29" t="inlineStr">
        <is>
          <t>https://sede.agenciatributaria.gob.es/Sede/iva/calculo-iva-repercutido-clientes/tipos-impositivos-iva.html</t>
        </is>
      </c>
      <c r="F407" s="49" t="n">
        <v>46319</v>
      </c>
      <c r="G407" s="51" t="n">
        <v>1</v>
      </c>
    </row>
    <row r="408" ht="54" customHeight="1">
      <c r="A408" s="29" t="inlineStr">
        <is>
          <t>sevilla:action:kdv-iva-oranlari-2</t>
        </is>
      </c>
      <c r="B408" s="29" t="inlineStr">
        <is>
          <t>sevilla</t>
        </is>
      </c>
      <c r="C408" s="29" t="inlineStr">
        <is>
          <t>sevilla:kdv-iva-oranlari</t>
        </is>
      </c>
      <c r="D408" s="29" t="inlineStr">
        <is>
          <t>Bilgi al</t>
        </is>
      </c>
      <c r="E408" s="29" t="inlineStr">
        <is>
          <t>https://sede.agenciatributaria.gob.es/Sede/ayuda/manuales-videos-folletos/manuales-practicos/manual-iva-2025/capitulo-02-introduccion/territorio-que-se-aplica-impuesto.html</t>
        </is>
      </c>
      <c r="F408" s="49" t="n">
        <v>46319</v>
      </c>
      <c r="G408" s="51" t="n">
        <v>2</v>
      </c>
    </row>
    <row r="409" ht="54" customHeight="1">
      <c r="A409" s="29" t="inlineStr">
        <is>
          <t>sevilla:action:yillik-gelir-vergisi-beyani-renta-1</t>
        </is>
      </c>
      <c r="B409" s="29" t="inlineStr">
        <is>
          <t>sevilla</t>
        </is>
      </c>
      <c r="C409" s="29" t="inlineStr">
        <is>
          <t>sevilla:yillik-gelir-vergisi-beyani-renta</t>
        </is>
      </c>
      <c r="D409" s="29" t="inlineStr">
        <is>
          <t>Bilgi al</t>
        </is>
      </c>
      <c r="E409" s="29" t="inlineStr">
        <is>
          <t>https://sede.agenciatributaria.gob.es/Sede/ayuda/manuales-videos-folletos/manuales-practicos/irpf-2025/c01-campana-declaracion-renta/confirmacion-borrador-presentacion-declaraciones/plazo-forma-presentacion.html</t>
        </is>
      </c>
      <c r="F409" s="49" t="n">
        <v>46319</v>
      </c>
      <c r="G409" s="51" t="n">
        <v>1</v>
      </c>
    </row>
    <row r="410" ht="54" customHeight="1">
      <c r="A410" s="29" t="inlineStr">
        <is>
          <t>sevilla:action:yillik-gelir-vergisi-beyani-renta-2</t>
        </is>
      </c>
      <c r="B410" s="29" t="inlineStr">
        <is>
          <t>sevilla</t>
        </is>
      </c>
      <c r="C410" s="29" t="inlineStr">
        <is>
          <t>sevilla:yillik-gelir-vergisi-beyani-renta</t>
        </is>
      </c>
      <c r="D410" s="29" t="inlineStr">
        <is>
          <t>Bilgi al</t>
        </is>
      </c>
      <c r="E410" s="29" t="inlineStr">
        <is>
          <t>https://sede.agenciatributaria.gob.es/Sede/ayuda/manuales-videos-folletos/manuales-practicos/irpf-2025/c01-campana-declaracion-renta/quienes-estan-obligados-presentar-declaracion-irpf/delimitacion-obligacion-declarar-irpf.html</t>
        </is>
      </c>
      <c r="F410" s="49" t="n">
        <v>46319</v>
      </c>
      <c r="G410" s="51" t="n">
        <v>2</v>
      </c>
    </row>
    <row r="411" ht="54" customHeight="1">
      <c r="A411" s="29" t="inlineStr">
        <is>
          <t>sevilla:action:vergi-iadesi-devolucion-renta-1</t>
        </is>
      </c>
      <c r="B411" s="29" t="inlineStr">
        <is>
          <t>sevilla</t>
        </is>
      </c>
      <c r="C411" s="29" t="inlineStr">
        <is>
          <t>sevilla:vergi-iadesi-devolucion-renta</t>
        </is>
      </c>
      <c r="D411" s="29" t="inlineStr">
        <is>
          <t>Bilgi al</t>
        </is>
      </c>
      <c r="E411" s="29" t="inlineStr">
        <is>
          <t>https://sede.agenciatributaria.gob.es/Sede/irpf/declaraciones-presentadas/consultar-devolucion.html</t>
        </is>
      </c>
      <c r="F411" s="49" t="n">
        <v>46319</v>
      </c>
      <c r="G411" s="51" t="n">
        <v>1</v>
      </c>
    </row>
    <row r="412" ht="54" customHeight="1">
      <c r="A412" s="29" t="inlineStr">
        <is>
          <t>sevilla:action:gestor-asesor-vergi-beyani-temsil-1</t>
        </is>
      </c>
      <c r="B412" s="29" t="inlineStr">
        <is>
          <t>sevilla</t>
        </is>
      </c>
      <c r="C412" s="29" t="inlineStr">
        <is>
          <t>sevilla:gestor-asesor-vergi-beyani-temsil</t>
        </is>
      </c>
      <c r="D412" s="29" t="inlineStr">
        <is>
          <t>Bilgi al</t>
        </is>
      </c>
      <c r="E412" s="29" t="inlineStr">
        <is>
          <t>https://sede.agenciatributaria.gob.es/Sede/ayuda/manuales-videos-folletos/manuales-practicos/irpf-2025/c01-campana-declaracion-renta/confirmacion-borrador-presentacion-declaraciones/plazo-forma-presentacion.html</t>
        </is>
      </c>
      <c r="F412" s="49" t="n">
        <v>46319</v>
      </c>
      <c r="G412" s="51" t="n">
        <v>1</v>
      </c>
    </row>
    <row r="413" ht="54" customHeight="1">
      <c r="A413" s="29" t="inlineStr">
        <is>
          <t>sevilla:action:gestor-asesor-vergi-beyani-temsil-2</t>
        </is>
      </c>
      <c r="B413" s="29" t="inlineStr">
        <is>
          <t>sevilla</t>
        </is>
      </c>
      <c r="C413" s="29" t="inlineStr">
        <is>
          <t>sevilla:gestor-asesor-vergi-beyani-temsil</t>
        </is>
      </c>
      <c r="D413" s="29" t="inlineStr">
        <is>
          <t>Bilgi al</t>
        </is>
      </c>
      <c r="E413" s="29" t="inlineStr">
        <is>
          <t>https://sede.agenciatributaria.gob.es/Sede/colaborar-agencia-tributaria/colaboracion-social-presentacion-declaraciones/preguntas-frecuentes-sobre-colaboracion-social.html</t>
        </is>
      </c>
      <c r="F413" s="49" t="n">
        <v>46319</v>
      </c>
      <c r="G413" s="51" t="n">
        <v>2</v>
      </c>
    </row>
    <row r="414" ht="54" customHeight="1">
      <c r="A414" s="29" t="inlineStr">
        <is>
          <t>sevilla:action:arac-sigortasi-zorunlulugu-ve-hipotek-sigortalari-1</t>
        </is>
      </c>
      <c r="B414" s="29" t="inlineStr">
        <is>
          <t>sevilla</t>
        </is>
      </c>
      <c r="C414" s="29" t="inlineStr">
        <is>
          <t>sevilla:arac-sigortasi-zorunlulugu-ve-hipotek-sigortalari</t>
        </is>
      </c>
      <c r="D414" s="29" t="inlineStr">
        <is>
          <t>Bilgi al</t>
        </is>
      </c>
      <c r="E414" s="29" t="inlineStr">
        <is>
          <t>https://www.boe.es/buscar/act.php?id=BOE-A-2004-18911</t>
        </is>
      </c>
      <c r="F414" s="49" t="n">
        <v>46319</v>
      </c>
      <c r="G414" s="51" t="n">
        <v>1</v>
      </c>
    </row>
    <row r="415" ht="54" customHeight="1">
      <c r="A415" s="29" t="inlineStr">
        <is>
          <t>sevilla:action:arac-sigortasi-zorunlulugu-ve-hipotek-sigortalari-2</t>
        </is>
      </c>
      <c r="B415" s="29" t="inlineStr">
        <is>
          <t>sevilla</t>
        </is>
      </c>
      <c r="C415" s="29" t="inlineStr">
        <is>
          <t>sevilla:arac-sigortasi-zorunlulugu-ve-hipotek-sigortalari</t>
        </is>
      </c>
      <c r="D415" s="29" t="inlineStr">
        <is>
          <t>Bilgi al</t>
        </is>
      </c>
      <c r="E415" s="29" t="inlineStr">
        <is>
          <t>https://clientebancario.bde.es/pcb/es/menu-horizontal/productosservici/financiacion/hipotecas/guia-textual/primerospasoscon/Seguros_hipotecarios.html</t>
        </is>
      </c>
      <c r="F415" s="49" t="n">
        <v>46319</v>
      </c>
      <c r="G415" s="51" t="n">
        <v>2</v>
      </c>
    </row>
    <row r="416" ht="54" customHeight="1">
      <c r="A416" s="29" t="inlineStr">
        <is>
          <t>sevilla:action:emeklilik-yasi-ve-prim-suresi-1</t>
        </is>
      </c>
      <c r="B416" s="29" t="inlineStr">
        <is>
          <t>sevilla</t>
        </is>
      </c>
      <c r="C416" s="29" t="inlineStr">
        <is>
          <t>sevilla:emeklilik-yasi-ve-prim-suresi</t>
        </is>
      </c>
      <c r="D416" s="29" t="inlineStr">
        <is>
          <t>Bilgi al</t>
        </is>
      </c>
      <c r="E416" s="29" t="inlineStr">
        <is>
          <t>https://www.seg-social.es/wps/portal/wss/internet/Trabajadores/PrestacionesPensionesTrabajadores/10963/28393/28396/28472</t>
        </is>
      </c>
      <c r="F416" s="49" t="n">
        <v>46319</v>
      </c>
      <c r="G416" s="51" t="n">
        <v>1</v>
      </c>
    </row>
    <row r="417" ht="54" customHeight="1">
      <c r="A417" s="29" t="inlineStr">
        <is>
          <t>sevilla:action:emeklilik-yasi-ve-prim-suresi-2</t>
        </is>
      </c>
      <c r="B417" s="29" t="inlineStr">
        <is>
          <t>sevilla</t>
        </is>
      </c>
      <c r="C417" s="29" t="inlineStr">
        <is>
          <t>sevilla:emeklilik-yasi-ve-prim-suresi</t>
        </is>
      </c>
      <c r="D417" s="29" t="inlineStr">
        <is>
          <t>Bilgi al</t>
        </is>
      </c>
      <c r="E417" s="29" t="inlineStr">
        <is>
          <t>https://www.boe.es/buscar/act.php?id=BOE-A-2026-7296</t>
        </is>
      </c>
      <c r="F417" s="49" t="n">
        <v>46319</v>
      </c>
      <c r="G417" s="51" t="n">
        <v>2</v>
      </c>
    </row>
    <row r="418" ht="54" customHeight="1">
      <c r="A418" s="29" t="inlineStr">
        <is>
          <t>sevilla:action:bizum-nedir-nasil-kullanilir-1</t>
        </is>
      </c>
      <c r="B418" s="29" t="inlineStr">
        <is>
          <t>sevilla</t>
        </is>
      </c>
      <c r="C418" s="29" t="inlineStr">
        <is>
          <t>sevilla:bizum-nedir-nasil-kullanilir</t>
        </is>
      </c>
      <c r="D418" s="29" t="inlineStr">
        <is>
          <t>Bilgi al</t>
        </is>
      </c>
      <c r="E418" s="29" t="inlineStr">
        <is>
          <t>https://clientebancario.bde.es/pcb/es/blog/bizum--te-contamos-todos-sus-secretos.html</t>
        </is>
      </c>
      <c r="F418" s="49" t="n">
        <v>46319</v>
      </c>
      <c r="G418" s="51" t="n">
        <v>1</v>
      </c>
    </row>
    <row r="419" ht="54" customHeight="1">
      <c r="A419" s="29" t="inlineStr">
        <is>
          <t>sevilla:action:banka-ucretleri-ve-seffaflik-haklari-1</t>
        </is>
      </c>
      <c r="B419" s="29" t="inlineStr">
        <is>
          <t>sevilla</t>
        </is>
      </c>
      <c r="C419" s="29" t="inlineStr">
        <is>
          <t>sevilla:banka-ucretleri-ve-seffaflik-haklari</t>
        </is>
      </c>
      <c r="D419" s="29" t="inlineStr">
        <is>
          <t>Bilgi al</t>
        </is>
      </c>
      <c r="E419" s="29" t="inlineStr">
        <is>
          <t>https://clientebancario.bde.es/pcb/es/menu-horizontal/productosservici/relacionados/comisiones/</t>
        </is>
      </c>
      <c r="F419" s="49" t="n">
        <v>46319</v>
      </c>
      <c r="G419" s="51" t="n">
        <v>1</v>
      </c>
    </row>
    <row r="420" ht="54" customHeight="1">
      <c r="A420" s="29" t="inlineStr">
        <is>
          <t>sevilla:action:banka-ucretleri-ve-seffaflik-haklari-2</t>
        </is>
      </c>
      <c r="B420" s="29" t="inlineStr">
        <is>
          <t>sevilla</t>
        </is>
      </c>
      <c r="C420" s="29" t="inlineStr">
        <is>
          <t>sevilla:banka-ucretleri-ve-seffaflik-haklari</t>
        </is>
      </c>
      <c r="D420" s="29" t="inlineStr">
        <is>
          <t>Bilgi al</t>
        </is>
      </c>
      <c r="E420" s="29" t="inlineStr">
        <is>
          <t>https://clientebancario.bde.es/pcb/es/menu-horizontal/productosservici/cuentasdepositos/cuentascorriente/guia-textual/CuentadepagoBasica/comisiones.html</t>
        </is>
      </c>
      <c r="F420" s="49" t="n">
        <v>46319</v>
      </c>
      <c r="G420" s="51" t="n">
        <v>2</v>
      </c>
    </row>
    <row r="421" ht="54" customHeight="1">
      <c r="A421" s="29" t="inlineStr">
        <is>
          <t>sevilla:action:beckham-yasasi-ozel-vergi-rejimi-1</t>
        </is>
      </c>
      <c r="B421" s="29" t="inlineStr">
        <is>
          <t>sevilla</t>
        </is>
      </c>
      <c r="C421" s="29" t="inlineStr">
        <is>
          <t>sevilla:beckham-yasasi-ozel-vergi-rejimi</t>
        </is>
      </c>
      <c r="D421" s="29" t="inlineStr">
        <is>
          <t>Bilgi al</t>
        </is>
      </c>
      <c r="E421" s="29" t="inlineStr">
        <is>
          <t>https://sede.agenciatributaria.gob.es/Sede/ayuda/manuales-videos-folletos/manuales-practicos/irpf-2025/c02-irpf-cuestiones-generales/sujecion-irpf-aspectos-personales/regimen-fiscal-especial-aplicable-trabajadores-desplazados/regimen-aplicable-trabajadores-desplazados/ambito-aplicacion.html</t>
        </is>
      </c>
      <c r="F421" s="49" t="n">
        <v>46319</v>
      </c>
      <c r="G421" s="51" t="n">
        <v>1</v>
      </c>
    </row>
    <row r="422" ht="54" customHeight="1">
      <c r="A422" s="29" t="inlineStr">
        <is>
          <t>sevilla:action:beckham-yasasi-ozel-vergi-rejimi-2</t>
        </is>
      </c>
      <c r="B422" s="29" t="inlineStr">
        <is>
          <t>sevilla</t>
        </is>
      </c>
      <c r="C422" s="29" t="inlineStr">
        <is>
          <t>sevilla:beckham-yasasi-ozel-vergi-rejimi</t>
        </is>
      </c>
      <c r="D422" s="29" t="inlineStr">
        <is>
          <t>Bilgi al</t>
        </is>
      </c>
      <c r="E422" s="29" t="inlineStr">
        <is>
          <t>https://sede.agenciatributaria.gob.es/Sede/ayuda/manuales-videos-folletos/manuales-practicos/irpf-2025/c15-calculo-impuesto-determinacion-cuotas-integras/regimen-fiscal-especial-aplicable-trabajadores.html</t>
        </is>
      </c>
      <c r="F422" s="49" t="n">
        <v>46319</v>
      </c>
      <c r="G422" s="51" t="n">
        <v>2</v>
      </c>
    </row>
    <row r="423" ht="54" customHeight="1">
      <c r="A423" s="29" t="inlineStr">
        <is>
          <t>sevilla:action:endulus-gelir-vergisi-irpf-bolge-dilimleri-ve-indirimleri-1</t>
        </is>
      </c>
      <c r="B423" s="29" t="inlineStr">
        <is>
          <t>sevilla</t>
        </is>
      </c>
      <c r="C423" s="29" t="inlineStr">
        <is>
          <t>sevilla:endulus-gelir-vergisi-irpf-bolge-dilimleri-ve-indirimleri</t>
        </is>
      </c>
      <c r="D423" s="29" t="inlineStr">
        <is>
          <t>Bilgi al</t>
        </is>
      </c>
      <c r="E423" s="29" t="inlineStr">
        <is>
          <t>https://www.juntadeandalucia.es/organismos/economiahaciendayfondoseuropeos/areas/tributos-juego/tributos/paginas/medidasautirpf25.html</t>
        </is>
      </c>
      <c r="F423" s="49" t="n">
        <v>46319</v>
      </c>
      <c r="G423" s="51" t="n">
        <v>1</v>
      </c>
    </row>
    <row r="424" ht="54" customHeight="1">
      <c r="A424" s="29" t="inlineStr">
        <is>
          <t>sevilla:action:endulus-gelir-vergisi-irpf-bolge-dilimleri-ve-indirimleri-2</t>
        </is>
      </c>
      <c r="B424" s="29" t="inlineStr">
        <is>
          <t>sevilla</t>
        </is>
      </c>
      <c r="C424" s="29" t="inlineStr">
        <is>
          <t>sevilla:endulus-gelir-vergisi-irpf-bolge-dilimleri-ve-indirimleri</t>
        </is>
      </c>
      <c r="D424" s="29" t="inlineStr">
        <is>
          <t>Bilgi al</t>
        </is>
      </c>
      <c r="E424" s="29" t="inlineStr">
        <is>
          <t>https://www.boe.es/buscar/act.php?id=BOE-A-2021-17915</t>
        </is>
      </c>
      <c r="F424" s="49" t="n">
        <v>46319</v>
      </c>
      <c r="G424" s="51" t="n">
        <v>2</v>
      </c>
    </row>
    <row r="425" ht="54" customHeight="1">
      <c r="A425" s="29" t="inlineStr">
        <is>
          <t>sevilla:action:endulus-ikinci-el-konut-alimi-itp-indirimli-oranlar-1</t>
        </is>
      </c>
      <c r="B425" s="29" t="inlineStr">
        <is>
          <t>sevilla</t>
        </is>
      </c>
      <c r="C425" s="29" t="inlineStr">
        <is>
          <t>sevilla:endulus-ikinci-el-konut-alimi-itp-indirimli-oranlar</t>
        </is>
      </c>
      <c r="D425" s="29" t="inlineStr">
        <is>
          <t>Bilgi al</t>
        </is>
      </c>
      <c r="E425" s="29" t="inlineStr">
        <is>
          <t>https://www.juntadeandalucia.es/organismos/economiahaciendayfondoseuropeos/areas/tributos-juego/tributos/paginas/polit-social.html</t>
        </is>
      </c>
      <c r="F425" s="49" t="n">
        <v>46319</v>
      </c>
      <c r="G425" s="51" t="n">
        <v>1</v>
      </c>
    </row>
    <row r="426" ht="54" customHeight="1">
      <c r="A426" s="29" t="inlineStr">
        <is>
          <t>sevilla:action:endulus-ikinci-el-konut-alimi-itp-indirimli-oranlar-2</t>
        </is>
      </c>
      <c r="B426" s="29" t="inlineStr">
        <is>
          <t>sevilla</t>
        </is>
      </c>
      <c r="C426" s="29" t="inlineStr">
        <is>
          <t>sevilla:endulus-ikinci-el-konut-alimi-itp-indirimli-oranlar</t>
        </is>
      </c>
      <c r="D426" s="29" t="inlineStr">
        <is>
          <t>Bilgi al</t>
        </is>
      </c>
      <c r="E426" s="29" t="inlineStr">
        <is>
          <t>https://www.boe.es/buscar/act.php?id=BOE-A-2021-17915</t>
        </is>
      </c>
      <c r="F426" s="49" t="n">
        <v>46319</v>
      </c>
      <c r="G426" s="51" t="n">
        <v>2</v>
      </c>
    </row>
    <row r="427" ht="54" customHeight="1">
      <c r="A427" s="29" t="inlineStr">
        <is>
          <t>sevilla:action:sevilla-vergi-dairesi-aeat-ofisleri-ve-cita-previa-1</t>
        </is>
      </c>
      <c r="B427" s="29" t="inlineStr">
        <is>
          <t>sevilla</t>
        </is>
      </c>
      <c r="C427" s="29" t="inlineStr">
        <is>
          <t>sevilla:sevilla-vergi-dairesi-aeat-ofisleri-ve-cita-previa</t>
        </is>
      </c>
      <c r="D427" s="29" t="inlineStr">
        <is>
          <t>Randevu al</t>
        </is>
      </c>
      <c r="E427" s="29" t="inlineStr">
        <is>
          <t>https://sede.agenciatributaria.gob.es/Sede/procedimientoini/GC29.shtml</t>
        </is>
      </c>
      <c r="F427" s="49" t="n">
        <v>46319</v>
      </c>
      <c r="G427" s="51" t="n">
        <v>1</v>
      </c>
    </row>
    <row r="428" ht="54" customHeight="1">
      <c r="A428" s="29" t="inlineStr">
        <is>
          <t>sevilla:action:sevilla-vergi-dairesi-aeat-ofisleri-ve-cita-previa-2</t>
        </is>
      </c>
      <c r="B428" s="29" t="inlineStr">
        <is>
          <t>sevilla</t>
        </is>
      </c>
      <c r="C428" s="29" t="inlineStr">
        <is>
          <t>sevilla:sevilla-vergi-dairesi-aeat-ofisleri-ve-cita-previa</t>
        </is>
      </c>
      <c r="D428" s="29" t="inlineStr">
        <is>
          <t>Bilgi al</t>
        </is>
      </c>
      <c r="E428" s="29" t="inlineStr">
        <is>
          <t>https://sede.agenciatributaria.gob.es/Sede/buscador-oficinas/sevilla.html</t>
        </is>
      </c>
      <c r="F428" s="49" t="n">
        <v>46319</v>
      </c>
      <c r="G428" s="51" t="n">
        <v>2</v>
      </c>
    </row>
    <row r="429" ht="54" customHeight="1">
      <c r="A429" s="29" t="inlineStr">
        <is>
          <t>sevilla:action:rmisa-asgari-gelir-destegi-kimler-yararlanir-tutar-1</t>
        </is>
      </c>
      <c r="B429" s="29" t="inlineStr">
        <is>
          <t>sevilla</t>
        </is>
      </c>
      <c r="C429" s="29" t="inlineStr">
        <is>
          <t>sevilla:rmisa-asgari-gelir-destegi-kimler-yararlanir-tutar</t>
        </is>
      </c>
      <c r="D429" s="29" t="inlineStr">
        <is>
          <t>Başvur</t>
        </is>
      </c>
      <c r="E429" s="29" t="inlineStr">
        <is>
          <t>https://www.juntadeandalucia.es/organismos/inclusionsocialjuventudfamiliaseigualdad/areas/inclusion/rmi.html</t>
        </is>
      </c>
      <c r="F429" s="49" t="n">
        <v>46319</v>
      </c>
      <c r="G429" s="51" t="n">
        <v>1</v>
      </c>
    </row>
    <row r="430" ht="54" customHeight="1">
      <c r="A430" s="29" t="inlineStr">
        <is>
          <t>sevilla:action:rmisa-asgari-gelir-destegi-kimler-yararlanir-tutar-2</t>
        </is>
      </c>
      <c r="B430" s="29" t="inlineStr">
        <is>
          <t>sevilla</t>
        </is>
      </c>
      <c r="C430" s="29" t="inlineStr">
        <is>
          <t>sevilla:rmisa-asgari-gelir-destegi-kimler-yararlanir-tutar</t>
        </is>
      </c>
      <c r="D430" s="29" t="inlineStr">
        <is>
          <t>Bilgi al</t>
        </is>
      </c>
      <c r="E430" s="29" t="inlineStr">
        <is>
          <t>https://www.juntadeandalucia.es/temas/familias-igualdad/minorias/medidas-exclusion-social.html</t>
        </is>
      </c>
      <c r="F430" s="49" t="n">
        <v>46319</v>
      </c>
      <c r="G430" s="51" t="n">
        <v>2</v>
      </c>
    </row>
    <row r="431" ht="54" customHeight="1">
      <c r="A431" s="29" t="inlineStr">
        <is>
          <t>sevilla:action:rmisa-basvuru-karar-sureci-ve-uzatma-1</t>
        </is>
      </c>
      <c r="B431" s="29" t="inlineStr">
        <is>
          <t>sevilla</t>
        </is>
      </c>
      <c r="C431" s="29" t="inlineStr">
        <is>
          <t>sevilla:rmisa-basvuru-karar-sureci-ve-uzatma</t>
        </is>
      </c>
      <c r="D431" s="29" t="inlineStr">
        <is>
          <t>Başvur</t>
        </is>
      </c>
      <c r="E431" s="29" t="inlineStr">
        <is>
          <t>https://www.juntadeandalucia.es/organismos/inclusionsocialjuventudfamiliaseigualdad/areas/inclusion/rmi.html</t>
        </is>
      </c>
      <c r="F431" s="49" t="n">
        <v>46319</v>
      </c>
      <c r="G431" s="51" t="n">
        <v>1</v>
      </c>
    </row>
    <row r="432" ht="54" customHeight="1">
      <c r="A432" s="29" t="inlineStr">
        <is>
          <t>sevilla:action:sosyal-hizmetler-merkezi-acil-sosyal-yardim-endulus-1</t>
        </is>
      </c>
      <c r="B432" s="29" t="inlineStr">
        <is>
          <t>sevilla</t>
        </is>
      </c>
      <c r="C432" s="29" t="inlineStr">
        <is>
          <t>sevilla:sosyal-hizmetler-merkezi-acil-sosyal-yardim-endulus</t>
        </is>
      </c>
      <c r="D432" s="29" t="inlineStr">
        <is>
          <t>Bilgi al</t>
        </is>
      </c>
      <c r="E432" s="29" t="inlineStr">
        <is>
          <t>https://www.juntadeandalucia.es/organismos/inclusionsocialjuventudfamiliaseigualdad/areas/inclusion/servicios-comunitarios/paginas/presentacion-servicios-sociales.html</t>
        </is>
      </c>
      <c r="F432" s="49" t="n">
        <v>46319</v>
      </c>
      <c r="G432" s="51" t="n">
        <v>1</v>
      </c>
    </row>
    <row r="433" ht="54" customHeight="1">
      <c r="A433" s="29" t="inlineStr">
        <is>
          <t>sevilla:action:sosyal-hizmetler-merkezi-acil-sosyal-yardim-endulus-2</t>
        </is>
      </c>
      <c r="B433" s="29" t="inlineStr">
        <is>
          <t>sevilla</t>
        </is>
      </c>
      <c r="C433" s="29" t="inlineStr">
        <is>
          <t>sevilla:sosyal-hizmetler-merkezi-acil-sosyal-yardim-endulus</t>
        </is>
      </c>
      <c r="D433" s="29" t="inlineStr">
        <is>
          <t>Bilgi al</t>
        </is>
      </c>
      <c r="E433" s="29" t="inlineStr">
        <is>
          <t>https://www.juntadeandalucia.es/organismos/inclusionsocialjuventudfamiliaseigualdad/areas/inclusion/servicios-comunitarios/paginas/servicio-prestaciones.html</t>
        </is>
      </c>
      <c r="F433" s="49" t="n">
        <v>46319</v>
      </c>
      <c r="G433" s="51" t="n">
        <v>2</v>
      </c>
    </row>
    <row r="434" ht="54" customHeight="1">
      <c r="A434" s="29" t="inlineStr">
        <is>
          <t>sevilla:action:arac-vergisi-ivtm-hangi-belediye-satista-devirde-ne-olur-1</t>
        </is>
      </c>
      <c r="B434" s="29" t="inlineStr">
        <is>
          <t>sevilla</t>
        </is>
      </c>
      <c r="C434" s="29" t="inlineStr">
        <is>
          <t>sevilla:arac-vergisi-ivtm-hangi-belediye-satista-devirde-ne-olur</t>
        </is>
      </c>
      <c r="D434" s="29" t="inlineStr">
        <is>
          <t>Bilgi al</t>
        </is>
      </c>
      <c r="E434" s="29" t="inlineStr">
        <is>
          <t>https://sede.opaef.es/sede/servicios/consultas-frecuentes/impuesto-sobre-vehiculos-de-traccion-mecanica/</t>
        </is>
      </c>
      <c r="F434" s="49" t="n">
        <v>46319</v>
      </c>
      <c r="G434" s="51" t="n">
        <v>1</v>
      </c>
    </row>
    <row r="435" ht="54" customHeight="1">
      <c r="A435" s="29" t="inlineStr">
        <is>
          <t>sevilla:action:opaef-vergi-odeme-yollari-ve-banka-talimati-domiciliacion-1</t>
        </is>
      </c>
      <c r="B435" s="29" t="inlineStr">
        <is>
          <t>sevilla</t>
        </is>
      </c>
      <c r="C435" s="29" t="inlineStr">
        <is>
          <t>sevilla:opaef-vergi-odeme-yollari-ve-banka-talimati-domiciliacion</t>
        </is>
      </c>
      <c r="D435" s="29" t="inlineStr">
        <is>
          <t>Başvur</t>
        </is>
      </c>
      <c r="E435" s="29" t="inlineStr">
        <is>
          <t>https://sede.opaef.es/sede/tributos/vehiculos/servicio/Domiciliacion-Bancaria-de-Pago-de-Tributos/</t>
        </is>
      </c>
      <c r="F435" s="49" t="n">
        <v>46319</v>
      </c>
      <c r="G435" s="51" t="n">
        <v>1</v>
      </c>
    </row>
    <row r="436" ht="54" customHeight="1">
      <c r="A436" s="29" t="inlineStr">
        <is>
          <t>sevilla:action:opaef-vergi-odeme-yollari-ve-banka-talimati-domiciliacion-2</t>
        </is>
      </c>
      <c r="B436" s="29" t="inlineStr">
        <is>
          <t>sevilla</t>
        </is>
      </c>
      <c r="C436" s="29" t="inlineStr">
        <is>
          <t>sevilla:opaef-vergi-odeme-yollari-ve-banka-talimati-domiciliacion</t>
        </is>
      </c>
      <c r="D436" s="29" t="inlineStr">
        <is>
          <t>Bilgi al</t>
        </is>
      </c>
      <c r="E436" s="29" t="inlineStr">
        <is>
          <t>https://sede.opaef.es/sede/tributos/consulta-y-pago-de-tributos-y-multas/</t>
        </is>
      </c>
      <c r="F436" s="49" t="n">
        <v>46319</v>
      </c>
      <c r="G436" s="51" t="n">
        <v>2</v>
      </c>
    </row>
    <row r="437" ht="54" customHeight="1">
      <c r="A437" s="29" t="inlineStr">
        <is>
          <t>sevilla:action:endulus-imv-tamamlayici-yardim-ve-bono-social-termico-1</t>
        </is>
      </c>
      <c r="B437" s="29" t="inlineStr">
        <is>
          <t>sevilla</t>
        </is>
      </c>
      <c r="C437" s="29" t="inlineStr">
        <is>
          <t>sevilla:endulus-imv-tamamlayici-yardim-ve-bono-social-termico</t>
        </is>
      </c>
      <c r="D437" s="29" t="inlineStr">
        <is>
          <t>Bilgi al</t>
        </is>
      </c>
      <c r="E437" s="29" t="inlineStr">
        <is>
          <t>https://www.juntadeandalucia.es/temas/familias-igualdad/minorias/medidas-exclusion-social.html</t>
        </is>
      </c>
      <c r="F437" s="49" t="n">
        <v>46319</v>
      </c>
      <c r="G437" s="51" t="n">
        <v>1</v>
      </c>
    </row>
    <row r="438" ht="54" customHeight="1">
      <c r="A438" s="29" t="inlineStr">
        <is>
          <t>sevilla:action:tasinma-oncesi-vize-ve-ilk-oturum-izni-1</t>
        </is>
      </c>
      <c r="B438" s="29" t="inlineStr">
        <is>
          <t>sevilla</t>
        </is>
      </c>
      <c r="C438" s="29" t="inlineStr">
        <is>
          <t>sevilla:tasinma-oncesi-vize-ve-ilk-oturum-izni</t>
        </is>
      </c>
      <c r="D438" s="29" t="inlineStr">
        <is>
          <t>Bilgi al</t>
        </is>
      </c>
      <c r="E438" s="29" t="inlineStr">
        <is>
          <t>https://www.exteriores.gob.es/Consulados/estambul/es/ServiciosConsulares/Paginas/index.aspx?scca=Visados&amp;scco=Turqu%C3%ADa&amp;scd=141&amp;scs=Visados+Nacionales+-+Visado+de+residencia+no+lucrativa</t>
        </is>
      </c>
      <c r="F438" s="49" t="n">
        <v>46319</v>
      </c>
      <c r="G438" s="51" t="n">
        <v>1</v>
      </c>
    </row>
    <row r="439" ht="54" customHeight="1">
      <c r="A439" s="29" t="inlineStr">
        <is>
          <t>sevilla:action:oturum-vizesi-basvurusunda-getirilecek-belgeler-1</t>
        </is>
      </c>
      <c r="B439" s="29" t="inlineStr">
        <is>
          <t>sevilla</t>
        </is>
      </c>
      <c r="C439" s="29" t="inlineStr">
        <is>
          <t>sevilla:oturum-vizesi-basvurusunda-getirilecek-belgeler</t>
        </is>
      </c>
      <c r="D439" s="29" t="inlineStr">
        <is>
          <t>Bilgi al</t>
        </is>
      </c>
      <c r="E439" s="29" t="inlineStr">
        <is>
          <t>https://www.exteriores.gob.es/Consulados/estambul/es/ServiciosConsulares/Paginas/index.aspx?scca=Visados&amp;scco=Turqu%C3%ADa&amp;scd=141&amp;scs=Visados+Nacionales+-+Visado+de+residencia+no+lucrativa</t>
        </is>
      </c>
      <c r="F439" s="49" t="n">
        <v>46319</v>
      </c>
      <c r="G439" s="51" t="n">
        <v>1</v>
      </c>
    </row>
    <row r="440" ht="54" customHeight="1">
      <c r="A440" s="29" t="inlineStr">
        <is>
          <t>sevilla:action:ilk-gunlerde-nuss-ve-temel-odeme-hesabi-1</t>
        </is>
      </c>
      <c r="B440" s="29" t="inlineStr">
        <is>
          <t>sevilla</t>
        </is>
      </c>
      <c r="C440" s="29" t="inlineStr">
        <is>
          <t>sevilla:ilk-gunlerde-nuss-ve-temel-odeme-hesabi</t>
        </is>
      </c>
      <c r="D440" s="29" t="inlineStr">
        <is>
          <t>Başvur</t>
        </is>
      </c>
      <c r="E440" s="29" t="inlineStr">
        <is>
          <t>https://portal.seg-social.gob.es/wps/portal/importass/importass/Categorias/Altas,+bajas+y+modificaciones/Altas+y+afiliacion+de+trabajadores/Solicitar+el+numero+de+la+Seguridad+Social</t>
        </is>
      </c>
      <c r="F440" s="49" t="n">
        <v>46319</v>
      </c>
      <c r="G440" s="51" t="n">
        <v>1</v>
      </c>
    </row>
    <row r="441" ht="54" customHeight="1">
      <c r="A441" s="29" t="inlineStr">
        <is>
          <t>sevilla:action:ilk-gunlerde-nuss-ve-temel-odeme-hesabi-2</t>
        </is>
      </c>
      <c r="B441" s="29" t="inlineStr">
        <is>
          <t>sevilla</t>
        </is>
      </c>
      <c r="C441" s="29" t="inlineStr">
        <is>
          <t>sevilla:ilk-gunlerde-nuss-ve-temel-odeme-hesabi</t>
        </is>
      </c>
      <c r="D441" s="29" t="inlineStr">
        <is>
          <t>Bilgi al</t>
        </is>
      </c>
      <c r="E441" s="29" t="inlineStr">
        <is>
          <t>https://clientebancario.bde.es/pcb/es/menu-horizontal/productosservici/cuentasdepositos/cuentascorriente/guia-textual/CuentadepagoBasica/quienes-pueden-solicitarla-.html</t>
        </is>
      </c>
      <c r="F441" s="49" t="n">
        <v>46319</v>
      </c>
      <c r="G441" s="51" t="n">
        <v>2</v>
      </c>
    </row>
    <row r="442" ht="54" customHeight="1">
      <c r="A442" s="29" t="inlineStr">
        <is>
          <t>sevilla:action:ab-disindan-gelirken-esya-ve-nakit-gumruk-beyani-1</t>
        </is>
      </c>
      <c r="B442" s="29" t="inlineStr">
        <is>
          <t>sevilla</t>
        </is>
      </c>
      <c r="C442" s="29" t="inlineStr">
        <is>
          <t>sevilla:ab-disindan-gelirken-esya-ve-nakit-gumruk-beyani</t>
        </is>
      </c>
      <c r="D442" s="29" t="inlineStr">
        <is>
          <t>Bilgi al</t>
        </is>
      </c>
      <c r="E442" s="29" t="inlineStr">
        <is>
          <t>https://sede.agenciatributaria.gob.es/Sede/viajeros-trabajadores-desplazados-fronterizos/viajeros/medios-pago.html</t>
        </is>
      </c>
      <c r="F442" s="49" t="n">
        <v>46319</v>
      </c>
      <c r="G442" s="51" t="n">
        <v>1</v>
      </c>
    </row>
    <row r="443" ht="54" customHeight="1">
      <c r="A443" s="29" t="inlineStr">
        <is>
          <t>sevilla:action:ab-disindan-gelirken-esya-ve-nakit-gumruk-beyani-2</t>
        </is>
      </c>
      <c r="B443" s="29" t="inlineStr">
        <is>
          <t>sevilla</t>
        </is>
      </c>
      <c r="C443" s="29" t="inlineStr">
        <is>
          <t>sevilla:ab-disindan-gelirken-esya-ve-nakit-gumruk-beyani</t>
        </is>
      </c>
      <c r="D443" s="29" t="inlineStr">
        <is>
          <t>Bilgi al</t>
        </is>
      </c>
      <c r="E443" s="29" t="inlineStr">
        <is>
          <t>https://sede.agenciatributaria.gob.es/Sede/no-residentes/exenciones-viajeros-embajadas-otros/traslado-actividad-empresarial-residencia-otros/traslado-residencia-franquicias-exencion-impuestos.html</t>
        </is>
      </c>
      <c r="F443" s="49" t="n">
        <v>46319</v>
      </c>
      <c r="G443" s="51" t="n">
        <v>2</v>
      </c>
    </row>
    <row r="444" ht="54" customHeight="1">
      <c r="A444" s="29" t="inlineStr">
        <is>
          <t>sevilla:action:ab-disindan-evcil-hayvanla-ispanyaya-giris-1</t>
        </is>
      </c>
      <c r="B444" s="29" t="inlineStr">
        <is>
          <t>sevilla</t>
        </is>
      </c>
      <c r="C444" s="29" t="inlineStr">
        <is>
          <t>sevilla:ab-disindan-evcil-hayvanla-ispanyaya-giris</t>
        </is>
      </c>
      <c r="D444" s="29" t="inlineStr">
        <is>
          <t>Bilgi al</t>
        </is>
      </c>
      <c r="E444" s="29" t="inlineStr">
        <is>
          <t>https://sede.agenciatributaria.gob.es/Sede/viajeros-trabajadores-desplazados-fronterizos/viajeros/mascotas-animales-compania.html</t>
        </is>
      </c>
      <c r="F444" s="49" t="n">
        <v>46319</v>
      </c>
      <c r="G444" s="51" t="n">
        <v>1</v>
      </c>
    </row>
    <row r="445" ht="54" customHeight="1">
      <c r="A445" s="29" t="inlineStr">
        <is>
          <t>sevilla:action:oturum-ve-ogrenci-vizesinde-saglik-sigortasi-sarti-1</t>
        </is>
      </c>
      <c r="B445" s="29" t="inlineStr">
        <is>
          <t>sevilla</t>
        </is>
      </c>
      <c r="C445" s="29" t="inlineStr">
        <is>
          <t>sevilla:oturum-ve-ogrenci-vizesinde-saglik-sigortasi-sarti</t>
        </is>
      </c>
      <c r="D445" s="29" t="inlineStr">
        <is>
          <t>Bilgi al</t>
        </is>
      </c>
      <c r="E445" s="29" t="inlineStr">
        <is>
          <t>https://www.exteriores.gob.es/Consulados/estambul/es/ServiciosConsulares/Paginas/index.aspx?scca=Visados&amp;scco=Turqu%C3%ADa&amp;scd=141&amp;scs=Visados+Nacionales+-+Visado+de+residencia+no+lucrativa</t>
        </is>
      </c>
      <c r="F445" s="49" t="n">
        <v>46319</v>
      </c>
      <c r="G445" s="51" t="n">
        <v>1</v>
      </c>
    </row>
    <row r="446" ht="54" customHeight="1">
      <c r="A446" s="29" t="inlineStr">
        <is>
          <t>sevilla:action:oturum-ve-ogrenci-vizesinde-saglik-sigortasi-sarti-2</t>
        </is>
      </c>
      <c r="B446" s="29" t="inlineStr">
        <is>
          <t>sevilla</t>
        </is>
      </c>
      <c r="C446" s="29" t="inlineStr">
        <is>
          <t>sevilla:oturum-ve-ogrenci-vizesinde-saglik-sigortasi-sarti</t>
        </is>
      </c>
      <c r="D446" s="29" t="inlineStr">
        <is>
          <t>Bilgi al</t>
        </is>
      </c>
      <c r="E446" s="29" t="inlineStr">
        <is>
          <t>https://www.exteriores.gob.es/Consulados/estambul/es/ServiciosConsulares/Paginas/index.aspx?scca=Visados&amp;scco=Turqu%C3%ADa&amp;scd=141&amp;scs=Visados+Nacionales+-+Visado+de+estudios</t>
        </is>
      </c>
      <c r="F446" s="49" t="n">
        <v>46319</v>
      </c>
      <c r="G446" s="51" t="n">
        <v>2</v>
      </c>
    </row>
    <row r="447" ht="54" customHeight="1">
      <c r="A447" s="29" t="inlineStr">
        <is>
          <t>sevilla:action:ispanya-para-birimi-euro-ve-resmi-dil-1</t>
        </is>
      </c>
      <c r="B447" s="29" t="inlineStr">
        <is>
          <t>sevilla</t>
        </is>
      </c>
      <c r="C447" s="29" t="inlineStr">
        <is>
          <t>sevilla:ispanya-para-birimi-euro-ve-resmi-dil</t>
        </is>
      </c>
      <c r="D447" s="29" t="inlineStr">
        <is>
          <t>Bilgi al</t>
        </is>
      </c>
      <c r="E447" s="29" t="inlineStr">
        <is>
          <t>https://www.bde.es/wbe/es/areas-actuacion/billetes-monedas/monedas-euros/</t>
        </is>
      </c>
      <c r="F447" s="49" t="n">
        <v>46319</v>
      </c>
      <c r="G447" s="51" t="n">
        <v>1</v>
      </c>
    </row>
    <row r="448" ht="54" customHeight="1">
      <c r="A448" s="29" t="inlineStr">
        <is>
          <t>sevilla:action:ispanya-para-birimi-euro-ve-resmi-dil-2</t>
        </is>
      </c>
      <c r="B448" s="29" t="inlineStr">
        <is>
          <t>sevilla</t>
        </is>
      </c>
      <c r="C448" s="29" t="inlineStr">
        <is>
          <t>sevilla:ispanya-para-birimi-euro-ve-resmi-dil</t>
        </is>
      </c>
      <c r="D448" s="29" t="inlineStr">
        <is>
          <t>Bilgi al</t>
        </is>
      </c>
      <c r="E448" s="29" t="inlineStr">
        <is>
          <t>https://www.boe.es/buscar/act.php?id=BOE-A-1978-31229</t>
        </is>
      </c>
      <c r="F448" s="49" t="n">
        <v>46319</v>
      </c>
      <c r="G448" s="51" t="n">
        <v>2</v>
      </c>
    </row>
    <row r="449" ht="54" customHeight="1">
      <c r="A449" s="29" t="inlineStr">
        <is>
          <t>sevilla:action:ispanya-resmi-saat-ve-yaz-saati-kurali-1</t>
        </is>
      </c>
      <c r="B449" s="29" t="inlineStr">
        <is>
          <t>sevilla</t>
        </is>
      </c>
      <c r="C449" s="29" t="inlineStr">
        <is>
          <t>sevilla:ispanya-resmi-saat-ve-yaz-saati-kurali</t>
        </is>
      </c>
      <c r="D449" s="29" t="inlineStr">
        <is>
          <t>Bilgi al</t>
        </is>
      </c>
      <c r="E449" s="29" t="inlineStr">
        <is>
          <t>https://www.boe.es/buscar/doc.php?id=BOE-A-2002-4221</t>
        </is>
      </c>
      <c r="F449" s="49" t="n">
        <v>46319</v>
      </c>
      <c r="G449" s="51" t="n">
        <v>1</v>
      </c>
    </row>
    <row r="450" ht="54" customHeight="1">
      <c r="A450" s="29" t="inlineStr">
        <is>
          <t>sevilla:action:ab-disindan-gelen-yolcunun-bagaj-muafiyeti-1</t>
        </is>
      </c>
      <c r="B450" s="29" t="inlineStr">
        <is>
          <t>sevilla</t>
        </is>
      </c>
      <c r="C450" s="29" t="inlineStr">
        <is>
          <t>sevilla:ab-disindan-gelen-yolcunun-bagaj-muafiyeti</t>
        </is>
      </c>
      <c r="D450" s="29" t="inlineStr">
        <is>
          <t>Muafiyet sınırlarını gör</t>
        </is>
      </c>
      <c r="E450" s="29" t="inlineStr">
        <is>
          <t>https://sede.agenciatributaria.gob.es/Sede/viajeros-trabajadores-desplazados-fronterizos/viajeros/franquicias-tabaco-alcohol-otras-mercancias.html</t>
        </is>
      </c>
      <c r="F450" s="49" t="n">
        <v>46319</v>
      </c>
      <c r="G450" s="51" t="n">
        <v>1</v>
      </c>
    </row>
    <row r="451" ht="54" customHeight="1">
      <c r="A451" s="29" t="inlineStr">
        <is>
          <t>sevilla:action:sevilla-havalimani-ve-santa-justa-garindan-merkeze-1</t>
        </is>
      </c>
      <c r="B451" s="29" t="inlineStr">
        <is>
          <t>sevilla</t>
        </is>
      </c>
      <c r="C451" s="29" t="inlineStr">
        <is>
          <t>sevilla:sevilla-havalimani-ve-santa-justa-garindan-merkeze</t>
        </is>
      </c>
      <c r="D451" s="29" t="inlineStr">
        <is>
          <t>Ulaşımı planla</t>
        </is>
      </c>
      <c r="E451" s="29" t="inlineStr">
        <is>
          <t>https://visitasevilla.es/prepara-tu-viaje/</t>
        </is>
      </c>
      <c r="F451" s="49" t="n">
        <v>46319</v>
      </c>
      <c r="G451" s="51" t="n">
        <v>1</v>
      </c>
    </row>
    <row r="452" ht="54" customHeight="1">
      <c r="A452" s="29" t="inlineStr">
        <is>
          <t>sevilla:action:sevilla-otogarlari-plaza-de-armas-ve-prado-de-san-sebastian-1</t>
        </is>
      </c>
      <c r="B452" s="29" t="inlineStr">
        <is>
          <t>sevilla</t>
        </is>
      </c>
      <c r="C452" s="29" t="inlineStr">
        <is>
          <t>sevilla:sevilla-otogarlari-plaza-de-armas-ve-prado-de-san-sebastian</t>
        </is>
      </c>
      <c r="D452" s="29" t="inlineStr">
        <is>
          <t>Ulaşımı planla</t>
        </is>
      </c>
      <c r="E452" s="29" t="inlineStr">
        <is>
          <t>https://visitasevilla.es/prepara-tu-viaje/</t>
        </is>
      </c>
      <c r="F452" s="49" t="n">
        <v>46319</v>
      </c>
      <c r="G452" s="51" t="n">
        <v>1</v>
      </c>
    </row>
    <row r="453" ht="54" customHeight="1">
      <c r="A453" s="29" t="inlineStr">
        <is>
          <t>sevilla:action:sevilla-turizm-danisma-noktalari-adres-ve-saatler-1</t>
        </is>
      </c>
      <c r="B453" s="29" t="inlineStr">
        <is>
          <t>sevilla</t>
        </is>
      </c>
      <c r="C453" s="29" t="inlineStr">
        <is>
          <t>sevilla:sevilla-turizm-danisma-noktalari-adres-ve-saatler</t>
        </is>
      </c>
      <c r="D453" s="29" t="inlineStr">
        <is>
          <t>Bilgi al</t>
        </is>
      </c>
      <c r="E453" s="29" t="inlineStr">
        <is>
          <t>https://visitasevilla.es/puntos-de-informacion-turistica/</t>
        </is>
      </c>
      <c r="F453" s="49" t="n">
        <v>46319</v>
      </c>
      <c r="G453" s="51" t="n">
        <v>1</v>
      </c>
    </row>
    <row r="454" ht="54" customHeight="1">
      <c r="A454" s="29" t="inlineStr">
        <is>
          <t>sevilla:action:sevilla-metro-bilet-turleri-ve-ucretleri-1</t>
        </is>
      </c>
      <c r="B454" s="29" t="inlineStr">
        <is>
          <t>sevilla</t>
        </is>
      </c>
      <c r="C454" s="29" t="inlineStr">
        <is>
          <t>sevilla:sevilla-metro-bilet-turleri-ve-ucretleri</t>
        </is>
      </c>
      <c r="D454" s="29" t="inlineStr">
        <is>
          <t>Tarifeyi gör</t>
        </is>
      </c>
      <c r="E454" s="29" t="inlineStr">
        <is>
          <t>https://www.metro-sevilla.es/horarios-y-tarifas?section=titulosMetro</t>
        </is>
      </c>
      <c r="F454" s="49" t="n">
        <v>46319</v>
      </c>
      <c r="G454" s="51" t="n">
        <v>1</v>
      </c>
    </row>
    <row r="455" ht="54" customHeight="1">
      <c r="A455" s="29" t="inlineStr">
        <is>
          <t>sevilla:action:sevilla-metro-saatleri-otobus-hatti-ve-taksi-telefonlari-1</t>
        </is>
      </c>
      <c r="B455" s="29" t="inlineStr">
        <is>
          <t>sevilla</t>
        </is>
      </c>
      <c r="C455" s="29" t="inlineStr">
        <is>
          <t>sevilla:sevilla-metro-saatleri-otobus-hatti-ve-taksi-telefonlari</t>
        </is>
      </c>
      <c r="D455" s="29" t="inlineStr">
        <is>
          <t>Ulaşımı planla</t>
        </is>
      </c>
      <c r="E455" s="29" t="inlineStr">
        <is>
          <t>https://visitasevilla.es/durante-tu-estancia/</t>
        </is>
      </c>
      <c r="F455" s="49" t="n">
        <v>46319</v>
      </c>
      <c r="G455" s="51" t="n">
        <v>1</v>
      </c>
    </row>
    <row r="456" ht="54" customHeight="1">
      <c r="A456" s="29" t="inlineStr">
        <is>
          <t>sevilla:action:sevilla-ulasim-karti-fiyati-ve-konsorsiyum-iletisim-1</t>
        </is>
      </c>
      <c r="B456" s="29" t="inlineStr">
        <is>
          <t>sevilla</t>
        </is>
      </c>
      <c r="C456" s="29" t="inlineStr">
        <is>
          <t>sevilla:sevilla-ulasim-karti-fiyati-ve-konsorsiyum-iletisim</t>
        </is>
      </c>
      <c r="D456" s="29" t="inlineStr">
        <is>
          <t>Bilgi al</t>
        </is>
      </c>
      <c r="E456" s="29" t="inlineStr">
        <is>
          <t>https://www.juntadeandalucia.es/organismos/fomentoarticulaciondelterritorioyvivienda/areas/servicios-transporte/transporte-publico/paginas/tarjeta-transporte.html</t>
        </is>
      </c>
      <c r="F456" s="49" t="n">
        <v>46319</v>
      </c>
      <c r="G456" s="51" t="n">
        <v>1</v>
      </c>
    </row>
    <row r="457" ht="54" customHeight="1">
      <c r="A457" s="29" t="inlineStr">
        <is>
          <t>sevilla:action:sevilla-ulasim-karti-fiyati-ve-konsorsiyum-iletisim-2</t>
        </is>
      </c>
      <c r="B457" s="29" t="inlineStr">
        <is>
          <t>sevilla</t>
        </is>
      </c>
      <c r="C457" s="29" t="inlineStr">
        <is>
          <t>sevilla:sevilla-ulasim-karti-fiyati-ve-konsorsiyum-iletisim</t>
        </is>
      </c>
      <c r="D457" s="29" t="inlineStr">
        <is>
          <t>Bilgi al</t>
        </is>
      </c>
      <c r="E457" s="29" t="inlineStr">
        <is>
          <t>https://www.juntadeandalucia.es/organismos/ctmas/estructura/titular.html</t>
        </is>
      </c>
      <c r="F457" s="49" t="n">
        <v>46319</v>
      </c>
      <c r="G457" s="51" t="n">
        <v>2</v>
      </c>
    </row>
    <row r="458" ht="54" customHeight="1">
      <c r="A458" s="29" t="inlineStr">
        <is>
          <t>sevilla:action:sevilla-yaz-sicaklarina-hazirlik-ve-uyari-seviyeleri-1</t>
        </is>
      </c>
      <c r="B458" s="29" t="inlineStr">
        <is>
          <t>sevilla</t>
        </is>
      </c>
      <c r="C458" s="29" t="inlineStr">
        <is>
          <t>sevilla:sevilla-yaz-sicaklarina-hazirlik-ve-uyari-seviyeleri</t>
        </is>
      </c>
      <c r="D458" s="29" t="inlineStr">
        <is>
          <t>Bilgi al</t>
        </is>
      </c>
      <c r="E458" s="29" t="inlineStr">
        <is>
          <t>https://www.juntadeandalucia.es/organismos/sanidadpresidenciayemergencias/servicios/actualidad/noticias/detalle/661876.html</t>
        </is>
      </c>
      <c r="F458" s="49" t="n">
        <v>46319</v>
      </c>
      <c r="G458" s="51" t="n">
        <v>1</v>
      </c>
    </row>
    <row r="459" ht="54" customHeight="1">
      <c r="A459" s="29" t="inlineStr">
        <is>
          <t>sevilla:action:sevilla-gocmen-dernekleri-adres-ve-telefon-listesi-1</t>
        </is>
      </c>
      <c r="B459" s="29" t="inlineStr">
        <is>
          <t>sevilla</t>
        </is>
      </c>
      <c r="C459" s="29" t="inlineStr">
        <is>
          <t>sevilla:sevilla-gocmen-dernekleri-adres-ve-telefon-listesi</t>
        </is>
      </c>
      <c r="D459" s="29" t="inlineStr">
        <is>
          <t>Bilgi al</t>
        </is>
      </c>
      <c r="E459" s="29" t="inlineStr">
        <is>
          <t>https://www.juntadeandalucia.es/organismos/serviciossocialesfamiliaseigualdad/areas/inclusion/migraciones/paginas/asociaciones-inmigrantes-sevilla.html</t>
        </is>
      </c>
      <c r="F459" s="49" t="n">
        <v>46319</v>
      </c>
      <c r="G459" s="51" t="n">
        <v>1</v>
      </c>
    </row>
    <row r="460" ht="54" customHeight="1">
      <c r="A460" s="29" t="inlineStr">
        <is>
          <t>sevilla:action:sevilla-gocmen-dernekleri-adres-ve-telefon-listesi-2</t>
        </is>
      </c>
      <c r="B460" s="29" t="inlineStr">
        <is>
          <t>sevilla</t>
        </is>
      </c>
      <c r="C460" s="29" t="inlineStr">
        <is>
          <t>sevilla:sevilla-gocmen-dernekleri-adres-ve-telefon-listesi</t>
        </is>
      </c>
      <c r="D460" s="29" t="inlineStr">
        <is>
          <t>Bilgi al</t>
        </is>
      </c>
      <c r="E460" s="29" t="inlineStr">
        <is>
          <t>https://www.juntadeandalucia.es/organismos/inclusionsocialjuventudfamiliaseigualdad/areas/inclusion/migraciones/paginas/asociaciones-inmigrantes-regionales.html</t>
        </is>
      </c>
      <c r="F460" s="49" t="n">
        <v>46319</v>
      </c>
      <c r="G460" s="51" t="n">
        <v>2</v>
      </c>
    </row>
    <row r="461" ht="54" customHeight="1">
      <c r="A461" s="29" t="inlineStr">
        <is>
          <t>sevilla:action:sevilla-il-gocmenlik-politikalari-koordinasyon-birimi-1</t>
        </is>
      </c>
      <c r="B461" s="29" t="inlineStr">
        <is>
          <t>sevilla</t>
        </is>
      </c>
      <c r="C461" s="29" t="inlineStr">
        <is>
          <t>sevilla:sevilla-il-gocmenlik-politikalari-koordinasyon-birimi</t>
        </is>
      </c>
      <c r="D461" s="29" t="inlineStr">
        <is>
          <t>Bilgi al</t>
        </is>
      </c>
      <c r="E461" s="29" t="inlineStr">
        <is>
          <t>https://www.juntadeandalucia.es/organismos/inclusionsocialjuventudfamiliaseigualdad/areas/politicas-migratorias/directorio.html</t>
        </is>
      </c>
      <c r="F461" s="49" t="n">
        <v>46319</v>
      </c>
      <c r="G461" s="51" t="n">
        <v>1</v>
      </c>
    </row>
    <row r="462" ht="54" customHeight="1">
      <c r="A462" s="29" t="inlineStr">
        <is>
          <t>sevilla:action:sevilla-junta-012-hatti-bilgi-ve-randevu-1</t>
        </is>
      </c>
      <c r="B462" s="29" t="inlineStr">
        <is>
          <t>sevilla</t>
        </is>
      </c>
      <c r="C462" s="29" t="inlineStr">
        <is>
          <t>sevilla:sevilla-junta-012-hatti-bilgi-ve-randevu</t>
        </is>
      </c>
      <c r="D462" s="29" t="inlineStr">
        <is>
          <t>Bilgi al</t>
        </is>
      </c>
      <c r="E462" s="29" t="inlineStr">
        <is>
          <t>https://www.juntadeandalucia.es/servicios/tramites/atencion-ciudadania/servicio-012.html</t>
        </is>
      </c>
      <c r="F462" s="49" t="n">
        <v>46319</v>
      </c>
      <c r="G462" s="51" t="n">
        <v>1</v>
      </c>
    </row>
    <row r="463" ht="54" customHeight="1">
      <c r="A463" s="29" t="inlineStr">
        <is>
          <t>sevilla:action:sevilla-gecici-konaklama-turistik-daire-kayit-kodu-kontrolu-1</t>
        </is>
      </c>
      <c r="B463" s="29" t="inlineStr">
        <is>
          <t>sevilla</t>
        </is>
      </c>
      <c r="C463" s="29" t="inlineStr">
        <is>
          <t>sevilla:sevilla-gecici-konaklama-turistik-daire-kayit-kodu-kontrolu</t>
        </is>
      </c>
      <c r="D463" s="29" t="inlineStr">
        <is>
          <t>Bilgi al</t>
        </is>
      </c>
      <c r="E463" s="29" t="inlineStr">
        <is>
          <t>https://www.juntadeandalucia.es/organismos/turismoyandaluciaexterior/areas/registro-turismo/establecimientos-servicios/paginas/faq-viviendas-turismo.html</t>
        </is>
      </c>
      <c r="F463" s="49" t="n">
        <v>46319</v>
      </c>
      <c r="G463" s="51" t="n">
        <v>1</v>
      </c>
    </row>
    <row r="464" ht="54" customHeight="1">
      <c r="A464" s="29" t="inlineStr">
        <is>
          <t>sevilla:action:sevilla-gecici-konaklama-turistik-daire-kayit-kodu-kontrolu-2</t>
        </is>
      </c>
      <c r="B464" s="29" t="inlineStr">
        <is>
          <t>sevilla</t>
        </is>
      </c>
      <c r="C464" s="29" t="inlineStr">
        <is>
          <t>sevilla:sevilla-gecici-konaklama-turistik-daire-kayit-kodu-kontrolu</t>
        </is>
      </c>
      <c r="D464" s="29" t="inlineStr">
        <is>
          <t>Bilgi al</t>
        </is>
      </c>
      <c r="E464" s="29" t="inlineStr">
        <is>
          <t>https://visitasevilla.es/prepara-tu-viaje/</t>
        </is>
      </c>
      <c r="F464" s="49" t="n">
        <v>46319</v>
      </c>
      <c r="G464" s="51" t="n">
        <v>2</v>
      </c>
    </row>
    <row r="465" ht="54" customHeight="1">
      <c r="A465" s="29" t="inlineStr">
        <is>
          <t>sevilla:action:sevilla-metro-bilet-turleri-ve-ucretleri-2</t>
        </is>
      </c>
      <c r="B465" s="29" t="inlineStr">
        <is>
          <t>sevilla</t>
        </is>
      </c>
      <c r="C465" s="29" t="inlineStr">
        <is>
          <t>sevilla:sevilla-metro-bilet-turleri-ve-ucretleri</t>
        </is>
      </c>
      <c r="D465" s="29" t="inlineStr">
        <is>
          <t>Tarifeyi gör</t>
        </is>
      </c>
      <c r="E465" s="29" t="inlineStr">
        <is>
          <t>https://www.ctas.es/lineas-y-horarios/bus-metro-y-cercanias/metro</t>
        </is>
      </c>
      <c r="F465" s="49" t="n">
        <v>46320</v>
      </c>
      <c r="G465" s="51" t="n">
        <v>2</v>
      </c>
    </row>
    <row r="466" ht="54" customHeight="1">
      <c r="A466" s="29" t="inlineStr">
        <is>
          <t>sevilla:action:empadronamiento-nedir-neden-gerekir-1</t>
        </is>
      </c>
      <c r="B466" s="29" t="inlineStr">
        <is>
          <t>sevilla</t>
        </is>
      </c>
      <c r="C466" s="29" t="inlineStr">
        <is>
          <t>sevilla:empadronamiento-nedir-neden-gerekir</t>
        </is>
      </c>
      <c r="D466" s="29" t="inlineStr">
        <is>
          <t>Bilgi al</t>
        </is>
      </c>
      <c r="E466" s="29" t="inlineStr">
        <is>
          <t>https://www.boe.es/buscar/act.php?id=BOE-A-1985-5392</t>
        </is>
      </c>
      <c r="F466" s="49" t="n">
        <v>46319</v>
      </c>
      <c r="G466" s="51" t="n">
        <v>1</v>
      </c>
    </row>
    <row r="467" ht="54" customHeight="1">
      <c r="A467" s="29" t="inlineStr">
        <is>
          <t>sevilla:action:certificado-ve-volante-farki-1</t>
        </is>
      </c>
      <c r="B467" s="29" t="inlineStr">
        <is>
          <t>sevilla</t>
        </is>
      </c>
      <c r="C467" s="29" t="inlineStr">
        <is>
          <t>sevilla:certificado-ve-volante-farki</t>
        </is>
      </c>
      <c r="D467" s="29" t="inlineStr">
        <is>
          <t>Bilgi al</t>
        </is>
      </c>
      <c r="E467" s="29" t="inlineStr">
        <is>
          <t>https://www.boe.es/buscar/doc.php?id=BOE-A-2020-4784</t>
        </is>
      </c>
      <c r="F467" s="49" t="n">
        <v>46319</v>
      </c>
      <c r="G467" s="51" t="n">
        <v>1</v>
      </c>
    </row>
    <row r="468" ht="54" customHeight="1">
      <c r="A468" s="29" t="inlineStr">
        <is>
          <t>sevilla:action:sosyal-guvenlik-numarasi-alma-1</t>
        </is>
      </c>
      <c r="B468" s="29" t="inlineStr">
        <is>
          <t>sevilla</t>
        </is>
      </c>
      <c r="C468" s="29" t="inlineStr">
        <is>
          <t>sevilla:sosyal-guvenlik-numarasi-alma</t>
        </is>
      </c>
      <c r="D468" s="29" t="inlineStr">
        <is>
          <t>Bilgi al</t>
        </is>
      </c>
      <c r="E468" s="29" t="inlineStr">
        <is>
          <t>https://www.seg-social.es/wps/portal/wss/internet/Trabajadores/Afiliacion/10817/31190/2194/160060?changeLanguage=es</t>
        </is>
      </c>
      <c r="F468" s="49" t="n">
        <v>46319</v>
      </c>
      <c r="G468" s="51" t="n">
        <v>1</v>
      </c>
    </row>
    <row r="469" ht="54" customHeight="1">
      <c r="A469" s="29" t="inlineStr">
        <is>
          <t>sevilla:action:vida-laboral-raporu-alma-1</t>
        </is>
      </c>
      <c r="B469" s="29" t="inlineStr">
        <is>
          <t>sevilla</t>
        </is>
      </c>
      <c r="C469" s="29" t="inlineStr">
        <is>
          <t>sevilla:vida-laboral-raporu-alma</t>
        </is>
      </c>
      <c r="D469" s="29" t="inlineStr">
        <is>
          <t>Başvur</t>
        </is>
      </c>
      <c r="E469" s="29" t="inlineStr">
        <is>
          <t>https://portal.seg-social.gob.es/wps/portal/importass/importass/Categorias/Vida+laboral+e+informes/Informes+sobre+tu+situacion+laboral/Informe+de+tu+vida+laboral</t>
        </is>
      </c>
      <c r="F469" s="49" t="n">
        <v>46319</v>
      </c>
      <c r="G469" s="51" t="n">
        <v>1</v>
      </c>
    </row>
    <row r="470" ht="54" customHeight="1">
      <c r="A470" s="29" t="inlineStr">
        <is>
          <t>sevilla:action:vergi-numarasi-nif-nie-alma-1</t>
        </is>
      </c>
      <c r="B470" s="29" t="inlineStr">
        <is>
          <t>sevilla</t>
        </is>
      </c>
      <c r="C470" s="29" t="inlineStr">
        <is>
          <t>sevilla:vergi-numarasi-nif-nie-alma</t>
        </is>
      </c>
      <c r="D470" s="29" t="inlineStr">
        <is>
          <t>Başvur</t>
        </is>
      </c>
      <c r="E470" s="29" t="inlineStr">
        <is>
          <t>https://sede.agenciatributaria.gob.es/Sede/censos-nif-domicilio-fiscal/solicitar-nif/nif-persona-fisica.html</t>
        </is>
      </c>
      <c r="F470" s="49" t="n">
        <v>46319</v>
      </c>
      <c r="G470" s="51" t="n">
        <v>1</v>
      </c>
    </row>
    <row r="471" ht="54" customHeight="1">
      <c r="A471" s="29" t="inlineStr">
        <is>
          <t>sevilla:action:vergi-numarasi-nif-nie-alma-2</t>
        </is>
      </c>
      <c r="B471" s="29" t="inlineStr">
        <is>
          <t>sevilla</t>
        </is>
      </c>
      <c r="C471" s="29" t="inlineStr">
        <is>
          <t>sevilla:vergi-numarasi-nif-nie-alma</t>
        </is>
      </c>
      <c r="D471" s="29" t="inlineStr">
        <is>
          <t>Bilgi al</t>
        </is>
      </c>
      <c r="E471" s="29" t="inlineStr">
        <is>
          <t>https://sede.policia.gob.es/portalCiudadano/_es/tramites_extranjeria_tramite_asignacion_nie.php</t>
        </is>
      </c>
      <c r="F471" s="49" t="n">
        <v>46319</v>
      </c>
      <c r="G471" s="51" t="n">
        <v>2</v>
      </c>
    </row>
    <row r="472" ht="54" customHeight="1">
      <c r="A472" s="29" t="inlineStr">
        <is>
          <t>sevilla:action:clave-pin-ve-permanente-farki-1</t>
        </is>
      </c>
      <c r="B472" s="29" t="inlineStr">
        <is>
          <t>sevilla</t>
        </is>
      </c>
      <c r="C472" s="29" t="inlineStr">
        <is>
          <t>sevilla:clave-pin-ve-permanente-farki</t>
        </is>
      </c>
      <c r="D472" s="29" t="inlineStr">
        <is>
          <t>Bilgi al</t>
        </is>
      </c>
      <c r="E472" s="29" t="inlineStr">
        <is>
          <t>https://clave.gob.es/en/clave-movil/app-clave</t>
        </is>
      </c>
      <c r="F472" s="49" t="n">
        <v>46319</v>
      </c>
      <c r="G472" s="51" t="n">
        <v>1</v>
      </c>
    </row>
    <row r="473" ht="54" customHeight="1">
      <c r="A473" s="29" t="inlineStr">
        <is>
          <t>sevilla:action:clave-pin-ve-permanente-farki-2</t>
        </is>
      </c>
      <c r="B473" s="29" t="inlineStr">
        <is>
          <t>sevilla</t>
        </is>
      </c>
      <c r="C473" s="29" t="inlineStr">
        <is>
          <t>sevilla:clave-pin-ve-permanente-farki</t>
        </is>
      </c>
      <c r="D473" s="29" t="inlineStr">
        <is>
          <t>Bilgi al</t>
        </is>
      </c>
      <c r="E473" s="29" t="inlineStr">
        <is>
          <t>https://clave.gob.es/clave-permanente/que-es</t>
        </is>
      </c>
      <c r="F473" s="49" t="n">
        <v>46319</v>
      </c>
      <c r="G473" s="51" t="n">
        <v>2</v>
      </c>
    </row>
    <row r="474" ht="54" customHeight="1">
      <c r="A474" s="29" t="inlineStr">
        <is>
          <t>sevilla:action:fnmt-dijital-sertifika-kurma-1</t>
        </is>
      </c>
      <c r="B474" s="29" t="inlineStr">
        <is>
          <t>sevilla</t>
        </is>
      </c>
      <c r="C474" s="29" t="inlineStr">
        <is>
          <t>sevilla:fnmt-dijital-sertifika-kurma</t>
        </is>
      </c>
      <c r="D474" s="29" t="inlineStr">
        <is>
          <t>Başvur</t>
        </is>
      </c>
      <c r="E474" s="29" t="inlineStr">
        <is>
          <t>https://www.sede.fnmt.gob.es/certificados/persona-fisica/obtener-certificado-software</t>
        </is>
      </c>
      <c r="F474" s="49" t="n">
        <v>46319</v>
      </c>
      <c r="G474" s="51" t="n">
        <v>1</v>
      </c>
    </row>
    <row r="475" ht="54" customHeight="1">
      <c r="A475" s="29" t="inlineStr">
        <is>
          <t>sevilla:action:belge-ceviri-ve-apostil-1</t>
        </is>
      </c>
      <c r="B475" s="29" t="inlineStr">
        <is>
          <t>sevilla</t>
        </is>
      </c>
      <c r="C475" s="29" t="inlineStr">
        <is>
          <t>sevilla:belge-ceviri-ve-apostil</t>
        </is>
      </c>
      <c r="D475" s="29" t="inlineStr">
        <is>
          <t>Bilgi al</t>
        </is>
      </c>
      <c r="E475" s="29" t="inlineStr">
        <is>
          <t>https://www.exteriores.gob.es/es/ServiciosAlCiudadano/Paginas/Traductores-Interpretes-Jurados.aspx</t>
        </is>
      </c>
      <c r="F475" s="49" t="n">
        <v>46319</v>
      </c>
      <c r="G475" s="51" t="n">
        <v>1</v>
      </c>
    </row>
    <row r="476" ht="54" customHeight="1">
      <c r="A476" s="29" t="inlineStr">
        <is>
          <t>sevilla:action:belge-ceviri-ve-apostil-2</t>
        </is>
      </c>
      <c r="B476" s="29" t="inlineStr">
        <is>
          <t>sevilla</t>
        </is>
      </c>
      <c r="C476" s="29" t="inlineStr">
        <is>
          <t>sevilla:belge-ceviri-ve-apostil</t>
        </is>
      </c>
      <c r="D476" s="29" t="inlineStr">
        <is>
          <t>Başvur</t>
        </is>
      </c>
      <c r="E476" s="29" t="inlineStr">
        <is>
          <t>https://www.mjusticia.gob.es/es/ciudadania/tramites/legalizacion-unica-apostilla</t>
        </is>
      </c>
      <c r="F476" s="49" t="n">
        <v>46319</v>
      </c>
      <c r="G476" s="51" t="n">
        <v>2</v>
      </c>
    </row>
    <row r="477" ht="54" customHeight="1">
      <c r="A477" s="29" t="inlineStr">
        <is>
          <t>sevilla:action:noter-islemleri-ve-ucretleri-1</t>
        </is>
      </c>
      <c r="B477" s="29" t="inlineStr">
        <is>
          <t>sevilla</t>
        </is>
      </c>
      <c r="C477" s="29" t="inlineStr">
        <is>
          <t>sevilla:noter-islemleri-ve-ucretleri</t>
        </is>
      </c>
      <c r="D477" s="29" t="inlineStr">
        <is>
          <t>Tarifeyi gör</t>
        </is>
      </c>
      <c r="E477" s="29" t="inlineStr">
        <is>
          <t>https://www.boe.es/buscar/act.php?id=BOE-A-1989-28111</t>
        </is>
      </c>
      <c r="F477" s="49" t="n">
        <v>46319</v>
      </c>
      <c r="G477" s="51" t="n">
        <v>1</v>
      </c>
    </row>
    <row r="478" ht="54" customHeight="1">
      <c r="A478" s="29" t="inlineStr">
        <is>
          <t>sevilla:action:libro-de-familia-nedir-1</t>
        </is>
      </c>
      <c r="B478" s="29" t="inlineStr">
        <is>
          <t>sevilla</t>
        </is>
      </c>
      <c r="C478" s="29" t="inlineStr">
        <is>
          <t>sevilla:libro-de-familia-nedir</t>
        </is>
      </c>
      <c r="D478" s="29" t="inlineStr">
        <is>
          <t>Bilgi al</t>
        </is>
      </c>
      <c r="E478" s="29" t="inlineStr">
        <is>
          <t>https://www.boe.es/buscar/act.php?id=BOE-A-2011-12628</t>
        </is>
      </c>
      <c r="F478" s="49" t="n">
        <v>46319</v>
      </c>
      <c r="G478" s="51" t="n">
        <v>1</v>
      </c>
    </row>
    <row r="479" ht="54" customHeight="1">
      <c r="A479" s="29" t="inlineStr">
        <is>
          <t>sevilla:action:libro-de-familia-nedir-2</t>
        </is>
      </c>
      <c r="B479" s="29" t="inlineStr">
        <is>
          <t>sevilla</t>
        </is>
      </c>
      <c r="C479" s="29" t="inlineStr">
        <is>
          <t>sevilla:libro-de-familia-nedir</t>
        </is>
      </c>
      <c r="D479" s="29" t="inlineStr">
        <is>
          <t>Bilgi al</t>
        </is>
      </c>
      <c r="E479" s="29" t="inlineStr">
        <is>
          <t>https://www.mjusticia.gob.es/es/ciudadania/estado-civil/registro-civil</t>
        </is>
      </c>
      <c r="F479" s="49" t="n">
        <v>46319</v>
      </c>
      <c r="G479" s="51" t="n">
        <v>2</v>
      </c>
    </row>
    <row r="480" ht="54" customHeight="1">
      <c r="A480" s="29" t="inlineStr">
        <is>
          <t>sevilla:action:registro-civil-ne-ise-yarar-1</t>
        </is>
      </c>
      <c r="B480" s="29" t="inlineStr">
        <is>
          <t>sevilla</t>
        </is>
      </c>
      <c r="C480" s="29" t="inlineStr">
        <is>
          <t>sevilla:registro-civil-ne-ise-yarar</t>
        </is>
      </c>
      <c r="D480" s="29" t="inlineStr">
        <is>
          <t>Bilgi al</t>
        </is>
      </c>
      <c r="E480" s="29" t="inlineStr">
        <is>
          <t>https://www.mjusticia.gob.es/es/ciudadania/estado-civil/registro-civil</t>
        </is>
      </c>
      <c r="F480" s="49" t="n">
        <v>46319</v>
      </c>
      <c r="G480" s="51" t="n">
        <v>1</v>
      </c>
    </row>
    <row r="481" ht="54" customHeight="1">
      <c r="A481" s="29" t="inlineStr">
        <is>
          <t>sevilla:action:yabanci-ehliyet-degisimi-1</t>
        </is>
      </c>
      <c r="B481" s="29" t="inlineStr">
        <is>
          <t>sevilla</t>
        </is>
      </c>
      <c r="C481" s="29" t="inlineStr">
        <is>
          <t>sevilla:yabanci-ehliyet-degisimi</t>
        </is>
      </c>
      <c r="D481" s="29" t="inlineStr">
        <is>
          <t>Bilgi al</t>
        </is>
      </c>
      <c r="E481" s="29" t="inlineStr">
        <is>
          <t>https://www.boe.es/diario_boe/txt.php?id=BOE-A-2011-5606</t>
        </is>
      </c>
      <c r="F481" s="49" t="n">
        <v>46319</v>
      </c>
      <c r="G481" s="51" t="n">
        <v>1</v>
      </c>
    </row>
    <row r="482" ht="54" customHeight="1">
      <c r="A482" s="29" t="inlineStr">
        <is>
          <t>sevilla:action:yabanci-ehliyet-degisimi-2</t>
        </is>
      </c>
      <c r="B482" s="29" t="inlineStr">
        <is>
          <t>sevilla</t>
        </is>
      </c>
      <c r="C482" s="29" t="inlineStr">
        <is>
          <t>sevilla:yabanci-ehliyet-degisimi</t>
        </is>
      </c>
      <c r="D482" s="29" t="inlineStr">
        <is>
          <t>Başvur</t>
        </is>
      </c>
      <c r="E482" s="29" t="inlineStr">
        <is>
          <t>https://sede.dgt.gob.es/es/permisos-de-conducir/canjes-de-permisos/canjes-de-permisos-extranjeros/</t>
        </is>
      </c>
      <c r="F482" s="49" t="n">
        <v>46319</v>
      </c>
      <c r="G482" s="51" t="n">
        <v>2</v>
      </c>
    </row>
    <row r="483" ht="54" customHeight="1">
      <c r="A483" s="29" t="inlineStr">
        <is>
          <t>sevilla:action:yabanci-ehliyet-degisimi-3</t>
        </is>
      </c>
      <c r="B483" s="29" t="inlineStr">
        <is>
          <t>sevilla</t>
        </is>
      </c>
      <c r="C483" s="29" t="inlineStr">
        <is>
          <t>sevilla:yabanci-ehliyet-degisimi</t>
        </is>
      </c>
      <c r="D483" s="29" t="inlineStr">
        <is>
          <t>Bilgi al</t>
        </is>
      </c>
      <c r="E483" s="29" t="inlineStr">
        <is>
          <t>https://www.dgt.es/nuestros-servicios/permisos-de-conducir/permisos-extranjeros-y-de-fuerzas-y-cuerpos-de-seguridad/canjes-de-permisos/canjes-de-permisos-extranjeros/canje-de-permisos-de-otros-paises/</t>
        </is>
      </c>
      <c r="F483" s="49" t="n">
        <v>46319</v>
      </c>
      <c r="G483" s="51" t="n">
        <v>3</v>
      </c>
    </row>
    <row r="484" ht="54" customHeight="1">
      <c r="A484" s="29" t="inlineStr">
        <is>
          <t>sevilla:action:arac-kaydi-ulusal-cerceve-1</t>
        </is>
      </c>
      <c r="B484" s="29" t="inlineStr">
        <is>
          <t>sevilla</t>
        </is>
      </c>
      <c r="C484" s="29" t="inlineStr">
        <is>
          <t>sevilla:arac-kaydi-ulusal-cerceve</t>
        </is>
      </c>
      <c r="D484" s="29" t="inlineStr">
        <is>
          <t>Başvur</t>
        </is>
      </c>
      <c r="E484" s="29" t="inlineStr">
        <is>
          <t>https://sede.dgt.gob.es/es/vehiculos/matriculaciones-de-vehiculos/matriculacion-ordinaria/</t>
        </is>
      </c>
      <c r="F484" s="49" t="n">
        <v>46319</v>
      </c>
      <c r="G484" s="51" t="n">
        <v>1</v>
      </c>
    </row>
    <row r="485" ht="54" customHeight="1">
      <c r="A485" s="29" t="inlineStr">
        <is>
          <t>sevilla:action:arac-kaydi-ulusal-cerceve-2</t>
        </is>
      </c>
      <c r="B485" s="29" t="inlineStr">
        <is>
          <t>sevilla</t>
        </is>
      </c>
      <c r="C485" s="29" t="inlineStr">
        <is>
          <t>sevilla:arac-kaydi-ulusal-cerceve</t>
        </is>
      </c>
      <c r="D485" s="29" t="inlineStr">
        <is>
          <t>Formu doldur</t>
        </is>
      </c>
      <c r="E485" s="29" t="inlineStr">
        <is>
          <t>https://sede.agenciatributaria.gob.es/Sede/impuestos-tasas/impuesto-matriculacion.html</t>
        </is>
      </c>
      <c r="F485" s="49" t="n">
        <v>46319</v>
      </c>
      <c r="G485" s="51" t="n">
        <v>2</v>
      </c>
    </row>
    <row r="486" ht="54" customHeight="1">
      <c r="A486" s="29" t="inlineStr">
        <is>
          <t>sevilla:action:endulus-carpeta-ciudadana-junta-dijital-islemler-1</t>
        </is>
      </c>
      <c r="B486" s="29" t="inlineStr">
        <is>
          <t>sevilla</t>
        </is>
      </c>
      <c r="C486" s="29" t="inlineStr">
        <is>
          <t>sevilla:endulus-carpeta-ciudadana-junta-dijital-islemler</t>
        </is>
      </c>
      <c r="D486" s="29" t="inlineStr">
        <is>
          <t>Bilgi al</t>
        </is>
      </c>
      <c r="E486" s="29" t="inlineStr">
        <is>
          <t>https://www.juntadeandalucia.es/servicios/carpeta-ciudadana.html</t>
        </is>
      </c>
      <c r="F486" s="49" t="n">
        <v>46319</v>
      </c>
      <c r="G486" s="51" t="n">
        <v>1</v>
      </c>
    </row>
    <row r="487" ht="54" customHeight="1">
      <c r="A487" s="29" t="inlineStr">
        <is>
          <t>sevilla:action:junta-kayit-yardim-ofisleri-sevilla-1</t>
        </is>
      </c>
      <c r="B487" s="29" t="inlineStr">
        <is>
          <t>sevilla</t>
        </is>
      </c>
      <c r="C487" s="29" t="inlineStr">
        <is>
          <t>sevilla:junta-kayit-yardim-ofisleri-sevilla</t>
        </is>
      </c>
      <c r="D487" s="29" t="inlineStr">
        <is>
          <t>Bilgi al</t>
        </is>
      </c>
      <c r="E487" s="29" t="inlineStr">
        <is>
          <t>https://www.juntadeandalucia.es/servicios/tramites/presentacion-documentos/oficinas-asistencia-registros/paginas/informacion.html</t>
        </is>
      </c>
      <c r="F487" s="49" t="n">
        <v>46319</v>
      </c>
      <c r="G487" s="51" t="n">
        <v>1</v>
      </c>
    </row>
    <row r="488" ht="54" customHeight="1">
      <c r="A488" s="29" t="inlineStr">
        <is>
          <t>sevilla:action:junta-kayit-yardim-ofisleri-sevilla-2</t>
        </is>
      </c>
      <c r="B488" s="29" t="inlineStr">
        <is>
          <t>sevilla</t>
        </is>
      </c>
      <c r="C488" s="29" t="inlineStr">
        <is>
          <t>sevilla:junta-kayit-yardim-ofisleri-sevilla</t>
        </is>
      </c>
      <c r="D488" s="29" t="inlineStr">
        <is>
          <t>Bilgi al</t>
        </is>
      </c>
      <c r="E488" s="29" t="inlineStr">
        <is>
          <t>https://www.juntadeandalucia.es/servicios/sede/tramites/oficinas-asistencia-registros.html</t>
        </is>
      </c>
      <c r="F488" s="49" t="n">
        <v>46319</v>
      </c>
      <c r="G488" s="51" t="n">
        <v>2</v>
      </c>
    </row>
    <row r="489" ht="54" customHeight="1">
      <c r="A489" s="29" t="inlineStr">
        <is>
          <t>sevilla:action:junta-012-hatti-saatler-kanallar-1</t>
        </is>
      </c>
      <c r="B489" s="29" t="inlineStr">
        <is>
          <t>sevilla</t>
        </is>
      </c>
      <c r="C489" s="29" t="inlineStr">
        <is>
          <t>sevilla:junta-012-hatti-saatler-kanallar</t>
        </is>
      </c>
      <c r="D489" s="29" t="inlineStr">
        <is>
          <t>Bilgi al</t>
        </is>
      </c>
      <c r="E489" s="29" t="inlineStr">
        <is>
          <t>https://www.juntadeandalucia.es/servicios/tramites/atencion-ciudadania/servicio-012.html</t>
        </is>
      </c>
      <c r="F489" s="49" t="n">
        <v>46319</v>
      </c>
      <c r="G489" s="51" t="n">
        <v>1</v>
      </c>
    </row>
    <row r="490" ht="54" customHeight="1">
      <c r="A490" s="29" t="inlineStr">
        <is>
          <t>sevilla:action:seguridad-social-telefonla-randevu-caiss-1</t>
        </is>
      </c>
      <c r="B490" s="29" t="inlineStr">
        <is>
          <t>sevilla</t>
        </is>
      </c>
      <c r="C490" s="29" t="inlineStr">
        <is>
          <t>sevilla:seguridad-social-telefonla-randevu-caiss</t>
        </is>
      </c>
      <c r="D490" s="29" t="inlineStr">
        <is>
          <t>Randevu al</t>
        </is>
      </c>
      <c r="E490" s="29" t="inlineStr">
        <is>
          <t>https://sede.seg-social.gob.es/wps/portal/sede/sede/Ciudadanos/cita+previa+para+pensiones+y+otras+prestaciones/13cita+previa+para+pensiones+y+otras+prestaciones</t>
        </is>
      </c>
      <c r="F490" s="49" t="n">
        <v>46319</v>
      </c>
      <c r="G490" s="51" t="n">
        <v>1</v>
      </c>
    </row>
    <row r="491" ht="54" customHeight="1">
      <c r="A491" s="29" t="inlineStr">
        <is>
          <t>sevilla:action:seguridad-social-telefonla-randevu-caiss-2</t>
        </is>
      </c>
      <c r="B491" s="29" t="inlineStr">
        <is>
          <t>sevilla</t>
        </is>
      </c>
      <c r="C491" s="29" t="inlineStr">
        <is>
          <t>sevilla:seguridad-social-telefonla-randevu-caiss</t>
        </is>
      </c>
      <c r="D491" s="29" t="inlineStr">
        <is>
          <t>Bilgi al</t>
        </is>
      </c>
      <c r="E491" s="29" t="inlineStr">
        <is>
          <t>https://www.seg-social.es/wps/portal/wss/internet/ServicioAtencionTelefonica</t>
        </is>
      </c>
      <c r="F491" s="49" t="n">
        <v>46319</v>
      </c>
      <c r="G491" s="51" t="n">
        <v>2</v>
      </c>
    </row>
    <row r="492" ht="54" customHeight="1">
      <c r="A492" s="29" t="inlineStr">
        <is>
          <t>sevilla:action:dgt-sevilla-randevu-ve-kimler-randevusuz-gider-1</t>
        </is>
      </c>
      <c r="B492" s="29" t="inlineStr">
        <is>
          <t>sevilla</t>
        </is>
      </c>
      <c r="C492" s="29" t="inlineStr">
        <is>
          <t>sevilla:dgt-sevilla-randevu-ve-kimler-randevusuz-gider</t>
        </is>
      </c>
      <c r="D492" s="29" t="inlineStr">
        <is>
          <t>Randevu al</t>
        </is>
      </c>
      <c r="E492" s="29" t="inlineStr">
        <is>
          <t>https://sede.dgt.gob.es/es/otros-tramites/cita-previa</t>
        </is>
      </c>
      <c r="F492" s="49" t="n">
        <v>46319</v>
      </c>
      <c r="G492" s="51" t="n">
        <v>1</v>
      </c>
    </row>
    <row r="493" ht="54" customHeight="1">
      <c r="A493" s="29" t="inlineStr">
        <is>
          <t>sevilla:action:dgt-sevilla-randevu-ve-kimler-randevusuz-gider-2</t>
        </is>
      </c>
      <c r="B493" s="29" t="inlineStr">
        <is>
          <t>sevilla</t>
        </is>
      </c>
      <c r="C493" s="29" t="inlineStr">
        <is>
          <t>sevilla:dgt-sevilla-randevu-ve-kimler-randevusuz-gider</t>
        </is>
      </c>
      <c r="D493" s="29" t="inlineStr">
        <is>
          <t>Bilgi al</t>
        </is>
      </c>
      <c r="E493" s="29" t="inlineStr">
        <is>
          <t>https://www.dgt.es/conoce-la-dgt/donde-estamos/</t>
        </is>
      </c>
      <c r="F493" s="49" t="n">
        <v>46319</v>
      </c>
      <c r="G493" s="51" t="n">
        <v>2</v>
      </c>
    </row>
    <row r="494" ht="54" customHeight="1">
      <c r="A494" s="29" t="inlineStr">
        <is>
          <t>sevilla:action:colegio-notarial-andalucia-sevilla-notar-arama-1</t>
        </is>
      </c>
      <c r="B494" s="29" t="inlineStr">
        <is>
          <t>sevilla</t>
        </is>
      </c>
      <c r="C494" s="29" t="inlineStr">
        <is>
          <t>sevilla:colegio-notarial-andalucia-sevilla-notar-arama</t>
        </is>
      </c>
      <c r="D494" s="29" t="inlineStr">
        <is>
          <t>Bilgi al</t>
        </is>
      </c>
      <c r="E494" s="29" t="inlineStr">
        <is>
          <t>https://www.notariado.org/portal/en/-/colegio-notarial-de-andaluc%C3%ADa</t>
        </is>
      </c>
      <c r="F494" s="49" t="n">
        <v>46319</v>
      </c>
      <c r="G494" s="51" t="n">
        <v>1</v>
      </c>
    </row>
    <row r="495" ht="54" customHeight="1">
      <c r="A495" s="29" t="inlineStr">
        <is>
          <t>sevilla:action:colegio-notarial-andalucia-sevilla-notar-arama-2</t>
        </is>
      </c>
      <c r="B495" s="29" t="inlineStr">
        <is>
          <t>sevilla</t>
        </is>
      </c>
      <c r="C495" s="29" t="inlineStr">
        <is>
          <t>sevilla:colegio-notarial-andalucia-sevilla-notar-arama</t>
        </is>
      </c>
      <c r="D495" s="29" t="inlineStr">
        <is>
          <t>Bilgi al</t>
        </is>
      </c>
      <c r="E495" s="29" t="inlineStr">
        <is>
          <t>https://www.juntadeandalucia.es/organismos/turismojusticiadesregulacionyadministracionlocal/areas/notarias/colegios.html</t>
        </is>
      </c>
      <c r="F495" s="49" t="n">
        <v>46319</v>
      </c>
      <c r="G495" s="51" t="n">
        <v>2</v>
      </c>
    </row>
    <row r="496" ht="54" customHeight="1">
      <c r="A496" s="29" t="inlineStr">
        <is>
          <t>sevilla:action:yeminli-tercuman-sevilla-turkce-resmi-liste-1</t>
        </is>
      </c>
      <c r="B496" s="29" t="inlineStr">
        <is>
          <t>sevilla</t>
        </is>
      </c>
      <c r="C496" s="29" t="inlineStr">
        <is>
          <t>sevilla:yeminli-tercuman-sevilla-turkce-resmi-liste</t>
        </is>
      </c>
      <c r="D496" s="29" t="inlineStr">
        <is>
          <t>Bilgi al</t>
        </is>
      </c>
      <c r="E496" s="29" t="inlineStr">
        <is>
          <t>https://www.exteriores.gob.es/es/ServiciosAlCiudadano/Paginas/Buscador-STIJ.aspx</t>
        </is>
      </c>
      <c r="F496" s="49" t="n">
        <v>46319</v>
      </c>
      <c r="G496" s="51" t="n">
        <v>1</v>
      </c>
    </row>
    <row r="497" ht="54" customHeight="1">
      <c r="A497" s="29" t="inlineStr">
        <is>
          <t>sevilla:action:yeminli-tercuman-sevilla-turkce-resmi-liste-2</t>
        </is>
      </c>
      <c r="B497" s="29" t="inlineStr">
        <is>
          <t>sevilla</t>
        </is>
      </c>
      <c r="C497" s="29" t="inlineStr">
        <is>
          <t>sevilla:yeminli-tercuman-sevilla-turkce-resmi-liste</t>
        </is>
      </c>
      <c r="D497" s="29" t="inlineStr">
        <is>
          <t>Bilgi al</t>
        </is>
      </c>
      <c r="E497" s="29" t="inlineStr">
        <is>
          <t>https://www.exteriores.gob.es/es/ServiciosAlCiudadano/Paginas/Traductores-Interpretes-Jurados.aspx</t>
        </is>
      </c>
      <c r="F497" s="49" t="n">
        <v>46319</v>
      </c>
      <c r="G497" s="51" t="n">
        <v>2</v>
      </c>
    </row>
    <row r="498" ht="54" customHeight="1">
      <c r="A498" s="29" t="inlineStr">
        <is>
          <t>sevilla:action:sevilla-registro-civil-adres-ve-telefonlar-1</t>
        </is>
      </c>
      <c r="B498" s="29" t="inlineStr">
        <is>
          <t>sevilla</t>
        </is>
      </c>
      <c r="C498" s="29" t="inlineStr">
        <is>
          <t>sevilla:sevilla-registro-civil-adres-ve-telefonlar</t>
        </is>
      </c>
      <c r="D498" s="29" t="inlineStr">
        <is>
          <t>Bilgi al</t>
        </is>
      </c>
      <c r="E498" s="29" t="inlineStr">
        <is>
          <t>https://www.juntadeandalucia.es/organismos/turismojusticiadesregulacionyadministracionlocal/areas/justicia/atencion-ciudadania/tramites-registro-civil/informacion-adicional/rc-exclusivo-sevilla.html</t>
        </is>
      </c>
      <c r="F498" s="49" t="n">
        <v>46320</v>
      </c>
      <c r="G498" s="51" t="n">
        <v>1</v>
      </c>
    </row>
    <row r="499" ht="54" customHeight="1">
      <c r="A499" s="29" t="inlineStr">
        <is>
          <t>sevilla:action:sevilla-registro-civil-adres-ve-telefonlar-2</t>
        </is>
      </c>
      <c r="B499" s="29" t="inlineStr">
        <is>
          <t>sevilla</t>
        </is>
      </c>
      <c r="C499" s="29" t="inlineStr">
        <is>
          <t>sevilla:sevilla-registro-civil-adres-ve-telefonlar</t>
        </is>
      </c>
      <c r="D499" s="29" t="inlineStr">
        <is>
          <t>Randevu al</t>
        </is>
      </c>
      <c r="E499" s="29" t="inlineStr">
        <is>
          <t>https://sede.mjusticia.gob.es/tramites/cita-previa-registro-civil</t>
        </is>
      </c>
      <c r="F499" s="49" t="n">
        <v>46320</v>
      </c>
      <c r="G499" s="51" t="n">
        <v>2</v>
      </c>
    </row>
    <row r="500" ht="54" customHeight="1">
      <c r="A500" s="29" t="inlineStr">
        <is>
          <t>sevilla:action:kamu-saglik-sistemine-erisim-hak-sahipleri-1</t>
        </is>
      </c>
      <c r="B500" s="29" t="inlineStr">
        <is>
          <t>sevilla</t>
        </is>
      </c>
      <c r="C500" s="29" t="inlineStr">
        <is>
          <t>sevilla:kamu-saglik-sistemine-erisim-hak-sahipleri</t>
        </is>
      </c>
      <c r="D500" s="29" t="inlineStr">
        <is>
          <t>Bilgi al</t>
        </is>
      </c>
      <c r="E500" s="29" t="inlineStr">
        <is>
          <t>https://www.seg-social.es/wps/portal/wss/internet/Trabajadores/PrestacionesPensionesTrabajadores/10938/30476</t>
        </is>
      </c>
      <c r="F500" s="49" t="n">
        <v>46319</v>
      </c>
      <c r="G500" s="51" t="n">
        <v>1</v>
      </c>
    </row>
    <row r="501" ht="54" customHeight="1">
      <c r="A501" s="29" t="inlineStr">
        <is>
          <t>sevilla:action:kamu-saglik-sistemine-erisim-hak-sahipleri-2</t>
        </is>
      </c>
      <c r="B501" s="29" t="inlineStr">
        <is>
          <t>sevilla</t>
        </is>
      </c>
      <c r="C501" s="29" t="inlineStr">
        <is>
          <t>sevilla:kamu-saglik-sistemine-erisim-hak-sahipleri</t>
        </is>
      </c>
      <c r="D501" s="29" t="inlineStr">
        <is>
          <t>Bilgi al</t>
        </is>
      </c>
      <c r="E501" s="29" t="inlineStr">
        <is>
          <t>https://www.boe.es/buscar/act.php?id=BOE-A-2018-10752</t>
        </is>
      </c>
      <c r="F501" s="49" t="n">
        <v>46319</v>
      </c>
      <c r="G501" s="51" t="n">
        <v>2</v>
      </c>
    </row>
    <row r="502" ht="54" customHeight="1">
      <c r="A502" s="29" t="inlineStr">
        <is>
          <t>sevilla:action:saglik-sigortasi-sarti-ve-convenio-especial-1</t>
        </is>
      </c>
      <c r="B502" s="29" t="inlineStr">
        <is>
          <t>sevilla</t>
        </is>
      </c>
      <c r="C502" s="29" t="inlineStr">
        <is>
          <t>sevilla:saglik-sigortasi-sarti-ve-convenio-especial</t>
        </is>
      </c>
      <c r="D502" s="29" t="inlineStr">
        <is>
          <t>Bilgi al</t>
        </is>
      </c>
      <c r="E502" s="29" t="inlineStr">
        <is>
          <t>https://www.sanidad.gob.es/servCiudadanos/internacional/convenioEspecial.htm</t>
        </is>
      </c>
      <c r="F502" s="49" t="n">
        <v>46319</v>
      </c>
      <c r="G502" s="51" t="n">
        <v>1</v>
      </c>
    </row>
    <row r="503" ht="54" customHeight="1">
      <c r="A503" s="29" t="inlineStr">
        <is>
          <t>sevilla:action:saglik-sigortasi-sarti-ve-convenio-especial-2</t>
        </is>
      </c>
      <c r="B503" s="29" t="inlineStr">
        <is>
          <t>sevilla</t>
        </is>
      </c>
      <c r="C503" s="29" t="inlineStr">
        <is>
          <t>sevilla:saglik-sigortasi-sarti-ve-convenio-especial</t>
        </is>
      </c>
      <c r="D503" s="29" t="inlineStr">
        <is>
          <t>Bilgi al</t>
        </is>
      </c>
      <c r="E503" s="29" t="inlineStr">
        <is>
          <t>https://www.boe.es/buscar/act.php?id=BOE-A-2024-24099</t>
        </is>
      </c>
      <c r="F503" s="49" t="n">
        <v>46319</v>
      </c>
      <c r="G503" s="51" t="n">
        <v>2</v>
      </c>
    </row>
    <row r="504" ht="54" customHeight="1">
      <c r="A504" s="29" t="inlineStr">
        <is>
          <t>sevilla:action:recete-ilac-katilim-payi-copago-1</t>
        </is>
      </c>
      <c r="B504" s="29" t="inlineStr">
        <is>
          <t>sevilla</t>
        </is>
      </c>
      <c r="C504" s="29" t="inlineStr">
        <is>
          <t>sevilla:recete-ilac-katilim-payi-copago</t>
        </is>
      </c>
      <c r="D504" s="29" t="inlineStr">
        <is>
          <t>Bilgi al</t>
        </is>
      </c>
      <c r="E504" s="29" t="inlineStr">
        <is>
          <t>https://www.boe.es/buscar/act.php?id=BOE-A-2015-8343</t>
        </is>
      </c>
      <c r="F504" s="49" t="n">
        <v>46319</v>
      </c>
      <c r="G504" s="51" t="n">
        <v>1</v>
      </c>
    </row>
    <row r="505" ht="54" customHeight="1">
      <c r="A505" s="29" t="inlineStr">
        <is>
          <t>sevilla:action:recete-ilac-katilim-payi-copago-2</t>
        </is>
      </c>
      <c r="B505" s="29" t="inlineStr">
        <is>
          <t>sevilla</t>
        </is>
      </c>
      <c r="C505" s="29" t="inlineStr">
        <is>
          <t>sevilla:recete-ilac-katilim-payi-copago</t>
        </is>
      </c>
      <c r="D505" s="29" t="inlineStr">
        <is>
          <t>Bilgi al</t>
        </is>
      </c>
      <c r="E505" s="29" t="inlineStr">
        <is>
          <t>https://www.sanidad.gob.es/profesionales/prestacionesSanitarias/CarteraDeServicios/home.htm</t>
        </is>
      </c>
      <c r="F505" s="49" t="n">
        <v>46319</v>
      </c>
      <c r="G505" s="51" t="n">
        <v>2</v>
      </c>
    </row>
    <row r="506" ht="54" customHeight="1">
      <c r="A506" s="29" t="inlineStr">
        <is>
          <t>sevilla:action:acil-durumda-112-1</t>
        </is>
      </c>
      <c r="B506" s="29" t="inlineStr">
        <is>
          <t>sevilla</t>
        </is>
      </c>
      <c r="C506" s="29" t="inlineStr">
        <is>
          <t>sevilla:acil-durumda-112</t>
        </is>
      </c>
      <c r="D506" s="29" t="inlineStr">
        <is>
          <t>Bilgi al</t>
        </is>
      </c>
      <c r="E506" s="29" t="inlineStr">
        <is>
          <t>https://www.boe.es/buscar/doc.php?id=BOE-A-1997-14058</t>
        </is>
      </c>
      <c r="F506" s="49" t="n">
        <v>46319</v>
      </c>
      <c r="G506" s="51" t="n">
        <v>1</v>
      </c>
    </row>
    <row r="507" ht="54" customHeight="1">
      <c r="A507" s="29" t="inlineStr">
        <is>
          <t>sevilla:action:ulusal-asi-takvimi-1</t>
        </is>
      </c>
      <c r="B507" s="29" t="inlineStr">
        <is>
          <t>sevilla</t>
        </is>
      </c>
      <c r="C507" s="29" t="inlineStr">
        <is>
          <t>sevilla:ulusal-asi-takvimi</t>
        </is>
      </c>
      <c r="D507" s="29" t="inlineStr">
        <is>
          <t>Bilgi al</t>
        </is>
      </c>
      <c r="E507" s="29" t="inlineStr">
        <is>
          <t>https://www.sanidad.gob.es/areas/promocionPrevencion/vacunaciones/calendario/home.htm</t>
        </is>
      </c>
      <c r="F507" s="49" t="n">
        <v>46319</v>
      </c>
      <c r="G507" s="51" t="n">
        <v>1</v>
      </c>
    </row>
    <row r="508" ht="54" customHeight="1">
      <c r="A508" s="29" t="inlineStr">
        <is>
          <t>sevilla:action:hamilelik-dogum-ve-cocuk-sagligi-haklari-1</t>
        </is>
      </c>
      <c r="B508" s="29" t="inlineStr">
        <is>
          <t>sevilla</t>
        </is>
      </c>
      <c r="C508" s="29" t="inlineStr">
        <is>
          <t>sevilla:hamilelik-dogum-ve-cocuk-sagligi-haklari</t>
        </is>
      </c>
      <c r="D508" s="29" t="inlineStr">
        <is>
          <t>Bilgi al</t>
        </is>
      </c>
      <c r="E508" s="29" t="inlineStr">
        <is>
          <t>https://www.boe.es/buscar/act.php?id=BOE-A-2006-16212</t>
        </is>
      </c>
      <c r="F508" s="49" t="n">
        <v>46319</v>
      </c>
      <c r="G508" s="51" t="n">
        <v>1</v>
      </c>
    </row>
    <row r="509" ht="54" customHeight="1">
      <c r="A509" s="29" t="inlineStr">
        <is>
          <t>sevilla:action:hamilelik-dogum-ve-cocuk-sagligi-haklari-2</t>
        </is>
      </c>
      <c r="B509" s="29" t="inlineStr">
        <is>
          <t>sevilla</t>
        </is>
      </c>
      <c r="C509" s="29" t="inlineStr">
        <is>
          <t>sevilla:hamilelik-dogum-ve-cocuk-sagligi-haklari</t>
        </is>
      </c>
      <c r="D509" s="29" t="inlineStr">
        <is>
          <t>Bilgi al</t>
        </is>
      </c>
      <c r="E509" s="29" t="inlineStr">
        <is>
          <t>https://www.seg-social.es/wps/portal/wss/internet/Trabajadores/PrestacionesPensionesTrabajadores/6b96a085-4dc0-47af-b2cb-97e00716791e/requisitos+19-c021</t>
        </is>
      </c>
      <c r="F509" s="49" t="n">
        <v>46319</v>
      </c>
      <c r="G509" s="51" t="n">
        <v>2</v>
      </c>
    </row>
    <row r="510" ht="54" customHeight="1">
      <c r="A510" s="29" t="inlineStr">
        <is>
          <t>sevilla:action:ruh-sagligi-ve-yasli-bakimi-dependencia-1</t>
        </is>
      </c>
      <c r="B510" s="29" t="inlineStr">
        <is>
          <t>sevilla</t>
        </is>
      </c>
      <c r="C510" s="29" t="inlineStr">
        <is>
          <t>sevilla:ruh-sagligi-ve-yasli-bakimi-dependencia</t>
        </is>
      </c>
      <c r="D510" s="29" t="inlineStr">
        <is>
          <t>Bilgi al</t>
        </is>
      </c>
      <c r="E510" s="29" t="inlineStr">
        <is>
          <t>https://www.boe.es/buscar/act.php?id=BOE-A-2006-21990</t>
        </is>
      </c>
      <c r="F510" s="49" t="n">
        <v>46319</v>
      </c>
      <c r="G510" s="51" t="n">
        <v>1</v>
      </c>
    </row>
    <row r="511" ht="54" customHeight="1">
      <c r="A511" s="29" t="inlineStr">
        <is>
          <t>sevilla:action:ruh-sagligi-ve-yasli-bakimi-dependencia-2</t>
        </is>
      </c>
      <c r="B511" s="29" t="inlineStr">
        <is>
          <t>sevilla</t>
        </is>
      </c>
      <c r="C511" s="29" t="inlineStr">
        <is>
          <t>sevilla:ruh-sagligi-ve-yasli-bakimi-dependencia</t>
        </is>
      </c>
      <c r="D511" s="29" t="inlineStr">
        <is>
          <t>Bilgi al</t>
        </is>
      </c>
      <c r="E511" s="29" t="inlineStr">
        <is>
          <t>https://www.boe.es/buscar/act.php?id=BOE-A-2006-16212</t>
        </is>
      </c>
      <c r="F511" s="49" t="n">
        <v>46319</v>
      </c>
      <c r="G511" s="51" t="n">
        <v>2</v>
      </c>
    </row>
    <row r="512" ht="54" customHeight="1">
      <c r="A512" s="29" t="inlineStr">
        <is>
          <t>sevilla:action:endulus-saglik-karti-tarjeta-sanitaria-ve-aile-hekimi-secimi-1</t>
        </is>
      </c>
      <c r="B512" s="29" t="inlineStr">
        <is>
          <t>sevilla</t>
        </is>
      </c>
      <c r="C512" s="29" t="inlineStr">
        <is>
          <t>sevilla:endulus-saglik-karti-tarjeta-sanitaria-ve-aile-hekimi-secimi</t>
        </is>
      </c>
      <c r="D512" s="29" t="inlineStr">
        <is>
          <t>Bilgi al</t>
        </is>
      </c>
      <c r="E512" s="29" t="inlineStr">
        <is>
          <t>https://www.juntadeandalucia.es/temas/salud/servicios/tarjeta.html</t>
        </is>
      </c>
      <c r="F512" s="49" t="n">
        <v>46319</v>
      </c>
      <c r="G512" s="51" t="n">
        <v>1</v>
      </c>
    </row>
    <row r="513" ht="54" customHeight="1">
      <c r="A513" s="29" t="inlineStr">
        <is>
          <t>sevilla:action:endulus-saglik-karti-tarjeta-sanitaria-ve-aile-hekimi-secimi-2</t>
        </is>
      </c>
      <c r="B513" s="29" t="inlineStr">
        <is>
          <t>sevilla</t>
        </is>
      </c>
      <c r="C513" s="29" t="inlineStr">
        <is>
          <t>sevilla:endulus-saglik-karti-tarjeta-sanitaria-ve-aile-hekimi-secimi</t>
        </is>
      </c>
      <c r="D513" s="29" t="inlineStr">
        <is>
          <t>Başvur</t>
        </is>
      </c>
      <c r="E513" s="29" t="inlineStr">
        <is>
          <t>https://www.juntadeandalucia.es/temas/salud/derechos/eleccion.html</t>
        </is>
      </c>
      <c r="F513" s="49" t="n">
        <v>46319</v>
      </c>
      <c r="G513" s="51" t="n">
        <v>2</v>
      </c>
    </row>
    <row r="514" ht="54" customHeight="1">
      <c r="A514" s="29" t="inlineStr">
        <is>
          <t>sevilla:action:sevilla-kamu-hastaneleri-rocio-macarena-valme-1</t>
        </is>
      </c>
      <c r="B514" s="29" t="inlineStr">
        <is>
          <t>sevilla</t>
        </is>
      </c>
      <c r="C514" s="29" t="inlineStr">
        <is>
          <t>sevilla:sevilla-kamu-hastaneleri-rocio-macarena-valme</t>
        </is>
      </c>
      <c r="D514" s="29" t="inlineStr">
        <is>
          <t>Bilgi al</t>
        </is>
      </c>
      <c r="E514" s="29" t="inlineStr">
        <is>
          <t>https://www.sspa.juntadeandalucia.es/servicioandaluzdesalud/el-sas/servicios-y-centros/informacion-por-centros/16477</t>
        </is>
      </c>
      <c r="F514" s="49" t="n">
        <v>46319</v>
      </c>
      <c r="G514" s="51" t="n">
        <v>1</v>
      </c>
    </row>
    <row r="515" ht="54" customHeight="1">
      <c r="A515" s="29" t="inlineStr">
        <is>
          <t>sevilla:action:sevilla-kamu-hastaneleri-rocio-macarena-valme-2</t>
        </is>
      </c>
      <c r="B515" s="29" t="inlineStr">
        <is>
          <t>sevilla</t>
        </is>
      </c>
      <c r="C515" s="29" t="inlineStr">
        <is>
          <t>sevilla:sevilla-kamu-hastaneleri-rocio-macarena-valme</t>
        </is>
      </c>
      <c r="D515" s="29" t="inlineStr">
        <is>
          <t>Bilgi al</t>
        </is>
      </c>
      <c r="E515" s="29" t="inlineStr">
        <is>
          <t>https://www.sanidad.gob.es/ciudadanos/centrosCA.do?metodo=busquedaProvH&amp;prov=41</t>
        </is>
      </c>
      <c r="F515" s="49" t="n">
        <v>46319</v>
      </c>
      <c r="G515" s="51" t="n">
        <v>2</v>
      </c>
    </row>
    <row r="516" ht="54" customHeight="1">
      <c r="A516" s="29" t="inlineStr">
        <is>
          <t>sevilla:action:virgen-del-rocio-hastane-kampusu-birimleri-1</t>
        </is>
      </c>
      <c r="B516" s="29" t="inlineStr">
        <is>
          <t>sevilla</t>
        </is>
      </c>
      <c r="C516" s="29" t="inlineStr">
        <is>
          <t>sevilla:virgen-del-rocio-hastane-kampusu-birimleri</t>
        </is>
      </c>
      <c r="D516" s="29" t="inlineStr">
        <is>
          <t>Bilgi al</t>
        </is>
      </c>
      <c r="E516" s="29" t="inlineStr">
        <is>
          <t>https://www.sspa.juntadeandalucia.es/servicioandaluzdesalud/el-sas/servicios-y-centros/informacion-por-centros/16477</t>
        </is>
      </c>
      <c r="F516" s="49" t="n">
        <v>46319</v>
      </c>
      <c r="G516" s="51" t="n">
        <v>1</v>
      </c>
    </row>
    <row r="517" ht="54" customHeight="1">
      <c r="A517" s="29" t="inlineStr">
        <is>
          <t>sevilla:action:rocio-hospital-infantil-cocuk-acili-kapilari-1</t>
        </is>
      </c>
      <c r="B517" s="29" t="inlineStr">
        <is>
          <t>sevilla</t>
        </is>
      </c>
      <c r="C517" s="29" t="inlineStr">
        <is>
          <t>sevilla:rocio-hospital-infantil-cocuk-acili-kapilari</t>
        </is>
      </c>
      <c r="D517" s="29" t="inlineStr">
        <is>
          <t>Bilgi al</t>
        </is>
      </c>
      <c r="E517" s="29" t="inlineStr">
        <is>
          <t>https://hospitaluvrocio.es/entrada-blog/hospital-infantil/</t>
        </is>
      </c>
      <c r="F517" s="49" t="n">
        <v>46319</v>
      </c>
      <c r="G517" s="51" t="n">
        <v>1</v>
      </c>
    </row>
    <row r="518" ht="54" customHeight="1">
      <c r="A518" s="29" t="inlineStr">
        <is>
          <t>sevilla:action:rocio-hospital-infantil-cocuk-acili-kapilari-2</t>
        </is>
      </c>
      <c r="B518" s="29" t="inlineStr">
        <is>
          <t>sevilla</t>
        </is>
      </c>
      <c r="C518" s="29" t="inlineStr">
        <is>
          <t>sevilla:rocio-hospital-infantil-cocuk-acili-kapilari</t>
        </is>
      </c>
      <c r="D518" s="29" t="inlineStr">
        <is>
          <t>Bilgi al</t>
        </is>
      </c>
      <c r="E518" s="29" t="inlineStr">
        <is>
          <t>https://www.hospitaluvrocio.es/blog/contacto-y-ubicacion/</t>
        </is>
      </c>
      <c r="F518" s="49" t="n">
        <v>46319</v>
      </c>
      <c r="G518" s="51" t="n">
        <v>2</v>
      </c>
    </row>
    <row r="519" ht="54" customHeight="1">
      <c r="A519" s="29" t="inlineStr">
        <is>
          <t>sevilla:action:sevilla-kent-ici-saglik-merkezleri-distrito-sevilla-1</t>
        </is>
      </c>
      <c r="B519" s="29" t="inlineStr">
        <is>
          <t>sevilla</t>
        </is>
      </c>
      <c r="C519" s="29" t="inlineStr">
        <is>
          <t>sevilla:sevilla-kent-ici-saglik-merkezleri-distrito-sevilla</t>
        </is>
      </c>
      <c r="D519" s="29" t="inlineStr">
        <is>
          <t>Bilgi al</t>
        </is>
      </c>
      <c r="E519" s="29" t="inlineStr">
        <is>
          <t>https://www.sspa.juntadeandalucia.es/servicioandaluzdesalud/el-sas/servicios-y-centros/informacion-por-centros/23603</t>
        </is>
      </c>
      <c r="F519" s="49" t="n">
        <v>46319</v>
      </c>
      <c r="G519" s="51" t="n">
        <v>1</v>
      </c>
    </row>
    <row r="520" ht="54" customHeight="1">
      <c r="A520" s="29" t="inlineStr">
        <is>
          <t>sevilla:action:sevilla-cevresi-dos-hermanas-alcala-rinconada-saglik-bolgeleri-1</t>
        </is>
      </c>
      <c r="B520" s="29" t="inlineStr">
        <is>
          <t>sevilla</t>
        </is>
      </c>
      <c r="C520" s="29" t="inlineStr">
        <is>
          <t>sevilla:sevilla-cevresi-dos-hermanas-alcala-rinconada-saglik-bolgeleri</t>
        </is>
      </c>
      <c r="D520" s="29" t="inlineStr">
        <is>
          <t>Bilgi al</t>
        </is>
      </c>
      <c r="E520" s="29" t="inlineStr">
        <is>
          <t>https://www.sspa.juntadeandalucia.es/servicioandaluzdesalud/el-sas/servicios-y-centros/informacion-por-centros/23612</t>
        </is>
      </c>
      <c r="F520" s="49" t="n">
        <v>46319</v>
      </c>
      <c r="G520" s="51" t="n">
        <v>1</v>
      </c>
    </row>
    <row r="521" ht="54" customHeight="1">
      <c r="A521" s="29" t="inlineStr">
        <is>
          <t>sevilla:action:sevilla-cevresi-dos-hermanas-alcala-rinconada-saglik-bolgeleri-2</t>
        </is>
      </c>
      <c r="B521" s="29" t="inlineStr">
        <is>
          <t>sevilla</t>
        </is>
      </c>
      <c r="C521" s="29" t="inlineStr">
        <is>
          <t>sevilla:sevilla-cevresi-dos-hermanas-alcala-rinconada-saglik-bolgeleri</t>
        </is>
      </c>
      <c r="D521" s="29" t="inlineStr">
        <is>
          <t>Bilgi al</t>
        </is>
      </c>
      <c r="E521" s="29" t="inlineStr">
        <is>
          <t>https://www.sspa.juntadeandalucia.es/servicioandaluzdesalud/el-sas/servicios-y-centros/informacion-por-centros/1842</t>
        </is>
      </c>
      <c r="F521" s="49" t="n">
        <v>46319</v>
      </c>
      <c r="G521" s="51" t="n">
        <v>2</v>
      </c>
    </row>
    <row r="522" ht="54" customHeight="1">
      <c r="A522" s="29" t="inlineStr">
        <is>
          <t>sevilla:action:saglik-merkezi-randevu-yollari-clicsalud-salud-responde-1</t>
        </is>
      </c>
      <c r="B522" s="29" t="inlineStr">
        <is>
          <t>sevilla</t>
        </is>
      </c>
      <c r="C522" s="29" t="inlineStr">
        <is>
          <t>sevilla:saglik-merkezi-randevu-yollari-clicsalud-salud-responde</t>
        </is>
      </c>
      <c r="D522" s="29" t="inlineStr">
        <is>
          <t>Randevu al</t>
        </is>
      </c>
      <c r="E522" s="29" t="inlineStr">
        <is>
          <t>https://www.juntadeandalucia.es/temas/salud/servicios/cita.html</t>
        </is>
      </c>
      <c r="F522" s="49" t="n">
        <v>46319</v>
      </c>
      <c r="G522" s="51" t="n">
        <v>1</v>
      </c>
    </row>
    <row r="523" ht="54" customHeight="1">
      <c r="A523" s="29" t="inlineStr">
        <is>
          <t>sevilla:action:saglik-merkezi-randevu-yollari-clicsalud-salud-responde-2</t>
        </is>
      </c>
      <c r="B523" s="29" t="inlineStr">
        <is>
          <t>sevilla</t>
        </is>
      </c>
      <c r="C523" s="29" t="inlineStr">
        <is>
          <t>sevilla:saglik-merkezi-randevu-yollari-clicsalud-salud-responde</t>
        </is>
      </c>
      <c r="D523" s="29" t="inlineStr">
        <is>
          <t>Bilgi al</t>
        </is>
      </c>
      <c r="E523" s="29" t="inlineStr">
        <is>
          <t>https://www.juntadeandalucia.es/temas/salud/servicios/telefonos.html</t>
        </is>
      </c>
      <c r="F523" s="49" t="n">
        <v>46319</v>
      </c>
      <c r="G523" s="51" t="n">
        <v>2</v>
      </c>
    </row>
    <row r="524" ht="54" customHeight="1">
      <c r="A524" s="29" t="inlineStr">
        <is>
          <t>sevilla:action:randevu-iptal-degistirme-hastane-randevusu-avisas-justificante-1</t>
        </is>
      </c>
      <c r="B524" s="29" t="inlineStr">
        <is>
          <t>sevilla</t>
        </is>
      </c>
      <c r="C524" s="29" t="inlineStr">
        <is>
          <t>sevilla:randevu-iptal-degistirme-hastane-randevusu-avisas-justificante</t>
        </is>
      </c>
      <c r="D524" s="29" t="inlineStr">
        <is>
          <t>Randevu al</t>
        </is>
      </c>
      <c r="E524" s="29" t="inlineStr">
        <is>
          <t>https://www.juntadeandalucia.es/temas/salud/servicios/cita.html</t>
        </is>
      </c>
      <c r="F524" s="49" t="n">
        <v>46319</v>
      </c>
      <c r="G524" s="51" t="n">
        <v>1</v>
      </c>
    </row>
    <row r="525" ht="54" customHeight="1">
      <c r="A525" s="29" t="inlineStr">
        <is>
          <t>sevilla:action:salud-responde-24-saat-saglik-hatti-ceviri-hizmeti-1</t>
        </is>
      </c>
      <c r="B525" s="29" t="inlineStr">
        <is>
          <t>sevilla</t>
        </is>
      </c>
      <c r="C525" s="29" t="inlineStr">
        <is>
          <t>sevilla:salud-responde-24-saat-saglik-hatti-ceviri-hizmeti</t>
        </is>
      </c>
      <c r="D525" s="29" t="inlineStr">
        <is>
          <t>Bilgi al</t>
        </is>
      </c>
      <c r="E525" s="29" t="inlineStr">
        <is>
          <t>https://www.juntadeandalucia.es/temas/salud/servicios/telefonos.html</t>
        </is>
      </c>
      <c r="F525" s="49" t="n">
        <v>46319</v>
      </c>
      <c r="G525" s="51" t="n">
        <v>1</v>
      </c>
    </row>
    <row r="526" ht="54" customHeight="1">
      <c r="A526" s="29" t="inlineStr">
        <is>
          <t>sevilla:action:endulus-acil-061-112-urgencia-emergencia-farki-1</t>
        </is>
      </c>
      <c r="B526" s="29" t="inlineStr">
        <is>
          <t>sevilla</t>
        </is>
      </c>
      <c r="C526" s="29" t="inlineStr">
        <is>
          <t>sevilla:endulus-acil-061-112-urgencia-emergencia-farki</t>
        </is>
      </c>
      <c r="D526" s="29" t="inlineStr">
        <is>
          <t>Bilgi al</t>
        </is>
      </c>
      <c r="E526" s="29" t="inlineStr">
        <is>
          <t>https://www.juntadeandalucia.es/temas/salud/urgencias/urgencias.html</t>
        </is>
      </c>
      <c r="F526" s="49" t="n">
        <v>46319</v>
      </c>
      <c r="G526" s="51" t="n">
        <v>1</v>
      </c>
    </row>
    <row r="527" ht="54" customHeight="1">
      <c r="A527" s="29" t="inlineStr">
        <is>
          <t>sevilla:action:sevilla-nobetci-eczane-farmacia-de-guardia-bulma-1</t>
        </is>
      </c>
      <c r="B527" s="29" t="inlineStr">
        <is>
          <t>sevilla</t>
        </is>
      </c>
      <c r="C527" s="29" t="inlineStr">
        <is>
          <t>sevilla:sevilla-nobetci-eczane-farmacia-de-guardia-bulma</t>
        </is>
      </c>
      <c r="D527" s="29" t="inlineStr">
        <is>
          <t>Bilgi al</t>
        </is>
      </c>
      <c r="E527" s="29" t="inlineStr">
        <is>
          <t>https://www.farmaceuticosdesevilla.es/buscador-de-farmacias/</t>
        </is>
      </c>
      <c r="F527" s="49" t="n">
        <v>46319</v>
      </c>
      <c r="G527" s="51" t="n">
        <v>1</v>
      </c>
    </row>
    <row r="528" ht="54" customHeight="1">
      <c r="A528" s="29" t="inlineStr">
        <is>
          <t>sevilla:action:oturum-izni-olmayanlar-endulus-saglik-basvurusu-alta-ocasional-1</t>
        </is>
      </c>
      <c r="B528" s="29" t="inlineStr">
        <is>
          <t>sevilla</t>
        </is>
      </c>
      <c r="C528" s="29" t="inlineStr">
        <is>
          <t>sevilla:oturum-izni-olmayanlar-endulus-saglik-basvurusu-alta-ocasional</t>
        </is>
      </c>
      <c r="D528" s="29" t="inlineStr">
        <is>
          <t>Başvur</t>
        </is>
      </c>
      <c r="E528" s="29" t="inlineStr">
        <is>
          <t>https://www.sspa.juntadeandalucia.es/servicioandaluzdesalud/ciudadania/cobertura-sanitaria/personas-extranjeras-no-registradas-ni-autorizadas-como-residentes-en-espana</t>
        </is>
      </c>
      <c r="F528" s="49" t="n">
        <v>46319</v>
      </c>
      <c r="G528" s="51" t="n">
        <v>1</v>
      </c>
    </row>
    <row r="529" ht="54" customHeight="1">
      <c r="A529" s="29" t="inlineStr">
        <is>
          <t>sevilla:action:sevilla-ruh-sagligi-024-hatti-ve-ruh-sagligi-birimleri-1</t>
        </is>
      </c>
      <c r="B529" s="29" t="inlineStr">
        <is>
          <t>sevilla</t>
        </is>
      </c>
      <c r="C529" s="29" t="inlineStr">
        <is>
          <t>sevilla:sevilla-ruh-sagligi-024-hatti-ve-ruh-sagligi-birimleri</t>
        </is>
      </c>
      <c r="D529" s="29" t="inlineStr">
        <is>
          <t>Bilgi al</t>
        </is>
      </c>
      <c r="E529" s="29" t="inlineStr">
        <is>
          <t>https://www.juntadeandalucia.es/temas/salud/servicios/telefonos.html</t>
        </is>
      </c>
      <c r="F529" s="49" t="n">
        <v>46319</v>
      </c>
      <c r="G529" s="51" t="n">
        <v>1</v>
      </c>
    </row>
    <row r="530" ht="54" customHeight="1">
      <c r="A530" s="29" t="inlineStr">
        <is>
          <t>sevilla:action:sevilla-ruh-sagligi-024-hatti-ve-ruh-sagligi-birimleri-2</t>
        </is>
      </c>
      <c r="B530" s="29" t="inlineStr">
        <is>
          <t>sevilla</t>
        </is>
      </c>
      <c r="C530" s="29" t="inlineStr">
        <is>
          <t>sevilla:sevilla-ruh-sagligi-024-hatti-ve-ruh-sagligi-birimleri</t>
        </is>
      </c>
      <c r="D530" s="29" t="inlineStr">
        <is>
          <t>Bilgi al</t>
        </is>
      </c>
      <c r="E530" s="29" t="inlineStr">
        <is>
          <t>https://www.sspa.juntadeandalucia.es/servicioandaluzdesalud/el-sas/servicios-y-centros/informacion-por-centros/16477</t>
        </is>
      </c>
      <c r="F530" s="49" t="n">
        <v>46319</v>
      </c>
      <c r="G530" s="51" t="n">
        <v>2</v>
      </c>
    </row>
    <row r="531" ht="54" customHeight="1">
      <c r="A531" s="29" t="inlineStr">
        <is>
          <t>sevilla:action:renfe-bilet-iptal-degisiklik-genc-indirimi-1</t>
        </is>
      </c>
      <c r="B531" s="29" t="inlineStr">
        <is>
          <t>sevilla</t>
        </is>
      </c>
      <c r="C531" s="29" t="inlineStr">
        <is>
          <t>sevilla:renfe-bilet-iptal-degisiklik-genc-indirimi</t>
        </is>
      </c>
      <c r="D531" s="29" t="inlineStr">
        <is>
          <t>Bilgi al</t>
        </is>
      </c>
      <c r="E531" s="29" t="inlineStr">
        <is>
          <t>https://www.renfe.com/es/es/viajar/prepara-tu-viaje/billetes-ave-y-largadistancia/todos-los-billetes</t>
        </is>
      </c>
      <c r="F531" s="49" t="n">
        <v>46319</v>
      </c>
      <c r="G531" s="51" t="n">
        <v>1</v>
      </c>
    </row>
    <row r="532" ht="54" customHeight="1">
      <c r="A532" s="29" t="inlineStr">
        <is>
          <t>sevilla:action:renfe-bilet-iptal-degisiklik-genc-indirimi-2</t>
        </is>
      </c>
      <c r="B532" s="29" t="inlineStr">
        <is>
          <t>sevilla</t>
        </is>
      </c>
      <c r="C532" s="29" t="inlineStr">
        <is>
          <t>sevilla:renfe-bilet-iptal-degisiklik-genc-indirimi</t>
        </is>
      </c>
      <c r="D532" s="29" t="inlineStr">
        <is>
          <t>Bilgi al</t>
        </is>
      </c>
      <c r="E532" s="29" t="inlineStr">
        <is>
          <t>https://www.renfe.com/es/es/viajar/prepara-tu-viaje/descuentos/Jovenes.html</t>
        </is>
      </c>
      <c r="F532" s="49" t="n">
        <v>46319</v>
      </c>
      <c r="G532" s="51" t="n">
        <v>2</v>
      </c>
    </row>
    <row r="533" ht="54" customHeight="1">
      <c r="A533" s="29" t="inlineStr">
        <is>
          <t>sevilla:action:otobus-yolcu-haklari-rotar-bagaj-engelli-1</t>
        </is>
      </c>
      <c r="B533" s="29" t="inlineStr">
        <is>
          <t>sevilla</t>
        </is>
      </c>
      <c r="C533" s="29" t="inlineStr">
        <is>
          <t>sevilla:otobus-yolcu-haklari-rotar-bagaj-engelli</t>
        </is>
      </c>
      <c r="D533" s="29" t="inlineStr">
        <is>
          <t>Bilgi al</t>
        </is>
      </c>
      <c r="E533" s="29" t="inlineStr">
        <is>
          <t>https://www.boe.es/buscar/doc.php?id=DOUE-L-2011-80347</t>
        </is>
      </c>
      <c r="F533" s="49" t="n">
        <v>46319</v>
      </c>
      <c r="G533" s="51" t="n">
        <v>1</v>
      </c>
    </row>
    <row r="534" ht="54" customHeight="1">
      <c r="A534" s="29" t="inlineStr">
        <is>
          <t>sevilla:action:otobus-yolcu-haklari-rotar-bagaj-engelli-2</t>
        </is>
      </c>
      <c r="B534" s="29" t="inlineStr">
        <is>
          <t>sevilla</t>
        </is>
      </c>
      <c r="C534" s="29" t="inlineStr">
        <is>
          <t>sevilla:otobus-yolcu-haklari-rotar-bagaj-engelli</t>
        </is>
      </c>
      <c r="D534" s="29" t="inlineStr">
        <is>
          <t>Bilgi al</t>
        </is>
      </c>
      <c r="E534" s="29" t="inlineStr">
        <is>
          <t>https://portal-cec.consumo.gob.es/en/informacion-general/viajes/transporte-por-carretera</t>
        </is>
      </c>
      <c r="F534" s="49" t="n">
        <v>46319</v>
      </c>
      <c r="G534" s="51" t="n">
        <v>2</v>
      </c>
    </row>
    <row r="535" ht="54" customHeight="1">
      <c r="A535" s="29" t="inlineStr">
        <is>
          <t>sevilla:action:hiz-siniri-alkol-ehliyet-puani-1</t>
        </is>
      </c>
      <c r="B535" s="29" t="inlineStr">
        <is>
          <t>sevilla</t>
        </is>
      </c>
      <c r="C535" s="29" t="inlineStr">
        <is>
          <t>sevilla:hiz-siniri-alkol-ehliyet-puani</t>
        </is>
      </c>
      <c r="D535" s="29" t="inlineStr">
        <is>
          <t>Bilgi al</t>
        </is>
      </c>
      <c r="E535" s="29" t="inlineStr">
        <is>
          <t>https://www.boe.es/buscar/act.php?id=BOE-A-2003-23514</t>
        </is>
      </c>
      <c r="F535" s="49" t="n">
        <v>46319</v>
      </c>
      <c r="G535" s="51" t="n">
        <v>1</v>
      </c>
    </row>
    <row r="536" ht="54" customHeight="1">
      <c r="A536" s="29" t="inlineStr">
        <is>
          <t>sevilla:action:hiz-siniri-alkol-ehliyet-puani-2</t>
        </is>
      </c>
      <c r="B536" s="29" t="inlineStr">
        <is>
          <t>sevilla</t>
        </is>
      </c>
      <c r="C536" s="29" t="inlineStr">
        <is>
          <t>sevilla:hiz-siniri-alkol-ehliyet-puani</t>
        </is>
      </c>
      <c r="D536" s="29" t="inlineStr">
        <is>
          <t>Bilgi al</t>
        </is>
      </c>
      <c r="E536" s="29" t="inlineStr">
        <is>
          <t>https://www.dgt.es/nuestros-servicios/permisos-de-conducir/tus-puntos-y-tus-permisos/como-funciona-el-permiso-por-puntos/</t>
        </is>
      </c>
      <c r="F536" s="49" t="n">
        <v>46319</v>
      </c>
      <c r="G536" s="51" t="n">
        <v>2</v>
      </c>
    </row>
    <row r="537" ht="54" customHeight="1">
      <c r="A537" s="29" t="inlineStr">
        <is>
          <t>sevilla:action:itv-arac-muayene-periyotlari-1</t>
        </is>
      </c>
      <c r="B537" s="29" t="inlineStr">
        <is>
          <t>sevilla</t>
        </is>
      </c>
      <c r="C537" s="29" t="inlineStr">
        <is>
          <t>sevilla:itv-arac-muayene-periyotlari</t>
        </is>
      </c>
      <c r="D537" s="29" t="inlineStr">
        <is>
          <t>Bilgi al</t>
        </is>
      </c>
      <c r="E537" s="29" t="inlineStr">
        <is>
          <t>https://www.boe.es/buscar/act.php?id=BOE-A-2017-12841</t>
        </is>
      </c>
      <c r="F537" s="49" t="n">
        <v>46319</v>
      </c>
      <c r="G537" s="51" t="n">
        <v>1</v>
      </c>
    </row>
    <row r="538" ht="54" customHeight="1">
      <c r="A538" s="29" t="inlineStr">
        <is>
          <t>sevilla:action:ucus-gecikme-iptal-aesa-sikayet-1</t>
        </is>
      </c>
      <c r="B538" s="29" t="inlineStr">
        <is>
          <t>sevilla</t>
        </is>
      </c>
      <c r="C538" s="29" t="inlineStr">
        <is>
          <t>sevilla:ucus-gecikme-iptal-aesa-sikayet</t>
        </is>
      </c>
      <c r="D538" s="29" t="inlineStr">
        <is>
          <t>Bilgi al</t>
        </is>
      </c>
      <c r="E538" s="29" t="inlineStr">
        <is>
          <t>https://sede.seguridadaerea.gob.es/sede-aesa/catalogo-de-procedimientos/reclamaciones-por-cancelaciones-retrasos-denegaciones-de-embarque-y-pmr</t>
        </is>
      </c>
      <c r="F538" s="49" t="n">
        <v>46319</v>
      </c>
      <c r="G538" s="51" t="n">
        <v>1</v>
      </c>
    </row>
    <row r="539" ht="54" customHeight="1">
      <c r="A539" s="29" t="inlineStr">
        <is>
          <t>sevilla:action:ucus-gecikme-iptal-aesa-sikayet-2</t>
        </is>
      </c>
      <c r="B539" s="29" t="inlineStr">
        <is>
          <t>sevilla</t>
        </is>
      </c>
      <c r="C539" s="29" t="inlineStr">
        <is>
          <t>sevilla:ucus-gecikme-iptal-aesa-sikayet</t>
        </is>
      </c>
      <c r="D539" s="29" t="inlineStr">
        <is>
          <t>Bilgi al</t>
        </is>
      </c>
      <c r="E539" s="29" t="inlineStr">
        <is>
          <t>https://www.seguridadaerea.gob.es/es/preguntas-frecuentes-derechos-pasajeros</t>
        </is>
      </c>
      <c r="F539" s="49" t="n">
        <v>46319</v>
      </c>
      <c r="G539" s="51" t="n">
        <v>2</v>
      </c>
    </row>
    <row r="540" ht="54" customHeight="1">
      <c r="A540" s="29" t="inlineStr">
        <is>
          <t>sevilla:action:ada-ceuta-melilla-yerlesik-ucus-indirimi-1</t>
        </is>
      </c>
      <c r="B540" s="29" t="inlineStr">
        <is>
          <t>sevilla</t>
        </is>
      </c>
      <c r="C540" s="29" t="inlineStr">
        <is>
          <t>sevilla:ada-ceuta-melilla-yerlesik-ucus-indirimi</t>
        </is>
      </c>
      <c r="D540" s="29" t="inlineStr">
        <is>
          <t>Bilgi al</t>
        </is>
      </c>
      <c r="E540" s="29" t="inlineStr">
        <is>
          <t>https://www.boe.es/buscar/doc.php?id=BOE-A-2018-10651</t>
        </is>
      </c>
      <c r="F540" s="49" t="n">
        <v>46319</v>
      </c>
      <c r="G540" s="51" t="n">
        <v>1</v>
      </c>
    </row>
    <row r="541" ht="54" customHeight="1">
      <c r="A541" s="29" t="inlineStr">
        <is>
          <t>sevilla:action:ada-ceuta-melilla-yerlesik-ucus-indirimi-2</t>
        </is>
      </c>
      <c r="B541" s="29" t="inlineStr">
        <is>
          <t>sevilla</t>
        </is>
      </c>
      <c r="C541" s="29" t="inlineStr">
        <is>
          <t>sevilla:ada-ceuta-melilla-yerlesik-ucus-indirimi</t>
        </is>
      </c>
      <c r="D541" s="29" t="inlineStr">
        <is>
          <t>Bilgi al</t>
        </is>
      </c>
      <c r="E541" s="29" t="inlineStr">
        <is>
          <t>https://www.boe.es/buscar/act.php?id=BOE-A-2012-15651</t>
        </is>
      </c>
      <c r="F541" s="49" t="n">
        <v>46319</v>
      </c>
      <c r="G541" s="51" t="n">
        <v>2</v>
      </c>
    </row>
    <row r="542" ht="54" customHeight="1">
      <c r="A542" s="29" t="inlineStr">
        <is>
          <t>sevilla:action:endulus-metropol-ulasim-konsorsiyum-kartlari-ve-interoperabilite-1</t>
        </is>
      </c>
      <c r="B542" s="29" t="inlineStr">
        <is>
          <t>sevilla</t>
        </is>
      </c>
      <c r="C542" s="29" t="inlineStr">
        <is>
          <t>sevilla:endulus-metropol-ulasim-konsorsiyum-kartlari-ve-interoperabilite</t>
        </is>
      </c>
      <c r="D542" s="29" t="inlineStr">
        <is>
          <t>Tarifeyi gör</t>
        </is>
      </c>
      <c r="E542" s="29" t="inlineStr">
        <is>
          <t>https://ctagr.es/sistema-tarifario/interoperatividad</t>
        </is>
      </c>
      <c r="F542" s="49" t="n">
        <v>46319</v>
      </c>
      <c r="G542" s="51" t="n">
        <v>1</v>
      </c>
    </row>
    <row r="543" ht="54" customHeight="1">
      <c r="A543" s="29" t="inlineStr">
        <is>
          <t>sevilla:action:endulus-metropol-ulasim-konsorsiyum-kartlari-ve-interoperabilite-2</t>
        </is>
      </c>
      <c r="B543" s="29" t="inlineStr">
        <is>
          <t>sevilla</t>
        </is>
      </c>
      <c r="C543" s="29" t="inlineStr">
        <is>
          <t>sevilla:endulus-metropol-ulasim-konsorsiyum-kartlari-ve-interoperabilite</t>
        </is>
      </c>
      <c r="D543" s="29" t="inlineStr">
        <is>
          <t>Bilgi al</t>
        </is>
      </c>
      <c r="E543" s="29" t="inlineStr">
        <is>
          <t>https://ctmam.es/titulos-de-transporte/tarjeta-de-transporte/</t>
        </is>
      </c>
      <c r="F543" s="49" t="n">
        <v>46319</v>
      </c>
      <c r="G543" s="51" t="n">
        <v>2</v>
      </c>
    </row>
    <row r="544" ht="54" customHeight="1">
      <c r="A544" s="29" t="inlineStr">
        <is>
          <t>sevilla:action:metro-sevilla-bilet-turleri-ve-fiyatlari-1</t>
        </is>
      </c>
      <c r="B544" s="29" t="inlineStr">
        <is>
          <t>sevilla</t>
        </is>
      </c>
      <c r="C544" s="29" t="inlineStr">
        <is>
          <t>sevilla:metro-sevilla-bilet-turleri-ve-fiyatlari</t>
        </is>
      </c>
      <c r="D544" s="29" t="inlineStr">
        <is>
          <t>Bilet al</t>
        </is>
      </c>
      <c r="E544" s="29" t="inlineStr">
        <is>
          <t>https://www.metro-sevilla.es/horarios-y-tarifas?section=titulosMetro</t>
        </is>
      </c>
      <c r="F544" s="49" t="n">
        <v>46319</v>
      </c>
      <c r="G544" s="51" t="n">
        <v>1</v>
      </c>
    </row>
    <row r="545" ht="54" customHeight="1">
      <c r="A545" s="29" t="inlineStr">
        <is>
          <t>sevilla:action:metro-sevilla-kart-kullanimi-kayip-grup-bakiye-1</t>
        </is>
      </c>
      <c r="B545" s="29" t="inlineStr">
        <is>
          <t>sevilla</t>
        </is>
      </c>
      <c r="C545" s="29" t="inlineStr">
        <is>
          <t>sevilla:metro-sevilla-kart-kullanimi-kayip-grup-bakiye</t>
        </is>
      </c>
      <c r="D545" s="29" t="inlineStr">
        <is>
          <t>Bilgi al</t>
        </is>
      </c>
      <c r="E545" s="29" t="inlineStr">
        <is>
          <t>https://www.metro-sevilla.es/horarios-y-tarifas?section=titulosMetro</t>
        </is>
      </c>
      <c r="F545" s="49" t="n">
        <v>46319</v>
      </c>
      <c r="G545" s="51" t="n">
        <v>1</v>
      </c>
    </row>
    <row r="546" ht="54" customHeight="1">
      <c r="A546" s="29" t="inlineStr">
        <is>
          <t>sevilla:action:sevilla-consorcio-ulasim-karti-alma-ve-yukleme-1</t>
        </is>
      </c>
      <c r="B546" s="29" t="inlineStr">
        <is>
          <t>sevilla</t>
        </is>
      </c>
      <c r="C546" s="29" t="inlineStr">
        <is>
          <t>sevilla:sevilla-consorcio-ulasim-karti-alma-ve-yukleme</t>
        </is>
      </c>
      <c r="D546" s="29" t="inlineStr">
        <is>
          <t>Bilgi al</t>
        </is>
      </c>
      <c r="E546" s="29" t="inlineStr">
        <is>
          <t>https://www.juntadeandalucia.es/organismos/fomentoymovilidad/areas/servicios-transporte/transporte-publico/paginas/tarjeta-transporte.html</t>
        </is>
      </c>
      <c r="F546" s="49" t="n">
        <v>46319</v>
      </c>
      <c r="G546" s="51" t="n">
        <v>1</v>
      </c>
    </row>
    <row r="547" ht="54" customHeight="1">
      <c r="A547" s="29" t="inlineStr">
        <is>
          <t>sevilla:action:sevilla-tarjeta-joven-transporte-30-yas-alti-1</t>
        </is>
      </c>
      <c r="B547" s="29" t="inlineStr">
        <is>
          <t>sevilla</t>
        </is>
      </c>
      <c r="C547" s="29" t="inlineStr">
        <is>
          <t>sevilla:sevilla-tarjeta-joven-transporte-30-yas-alti</t>
        </is>
      </c>
      <c r="D547" s="29" t="inlineStr">
        <is>
          <t>Başvur</t>
        </is>
      </c>
      <c r="E547" s="29" t="inlineStr">
        <is>
          <t>https://www.juntadeandalucia.es/organismos/fomentoarticulaciondelterritorioyvivienda/areas/servicios-transporte/transporte-publico/paginas/solicitud-tarjeta-joven-transporte.html</t>
        </is>
      </c>
      <c r="F547" s="49" t="n">
        <v>46319</v>
      </c>
      <c r="G547" s="51" t="n">
        <v>1</v>
      </c>
    </row>
    <row r="548" ht="54" customHeight="1">
      <c r="A548" s="29" t="inlineStr">
        <is>
          <t>sevilla:action:sevilla-tarjeta-joven-transporte-30-yas-alti-2</t>
        </is>
      </c>
      <c r="B548" s="29" t="inlineStr">
        <is>
          <t>sevilla</t>
        </is>
      </c>
      <c r="C548" s="29" t="inlineStr">
        <is>
          <t>sevilla:sevilla-tarjeta-joven-transporte-30-yas-alti</t>
        </is>
      </c>
      <c r="D548" s="29" t="inlineStr">
        <is>
          <t>Bilgi al</t>
        </is>
      </c>
      <c r="E548" s="29" t="inlineStr">
        <is>
          <t>https://www.juntadeandalucia.es/organismos/fomentoymovilidad/areas/servicios-transporte/transporte-publico/paginas/tarjeta-joven-transporte.html</t>
        </is>
      </c>
      <c r="F548" s="49" t="n">
        <v>46319</v>
      </c>
      <c r="G548" s="51" t="n">
        <v>2</v>
      </c>
    </row>
    <row r="549" ht="54" customHeight="1">
      <c r="A549" s="29" t="inlineStr">
        <is>
          <t>sevilla:action:sevilla-cercanias-konsorsiyum-karti-istasyonlari-1</t>
        </is>
      </c>
      <c r="B549" s="29" t="inlineStr">
        <is>
          <t>sevilla</t>
        </is>
      </c>
      <c r="C549" s="29" t="inlineStr">
        <is>
          <t>sevilla:sevilla-cercanias-konsorsiyum-karti-istasyonlari</t>
        </is>
      </c>
      <c r="D549" s="29" t="inlineStr">
        <is>
          <t>Bilgi al</t>
        </is>
      </c>
      <c r="E549" s="29" t="inlineStr">
        <is>
          <t>https://www.juntadeandalucia.es/presidencia/portavoz/infraestructuras/197165/TarjetadelConsorciodeTransporteMetropolitano/CercaniasdeSevilla/integraciontarifaria/descuentos/Renfe/ConsejeriadeFomento/ArticulaciondelTerritorioyVivienda</t>
        </is>
      </c>
      <c r="F549" s="49" t="n">
        <v>46319</v>
      </c>
      <c r="G549" s="51" t="n">
        <v>1</v>
      </c>
    </row>
    <row r="550" ht="54" customHeight="1">
      <c r="A550" s="29" t="inlineStr">
        <is>
          <t>sevilla:action:sevilla-havalimani-merkez-ulasim-1</t>
        </is>
      </c>
      <c r="B550" s="29" t="inlineStr">
        <is>
          <t>sevilla</t>
        </is>
      </c>
      <c r="C550" s="29" t="inlineStr">
        <is>
          <t>sevilla:sevilla-havalimani-merkez-ulasim</t>
        </is>
      </c>
      <c r="D550" s="29" t="inlineStr">
        <is>
          <t>Ulaşımı planla</t>
        </is>
      </c>
      <c r="E550" s="29" t="inlineStr">
        <is>
          <t>https://visitasevilla.es/prepara-tu-viaje/</t>
        </is>
      </c>
      <c r="F550" s="49" t="n">
        <v>46319</v>
      </c>
      <c r="G550" s="51" t="n">
        <v>1</v>
      </c>
    </row>
    <row r="551" ht="54" customHeight="1">
      <c r="A551" s="29" t="inlineStr">
        <is>
          <t>sevilla:action:sevilla-santa-justa-san-bernardo-tren-istasyonlari-1</t>
        </is>
      </c>
      <c r="B551" s="29" t="inlineStr">
        <is>
          <t>sevilla</t>
        </is>
      </c>
      <c r="C551" s="29" t="inlineStr">
        <is>
          <t>sevilla:sevilla-santa-justa-san-bernardo-tren-istasyonlari</t>
        </is>
      </c>
      <c r="D551" s="29" t="inlineStr">
        <is>
          <t>Ulaşımı planla</t>
        </is>
      </c>
      <c r="E551" s="29" t="inlineStr">
        <is>
          <t>https://visitasevilla.es/prepara-tu-viaje/</t>
        </is>
      </c>
      <c r="F551" s="49" t="n">
        <v>46319</v>
      </c>
      <c r="G551" s="51" t="n">
        <v>1</v>
      </c>
    </row>
    <row r="552" ht="54" customHeight="1">
      <c r="A552" s="29" t="inlineStr">
        <is>
          <t>sevilla:action:sevilla-otobus-terminalleri-plaza-de-armas-prado-1</t>
        </is>
      </c>
      <c r="B552" s="29" t="inlineStr">
        <is>
          <t>sevilla</t>
        </is>
      </c>
      <c r="C552" s="29" t="inlineStr">
        <is>
          <t>sevilla:sevilla-otobus-terminalleri-plaza-de-armas-prado</t>
        </is>
      </c>
      <c r="D552" s="29" t="inlineStr">
        <is>
          <t>Ulaşımı planla</t>
        </is>
      </c>
      <c r="E552" s="29" t="inlineStr">
        <is>
          <t>https://visitasevilla.es/prepara-tu-viaje/</t>
        </is>
      </c>
      <c r="F552" s="49" t="n">
        <v>46319</v>
      </c>
      <c r="G552" s="51" t="n">
        <v>1</v>
      </c>
    </row>
    <row r="553" ht="54" customHeight="1">
      <c r="A553" s="29" t="inlineStr">
        <is>
          <t>sevilla:action:sevici-kamu-bisikleti-ve-sevilla-bisiklet-yollari-1</t>
        </is>
      </c>
      <c r="B553" s="29" t="inlineStr">
        <is>
          <t>sevilla</t>
        </is>
      </c>
      <c r="C553" s="29" t="inlineStr">
        <is>
          <t>sevilla:sevici-kamu-bisikleti-ve-sevilla-bisiklet-yollari</t>
        </is>
      </c>
      <c r="D553" s="29" t="inlineStr">
        <is>
          <t>Bilgi al</t>
        </is>
      </c>
      <c r="E553" s="29" t="inlineStr">
        <is>
          <t>https://visitasevilla.es/una-ciudad-para-las-bicis/</t>
        </is>
      </c>
      <c r="F553" s="49" t="n">
        <v>46319</v>
      </c>
      <c r="G553" s="51" t="n">
        <v>1</v>
      </c>
    </row>
    <row r="554" ht="54" customHeight="1">
      <c r="A554" s="29" t="inlineStr">
        <is>
          <t>sevilla:action:sevilla-bisiklet-ve-elektrikli-scooter-kurallari-1</t>
        </is>
      </c>
      <c r="B554" s="29" t="inlineStr">
        <is>
          <t>sevilla</t>
        </is>
      </c>
      <c r="C554" s="29" t="inlineStr">
        <is>
          <t>sevilla:sevilla-bisiklet-ve-elektrikli-scooter-kurallari</t>
        </is>
      </c>
      <c r="D554" s="29" t="inlineStr">
        <is>
          <t>Bilgi al</t>
        </is>
      </c>
      <c r="E554" s="29" t="inlineStr">
        <is>
          <t>https://www.dgt.es/muevete-con-seguridad/viaja-seguro/consejos-extranjeros/en-ciudad/</t>
        </is>
      </c>
      <c r="F554" s="49" t="n">
        <v>46319</v>
      </c>
      <c r="G554" s="51" t="n">
        <v>1</v>
      </c>
    </row>
    <row r="555" ht="54" customHeight="1">
      <c r="A555" s="29" t="inlineStr">
        <is>
          <t>sevilla:action:sevilla-cartuja-dusuk-emisyon-bolgesi-zbe-1</t>
        </is>
      </c>
      <c r="B555" s="29" t="inlineStr">
        <is>
          <t>sevilla</t>
        </is>
      </c>
      <c r="C555" s="29" t="inlineStr">
        <is>
          <t>sevilla:sevilla-cartuja-dusuk-emisyon-bolgesi-zbe</t>
        </is>
      </c>
      <c r="D555" s="29" t="inlineStr">
        <is>
          <t>Bilgi al</t>
        </is>
      </c>
      <c r="E555" s="29" t="inlineStr">
        <is>
          <t>https://nap.dgt.es/dataset/zonas-de-bajas-emisiones/resource/c26ee84c-cff3-4da6-97e2-076b0369f4ad</t>
        </is>
      </c>
      <c r="F555" s="49" t="n">
        <v>46319</v>
      </c>
      <c r="G555" s="51" t="n">
        <v>1</v>
      </c>
    </row>
    <row r="556" ht="54" customHeight="1">
      <c r="A556" s="29" t="inlineStr">
        <is>
          <t>sevilla:action:sevilla-park-etmek-mavi-bolge-aussa-otoparklar-1</t>
        </is>
      </c>
      <c r="B556" s="29" t="inlineStr">
        <is>
          <t>sevilla</t>
        </is>
      </c>
      <c r="C556" s="29" t="inlineStr">
        <is>
          <t>sevilla:sevilla-park-etmek-mavi-bolge-aussa-otoparklar</t>
        </is>
      </c>
      <c r="D556" s="29" t="inlineStr">
        <is>
          <t>Bilgi al</t>
        </is>
      </c>
      <c r="E556" s="29" t="inlineStr">
        <is>
          <t>https://www.aussa.es/</t>
        </is>
      </c>
      <c r="F556" s="49" t="n">
        <v>46319</v>
      </c>
      <c r="G556" s="51" t="n">
        <v>1</v>
      </c>
    </row>
    <row r="557" ht="54" customHeight="1">
      <c r="A557" s="29" t="inlineStr">
        <is>
          <t>sevilla:action:sevilla-taksi-ve-vtc-kullanimi-1</t>
        </is>
      </c>
      <c r="B557" s="29" t="inlineStr">
        <is>
          <t>sevilla</t>
        </is>
      </c>
      <c r="C557" s="29" t="inlineStr">
        <is>
          <t>sevilla:sevilla-taksi-ve-vtc-kullanimi</t>
        </is>
      </c>
      <c r="D557" s="29" t="inlineStr">
        <is>
          <t>Bilgi al</t>
        </is>
      </c>
      <c r="E557" s="29" t="inlineStr">
        <is>
          <t>https://www.dgt.es/muevete-con-seguridad/viaja-seguro/consejos-extranjeros/en-ciudad/</t>
        </is>
      </c>
      <c r="F557" s="49" t="n">
        <v>46319</v>
      </c>
      <c r="G557" s="51" t="n">
        <v>1</v>
      </c>
    </row>
    <row r="558" ht="54" customHeight="1">
      <c r="A558" s="29" t="inlineStr">
        <is>
          <t>sevilla:action:metro-sevilla-bilet-turleri-ve-fiyatlari-2</t>
        </is>
      </c>
      <c r="B558" s="29" t="inlineStr">
        <is>
          <t>sevilla</t>
        </is>
      </c>
      <c r="C558" s="29" t="inlineStr">
        <is>
          <t>sevilla:metro-sevilla-bilet-turleri-ve-fiyatlari</t>
        </is>
      </c>
      <c r="D558" s="29" t="inlineStr">
        <is>
          <t>Tarifeyi gör</t>
        </is>
      </c>
      <c r="E558" s="29" t="inlineStr">
        <is>
          <t>https://www.ctas.es/lineas-y-horarios/bus-metro-y-cercanias/metro</t>
        </is>
      </c>
      <c r="F558" s="49" t="n">
        <v>46320</v>
      </c>
      <c r="G558" s="51" t="n">
        <v>2</v>
      </c>
    </row>
    <row r="559" ht="54" customHeight="1">
      <c r="A559" s="29" t="inlineStr">
        <is>
          <t>sevilla:action:sevilla-consorcio-ulasim-karti-alma-ve-yukleme-2</t>
        </is>
      </c>
      <c r="B559" s="29" t="inlineStr">
        <is>
          <t>sevilla</t>
        </is>
      </c>
      <c r="C559" s="29" t="inlineStr">
        <is>
          <t>sevilla:sevilla-consorcio-ulasim-karti-alma-ve-yukleme</t>
        </is>
      </c>
      <c r="D559" s="29" t="inlineStr">
        <is>
          <t>Bilgi al</t>
        </is>
      </c>
      <c r="E559" s="29" t="inlineStr">
        <is>
          <t>https://www.ctas.es/tarjetas-y-tarifas/informacion-y-solicitudes</t>
        </is>
      </c>
      <c r="F559" s="49" t="n">
        <v>46320</v>
      </c>
      <c r="G559" s="51" t="n">
        <v>2</v>
      </c>
    </row>
    <row r="560" ht="54" customHeight="1">
      <c r="A560" s="29" t="inlineStr">
        <is>
          <t>sevilla:action:sevilla-cercanias-konsorsiyum-karti-istasyonlari-2</t>
        </is>
      </c>
      <c r="B560" s="29" t="inlineStr">
        <is>
          <t>sevilla</t>
        </is>
      </c>
      <c r="C560" s="29" t="inlineStr">
        <is>
          <t>sevilla:sevilla-cercanias-konsorsiyum-karti-istasyonlari</t>
        </is>
      </c>
      <c r="D560" s="29" t="inlineStr">
        <is>
          <t>Tarifeyi gör</t>
        </is>
      </c>
      <c r="E560" s="29" t="inlineStr">
        <is>
          <t>https://www.ctas.es/lineas-y-horarios/bus-metro-y-cercanias/cercanias</t>
        </is>
      </c>
      <c r="F560" s="49" t="n">
        <v>46320</v>
      </c>
      <c r="G560" s="51" t="n">
        <v>2</v>
      </c>
    </row>
    <row r="561" ht="54" customHeight="1">
      <c r="A561" s="29" t="inlineStr">
        <is>
          <t>sevilla:action:sevilla-otobus-terminalleri-plaza-de-armas-prado-2</t>
        </is>
      </c>
      <c r="B561" s="29" t="inlineStr">
        <is>
          <t>sevilla</t>
        </is>
      </c>
      <c r="C561" s="29" t="inlineStr">
        <is>
          <t>sevilla:sevilla-otobus-terminalleri-plaza-de-armas-prado</t>
        </is>
      </c>
      <c r="D561" s="29" t="inlineStr">
        <is>
          <t>Ulaşımı planla</t>
        </is>
      </c>
      <c r="E561" s="29" t="inlineStr">
        <is>
          <t>https://www.ctas.es/lineas-y-horarios/estaciones-y-aeropuerto</t>
        </is>
      </c>
      <c r="F561" s="49" t="n">
        <v>46320</v>
      </c>
      <c r="G561" s="51" t="n">
        <v>2</v>
      </c>
    </row>
    <row r="562" ht="54" customHeight="1">
      <c r="A562" s="29" t="inlineStr">
        <is>
          <t>sevilla:action:sevilla-consorcio-karti-nerede-gecer-ve-aktarma-indirimi-1</t>
        </is>
      </c>
      <c r="B562" s="29" t="inlineStr">
        <is>
          <t>sevilla</t>
        </is>
      </c>
      <c r="C562" s="29" t="inlineStr">
        <is>
          <t>sevilla:sevilla-consorcio-karti-nerede-gecer-ve-aktarma-indirimi</t>
        </is>
      </c>
      <c r="D562" s="29" t="inlineStr">
        <is>
          <t>Bilgi al</t>
        </is>
      </c>
      <c r="E562" s="29" t="inlineStr">
        <is>
          <t>https://www.ctas.es/tarjetas-y-tarifas/informacion-y-solicitudes</t>
        </is>
      </c>
      <c r="F562" s="49" t="n">
        <v>46320</v>
      </c>
      <c r="G562" s="51" t="n">
        <v>1</v>
      </c>
    </row>
    <row r="563" ht="54" customHeight="1">
      <c r="A563" s="29" t="inlineStr">
        <is>
          <t>sevilla:action:sevilla-metropol-otobus-tarifesi-kusak-salto-ve-2026-indirimi-1</t>
        </is>
      </c>
      <c r="B563" s="29" t="inlineStr">
        <is>
          <t>sevilla</t>
        </is>
      </c>
      <c r="C563" s="29" t="inlineStr">
        <is>
          <t>sevilla:sevilla-metropol-otobus-tarifesi-kusak-salto-ve-2026-indirimi</t>
        </is>
      </c>
      <c r="D563" s="29" t="inlineStr">
        <is>
          <t>Tarifeyi gör</t>
        </is>
      </c>
      <c r="E563" s="29" t="inlineStr">
        <is>
          <t>https://www.ctas.es/lineas-y-horarios/bus-metro-y-cercanias/autobus-metropolitano</t>
        </is>
      </c>
      <c r="F563" s="49" t="n">
        <v>46320</v>
      </c>
      <c r="G563" s="51" t="n">
        <v>1</v>
      </c>
    </row>
    <row r="564" ht="54" customHeight="1">
      <c r="A564" s="29" t="n"/>
      <c r="B564" s="29" t="n"/>
      <c r="C564" s="29" t="n"/>
      <c r="D564" s="29" t="n"/>
      <c r="E564" s="29" t="n"/>
      <c r="F564" s="49" t="n"/>
      <c r="G564" s="51" t="n"/>
    </row>
    <row r="565" ht="54" customHeight="1">
      <c r="A565" s="29" t="n"/>
      <c r="B565" s="29" t="n"/>
      <c r="C565" s="29" t="n"/>
      <c r="D565" s="29" t="n"/>
      <c r="E565" s="29" t="n"/>
      <c r="F565" s="49" t="n"/>
      <c r="G565" s="51" t="n"/>
    </row>
    <row r="566" ht="54" customHeight="1">
      <c r="A566" s="29" t="n"/>
      <c r="B566" s="29" t="n"/>
      <c r="C566" s="29" t="n"/>
      <c r="D566" s="29" t="n"/>
      <c r="E566" s="29" t="n"/>
      <c r="F566" s="49" t="n"/>
      <c r="G566" s="51" t="n"/>
    </row>
    <row r="567" ht="54" customHeight="1">
      <c r="A567" s="29" t="n"/>
      <c r="B567" s="29" t="n"/>
      <c r="C567" s="29" t="n"/>
      <c r="D567" s="29" t="n"/>
      <c r="E567" s="29" t="n"/>
      <c r="F567" s="49" t="n"/>
      <c r="G567" s="51" t="n"/>
    </row>
    <row r="568" ht="54" customHeight="1">
      <c r="A568" s="29" t="n"/>
      <c r="B568" s="29" t="n"/>
      <c r="C568" s="29" t="n"/>
      <c r="D568" s="29" t="n"/>
      <c r="E568" s="29" t="n"/>
      <c r="F568" s="49" t="n"/>
      <c r="G568" s="51" t="n"/>
    </row>
    <row r="569" ht="54" customHeight="1">
      <c r="A569" s="29" t="n"/>
      <c r="B569" s="29" t="n"/>
      <c r="C569" s="29" t="n"/>
      <c r="D569" s="29" t="n"/>
      <c r="E569" s="29" t="n"/>
      <c r="F569" s="49" t="n"/>
      <c r="G569" s="51" t="n"/>
    </row>
    <row r="570" ht="54" customHeight="1">
      <c r="A570" s="29" t="n"/>
      <c r="B570" s="29" t="n"/>
      <c r="C570" s="29" t="n"/>
      <c r="D570" s="29" t="n"/>
      <c r="E570" s="29" t="n"/>
      <c r="F570" s="49" t="n"/>
      <c r="G570" s="51" t="n"/>
    </row>
    <row r="571" ht="54" customHeight="1">
      <c r="A571" s="29" t="n"/>
      <c r="B571" s="29" t="n"/>
      <c r="C571" s="29" t="n"/>
      <c r="D571" s="29" t="n"/>
      <c r="E571" s="29" t="n"/>
      <c r="F571" s="49" t="n"/>
      <c r="G571" s="51" t="n"/>
    </row>
    <row r="572" ht="54" customHeight="1">
      <c r="A572" s="29" t="n"/>
      <c r="B572" s="29" t="n"/>
      <c r="C572" s="29" t="n"/>
      <c r="D572" s="29" t="n"/>
      <c r="E572" s="29" t="n"/>
      <c r="F572" s="49" t="n"/>
      <c r="G572" s="51" t="n"/>
    </row>
    <row r="573" ht="54" customHeight="1">
      <c r="A573" s="29" t="n"/>
      <c r="B573" s="29" t="n"/>
      <c r="C573" s="29" t="n"/>
      <c r="D573" s="29" t="n"/>
      <c r="E573" s="29" t="n"/>
      <c r="F573" s="49" t="n"/>
      <c r="G573" s="51" t="n"/>
    </row>
    <row r="574" ht="54" customHeight="1">
      <c r="A574" s="29" t="n"/>
      <c r="B574" s="29" t="n"/>
      <c r="C574" s="29" t="n"/>
      <c r="D574" s="29" t="n"/>
      <c r="E574" s="29" t="n"/>
      <c r="F574" s="49" t="n"/>
      <c r="G574" s="51" t="n"/>
    </row>
    <row r="575" ht="54" customHeight="1">
      <c r="A575" s="29" t="n"/>
      <c r="B575" s="29" t="n"/>
      <c r="C575" s="29" t="n"/>
      <c r="D575" s="29" t="n"/>
      <c r="E575" s="29" t="n"/>
      <c r="F575" s="49" t="n"/>
      <c r="G575" s="51" t="n"/>
    </row>
    <row r="576" ht="54" customHeight="1">
      <c r="A576" s="29" t="n"/>
      <c r="B576" s="29" t="n"/>
      <c r="C576" s="29" t="n"/>
      <c r="D576" s="29" t="n"/>
      <c r="E576" s="29" t="n"/>
      <c r="F576" s="49" t="n"/>
      <c r="G576" s="51" t="n"/>
    </row>
    <row r="577" ht="54" customHeight="1">
      <c r="A577" s="29" t="n"/>
      <c r="B577" s="29" t="n"/>
      <c r="C577" s="29" t="n"/>
      <c r="D577" s="29" t="n"/>
      <c r="E577" s="29" t="n"/>
      <c r="F577" s="49" t="n"/>
      <c r="G577" s="51" t="n"/>
    </row>
    <row r="578" ht="54" customHeight="1">
      <c r="A578" s="29" t="n"/>
      <c r="B578" s="29" t="n"/>
      <c r="C578" s="29" t="n"/>
      <c r="D578" s="29" t="n"/>
      <c r="E578" s="29" t="n"/>
      <c r="F578" s="49" t="n"/>
      <c r="G578" s="51" t="n"/>
    </row>
    <row r="579" ht="54" customHeight="1">
      <c r="A579" s="29" t="n"/>
      <c r="B579" s="29" t="n"/>
      <c r="C579" s="29" t="n"/>
      <c r="D579" s="29" t="n"/>
      <c r="E579" s="29" t="n"/>
      <c r="F579" s="49" t="n"/>
      <c r="G579" s="51" t="n"/>
    </row>
    <row r="580" ht="54" customHeight="1">
      <c r="A580" s="29" t="n"/>
      <c r="B580" s="29" t="n"/>
      <c r="C580" s="29" t="n"/>
      <c r="D580" s="29" t="n"/>
      <c r="E580" s="29" t="n"/>
      <c r="F580" s="49" t="n"/>
      <c r="G580" s="51" t="n"/>
    </row>
    <row r="581" ht="54" customHeight="1">
      <c r="A581" s="29" t="n"/>
      <c r="B581" s="29" t="n"/>
      <c r="C581" s="29" t="n"/>
      <c r="D581" s="29" t="n"/>
      <c r="E581" s="29" t="n"/>
      <c r="F581" s="49" t="n"/>
      <c r="G581" s="51" t="n"/>
    </row>
    <row r="582" ht="54" customHeight="1">
      <c r="A582" s="29" t="n"/>
      <c r="B582" s="29" t="n"/>
      <c r="C582" s="29" t="n"/>
      <c r="D582" s="29" t="n"/>
      <c r="E582" s="29" t="n"/>
      <c r="F582" s="49" t="n"/>
      <c r="G582" s="51" t="n"/>
    </row>
    <row r="583" ht="54" customHeight="1">
      <c r="A583" s="29" t="n"/>
      <c r="B583" s="29" t="n"/>
      <c r="C583" s="29" t="n"/>
      <c r="D583" s="29" t="n"/>
      <c r="E583" s="29" t="n"/>
      <c r="F583" s="49" t="n"/>
      <c r="G583" s="51" t="n"/>
    </row>
    <row r="584" ht="54" customHeight="1">
      <c r="A584" s="29" t="n"/>
      <c r="B584" s="29" t="n"/>
      <c r="C584" s="29" t="n"/>
      <c r="D584" s="29" t="n"/>
      <c r="E584" s="29" t="n"/>
      <c r="F584" s="49" t="n"/>
      <c r="G584" s="51" t="n"/>
    </row>
    <row r="585" ht="54" customHeight="1">
      <c r="A585" s="29" t="n"/>
      <c r="B585" s="29" t="n"/>
      <c r="C585" s="29" t="n"/>
      <c r="D585" s="29" t="n"/>
      <c r="E585" s="29" t="n"/>
      <c r="F585" s="49" t="n"/>
      <c r="G585" s="51" t="n"/>
    </row>
    <row r="586" ht="54" customHeight="1">
      <c r="A586" s="29" t="n"/>
      <c r="B586" s="29" t="n"/>
      <c r="C586" s="29" t="n"/>
      <c r="D586" s="29" t="n"/>
      <c r="E586" s="29" t="n"/>
      <c r="F586" s="49" t="n"/>
      <c r="G586" s="51" t="n"/>
    </row>
    <row r="587" ht="54" customHeight="1">
      <c r="A587" s="29" t="n"/>
      <c r="B587" s="29" t="n"/>
      <c r="C587" s="29" t="n"/>
      <c r="D587" s="29" t="n"/>
      <c r="E587" s="29" t="n"/>
      <c r="F587" s="49" t="n"/>
      <c r="G587" s="51" t="n"/>
    </row>
    <row r="588" ht="54" customHeight="1">
      <c r="A588" s="29" t="n"/>
      <c r="B588" s="29" t="n"/>
      <c r="C588" s="29" t="n"/>
      <c r="D588" s="29" t="n"/>
      <c r="E588" s="29" t="n"/>
      <c r="F588" s="49" t="n"/>
      <c r="G588" s="51" t="n"/>
    </row>
    <row r="589" ht="54" customHeight="1">
      <c r="A589" s="29" t="n"/>
      <c r="B589" s="29" t="n"/>
      <c r="C589" s="29" t="n"/>
      <c r="D589" s="29" t="n"/>
      <c r="E589" s="29" t="n"/>
      <c r="F589" s="49" t="n"/>
      <c r="G589" s="51" t="n"/>
    </row>
    <row r="590" ht="54" customHeight="1">
      <c r="A590" s="29" t="n"/>
      <c r="B590" s="29" t="n"/>
      <c r="C590" s="29" t="n"/>
      <c r="D590" s="29" t="n"/>
      <c r="E590" s="29" t="n"/>
      <c r="F590" s="49" t="n"/>
      <c r="G590" s="51" t="n"/>
    </row>
    <row r="591" ht="54" customHeight="1">
      <c r="A591" s="29" t="n"/>
      <c r="B591" s="29" t="n"/>
      <c r="C591" s="29" t="n"/>
      <c r="D591" s="29" t="n"/>
      <c r="E591" s="29" t="n"/>
      <c r="F591" s="49" t="n"/>
      <c r="G591" s="51" t="n"/>
    </row>
    <row r="592" ht="54" customHeight="1">
      <c r="A592" s="29" t="n"/>
      <c r="B592" s="29" t="n"/>
      <c r="C592" s="29" t="n"/>
      <c r="D592" s="29" t="n"/>
      <c r="E592" s="29" t="n"/>
      <c r="F592" s="49" t="n"/>
      <c r="G592" s="51" t="n"/>
    </row>
    <row r="593" ht="54" customHeight="1">
      <c r="A593" s="29" t="n"/>
      <c r="B593" s="29" t="n"/>
      <c r="C593" s="29" t="n"/>
      <c r="D593" s="29" t="n"/>
      <c r="E593" s="29" t="n"/>
      <c r="F593" s="49" t="n"/>
      <c r="G593" s="51" t="n"/>
    </row>
    <row r="594" ht="54" customHeight="1">
      <c r="A594" s="29" t="n"/>
      <c r="B594" s="29" t="n"/>
      <c r="C594" s="29" t="n"/>
      <c r="D594" s="29" t="n"/>
      <c r="E594" s="29" t="n"/>
      <c r="F594" s="49" t="n"/>
      <c r="G594" s="51" t="n"/>
    </row>
    <row r="595" ht="54" customHeight="1">
      <c r="A595" s="29" t="n"/>
      <c r="B595" s="29" t="n"/>
      <c r="C595" s="29" t="n"/>
      <c r="D595" s="29" t="n"/>
      <c r="E595" s="29" t="n"/>
      <c r="F595" s="49" t="n"/>
      <c r="G595" s="51" t="n"/>
    </row>
    <row r="596" ht="54" customHeight="1">
      <c r="A596" s="29" t="n"/>
      <c r="B596" s="29" t="n"/>
      <c r="C596" s="29" t="n"/>
      <c r="D596" s="29" t="n"/>
      <c r="E596" s="29" t="n"/>
      <c r="F596" s="49" t="n"/>
      <c r="G596" s="51" t="n"/>
    </row>
    <row r="597" ht="54" customHeight="1">
      <c r="A597" s="29" t="n"/>
      <c r="B597" s="29" t="n"/>
      <c r="C597" s="29" t="n"/>
      <c r="D597" s="29" t="n"/>
      <c r="E597" s="29" t="n"/>
      <c r="F597" s="49" t="n"/>
      <c r="G597" s="51" t="n"/>
    </row>
    <row r="598" ht="54" customHeight="1">
      <c r="A598" s="29" t="n"/>
      <c r="B598" s="29" t="n"/>
      <c r="C598" s="29" t="n"/>
      <c r="D598" s="29" t="n"/>
      <c r="E598" s="29" t="n"/>
      <c r="F598" s="49" t="n"/>
      <c r="G598" s="51" t="n"/>
    </row>
    <row r="599" ht="54" customHeight="1">
      <c r="A599" s="29" t="n"/>
      <c r="B599" s="29" t="n"/>
      <c r="C599" s="29" t="n"/>
      <c r="D599" s="29" t="n"/>
      <c r="E599" s="29" t="n"/>
      <c r="F599" s="49" t="n"/>
      <c r="G599" s="51" t="n"/>
    </row>
    <row r="600" ht="54" customHeight="1">
      <c r="A600" s="29" t="n"/>
      <c r="B600" s="29" t="n"/>
      <c r="C600" s="29" t="n"/>
      <c r="D600" s="29" t="n"/>
      <c r="E600" s="29" t="n"/>
      <c r="F600" s="49" t="n"/>
      <c r="G600" s="51" t="n"/>
    </row>
    <row r="601" ht="54" customHeight="1">
      <c r="A601" s="29" t="n"/>
      <c r="B601" s="29" t="n"/>
      <c r="C601" s="29" t="n"/>
      <c r="D601" s="29" t="n"/>
      <c r="E601" s="29" t="n"/>
      <c r="F601" s="49" t="n"/>
      <c r="G601" s="51" t="n"/>
    </row>
    <row r="602" ht="54" customHeight="1">
      <c r="A602" s="29" t="n"/>
      <c r="B602" s="29" t="n"/>
      <c r="C602" s="29" t="n"/>
      <c r="D602" s="29" t="n"/>
      <c r="E602" s="29" t="n"/>
      <c r="F602" s="49" t="n"/>
      <c r="G602" s="51" t="n"/>
    </row>
    <row r="603" ht="54" customHeight="1">
      <c r="A603" s="29" t="n"/>
      <c r="B603" s="29" t="n"/>
      <c r="C603" s="29" t="n"/>
      <c r="D603" s="29" t="n"/>
      <c r="E603" s="29" t="n"/>
      <c r="F603" s="49" t="n"/>
      <c r="G603" s="51" t="n"/>
    </row>
    <row r="604" ht="54" customHeight="1">
      <c r="A604" s="29" t="n"/>
      <c r="B604" s="29" t="n"/>
      <c r="C604" s="29" t="n"/>
      <c r="D604" s="29" t="n"/>
      <c r="E604" s="29" t="n"/>
      <c r="F604" s="49" t="n"/>
      <c r="G604" s="51" t="n"/>
    </row>
    <row r="605" ht="54" customHeight="1">
      <c r="A605" s="29" t="n"/>
      <c r="B605" s="29" t="n"/>
      <c r="C605" s="29" t="n"/>
      <c r="D605" s="29" t="n"/>
      <c r="E605" s="29" t="n"/>
      <c r="F605" s="49" t="n"/>
      <c r="G605" s="51" t="n"/>
    </row>
    <row r="606" ht="54" customHeight="1">
      <c r="A606" s="29" t="n"/>
      <c r="B606" s="29" t="n"/>
      <c r="C606" s="29" t="n"/>
      <c r="D606" s="29" t="n"/>
      <c r="E606" s="29" t="n"/>
      <c r="F606" s="49" t="n"/>
      <c r="G606" s="51" t="n"/>
    </row>
    <row r="607" ht="54" customHeight="1">
      <c r="A607" s="29" t="n"/>
      <c r="B607" s="29" t="n"/>
      <c r="C607" s="29" t="n"/>
      <c r="D607" s="29" t="n"/>
      <c r="E607" s="29" t="n"/>
      <c r="F607" s="49" t="n"/>
      <c r="G607" s="51" t="n"/>
    </row>
    <row r="608" ht="54" customHeight="1">
      <c r="A608" s="29" t="n"/>
      <c r="B608" s="29" t="n"/>
      <c r="C608" s="29" t="n"/>
      <c r="D608" s="29" t="n"/>
      <c r="E608" s="29" t="n"/>
      <c r="F608" s="49" t="n"/>
      <c r="G608" s="51" t="n"/>
    </row>
    <row r="609" ht="54" customHeight="1">
      <c r="A609" s="29" t="n"/>
      <c r="B609" s="29" t="n"/>
      <c r="C609" s="29" t="n"/>
      <c r="D609" s="29" t="n"/>
      <c r="E609" s="29" t="n"/>
      <c r="F609" s="49" t="n"/>
      <c r="G609" s="51" t="n"/>
    </row>
    <row r="610" ht="54" customHeight="1">
      <c r="A610" s="29" t="n"/>
      <c r="B610" s="29" t="n"/>
      <c r="C610" s="29" t="n"/>
      <c r="D610" s="29" t="n"/>
      <c r="E610" s="29" t="n"/>
      <c r="F610" s="49" t="n"/>
      <c r="G610" s="51" t="n"/>
    </row>
    <row r="611" ht="54" customHeight="1">
      <c r="A611" s="29" t="n"/>
      <c r="B611" s="29" t="n"/>
      <c r="C611" s="29" t="n"/>
      <c r="D611" s="29" t="n"/>
      <c r="E611" s="29" t="n"/>
      <c r="F611" s="49" t="n"/>
      <c r="G611" s="51" t="n"/>
    </row>
    <row r="612" ht="54" customHeight="1">
      <c r="A612" s="29" t="n"/>
      <c r="B612" s="29" t="n"/>
      <c r="C612" s="29" t="n"/>
      <c r="D612" s="29" t="n"/>
      <c r="E612" s="29" t="n"/>
      <c r="F612" s="49" t="n"/>
      <c r="G612" s="51" t="n"/>
    </row>
    <row r="613" ht="54" customHeight="1">
      <c r="A613" s="29" t="n"/>
      <c r="B613" s="29" t="n"/>
      <c r="C613" s="29" t="n"/>
      <c r="D613" s="29" t="n"/>
      <c r="E613" s="29" t="n"/>
      <c r="F613" s="49" t="n"/>
      <c r="G613" s="51" t="n"/>
    </row>
    <row r="614" ht="54" customHeight="1">
      <c r="A614" s="29" t="n"/>
      <c r="B614" s="29" t="n"/>
      <c r="C614" s="29" t="n"/>
      <c r="D614" s="29" t="n"/>
      <c r="E614" s="29" t="n"/>
      <c r="F614" s="49" t="n"/>
      <c r="G614" s="51" t="n"/>
    </row>
    <row r="615" ht="54" customHeight="1">
      <c r="A615" s="29" t="n"/>
      <c r="B615" s="29" t="n"/>
      <c r="C615" s="29" t="n"/>
      <c r="D615" s="29" t="n"/>
      <c r="E615" s="29" t="n"/>
      <c r="F615" s="49" t="n"/>
      <c r="G615" s="51" t="n"/>
    </row>
    <row r="616" ht="54" customHeight="1">
      <c r="A616" s="29" t="n"/>
      <c r="B616" s="29" t="n"/>
      <c r="C616" s="29" t="n"/>
      <c r="D616" s="29" t="n"/>
      <c r="E616" s="29" t="n"/>
      <c r="F616" s="49" t="n"/>
      <c r="G616" s="51" t="n"/>
    </row>
    <row r="617" ht="54" customHeight="1">
      <c r="A617" s="29" t="n"/>
      <c r="B617" s="29" t="n"/>
      <c r="C617" s="29" t="n"/>
      <c r="D617" s="29" t="n"/>
      <c r="E617" s="29" t="n"/>
      <c r="F617" s="49" t="n"/>
      <c r="G617" s="51" t="n"/>
    </row>
    <row r="618" ht="54" customHeight="1">
      <c r="A618" s="29" t="n"/>
      <c r="B618" s="29" t="n"/>
      <c r="C618" s="29" t="n"/>
      <c r="D618" s="29" t="n"/>
      <c r="E618" s="29" t="n"/>
      <c r="F618" s="49" t="n"/>
      <c r="G618" s="51" t="n"/>
    </row>
    <row r="619" ht="54" customHeight="1">
      <c r="A619" s="29" t="n"/>
      <c r="B619" s="29" t="n"/>
      <c r="C619" s="29" t="n"/>
      <c r="D619" s="29" t="n"/>
      <c r="E619" s="29" t="n"/>
      <c r="F619" s="49" t="n"/>
      <c r="G619" s="51" t="n"/>
    </row>
    <row r="620" ht="54" customHeight="1">
      <c r="A620" s="29" t="n"/>
      <c r="B620" s="29" t="n"/>
      <c r="C620" s="29" t="n"/>
      <c r="D620" s="29" t="n"/>
      <c r="E620" s="29" t="n"/>
      <c r="F620" s="49" t="n"/>
      <c r="G620" s="51" t="n"/>
    </row>
    <row r="621" ht="54" customHeight="1">
      <c r="A621" s="29" t="n"/>
      <c r="B621" s="29" t="n"/>
      <c r="C621" s="29" t="n"/>
      <c r="D621" s="29" t="n"/>
      <c r="E621" s="29" t="n"/>
      <c r="F621" s="49" t="n"/>
      <c r="G621" s="51" t="n"/>
    </row>
    <row r="622" ht="54" customHeight="1">
      <c r="A622" s="29" t="n"/>
      <c r="B622" s="29" t="n"/>
      <c r="C622" s="29" t="n"/>
      <c r="D622" s="29" t="n"/>
      <c r="E622" s="29" t="n"/>
      <c r="F622" s="49" t="n"/>
      <c r="G622" s="51" t="n"/>
    </row>
    <row r="623" ht="54" customHeight="1">
      <c r="A623" s="29" t="n"/>
      <c r="B623" s="29" t="n"/>
      <c r="C623" s="29" t="n"/>
      <c r="D623" s="29" t="n"/>
      <c r="E623" s="29" t="n"/>
      <c r="F623" s="49" t="n"/>
      <c r="G623" s="51" t="n"/>
    </row>
    <row r="624" ht="54" customHeight="1">
      <c r="A624" s="29" t="n"/>
      <c r="B624" s="29" t="n"/>
      <c r="C624" s="29" t="n"/>
      <c r="D624" s="29" t="n"/>
      <c r="E624" s="29" t="n"/>
      <c r="F624" s="49" t="n"/>
      <c r="G624" s="51" t="n"/>
    </row>
    <row r="625" ht="54" customHeight="1">
      <c r="A625" s="29" t="n"/>
      <c r="B625" s="29" t="n"/>
      <c r="C625" s="29" t="n"/>
      <c r="D625" s="29" t="n"/>
      <c r="E625" s="29" t="n"/>
      <c r="F625" s="49" t="n"/>
      <c r="G625" s="51" t="n"/>
    </row>
    <row r="626" ht="54" customHeight="1">
      <c r="A626" s="29" t="n"/>
      <c r="B626" s="29" t="n"/>
      <c r="C626" s="29" t="n"/>
      <c r="D626" s="29" t="n"/>
      <c r="E626" s="29" t="n"/>
      <c r="F626" s="49" t="n"/>
      <c r="G626" s="51" t="n"/>
    </row>
    <row r="627" ht="54" customHeight="1">
      <c r="A627" s="29" t="n"/>
      <c r="B627" s="29" t="n"/>
      <c r="C627" s="29" t="n"/>
      <c r="D627" s="29" t="n"/>
      <c r="E627" s="29" t="n"/>
      <c r="F627" s="49" t="n"/>
      <c r="G627" s="51" t="n"/>
    </row>
    <row r="628" ht="54" customHeight="1">
      <c r="A628" s="29" t="n"/>
      <c r="B628" s="29" t="n"/>
      <c r="C628" s="29" t="n"/>
      <c r="D628" s="29" t="n"/>
      <c r="E628" s="29" t="n"/>
      <c r="F628" s="49" t="n"/>
      <c r="G628" s="51" t="n"/>
    </row>
    <row r="629" ht="54" customHeight="1">
      <c r="A629" s="29" t="n"/>
      <c r="B629" s="29" t="n"/>
      <c r="C629" s="29" t="n"/>
      <c r="D629" s="29" t="n"/>
      <c r="E629" s="29" t="n"/>
      <c r="F629" s="49" t="n"/>
      <c r="G629" s="51" t="n"/>
    </row>
    <row r="630" ht="54" customHeight="1">
      <c r="A630" s="29" t="n"/>
      <c r="B630" s="29" t="n"/>
      <c r="C630" s="29" t="n"/>
      <c r="D630" s="29" t="n"/>
      <c r="E630" s="29" t="n"/>
      <c r="F630" s="49" t="n"/>
      <c r="G630" s="51" t="n"/>
    </row>
    <row r="631" ht="54" customHeight="1">
      <c r="A631" s="29" t="n"/>
      <c r="B631" s="29" t="n"/>
      <c r="C631" s="29" t="n"/>
      <c r="D631" s="29" t="n"/>
      <c r="E631" s="29" t="n"/>
      <c r="F631" s="49" t="n"/>
      <c r="G631" s="51" t="n"/>
    </row>
    <row r="632" ht="54" customHeight="1">
      <c r="A632" s="29" t="n"/>
      <c r="B632" s="29" t="n"/>
      <c r="C632" s="29" t="n"/>
      <c r="D632" s="29" t="n"/>
      <c r="E632" s="29" t="n"/>
      <c r="F632" s="49" t="n"/>
      <c r="G632" s="51" t="n"/>
    </row>
    <row r="633" ht="54" customHeight="1">
      <c r="A633" s="29" t="n"/>
      <c r="B633" s="29" t="n"/>
      <c r="C633" s="29" t="n"/>
      <c r="D633" s="29" t="n"/>
      <c r="E633" s="29" t="n"/>
      <c r="F633" s="49" t="n"/>
      <c r="G633" s="51" t="n"/>
    </row>
    <row r="634" ht="54" customHeight="1">
      <c r="A634" s="29" t="n"/>
      <c r="B634" s="29" t="n"/>
      <c r="C634" s="29" t="n"/>
      <c r="D634" s="29" t="n"/>
      <c r="E634" s="29" t="n"/>
      <c r="F634" s="49" t="n"/>
      <c r="G634" s="51" t="n"/>
    </row>
    <row r="635" ht="54" customHeight="1">
      <c r="A635" s="29" t="n"/>
      <c r="B635" s="29" t="n"/>
      <c r="C635" s="29" t="n"/>
      <c r="D635" s="29" t="n"/>
      <c r="E635" s="29" t="n"/>
      <c r="F635" s="49" t="n"/>
      <c r="G635" s="51" t="n"/>
    </row>
    <row r="636" ht="54" customHeight="1">
      <c r="A636" s="29" t="n"/>
      <c r="B636" s="29" t="n"/>
      <c r="C636" s="29" t="n"/>
      <c r="D636" s="29" t="n"/>
      <c r="E636" s="29" t="n"/>
      <c r="F636" s="49" t="n"/>
      <c r="G636" s="51" t="n"/>
    </row>
    <row r="637" ht="54" customHeight="1">
      <c r="A637" s="29" t="n"/>
      <c r="B637" s="29" t="n"/>
      <c r="C637" s="29" t="n"/>
      <c r="D637" s="29" t="n"/>
      <c r="E637" s="29" t="n"/>
      <c r="F637" s="49" t="n"/>
      <c r="G637" s="51" t="n"/>
    </row>
    <row r="638" ht="54" customHeight="1">
      <c r="A638" s="29" t="n"/>
      <c r="B638" s="29" t="n"/>
      <c r="C638" s="29" t="n"/>
      <c r="D638" s="29" t="n"/>
      <c r="E638" s="29" t="n"/>
      <c r="F638" s="49" t="n"/>
      <c r="G638" s="51" t="n"/>
    </row>
    <row r="639" ht="54" customHeight="1">
      <c r="A639" s="29" t="n"/>
      <c r="B639" s="29" t="n"/>
      <c r="C639" s="29" t="n"/>
      <c r="D639" s="29" t="n"/>
      <c r="E639" s="29" t="n"/>
      <c r="F639" s="49" t="n"/>
      <c r="G639" s="51" t="n"/>
    </row>
    <row r="640" ht="54" customHeight="1">
      <c r="A640" s="29" t="n"/>
      <c r="B640" s="29" t="n"/>
      <c r="C640" s="29" t="n"/>
      <c r="D640" s="29" t="n"/>
      <c r="E640" s="29" t="n"/>
      <c r="F640" s="49" t="n"/>
      <c r="G640" s="51" t="n"/>
    </row>
    <row r="641" ht="54" customHeight="1">
      <c r="A641" s="29" t="n"/>
      <c r="B641" s="29" t="n"/>
      <c r="C641" s="29" t="n"/>
      <c r="D641" s="29" t="n"/>
      <c r="E641" s="29" t="n"/>
      <c r="F641" s="49" t="n"/>
      <c r="G641" s="51" t="n"/>
    </row>
    <row r="642" ht="54" customHeight="1">
      <c r="A642" s="29" t="n"/>
      <c r="B642" s="29" t="n"/>
      <c r="C642" s="29" t="n"/>
      <c r="D642" s="29" t="n"/>
      <c r="E642" s="29" t="n"/>
      <c r="F642" s="49" t="n"/>
      <c r="G642" s="51" t="n"/>
    </row>
    <row r="643" ht="54" customHeight="1">
      <c r="A643" s="29" t="n"/>
      <c r="B643" s="29" t="n"/>
      <c r="C643" s="29" t="n"/>
      <c r="D643" s="29" t="n"/>
      <c r="E643" s="29" t="n"/>
      <c r="F643" s="49" t="n"/>
      <c r="G643" s="51" t="n"/>
    </row>
    <row r="644" ht="54" customHeight="1">
      <c r="A644" s="29" t="n"/>
      <c r="B644" s="29" t="n"/>
      <c r="C644" s="29" t="n"/>
      <c r="D644" s="29" t="n"/>
      <c r="E644" s="29" t="n"/>
      <c r="F644" s="49" t="n"/>
      <c r="G644" s="51" t="n"/>
    </row>
    <row r="645" ht="54" customHeight="1">
      <c r="A645" s="29" t="n"/>
      <c r="B645" s="29" t="n"/>
      <c r="C645" s="29" t="n"/>
      <c r="D645" s="29" t="n"/>
      <c r="E645" s="29" t="n"/>
      <c r="F645" s="49" t="n"/>
      <c r="G645" s="51" t="n"/>
    </row>
    <row r="646" ht="54" customHeight="1">
      <c r="A646" s="29" t="n"/>
      <c r="B646" s="29" t="n"/>
      <c r="C646" s="29" t="n"/>
      <c r="D646" s="29" t="n"/>
      <c r="E646" s="29" t="n"/>
      <c r="F646" s="49" t="n"/>
      <c r="G646" s="51" t="n"/>
    </row>
    <row r="647" ht="54" customHeight="1">
      <c r="A647" s="29" t="n"/>
      <c r="B647" s="29" t="n"/>
      <c r="C647" s="29" t="n"/>
      <c r="D647" s="29" t="n"/>
      <c r="E647" s="29" t="n"/>
      <c r="F647" s="49" t="n"/>
      <c r="G647" s="51" t="n"/>
    </row>
    <row r="648" ht="54" customHeight="1">
      <c r="A648" s="29" t="n"/>
      <c r="B648" s="29" t="n"/>
      <c r="C648" s="29" t="n"/>
      <c r="D648" s="29" t="n"/>
      <c r="E648" s="29" t="n"/>
      <c r="F648" s="49" t="n"/>
      <c r="G648" s="51" t="n"/>
    </row>
    <row r="649" ht="54" customHeight="1">
      <c r="A649" s="29" t="n"/>
      <c r="B649" s="29" t="n"/>
      <c r="C649" s="29" t="n"/>
      <c r="D649" s="29" t="n"/>
      <c r="E649" s="29" t="n"/>
      <c r="F649" s="49" t="n"/>
      <c r="G649" s="51" t="n"/>
    </row>
    <row r="650" ht="54" customHeight="1">
      <c r="A650" s="29" t="n"/>
      <c r="B650" s="29" t="n"/>
      <c r="C650" s="29" t="n"/>
      <c r="D650" s="29" t="n"/>
      <c r="E650" s="29" t="n"/>
      <c r="F650" s="49" t="n"/>
      <c r="G650" s="51" t="n"/>
    </row>
    <row r="651" ht="54" customHeight="1">
      <c r="A651" s="29" t="n"/>
      <c r="B651" s="29" t="n"/>
      <c r="C651" s="29" t="n"/>
      <c r="D651" s="29" t="n"/>
      <c r="E651" s="29" t="n"/>
      <c r="F651" s="49" t="n"/>
      <c r="G651" s="51" t="n"/>
    </row>
    <row r="652" ht="54" customHeight="1">
      <c r="A652" s="29" t="n"/>
      <c r="B652" s="29" t="n"/>
      <c r="C652" s="29" t="n"/>
      <c r="D652" s="29" t="n"/>
      <c r="E652" s="29" t="n"/>
      <c r="F652" s="49" t="n"/>
      <c r="G652" s="51" t="n"/>
    </row>
    <row r="653" ht="54" customHeight="1">
      <c r="A653" s="29" t="n"/>
      <c r="B653" s="29" t="n"/>
      <c r="C653" s="29" t="n"/>
      <c r="D653" s="29" t="n"/>
      <c r="E653" s="29" t="n"/>
      <c r="F653" s="49" t="n"/>
      <c r="G653" s="51" t="n"/>
    </row>
    <row r="654" ht="54" customHeight="1">
      <c r="A654" s="29" t="n"/>
      <c r="B654" s="29" t="n"/>
      <c r="C654" s="29" t="n"/>
      <c r="D654" s="29" t="n"/>
      <c r="E654" s="29" t="n"/>
      <c r="F654" s="49" t="n"/>
      <c r="G654" s="51" t="n"/>
    </row>
    <row r="655" ht="54" customHeight="1">
      <c r="A655" s="29" t="n"/>
      <c r="B655" s="29" t="n"/>
      <c r="C655" s="29" t="n"/>
      <c r="D655" s="29" t="n"/>
      <c r="E655" s="29" t="n"/>
      <c r="F655" s="49" t="n"/>
      <c r="G655" s="51" t="n"/>
    </row>
    <row r="656" ht="54" customHeight="1">
      <c r="A656" s="29" t="n"/>
      <c r="B656" s="29" t="n"/>
      <c r="C656" s="29" t="n"/>
      <c r="D656" s="29" t="n"/>
      <c r="E656" s="29" t="n"/>
      <c r="F656" s="49" t="n"/>
      <c r="G656" s="51" t="n"/>
    </row>
    <row r="657" ht="54" customHeight="1">
      <c r="A657" s="29" t="n"/>
      <c r="B657" s="29" t="n"/>
      <c r="C657" s="29" t="n"/>
      <c r="D657" s="29" t="n"/>
      <c r="E657" s="29" t="n"/>
      <c r="F657" s="49" t="n"/>
      <c r="G657" s="51" t="n"/>
    </row>
    <row r="658" ht="54" customHeight="1">
      <c r="A658" s="29" t="n"/>
      <c r="B658" s="29" t="n"/>
      <c r="C658" s="29" t="n"/>
      <c r="D658" s="29" t="n"/>
      <c r="E658" s="29" t="n"/>
      <c r="F658" s="49" t="n"/>
      <c r="G658" s="51" t="n"/>
    </row>
    <row r="659" ht="54" customHeight="1">
      <c r="A659" s="29" t="n"/>
      <c r="B659" s="29" t="n"/>
      <c r="C659" s="29" t="n"/>
      <c r="D659" s="29" t="n"/>
      <c r="E659" s="29" t="n"/>
      <c r="F659" s="49" t="n"/>
      <c r="G659" s="51" t="n"/>
    </row>
    <row r="660" ht="54" customHeight="1">
      <c r="A660" s="29" t="n"/>
      <c r="B660" s="29" t="n"/>
      <c r="C660" s="29" t="n"/>
      <c r="D660" s="29" t="n"/>
      <c r="E660" s="29" t="n"/>
      <c r="F660" s="49" t="n"/>
      <c r="G660" s="51" t="n"/>
    </row>
    <row r="661" ht="54" customHeight="1">
      <c r="A661" s="29" t="n"/>
      <c r="B661" s="29" t="n"/>
      <c r="C661" s="29" t="n"/>
      <c r="D661" s="29" t="n"/>
      <c r="E661" s="29" t="n"/>
      <c r="F661" s="49" t="n"/>
      <c r="G661" s="51" t="n"/>
    </row>
    <row r="662" ht="54" customHeight="1">
      <c r="A662" s="29" t="n"/>
      <c r="B662" s="29" t="n"/>
      <c r="C662" s="29" t="n"/>
      <c r="D662" s="29" t="n"/>
      <c r="E662" s="29" t="n"/>
      <c r="F662" s="49" t="n"/>
      <c r="G662" s="51" t="n"/>
    </row>
    <row r="663" ht="54" customHeight="1">
      <c r="A663" s="29" t="n"/>
      <c r="B663" s="29" t="n"/>
      <c r="C663" s="29" t="n"/>
      <c r="D663" s="29" t="n"/>
      <c r="E663" s="29" t="n"/>
      <c r="F663" s="49" t="n"/>
      <c r="G663" s="51" t="n"/>
    </row>
    <row r="664" ht="54" customHeight="1">
      <c r="A664" s="29" t="n"/>
      <c r="B664" s="29" t="n"/>
      <c r="C664" s="29" t="n"/>
      <c r="D664" s="29" t="n"/>
      <c r="E664" s="29" t="n"/>
      <c r="F664" s="49" t="n"/>
      <c r="G664" s="51" t="n"/>
    </row>
    <row r="665" ht="54" customHeight="1">
      <c r="A665" s="29" t="n"/>
      <c r="B665" s="29" t="n"/>
      <c r="C665" s="29" t="n"/>
      <c r="D665" s="29" t="n"/>
      <c r="E665" s="29" t="n"/>
      <c r="F665" s="49" t="n"/>
      <c r="G665" s="51" t="n"/>
    </row>
    <row r="666" ht="54" customHeight="1">
      <c r="A666" s="29" t="n"/>
      <c r="B666" s="29" t="n"/>
      <c r="C666" s="29" t="n"/>
      <c r="D666" s="29" t="n"/>
      <c r="E666" s="29" t="n"/>
      <c r="F666" s="49" t="n"/>
      <c r="G666" s="51" t="n"/>
    </row>
    <row r="667" ht="54" customHeight="1">
      <c r="A667" s="29" t="n"/>
      <c r="B667" s="29" t="n"/>
      <c r="C667" s="29" t="n"/>
      <c r="D667" s="29" t="n"/>
      <c r="E667" s="29" t="n"/>
      <c r="F667" s="49" t="n"/>
      <c r="G667" s="51" t="n"/>
    </row>
    <row r="668" ht="54" customHeight="1">
      <c r="A668" s="29" t="n"/>
      <c r="B668" s="29" t="n"/>
      <c r="C668" s="29" t="n"/>
      <c r="D668" s="29" t="n"/>
      <c r="E668" s="29" t="n"/>
      <c r="F668" s="49" t="n"/>
      <c r="G668" s="51" t="n"/>
    </row>
    <row r="669" ht="54" customHeight="1">
      <c r="A669" s="29" t="n"/>
      <c r="B669" s="29" t="n"/>
      <c r="C669" s="29" t="n"/>
      <c r="D669" s="29" t="n"/>
      <c r="E669" s="29" t="n"/>
      <c r="F669" s="49" t="n"/>
      <c r="G669" s="51" t="n"/>
    </row>
    <row r="670" ht="54" customHeight="1">
      <c r="A670" s="29" t="n"/>
      <c r="B670" s="29" t="n"/>
      <c r="C670" s="29" t="n"/>
      <c r="D670" s="29" t="n"/>
      <c r="E670" s="29" t="n"/>
      <c r="F670" s="49" t="n"/>
      <c r="G670" s="51" t="n"/>
    </row>
    <row r="671" ht="54" customHeight="1">
      <c r="A671" s="29" t="n"/>
      <c r="B671" s="29" t="n"/>
      <c r="C671" s="29" t="n"/>
      <c r="D671" s="29" t="n"/>
      <c r="E671" s="29" t="n"/>
      <c r="F671" s="49" t="n"/>
      <c r="G671" s="51" t="n"/>
    </row>
    <row r="672" ht="54" customHeight="1">
      <c r="A672" s="29" t="n"/>
      <c r="B672" s="29" t="n"/>
      <c r="C672" s="29" t="n"/>
      <c r="D672" s="29" t="n"/>
      <c r="E672" s="29" t="n"/>
      <c r="F672" s="49" t="n"/>
      <c r="G672" s="51" t="n"/>
    </row>
    <row r="673" ht="54" customHeight="1">
      <c r="A673" s="29" t="n"/>
      <c r="B673" s="29" t="n"/>
      <c r="C673" s="29" t="n"/>
      <c r="D673" s="29" t="n"/>
      <c r="E673" s="29" t="n"/>
      <c r="F673" s="49" t="n"/>
      <c r="G673" s="51" t="n"/>
    </row>
    <row r="674" ht="54" customHeight="1">
      <c r="A674" s="29" t="n"/>
      <c r="B674" s="29" t="n"/>
      <c r="C674" s="29" t="n"/>
      <c r="D674" s="29" t="n"/>
      <c r="E674" s="29" t="n"/>
      <c r="F674" s="49" t="n"/>
      <c r="G674" s="51" t="n"/>
    </row>
    <row r="675" ht="54" customHeight="1">
      <c r="A675" s="29" t="n"/>
      <c r="B675" s="29" t="n"/>
      <c r="C675" s="29" t="n"/>
      <c r="D675" s="29" t="n"/>
      <c r="E675" s="29" t="n"/>
      <c r="F675" s="49" t="n"/>
      <c r="G675" s="51" t="n"/>
    </row>
    <row r="676" ht="54" customHeight="1">
      <c r="A676" s="29" t="n"/>
      <c r="B676" s="29" t="n"/>
      <c r="C676" s="29" t="n"/>
      <c r="D676" s="29" t="n"/>
      <c r="E676" s="29" t="n"/>
      <c r="F676" s="49" t="n"/>
      <c r="G676" s="51" t="n"/>
    </row>
    <row r="677" ht="54" customHeight="1">
      <c r="A677" s="29" t="n"/>
      <c r="B677" s="29" t="n"/>
      <c r="C677" s="29" t="n"/>
      <c r="D677" s="29" t="n"/>
      <c r="E677" s="29" t="n"/>
      <c r="F677" s="49" t="n"/>
      <c r="G677" s="51" t="n"/>
    </row>
    <row r="678" ht="54" customHeight="1">
      <c r="A678" s="29" t="n"/>
      <c r="B678" s="29" t="n"/>
      <c r="C678" s="29" t="n"/>
      <c r="D678" s="29" t="n"/>
      <c r="E678" s="29" t="n"/>
      <c r="F678" s="49" t="n"/>
      <c r="G678" s="51" t="n"/>
    </row>
    <row r="679" ht="54" customHeight="1">
      <c r="A679" s="29" t="n"/>
      <c r="B679" s="29" t="n"/>
      <c r="C679" s="29" t="n"/>
      <c r="D679" s="29" t="n"/>
      <c r="E679" s="29" t="n"/>
      <c r="F679" s="49" t="n"/>
      <c r="G679" s="51" t="n"/>
    </row>
    <row r="680" ht="54" customHeight="1">
      <c r="A680" s="29" t="n"/>
      <c r="B680" s="29" t="n"/>
      <c r="C680" s="29" t="n"/>
      <c r="D680" s="29" t="n"/>
      <c r="E680" s="29" t="n"/>
      <c r="F680" s="49" t="n"/>
      <c r="G680" s="51" t="n"/>
    </row>
    <row r="681" ht="54" customHeight="1">
      <c r="A681" s="29" t="n"/>
      <c r="B681" s="29" t="n"/>
      <c r="C681" s="29" t="n"/>
      <c r="D681" s="29" t="n"/>
      <c r="E681" s="29" t="n"/>
      <c r="F681" s="49" t="n"/>
      <c r="G681" s="51" t="n"/>
    </row>
    <row r="682" ht="54" customHeight="1">
      <c r="A682" s="29" t="n"/>
      <c r="B682" s="29" t="n"/>
      <c r="C682" s="29" t="n"/>
      <c r="D682" s="29" t="n"/>
      <c r="E682" s="29" t="n"/>
      <c r="F682" s="49" t="n"/>
      <c r="G682" s="51" t="n"/>
    </row>
    <row r="683" ht="54" customHeight="1">
      <c r="A683" s="29" t="n"/>
      <c r="B683" s="29" t="n"/>
      <c r="C683" s="29" t="n"/>
      <c r="D683" s="29" t="n"/>
      <c r="E683" s="29" t="n"/>
      <c r="F683" s="49" t="n"/>
      <c r="G683" s="51" t="n"/>
    </row>
    <row r="684" ht="54" customHeight="1">
      <c r="A684" s="29" t="n"/>
      <c r="B684" s="29" t="n"/>
      <c r="C684" s="29" t="n"/>
      <c r="D684" s="29" t="n"/>
      <c r="E684" s="29" t="n"/>
      <c r="F684" s="49" t="n"/>
      <c r="G684" s="51" t="n"/>
    </row>
    <row r="685" ht="54" customHeight="1">
      <c r="A685" s="29" t="n"/>
      <c r="B685" s="29" t="n"/>
      <c r="C685" s="29" t="n"/>
      <c r="D685" s="29" t="n"/>
      <c r="E685" s="29" t="n"/>
      <c r="F685" s="49" t="n"/>
      <c r="G685" s="51" t="n"/>
    </row>
    <row r="686" ht="54" customHeight="1">
      <c r="A686" s="29" t="n"/>
      <c r="B686" s="29" t="n"/>
      <c r="C686" s="29" t="n"/>
      <c r="D686" s="29" t="n"/>
      <c r="E686" s="29" t="n"/>
      <c r="F686" s="49" t="n"/>
      <c r="G686" s="51" t="n"/>
    </row>
    <row r="687" ht="54" customHeight="1">
      <c r="A687" s="29" t="n"/>
      <c r="B687" s="29" t="n"/>
      <c r="C687" s="29" t="n"/>
      <c r="D687" s="29" t="n"/>
      <c r="E687" s="29" t="n"/>
      <c r="F687" s="49" t="n"/>
      <c r="G687" s="51" t="n"/>
    </row>
    <row r="688" ht="54" customHeight="1">
      <c r="A688" s="29" t="n"/>
      <c r="B688" s="29" t="n"/>
      <c r="C688" s="29" t="n"/>
      <c r="D688" s="29" t="n"/>
      <c r="E688" s="29" t="n"/>
      <c r="F688" s="49" t="n"/>
      <c r="G688" s="51" t="n"/>
    </row>
    <row r="689" ht="54" customHeight="1">
      <c r="A689" s="29" t="n"/>
      <c r="B689" s="29" t="n"/>
      <c r="C689" s="29" t="n"/>
      <c r="D689" s="29" t="n"/>
      <c r="E689" s="29" t="n"/>
      <c r="F689" s="49" t="n"/>
      <c r="G689" s="51" t="n"/>
    </row>
    <row r="690" ht="54" customHeight="1">
      <c r="A690" s="29" t="n"/>
      <c r="B690" s="29" t="n"/>
      <c r="C690" s="29" t="n"/>
      <c r="D690" s="29" t="n"/>
      <c r="E690" s="29" t="n"/>
      <c r="F690" s="49" t="n"/>
      <c r="G690" s="51" t="n"/>
    </row>
    <row r="691" ht="54" customHeight="1">
      <c r="A691" s="29" t="n"/>
      <c r="B691" s="29" t="n"/>
      <c r="C691" s="29" t="n"/>
      <c r="D691" s="29" t="n"/>
      <c r="E691" s="29" t="n"/>
      <c r="F691" s="49" t="n"/>
      <c r="G691" s="51" t="n"/>
    </row>
    <row r="692" ht="54" customHeight="1">
      <c r="A692" s="29" t="n"/>
      <c r="B692" s="29" t="n"/>
      <c r="C692" s="29" t="n"/>
      <c r="D692" s="29" t="n"/>
      <c r="E692" s="29" t="n"/>
      <c r="F692" s="49" t="n"/>
      <c r="G692" s="51" t="n"/>
    </row>
    <row r="693" ht="54" customHeight="1">
      <c r="A693" s="29" t="n"/>
      <c r="B693" s="29" t="n"/>
      <c r="C693" s="29" t="n"/>
      <c r="D693" s="29" t="n"/>
      <c r="E693" s="29" t="n"/>
      <c r="F693" s="49" t="n"/>
      <c r="G693" s="51" t="n"/>
    </row>
    <row r="694" ht="54" customHeight="1">
      <c r="A694" s="29" t="n"/>
      <c r="B694" s="29" t="n"/>
      <c r="C694" s="29" t="n"/>
      <c r="D694" s="29" t="n"/>
      <c r="E694" s="29" t="n"/>
      <c r="F694" s="49" t="n"/>
      <c r="G694" s="51" t="n"/>
    </row>
    <row r="695" ht="54" customHeight="1">
      <c r="A695" s="29" t="n"/>
      <c r="B695" s="29" t="n"/>
      <c r="C695" s="29" t="n"/>
      <c r="D695" s="29" t="n"/>
      <c r="E695" s="29" t="n"/>
      <c r="F695" s="49" t="n"/>
      <c r="G695" s="51" t="n"/>
    </row>
    <row r="696" ht="54" customHeight="1">
      <c r="A696" s="29" t="n"/>
      <c r="B696" s="29" t="n"/>
      <c r="C696" s="29" t="n"/>
      <c r="D696" s="29" t="n"/>
      <c r="E696" s="29" t="n"/>
      <c r="F696" s="49" t="n"/>
      <c r="G696" s="51" t="n"/>
    </row>
    <row r="697" ht="54" customHeight="1">
      <c r="A697" s="29" t="n"/>
      <c r="B697" s="29" t="n"/>
      <c r="C697" s="29" t="n"/>
      <c r="D697" s="29" t="n"/>
      <c r="E697" s="29" t="n"/>
      <c r="F697" s="49" t="n"/>
      <c r="G697" s="51" t="n"/>
    </row>
    <row r="698" ht="54" customHeight="1">
      <c r="A698" s="29" t="n"/>
      <c r="B698" s="29" t="n"/>
      <c r="C698" s="29" t="n"/>
      <c r="D698" s="29" t="n"/>
      <c r="E698" s="29" t="n"/>
      <c r="F698" s="49" t="n"/>
      <c r="G698" s="51" t="n"/>
    </row>
    <row r="699" ht="54" customHeight="1">
      <c r="A699" s="29" t="n"/>
      <c r="B699" s="29" t="n"/>
      <c r="C699" s="29" t="n"/>
      <c r="D699" s="29" t="n"/>
      <c r="E699" s="29" t="n"/>
      <c r="F699" s="49" t="n"/>
      <c r="G699" s="51" t="n"/>
    </row>
    <row r="700" ht="54" customHeight="1">
      <c r="A700" s="29" t="n"/>
      <c r="B700" s="29" t="n"/>
      <c r="C700" s="29" t="n"/>
      <c r="D700" s="29" t="n"/>
      <c r="E700" s="29" t="n"/>
      <c r="F700" s="49" t="n"/>
      <c r="G700" s="51" t="n"/>
    </row>
    <row r="701" ht="54" customHeight="1">
      <c r="A701" s="29" t="n"/>
      <c r="B701" s="29" t="n"/>
      <c r="C701" s="29" t="n"/>
      <c r="D701" s="29" t="n"/>
      <c r="E701" s="29" t="n"/>
      <c r="F701" s="49" t="n"/>
      <c r="G701" s="51" t="n"/>
    </row>
    <row r="702" ht="54" customHeight="1">
      <c r="A702" s="29" t="n"/>
      <c r="B702" s="29" t="n"/>
      <c r="C702" s="29" t="n"/>
      <c r="D702" s="29" t="n"/>
      <c r="E702" s="29" t="n"/>
      <c r="F702" s="49" t="n"/>
      <c r="G702" s="51" t="n"/>
    </row>
    <row r="703" ht="54" customHeight="1">
      <c r="A703" s="29" t="n"/>
      <c r="B703" s="29" t="n"/>
      <c r="C703" s="29" t="n"/>
      <c r="D703" s="29" t="n"/>
      <c r="E703" s="29" t="n"/>
      <c r="F703" s="49" t="n"/>
      <c r="G703" s="51" t="n"/>
    </row>
    <row r="704" ht="54" customHeight="1">
      <c r="A704" s="29" t="n"/>
      <c r="B704" s="29" t="n"/>
      <c r="C704" s="29" t="n"/>
      <c r="D704" s="29" t="n"/>
      <c r="E704" s="29" t="n"/>
      <c r="F704" s="49" t="n"/>
      <c r="G704" s="51" t="n"/>
    </row>
    <row r="705" ht="54" customHeight="1">
      <c r="A705" s="29" t="n"/>
      <c r="B705" s="29" t="n"/>
      <c r="C705" s="29" t="n"/>
      <c r="D705" s="29" t="n"/>
      <c r="E705" s="29" t="n"/>
      <c r="F705" s="49" t="n"/>
      <c r="G705" s="51" t="n"/>
    </row>
    <row r="706" ht="54" customHeight="1">
      <c r="A706" s="29" t="n"/>
      <c r="B706" s="29" t="n"/>
      <c r="C706" s="29" t="n"/>
      <c r="D706" s="29" t="n"/>
      <c r="E706" s="29" t="n"/>
      <c r="F706" s="49" t="n"/>
      <c r="G706" s="51" t="n"/>
    </row>
    <row r="707" ht="54" customHeight="1">
      <c r="A707" s="29" t="n"/>
      <c r="B707" s="29" t="n"/>
      <c r="C707" s="29" t="n"/>
      <c r="D707" s="29" t="n"/>
      <c r="E707" s="29" t="n"/>
      <c r="F707" s="49" t="n"/>
      <c r="G707" s="51" t="n"/>
    </row>
    <row r="708" ht="54" customHeight="1">
      <c r="A708" s="29" t="n"/>
      <c r="B708" s="29" t="n"/>
      <c r="C708" s="29" t="n"/>
      <c r="D708" s="29" t="n"/>
      <c r="E708" s="29" t="n"/>
      <c r="F708" s="49" t="n"/>
      <c r="G708" s="51" t="n"/>
    </row>
    <row r="709" ht="54" customHeight="1">
      <c r="A709" s="29" t="n"/>
      <c r="B709" s="29" t="n"/>
      <c r="C709" s="29" t="n"/>
      <c r="D709" s="29" t="n"/>
      <c r="E709" s="29" t="n"/>
      <c r="F709" s="49" t="n"/>
      <c r="G709" s="51" t="n"/>
    </row>
    <row r="710" ht="54" customHeight="1">
      <c r="A710" s="29" t="n"/>
      <c r="B710" s="29" t="n"/>
      <c r="C710" s="29" t="n"/>
      <c r="D710" s="29" t="n"/>
      <c r="E710" s="29" t="n"/>
      <c r="F710" s="49" t="n"/>
      <c r="G710" s="51" t="n"/>
    </row>
    <row r="711" ht="54" customHeight="1">
      <c r="A711" s="29" t="n"/>
      <c r="B711" s="29" t="n"/>
      <c r="C711" s="29" t="n"/>
      <c r="D711" s="29" t="n"/>
      <c r="E711" s="29" t="n"/>
      <c r="F711" s="49" t="n"/>
      <c r="G711" s="51" t="n"/>
    </row>
    <row r="712" ht="54" customHeight="1">
      <c r="A712" s="29" t="n"/>
      <c r="B712" s="29" t="n"/>
      <c r="C712" s="29" t="n"/>
      <c r="D712" s="29" t="n"/>
      <c r="E712" s="29" t="n"/>
      <c r="F712" s="49" t="n"/>
      <c r="G712" s="51" t="n"/>
    </row>
    <row r="713" ht="54" customHeight="1">
      <c r="A713" s="29" t="n"/>
      <c r="B713" s="29" t="n"/>
      <c r="C713" s="29" t="n"/>
      <c r="D713" s="29" t="n"/>
      <c r="E713" s="29" t="n"/>
      <c r="F713" s="49" t="n"/>
      <c r="G713" s="51" t="n"/>
    </row>
    <row r="714" ht="54" customHeight="1">
      <c r="A714" s="29" t="n"/>
      <c r="B714" s="29" t="n"/>
      <c r="C714" s="29" t="n"/>
      <c r="D714" s="29" t="n"/>
      <c r="E714" s="29" t="n"/>
      <c r="F714" s="49" t="n"/>
      <c r="G714" s="51" t="n"/>
    </row>
    <row r="715" ht="54" customHeight="1">
      <c r="A715" s="29" t="n"/>
      <c r="B715" s="29" t="n"/>
      <c r="C715" s="29" t="n"/>
      <c r="D715" s="29" t="n"/>
      <c r="E715" s="29" t="n"/>
      <c r="F715" s="49" t="n"/>
      <c r="G715" s="51" t="n"/>
    </row>
    <row r="716" ht="54" customHeight="1">
      <c r="A716" s="29" t="n"/>
      <c r="B716" s="29" t="n"/>
      <c r="C716" s="29" t="n"/>
      <c r="D716" s="29" t="n"/>
      <c r="E716" s="29" t="n"/>
      <c r="F716" s="49" t="n"/>
      <c r="G716" s="51" t="n"/>
    </row>
    <row r="717" ht="54" customHeight="1">
      <c r="A717" s="29" t="n"/>
      <c r="B717" s="29" t="n"/>
      <c r="C717" s="29" t="n"/>
      <c r="D717" s="29" t="n"/>
      <c r="E717" s="29" t="n"/>
      <c r="F717" s="49" t="n"/>
      <c r="G717" s="51" t="n"/>
    </row>
    <row r="718" ht="54" customHeight="1">
      <c r="A718" s="29" t="n"/>
      <c r="B718" s="29" t="n"/>
      <c r="C718" s="29" t="n"/>
      <c r="D718" s="29" t="n"/>
      <c r="E718" s="29" t="n"/>
      <c r="F718" s="49" t="n"/>
      <c r="G718" s="51" t="n"/>
    </row>
    <row r="719" ht="54" customHeight="1">
      <c r="A719" s="29" t="n"/>
      <c r="B719" s="29" t="n"/>
      <c r="C719" s="29" t="n"/>
      <c r="D719" s="29" t="n"/>
      <c r="E719" s="29" t="n"/>
      <c r="F719" s="49" t="n"/>
      <c r="G719" s="51" t="n"/>
    </row>
    <row r="720" ht="54" customHeight="1">
      <c r="A720" s="29" t="n"/>
      <c r="B720" s="29" t="n"/>
      <c r="C720" s="29" t="n"/>
      <c r="D720" s="29" t="n"/>
      <c r="E720" s="29" t="n"/>
      <c r="F720" s="49" t="n"/>
      <c r="G720" s="51" t="n"/>
    </row>
    <row r="721" ht="54" customHeight="1">
      <c r="A721" s="29" t="n"/>
      <c r="B721" s="29" t="n"/>
      <c r="C721" s="29" t="n"/>
      <c r="D721" s="29" t="n"/>
      <c r="E721" s="29" t="n"/>
      <c r="F721" s="49" t="n"/>
      <c r="G721" s="51" t="n"/>
    </row>
    <row r="722" ht="54" customHeight="1">
      <c r="A722" s="29" t="n"/>
      <c r="B722" s="29" t="n"/>
      <c r="C722" s="29" t="n"/>
      <c r="D722" s="29" t="n"/>
      <c r="E722" s="29" t="n"/>
      <c r="F722" s="49" t="n"/>
      <c r="G722" s="51" t="n"/>
    </row>
    <row r="723" ht="54" customHeight="1">
      <c r="A723" s="29" t="n"/>
      <c r="B723" s="29" t="n"/>
      <c r="C723" s="29" t="n"/>
      <c r="D723" s="29" t="n"/>
      <c r="E723" s="29" t="n"/>
      <c r="F723" s="49" t="n"/>
      <c r="G723" s="51" t="n"/>
    </row>
    <row r="724" ht="54" customHeight="1">
      <c r="A724" s="29" t="n"/>
      <c r="B724" s="29" t="n"/>
      <c r="C724" s="29" t="n"/>
      <c r="D724" s="29" t="n"/>
      <c r="E724" s="29" t="n"/>
      <c r="F724" s="49" t="n"/>
      <c r="G724" s="51" t="n"/>
    </row>
    <row r="725" ht="54" customHeight="1">
      <c r="A725" s="29" t="n"/>
      <c r="B725" s="29" t="n"/>
      <c r="C725" s="29" t="n"/>
      <c r="D725" s="29" t="n"/>
      <c r="E725" s="29" t="n"/>
      <c r="F725" s="49" t="n"/>
      <c r="G725" s="51" t="n"/>
    </row>
    <row r="726" ht="54" customHeight="1">
      <c r="A726" s="29" t="n"/>
      <c r="B726" s="29" t="n"/>
      <c r="C726" s="29" t="n"/>
      <c r="D726" s="29" t="n"/>
      <c r="E726" s="29" t="n"/>
      <c r="F726" s="49" t="n"/>
      <c r="G726" s="51" t="n"/>
    </row>
    <row r="727" ht="54" customHeight="1">
      <c r="A727" s="29" t="n"/>
      <c r="B727" s="29" t="n"/>
      <c r="C727" s="29" t="n"/>
      <c r="D727" s="29" t="n"/>
      <c r="E727" s="29" t="n"/>
      <c r="F727" s="49" t="n"/>
      <c r="G727" s="51" t="n"/>
    </row>
    <row r="728" ht="54" customHeight="1">
      <c r="A728" s="29" t="n"/>
      <c r="B728" s="29" t="n"/>
      <c r="C728" s="29" t="n"/>
      <c r="D728" s="29" t="n"/>
      <c r="E728" s="29" t="n"/>
      <c r="F728" s="49" t="n"/>
      <c r="G728" s="51" t="n"/>
    </row>
    <row r="729" ht="54" customHeight="1">
      <c r="A729" s="29" t="n"/>
      <c r="B729" s="29" t="n"/>
      <c r="C729" s="29" t="n"/>
      <c r="D729" s="29" t="n"/>
      <c r="E729" s="29" t="n"/>
      <c r="F729" s="49" t="n"/>
      <c r="G729" s="51" t="n"/>
    </row>
    <row r="730" ht="54" customHeight="1">
      <c r="A730" s="29" t="n"/>
      <c r="B730" s="29" t="n"/>
      <c r="C730" s="29" t="n"/>
      <c r="D730" s="29" t="n"/>
      <c r="E730" s="29" t="n"/>
      <c r="F730" s="49" t="n"/>
      <c r="G730" s="51" t="n"/>
    </row>
    <row r="731" ht="54" customHeight="1">
      <c r="A731" s="29" t="n"/>
      <c r="B731" s="29" t="n"/>
      <c r="C731" s="29" t="n"/>
      <c r="D731" s="29" t="n"/>
      <c r="E731" s="29" t="n"/>
      <c r="F731" s="49" t="n"/>
      <c r="G731" s="51" t="n"/>
    </row>
    <row r="732" ht="54" customHeight="1">
      <c r="A732" s="29" t="n"/>
      <c r="B732" s="29" t="n"/>
      <c r="C732" s="29" t="n"/>
      <c r="D732" s="29" t="n"/>
      <c r="E732" s="29" t="n"/>
      <c r="F732" s="49" t="n"/>
      <c r="G732" s="51" t="n"/>
    </row>
    <row r="733" ht="54" customHeight="1">
      <c r="A733" s="29" t="n"/>
      <c r="B733" s="29" t="n"/>
      <c r="C733" s="29" t="n"/>
      <c r="D733" s="29" t="n"/>
      <c r="E733" s="29" t="n"/>
      <c r="F733" s="49" t="n"/>
      <c r="G733" s="51" t="n"/>
    </row>
    <row r="734" ht="54" customHeight="1">
      <c r="A734" s="29" t="n"/>
      <c r="B734" s="29" t="n"/>
      <c r="C734" s="29" t="n"/>
      <c r="D734" s="29" t="n"/>
      <c r="E734" s="29" t="n"/>
      <c r="F734" s="49" t="n"/>
      <c r="G734" s="51" t="n"/>
    </row>
    <row r="735" ht="54" customHeight="1">
      <c r="A735" s="29" t="n"/>
      <c r="B735" s="29" t="n"/>
      <c r="C735" s="29" t="n"/>
      <c r="D735" s="29" t="n"/>
      <c r="E735" s="29" t="n"/>
      <c r="F735" s="49" t="n"/>
      <c r="G735" s="51" t="n"/>
    </row>
    <row r="736" ht="54" customHeight="1">
      <c r="A736" s="29" t="n"/>
      <c r="B736" s="29" t="n"/>
      <c r="C736" s="29" t="n"/>
      <c r="D736" s="29" t="n"/>
      <c r="E736" s="29" t="n"/>
      <c r="F736" s="49" t="n"/>
      <c r="G736" s="51" t="n"/>
    </row>
    <row r="737" ht="54" customHeight="1">
      <c r="A737" s="29" t="n"/>
      <c r="B737" s="29" t="n"/>
      <c r="C737" s="29" t="n"/>
      <c r="D737" s="29" t="n"/>
      <c r="E737" s="29" t="n"/>
      <c r="F737" s="49" t="n"/>
      <c r="G737" s="51" t="n"/>
    </row>
    <row r="738" ht="54" customHeight="1">
      <c r="A738" s="29" t="n"/>
      <c r="B738" s="29" t="n"/>
      <c r="C738" s="29" t="n"/>
      <c r="D738" s="29" t="n"/>
      <c r="E738" s="29" t="n"/>
      <c r="F738" s="49" t="n"/>
      <c r="G738" s="51" t="n"/>
    </row>
    <row r="739" ht="54" customHeight="1">
      <c r="A739" s="29" t="n"/>
      <c r="B739" s="29" t="n"/>
      <c r="C739" s="29" t="n"/>
      <c r="D739" s="29" t="n"/>
      <c r="E739" s="29" t="n"/>
      <c r="F739" s="49" t="n"/>
      <c r="G739" s="51" t="n"/>
    </row>
    <row r="740" ht="54" customHeight="1">
      <c r="A740" s="29" t="n"/>
      <c r="B740" s="29" t="n"/>
      <c r="C740" s="29" t="n"/>
      <c r="D740" s="29" t="n"/>
      <c r="E740" s="29" t="n"/>
      <c r="F740" s="49" t="n"/>
      <c r="G740" s="51" t="n"/>
    </row>
    <row r="741" ht="54" customHeight="1">
      <c r="A741" s="29" t="n"/>
      <c r="B741" s="29" t="n"/>
      <c r="C741" s="29" t="n"/>
      <c r="D741" s="29" t="n"/>
      <c r="E741" s="29" t="n"/>
      <c r="F741" s="49" t="n"/>
      <c r="G741" s="51" t="n"/>
    </row>
    <row r="742" ht="54" customHeight="1">
      <c r="A742" s="29" t="n"/>
      <c r="B742" s="29" t="n"/>
      <c r="C742" s="29" t="n"/>
      <c r="D742" s="29" t="n"/>
      <c r="E742" s="29" t="n"/>
      <c r="F742" s="49" t="n"/>
      <c r="G742" s="51" t="n"/>
    </row>
    <row r="743" ht="54" customHeight="1">
      <c r="A743" s="29" t="n"/>
      <c r="B743" s="29" t="n"/>
      <c r="C743" s="29" t="n"/>
      <c r="D743" s="29" t="n"/>
      <c r="E743" s="29" t="n"/>
      <c r="F743" s="49" t="n"/>
      <c r="G743" s="51" t="n"/>
    </row>
    <row r="744" ht="54" customHeight="1">
      <c r="A744" s="29" t="n"/>
      <c r="B744" s="29" t="n"/>
      <c r="C744" s="29" t="n"/>
      <c r="D744" s="29" t="n"/>
      <c r="E744" s="29" t="n"/>
      <c r="F744" s="49" t="n"/>
      <c r="G744" s="51" t="n"/>
    </row>
    <row r="745" ht="54" customHeight="1">
      <c r="A745" s="29" t="n"/>
      <c r="B745" s="29" t="n"/>
      <c r="C745" s="29" t="n"/>
      <c r="D745" s="29" t="n"/>
      <c r="E745" s="29" t="n"/>
      <c r="F745" s="49" t="n"/>
      <c r="G745" s="51" t="n"/>
    </row>
    <row r="746" ht="54" customHeight="1">
      <c r="A746" s="29" t="n"/>
      <c r="B746" s="29" t="n"/>
      <c r="C746" s="29" t="n"/>
      <c r="D746" s="29" t="n"/>
      <c r="E746" s="29" t="n"/>
      <c r="F746" s="49" t="n"/>
      <c r="G746" s="51" t="n"/>
    </row>
    <row r="747" ht="54" customHeight="1">
      <c r="A747" s="29" t="n"/>
      <c r="B747" s="29" t="n"/>
      <c r="C747" s="29" t="n"/>
      <c r="D747" s="29" t="n"/>
      <c r="E747" s="29" t="n"/>
      <c r="F747" s="49" t="n"/>
      <c r="G747" s="51" t="n"/>
    </row>
    <row r="748" ht="54" customHeight="1">
      <c r="A748" s="29" t="n"/>
      <c r="B748" s="29" t="n"/>
      <c r="C748" s="29" t="n"/>
      <c r="D748" s="29" t="n"/>
      <c r="E748" s="29" t="n"/>
      <c r="F748" s="49" t="n"/>
      <c r="G748" s="51" t="n"/>
    </row>
    <row r="749" ht="54" customHeight="1">
      <c r="A749" s="29" t="n"/>
      <c r="B749" s="29" t="n"/>
      <c r="C749" s="29" t="n"/>
      <c r="D749" s="29" t="n"/>
      <c r="E749" s="29" t="n"/>
      <c r="F749" s="49" t="n"/>
      <c r="G749" s="51" t="n"/>
    </row>
    <row r="750" ht="54" customHeight="1">
      <c r="A750" s="29" t="n"/>
      <c r="B750" s="29" t="n"/>
      <c r="C750" s="29" t="n"/>
      <c r="D750" s="29" t="n"/>
      <c r="E750" s="29" t="n"/>
      <c r="F750" s="49" t="n"/>
      <c r="G750" s="51" t="n"/>
    </row>
    <row r="751" ht="54" customHeight="1">
      <c r="A751" s="29" t="n"/>
      <c r="B751" s="29" t="n"/>
      <c r="C751" s="29" t="n"/>
      <c r="D751" s="29" t="n"/>
      <c r="E751" s="29" t="n"/>
      <c r="F751" s="49" t="n"/>
      <c r="G751" s="51" t="n"/>
    </row>
    <row r="752" ht="54" customHeight="1">
      <c r="A752" s="29" t="n"/>
      <c r="B752" s="29" t="n"/>
      <c r="C752" s="29" t="n"/>
      <c r="D752" s="29" t="n"/>
      <c r="E752" s="29" t="n"/>
      <c r="F752" s="49" t="n"/>
      <c r="G752" s="51" t="n"/>
    </row>
    <row r="753" ht="54" customHeight="1">
      <c r="A753" s="29" t="n"/>
      <c r="B753" s="29" t="n"/>
      <c r="C753" s="29" t="n"/>
      <c r="D753" s="29" t="n"/>
      <c r="E753" s="29" t="n"/>
      <c r="F753" s="49" t="n"/>
      <c r="G753" s="51" t="n"/>
    </row>
    <row r="754" ht="54" customHeight="1">
      <c r="A754" s="29" t="n"/>
      <c r="B754" s="29" t="n"/>
      <c r="C754" s="29" t="n"/>
      <c r="D754" s="29" t="n"/>
      <c r="E754" s="29" t="n"/>
      <c r="F754" s="49" t="n"/>
      <c r="G754" s="51" t="n"/>
    </row>
    <row r="755" ht="54" customHeight="1">
      <c r="A755" s="29" t="n"/>
      <c r="B755" s="29" t="n"/>
      <c r="C755" s="29" t="n"/>
      <c r="D755" s="29" t="n"/>
      <c r="E755" s="29" t="n"/>
      <c r="F755" s="49" t="n"/>
      <c r="G755" s="51" t="n"/>
    </row>
    <row r="756" ht="54" customHeight="1">
      <c r="A756" s="29" t="n"/>
      <c r="B756" s="29" t="n"/>
      <c r="C756" s="29" t="n"/>
      <c r="D756" s="29" t="n"/>
      <c r="E756" s="29" t="n"/>
      <c r="F756" s="49" t="n"/>
      <c r="G756" s="51" t="n"/>
    </row>
    <row r="757" ht="54" customHeight="1">
      <c r="A757" s="29" t="n"/>
      <c r="B757" s="29" t="n"/>
      <c r="C757" s="29" t="n"/>
      <c r="D757" s="29" t="n"/>
      <c r="E757" s="29" t="n"/>
      <c r="F757" s="49" t="n"/>
      <c r="G757" s="51" t="n"/>
    </row>
    <row r="758" ht="54" customHeight="1">
      <c r="A758" s="29" t="n"/>
      <c r="B758" s="29" t="n"/>
      <c r="C758" s="29" t="n"/>
      <c r="D758" s="29" t="n"/>
      <c r="E758" s="29" t="n"/>
      <c r="F758" s="49" t="n"/>
      <c r="G758" s="51" t="n"/>
    </row>
    <row r="759" ht="54" customHeight="1">
      <c r="A759" s="29" t="n"/>
      <c r="B759" s="29" t="n"/>
      <c r="C759" s="29" t="n"/>
      <c r="D759" s="29" t="n"/>
      <c r="E759" s="29" t="n"/>
      <c r="F759" s="49" t="n"/>
      <c r="G759" s="51" t="n"/>
    </row>
    <row r="760" ht="54" customHeight="1">
      <c r="A760" s="29" t="n"/>
      <c r="B760" s="29" t="n"/>
      <c r="C760" s="29" t="n"/>
      <c r="D760" s="29" t="n"/>
      <c r="E760" s="29" t="n"/>
      <c r="F760" s="49" t="n"/>
      <c r="G760" s="51" t="n"/>
    </row>
    <row r="761" ht="54" customHeight="1">
      <c r="A761" s="29" t="n"/>
      <c r="B761" s="29" t="n"/>
      <c r="C761" s="29" t="n"/>
      <c r="D761" s="29" t="n"/>
      <c r="E761" s="29" t="n"/>
      <c r="F761" s="49" t="n"/>
      <c r="G761" s="51" t="n"/>
    </row>
    <row r="762" ht="54" customHeight="1">
      <c r="A762" s="29" t="n"/>
      <c r="B762" s="29" t="n"/>
      <c r="C762" s="29" t="n"/>
      <c r="D762" s="29" t="n"/>
      <c r="E762" s="29" t="n"/>
      <c r="F762" s="49" t="n"/>
      <c r="G762" s="51" t="n"/>
    </row>
    <row r="763" ht="54" customHeight="1">
      <c r="A763" s="29" t="n"/>
      <c r="B763" s="29" t="n"/>
      <c r="C763" s="29" t="n"/>
      <c r="D763" s="29" t="n"/>
      <c r="E763" s="29" t="n"/>
      <c r="F763" s="49" t="n"/>
      <c r="G763" s="51" t="n"/>
    </row>
    <row r="764" ht="54" customHeight="1">
      <c r="A764" s="29" t="n"/>
      <c r="B764" s="29" t="n"/>
      <c r="C764" s="29" t="n"/>
      <c r="D764" s="29" t="n"/>
      <c r="E764" s="29" t="n"/>
      <c r="F764" s="49" t="n"/>
      <c r="G764" s="51" t="n"/>
    </row>
    <row r="765" ht="54" customHeight="1">
      <c r="A765" s="29" t="n"/>
      <c r="B765" s="29" t="n"/>
      <c r="C765" s="29" t="n"/>
      <c r="D765" s="29" t="n"/>
      <c r="E765" s="29" t="n"/>
      <c r="F765" s="49" t="n"/>
      <c r="G765" s="51" t="n"/>
    </row>
    <row r="766" ht="54" customHeight="1">
      <c r="A766" s="29" t="n"/>
      <c r="B766" s="29" t="n"/>
      <c r="C766" s="29" t="n"/>
      <c r="D766" s="29" t="n"/>
      <c r="E766" s="29" t="n"/>
      <c r="F766" s="49" t="n"/>
      <c r="G766" s="51" t="n"/>
    </row>
    <row r="767" ht="54" customHeight="1">
      <c r="A767" s="29" t="n"/>
      <c r="B767" s="29" t="n"/>
      <c r="C767" s="29" t="n"/>
      <c r="D767" s="29" t="n"/>
      <c r="E767" s="29" t="n"/>
      <c r="F767" s="49" t="n"/>
      <c r="G767" s="51" t="n"/>
    </row>
    <row r="768" ht="54" customHeight="1">
      <c r="A768" s="29" t="n"/>
      <c r="B768" s="29" t="n"/>
      <c r="C768" s="29" t="n"/>
      <c r="D768" s="29" t="n"/>
      <c r="E768" s="29" t="n"/>
      <c r="F768" s="49" t="n"/>
      <c r="G768" s="51" t="n"/>
    </row>
    <row r="769" ht="54" customHeight="1">
      <c r="A769" s="29" t="n"/>
      <c r="B769" s="29" t="n"/>
      <c r="C769" s="29" t="n"/>
      <c r="D769" s="29" t="n"/>
      <c r="E769" s="29" t="n"/>
      <c r="F769" s="49" t="n"/>
      <c r="G769" s="51" t="n"/>
    </row>
    <row r="770" ht="54" customHeight="1">
      <c r="A770" s="29" t="n"/>
      <c r="B770" s="29" t="n"/>
      <c r="C770" s="29" t="n"/>
      <c r="D770" s="29" t="n"/>
      <c r="E770" s="29" t="n"/>
      <c r="F770" s="49" t="n"/>
      <c r="G770" s="51" t="n"/>
    </row>
    <row r="771" ht="54" customHeight="1">
      <c r="A771" s="29" t="n"/>
      <c r="B771" s="29" t="n"/>
      <c r="C771" s="29" t="n"/>
      <c r="D771" s="29" t="n"/>
      <c r="E771" s="29" t="n"/>
      <c r="F771" s="49" t="n"/>
      <c r="G771" s="51" t="n"/>
    </row>
    <row r="772" ht="54" customHeight="1">
      <c r="A772" s="29" t="n"/>
      <c r="B772" s="29" t="n"/>
      <c r="C772" s="29" t="n"/>
      <c r="D772" s="29" t="n"/>
      <c r="E772" s="29" t="n"/>
      <c r="F772" s="49" t="n"/>
      <c r="G772" s="51" t="n"/>
    </row>
    <row r="773" ht="54" customHeight="1">
      <c r="A773" s="29" t="n"/>
      <c r="B773" s="29" t="n"/>
      <c r="C773" s="29" t="n"/>
      <c r="D773" s="29" t="n"/>
      <c r="E773" s="29" t="n"/>
      <c r="F773" s="49" t="n"/>
      <c r="G773" s="51" t="n"/>
    </row>
    <row r="774" ht="54" customHeight="1">
      <c r="A774" s="29" t="n"/>
      <c r="B774" s="29" t="n"/>
      <c r="C774" s="29" t="n"/>
      <c r="D774" s="29" t="n"/>
      <c r="E774" s="29" t="n"/>
      <c r="F774" s="49" t="n"/>
      <c r="G774" s="51" t="n"/>
    </row>
    <row r="775" ht="54" customHeight="1">
      <c r="A775" s="29" t="n"/>
      <c r="B775" s="29" t="n"/>
      <c r="C775" s="29" t="n"/>
      <c r="D775" s="29" t="n"/>
      <c r="E775" s="29" t="n"/>
      <c r="F775" s="49" t="n"/>
      <c r="G775" s="51" t="n"/>
    </row>
    <row r="776" ht="54" customHeight="1">
      <c r="A776" s="29" t="n"/>
      <c r="B776" s="29" t="n"/>
      <c r="C776" s="29" t="n"/>
      <c r="D776" s="29" t="n"/>
      <c r="E776" s="29" t="n"/>
      <c r="F776" s="49" t="n"/>
      <c r="G776" s="51" t="n"/>
    </row>
    <row r="777" ht="54" customHeight="1">
      <c r="A777" s="29" t="n"/>
      <c r="B777" s="29" t="n"/>
      <c r="C777" s="29" t="n"/>
      <c r="D777" s="29" t="n"/>
      <c r="E777" s="29" t="n"/>
      <c r="F777" s="49" t="n"/>
      <c r="G777" s="51" t="n"/>
    </row>
    <row r="778" ht="54" customHeight="1">
      <c r="A778" s="29" t="n"/>
      <c r="B778" s="29" t="n"/>
      <c r="C778" s="29" t="n"/>
      <c r="D778" s="29" t="n"/>
      <c r="E778" s="29" t="n"/>
      <c r="F778" s="49" t="n"/>
      <c r="G778" s="51" t="n"/>
    </row>
    <row r="779" ht="54" customHeight="1">
      <c r="A779" s="29" t="n"/>
      <c r="B779" s="29" t="n"/>
      <c r="C779" s="29" t="n"/>
      <c r="D779" s="29" t="n"/>
      <c r="E779" s="29" t="n"/>
      <c r="F779" s="49" t="n"/>
      <c r="G779" s="51" t="n"/>
    </row>
    <row r="780" ht="54" customHeight="1">
      <c r="A780" s="29" t="n"/>
      <c r="B780" s="29" t="n"/>
      <c r="C780" s="29" t="n"/>
      <c r="D780" s="29" t="n"/>
      <c r="E780" s="29" t="n"/>
      <c r="F780" s="49" t="n"/>
      <c r="G780" s="51" t="n"/>
    </row>
    <row r="781" ht="54" customHeight="1">
      <c r="A781" s="29" t="n"/>
      <c r="B781" s="29" t="n"/>
      <c r="C781" s="29" t="n"/>
      <c r="D781" s="29" t="n"/>
      <c r="E781" s="29" t="n"/>
      <c r="F781" s="49" t="n"/>
      <c r="G781" s="51" t="n"/>
    </row>
    <row r="782" ht="54" customHeight="1">
      <c r="A782" s="29" t="n"/>
      <c r="B782" s="29" t="n"/>
      <c r="C782" s="29" t="n"/>
      <c r="D782" s="29" t="n"/>
      <c r="E782" s="29" t="n"/>
      <c r="F782" s="49" t="n"/>
      <c r="G782" s="51" t="n"/>
    </row>
    <row r="783" ht="54" customHeight="1">
      <c r="A783" s="29" t="n"/>
      <c r="B783" s="29" t="n"/>
      <c r="C783" s="29" t="n"/>
      <c r="D783" s="29" t="n"/>
      <c r="E783" s="29" t="n"/>
      <c r="F783" s="49" t="n"/>
      <c r="G783" s="51" t="n"/>
    </row>
    <row r="784" ht="54" customHeight="1">
      <c r="A784" s="29" t="n"/>
      <c r="B784" s="29" t="n"/>
      <c r="C784" s="29" t="n"/>
      <c r="D784" s="29" t="n"/>
      <c r="E784" s="29" t="n"/>
      <c r="F784" s="49" t="n"/>
      <c r="G784" s="51" t="n"/>
    </row>
    <row r="785" ht="54" customHeight="1">
      <c r="A785" s="29" t="n"/>
      <c r="B785" s="29" t="n"/>
      <c r="C785" s="29" t="n"/>
      <c r="D785" s="29" t="n"/>
      <c r="E785" s="29" t="n"/>
      <c r="F785" s="49" t="n"/>
      <c r="G785" s="51" t="n"/>
    </row>
    <row r="786" ht="54" customHeight="1">
      <c r="A786" s="29" t="n"/>
      <c r="B786" s="29" t="n"/>
      <c r="C786" s="29" t="n"/>
      <c r="D786" s="29" t="n"/>
      <c r="E786" s="29" t="n"/>
      <c r="F786" s="49" t="n"/>
      <c r="G786" s="51" t="n"/>
    </row>
    <row r="787" ht="54" customHeight="1">
      <c r="A787" s="29" t="n"/>
      <c r="B787" s="29" t="n"/>
      <c r="C787" s="29" t="n"/>
      <c r="D787" s="29" t="n"/>
      <c r="E787" s="29" t="n"/>
      <c r="F787" s="49" t="n"/>
      <c r="G787" s="51" t="n"/>
    </row>
    <row r="788" ht="54" customHeight="1">
      <c r="A788" s="29" t="n"/>
      <c r="B788" s="29" t="n"/>
      <c r="C788" s="29" t="n"/>
      <c r="D788" s="29" t="n"/>
      <c r="E788" s="29" t="n"/>
      <c r="F788" s="49" t="n"/>
      <c r="G788" s="51" t="n"/>
    </row>
    <row r="789" ht="54" customHeight="1">
      <c r="A789" s="29" t="n"/>
      <c r="B789" s="29" t="n"/>
      <c r="C789" s="29" t="n"/>
      <c r="D789" s="29" t="n"/>
      <c r="E789" s="29" t="n"/>
      <c r="F789" s="49" t="n"/>
      <c r="G789" s="51" t="n"/>
    </row>
    <row r="790" ht="54" customHeight="1">
      <c r="A790" s="29" t="n"/>
      <c r="B790" s="29" t="n"/>
      <c r="C790" s="29" t="n"/>
      <c r="D790" s="29" t="n"/>
      <c r="E790" s="29" t="n"/>
      <c r="F790" s="49" t="n"/>
      <c r="G790" s="51" t="n"/>
    </row>
    <row r="791" ht="54" customHeight="1">
      <c r="A791" s="29" t="n"/>
      <c r="B791" s="29" t="n"/>
      <c r="C791" s="29" t="n"/>
      <c r="D791" s="29" t="n"/>
      <c r="E791" s="29" t="n"/>
      <c r="F791" s="49" t="n"/>
      <c r="G791" s="51" t="n"/>
    </row>
    <row r="792" ht="54" customHeight="1">
      <c r="A792" s="29" t="n"/>
      <c r="B792" s="29" t="n"/>
      <c r="C792" s="29" t="n"/>
      <c r="D792" s="29" t="n"/>
      <c r="E792" s="29" t="n"/>
      <c r="F792" s="49" t="n"/>
      <c r="G792" s="51" t="n"/>
    </row>
    <row r="793" ht="54" customHeight="1">
      <c r="A793" s="29" t="n"/>
      <c r="B793" s="29" t="n"/>
      <c r="C793" s="29" t="n"/>
      <c r="D793" s="29" t="n"/>
      <c r="E793" s="29" t="n"/>
      <c r="F793" s="49" t="n"/>
      <c r="G793" s="51" t="n"/>
    </row>
    <row r="794" ht="54" customHeight="1">
      <c r="A794" s="29" t="n"/>
      <c r="B794" s="29" t="n"/>
      <c r="C794" s="29" t="n"/>
      <c r="D794" s="29" t="n"/>
      <c r="E794" s="29" t="n"/>
      <c r="F794" s="49" t="n"/>
      <c r="G794" s="51" t="n"/>
    </row>
    <row r="795" ht="54" customHeight="1">
      <c r="A795" s="29" t="n"/>
      <c r="B795" s="29" t="n"/>
      <c r="C795" s="29" t="n"/>
      <c r="D795" s="29" t="n"/>
      <c r="E795" s="29" t="n"/>
      <c r="F795" s="49" t="n"/>
      <c r="G795" s="51" t="n"/>
    </row>
    <row r="796" ht="54" customHeight="1">
      <c r="A796" s="29" t="n"/>
      <c r="B796" s="29" t="n"/>
      <c r="C796" s="29" t="n"/>
      <c r="D796" s="29" t="n"/>
      <c r="E796" s="29" t="n"/>
      <c r="F796" s="49" t="n"/>
      <c r="G796" s="51" t="n"/>
    </row>
    <row r="797" ht="54" customHeight="1">
      <c r="A797" s="29" t="n"/>
      <c r="B797" s="29" t="n"/>
      <c r="C797" s="29" t="n"/>
      <c r="D797" s="29" t="n"/>
      <c r="E797" s="29" t="n"/>
      <c r="F797" s="49" t="n"/>
      <c r="G797" s="51" t="n"/>
    </row>
    <row r="798" ht="54" customHeight="1">
      <c r="A798" s="29" t="n"/>
      <c r="B798" s="29" t="n"/>
      <c r="C798" s="29" t="n"/>
      <c r="D798" s="29" t="n"/>
      <c r="E798" s="29" t="n"/>
      <c r="F798" s="49" t="n"/>
      <c r="G798" s="51" t="n"/>
    </row>
    <row r="799" ht="54" customHeight="1">
      <c r="A799" s="29" t="n"/>
      <c r="B799" s="29" t="n"/>
      <c r="C799" s="29" t="n"/>
      <c r="D799" s="29" t="n"/>
      <c r="E799" s="29" t="n"/>
      <c r="F799" s="49" t="n"/>
      <c r="G799" s="51" t="n"/>
    </row>
    <row r="800" ht="54" customHeight="1">
      <c r="A800" s="29" t="n"/>
      <c r="B800" s="29" t="n"/>
      <c r="C800" s="29" t="n"/>
      <c r="D800" s="29" t="n"/>
      <c r="E800" s="29" t="n"/>
      <c r="F800" s="49" t="n"/>
      <c r="G800" s="51" t="n"/>
    </row>
    <row r="801" ht="54" customHeight="1">
      <c r="A801" s="29" t="n"/>
      <c r="B801" s="29" t="n"/>
      <c r="C801" s="29" t="n"/>
      <c r="D801" s="29" t="n"/>
      <c r="E801" s="29" t="n"/>
      <c r="F801" s="49" t="n"/>
      <c r="G801" s="51" t="n"/>
    </row>
    <row r="802" ht="54" customHeight="1">
      <c r="A802" s="29" t="n"/>
      <c r="B802" s="29" t="n"/>
      <c r="C802" s="29" t="n"/>
      <c r="D802" s="29" t="n"/>
      <c r="E802" s="29" t="n"/>
      <c r="F802" s="49" t="n"/>
      <c r="G802" s="51" t="n"/>
    </row>
    <row r="803" ht="54" customHeight="1">
      <c r="A803" s="29" t="n"/>
      <c r="B803" s="29" t="n"/>
      <c r="C803" s="29" t="n"/>
      <c r="D803" s="29" t="n"/>
      <c r="E803" s="29" t="n"/>
      <c r="F803" s="49" t="n"/>
      <c r="G803" s="51" t="n"/>
    </row>
    <row r="804" ht="54" customHeight="1">
      <c r="A804" s="29" t="n"/>
      <c r="B804" s="29" t="n"/>
      <c r="C804" s="29" t="n"/>
      <c r="D804" s="29" t="n"/>
      <c r="E804" s="29" t="n"/>
      <c r="F804" s="49" t="n"/>
      <c r="G804" s="51" t="n"/>
    </row>
    <row r="805" ht="54" customHeight="1">
      <c r="A805" s="29" t="n"/>
      <c r="B805" s="29" t="n"/>
      <c r="C805" s="29" t="n"/>
      <c r="D805" s="29" t="n"/>
      <c r="E805" s="29" t="n"/>
      <c r="F805" s="49" t="n"/>
      <c r="G805" s="51" t="n"/>
    </row>
    <row r="806" ht="54" customHeight="1">
      <c r="A806" s="29" t="n"/>
      <c r="B806" s="29" t="n"/>
      <c r="C806" s="29" t="n"/>
      <c r="D806" s="29" t="n"/>
      <c r="E806" s="29" t="n"/>
      <c r="F806" s="49" t="n"/>
      <c r="G806" s="51" t="n"/>
    </row>
    <row r="807" ht="54" customHeight="1">
      <c r="A807" s="29" t="n"/>
      <c r="B807" s="29" t="n"/>
      <c r="C807" s="29" t="n"/>
      <c r="D807" s="29" t="n"/>
      <c r="E807" s="29" t="n"/>
      <c r="F807" s="49" t="n"/>
      <c r="G807" s="51" t="n"/>
    </row>
  </sheetData>
  <mergeCells count="1">
    <mergeCell ref="A3:G3"/>
  </mergeCells>
  <conditionalFormatting sqref="A8:A807">
    <cfRule type="expression" priority="1" dxfId="1">
      <formula>AND($A8&lt;&gt;"",ISBLANK(A8))</formula>
    </cfRule>
  </conditionalFormatting>
  <conditionalFormatting sqref="B8:B807">
    <cfRule type="expression" priority="2" dxfId="1">
      <formula>AND($A8&lt;&gt;"",ISBLANK(B8))</formula>
    </cfRule>
  </conditionalFormatting>
  <conditionalFormatting sqref="C8:C807">
    <cfRule type="expression" priority="3" dxfId="1">
      <formula>AND($A8&lt;&gt;"",ISBLANK(C8))</formula>
    </cfRule>
  </conditionalFormatting>
  <conditionalFormatting sqref="D8:D807">
    <cfRule type="expression" priority="4" dxfId="1">
      <formula>AND($A8&lt;&gt;"",ISBLANK(D8))</formula>
    </cfRule>
  </conditionalFormatting>
  <conditionalFormatting sqref="E8:E807">
    <cfRule type="expression" priority="5" dxfId="1">
      <formula>AND($A8&lt;&gt;"",ISBLANK(E8))</formula>
    </cfRule>
  </conditionalFormatting>
  <conditionalFormatting sqref="F8:F807">
    <cfRule type="expression" priority="6" dxfId="1">
      <formula>AND($A8&lt;&gt;"",ISBLANK(F8))</formula>
    </cfRule>
  </conditionalFormatting>
  <conditionalFormatting sqref="G8:G807">
    <cfRule type="expression" priority="7" dxfId="1">
      <formula>AND($A8&lt;&gt;"",ISBLANK(G8))</formula>
    </cfRule>
  </conditionalFormatting>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L3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28" customWidth="1" min="3" max="3"/>
    <col width="28" customWidth="1" min="4" max="4"/>
    <col width="58" customWidth="1" min="5" max="5"/>
    <col width="28" customWidth="1" min="6" max="6"/>
    <col width="32" customWidth="1" min="7" max="7"/>
    <col width="58" customWidth="1" min="8" max="8"/>
    <col width="20" customWidth="1" min="9" max="9"/>
    <col width="28" customWidth="1" min="10" max="10"/>
    <col width="28" customWidth="1" min="11" max="11"/>
    <col width="28" customWidth="1" min="12" max="12"/>
  </cols>
  <sheetData>
    <row r="1" ht="30" customHeight="1">
      <c r="A1" s="2" t="n"/>
      <c r="B1" s="2" t="n"/>
      <c r="C1" s="2" t="n"/>
      <c r="D1" s="2" t="n"/>
      <c r="E1" s="2" t="n"/>
      <c r="F1" s="2" t="n"/>
      <c r="G1" s="2" t="n"/>
      <c r="H1" s="2" t="n"/>
      <c r="I1" s="2" t="n"/>
      <c r="J1" s="2" t="n"/>
      <c r="K1" s="2" t="n"/>
      <c r="L1" s="2" t="n"/>
    </row>
    <row r="2" ht="30" customHeight="1">
      <c r="A2" s="19" t="inlineStr">
        <is>
          <t>Corteqs · Keşif rotaları</t>
        </is>
      </c>
      <c r="B2" s="2" t="n"/>
      <c r="C2" s="2" t="n"/>
      <c r="D2" s="2" t="n"/>
      <c r="E2" s="2" t="n"/>
      <c r="F2" s="2" t="n"/>
      <c r="G2" s="2" t="n"/>
      <c r="H2" s="2" t="n"/>
      <c r="I2" s="2" t="n"/>
      <c r="J2" s="2" t="n"/>
      <c r="K2" s="2" t="n"/>
      <c r="L2" s="2" t="n"/>
    </row>
    <row r="3" ht="36" customHeight="1">
      <c r="A3" s="20" t="inlineStr">
        <is>
          <t>Türkçe başlığı okuyun; veriyi 8. satırdan yazın. 7. satırdaki alan adını ve sayfa adını değiştirmeyin.</t>
        </is>
      </c>
      <c r="I3" s="2" t="n"/>
      <c r="J3" s="2" t="n"/>
      <c r="K3" s="2" t="n"/>
      <c r="L3" s="2" t="n"/>
    </row>
    <row r="4" ht="30" customHeight="1">
      <c r="A4" s="21" t="n"/>
      <c r="B4" s="21" t="n"/>
      <c r="C4" s="21" t="n"/>
      <c r="D4" s="21" t="n"/>
      <c r="E4" s="21" t="n"/>
      <c r="F4" s="21" t="n"/>
      <c r="G4" s="21" t="n"/>
      <c r="H4" s="21" t="n"/>
      <c r="I4" s="21" t="n"/>
      <c r="J4" s="21" t="n"/>
      <c r="K4" s="21" t="n"/>
      <c r="L4" s="21" t="n"/>
    </row>
    <row r="5" ht="26" customHeight="1">
      <c r="A5" s="22" t="inlineStr">
        <is>
          <t>Zorunlu</t>
        </is>
      </c>
      <c r="B5" s="22" t="inlineStr">
        <is>
          <t>Zorunlu</t>
        </is>
      </c>
      <c r="C5" s="22" t="inlineStr">
        <is>
          <t>Zorunlu</t>
        </is>
      </c>
      <c r="D5" s="22" t="inlineStr">
        <is>
          <t>Zorunlu</t>
        </is>
      </c>
      <c r="E5" s="22" t="inlineStr">
        <is>
          <t>Zorunlu · alt satır</t>
        </is>
      </c>
      <c r="F5" s="22" t="inlineStr">
        <is>
          <t>İsteğe bağlı · ; ile</t>
        </is>
      </c>
      <c r="G5" s="22" t="inlineStr">
        <is>
          <t>Zorunlu</t>
        </is>
      </c>
      <c r="H5" s="22" t="inlineStr">
        <is>
          <t>Zorunlu</t>
        </is>
      </c>
      <c r="I5" s="22" t="inlineStr">
        <is>
          <t>Zorunlu · tarih</t>
        </is>
      </c>
      <c r="J5" s="22" t="inlineStr">
        <is>
          <t>Zorunlu · ; ile</t>
        </is>
      </c>
      <c r="K5" s="22" t="inlineStr">
        <is>
          <t>Zorunlu</t>
        </is>
      </c>
      <c r="L5" s="22" t="inlineStr">
        <is>
          <t>Zorunlu</t>
        </is>
      </c>
    </row>
    <row r="6" ht="44" customHeight="1">
      <c r="A6" s="25" t="inlineStr">
        <is>
          <t>Rota kimliği</t>
        </is>
      </c>
      <c r="B6" s="25" t="inlineStr">
        <is>
          <t>Şehir kimliği</t>
        </is>
      </c>
      <c r="C6" s="25" t="inlineStr">
        <is>
          <t>Rota başlığı</t>
        </is>
      </c>
      <c r="D6" s="25" t="inlineStr">
        <is>
          <t>Süre / rota türü</t>
        </is>
      </c>
      <c r="E6" s="25" t="inlineStr">
        <is>
          <t>Sıralı durak adları</t>
        </is>
      </c>
      <c r="F6" s="25" t="inlineStr">
        <is>
          <t>Varsa durak içerik kimlikleri</t>
        </is>
      </c>
      <c r="G6" s="25" t="inlineStr">
        <is>
          <t>Ana kart kimliği</t>
        </is>
      </c>
      <c r="H6" s="25" t="inlineStr">
        <is>
          <t>Rota ve erişim notu</t>
        </is>
      </c>
      <c r="I6" s="25" t="inlineStr">
        <is>
          <t>Rota kontrol tarihi</t>
        </is>
      </c>
      <c r="J6" s="25" t="inlineStr">
        <is>
          <t>Kaynak kimlikleri</t>
        </is>
      </c>
      <c r="K6" s="25" t="inlineStr">
        <is>
          <t>Sıra</t>
        </is>
      </c>
      <c r="L6" s="25" t="inlineStr">
        <is>
          <t>Editör durumu</t>
        </is>
      </c>
    </row>
    <row r="7" ht="32" customHeight="1">
      <c r="A7" s="28" t="inlineStr">
        <is>
          <t>route_id</t>
        </is>
      </c>
      <c r="B7" s="28" t="inlineStr">
        <is>
          <t>city_id</t>
        </is>
      </c>
      <c r="C7" s="28" t="inlineStr">
        <is>
          <t>title</t>
        </is>
      </c>
      <c r="D7" s="28" t="inlineStr">
        <is>
          <t>tag</t>
        </is>
      </c>
      <c r="E7" s="28" t="inlineStr">
        <is>
          <t>stops</t>
        </is>
      </c>
      <c r="F7" s="28" t="inlineStr">
        <is>
          <t>stop_entry_ids</t>
        </is>
      </c>
      <c r="G7" s="28" t="inlineStr">
        <is>
          <t>entry_id</t>
        </is>
      </c>
      <c r="H7" s="28" t="inlineStr">
        <is>
          <t>note</t>
        </is>
      </c>
      <c r="I7" s="28" t="inlineStr">
        <is>
          <t>reviewed_on</t>
        </is>
      </c>
      <c r="J7" s="28" t="inlineStr">
        <is>
          <t>source_ids</t>
        </is>
      </c>
      <c r="K7" s="28" t="inlineStr">
        <is>
          <t>order</t>
        </is>
      </c>
      <c r="L7" s="28" t="inlineStr">
        <is>
          <t>editorial_status</t>
        </is>
      </c>
    </row>
    <row r="8" ht="54" customHeight="1">
      <c r="A8" s="29" t="inlineStr">
        <is>
          <t>sevilla:route:001</t>
        </is>
      </c>
      <c r="B8" s="29" t="inlineStr">
        <is>
          <t>sevilla</t>
        </is>
      </c>
      <c r="C8" s="29" t="inlineStr">
        <is>
          <t>Santa Cruz ve Katedral çevresi</t>
        </is>
      </c>
      <c r="D8" s="29" t="inlineStr">
        <is>
          <t>Gün içi · Tarih</t>
        </is>
      </c>
      <c r="E8" s="29" t="inlineStr">
        <is>
          <t>Catedral de Sevilla y Giralda
Real Alcázar de Sevilla
Archivo General de Indias
Casa de Pilatos
Jardines de Murillo</t>
        </is>
      </c>
      <c r="F8" s="29" t="inlineStr">
        <is>
          <t>sevilla:catedral-de-sevilla-giralda;sevilla:real-alcazar-de-sevilla;sevilla:archivo-general-de-indias;sevilla:casa-de-pilatos;sevilla:jardines-de-murillo</t>
        </is>
      </c>
      <c r="G8" s="29" t="inlineStr">
        <is>
          <t>sevilla:catedral-de-sevilla-giralda</t>
        </is>
      </c>
      <c r="H8" s="29" t="inlineStr">
        <is>
          <t>Catedral ve Giralda'dan başla, Jardines de Murillo'da bitir; hepsi yürüyerek. Ardışık duraklar arası kuş uçuşu mesafe 0,22; 0,17; 0,81 ve 0,76 km, toplam yaklaşık 1,97 km (koordinatlardan hesap). Archivo General de Indias pazartesi kapalı; salı–cumartesi 9:30–17:00, pazar ve resmî tatillerde 10:00–14:00 açık; son giriş kapanıştan 30 dakika önce. Katedral pazar günü yalnız 14:30–19:00 açık (kasalar 18:00'de kapanır): pazar günü sabah Archivo ve Alcázar'la başla, Katedral'i öğleden sonraya bırak. Real Alcázar 1 Ekim–31 Mart arasında 09:30–17:00 açık.</t>
        </is>
      </c>
      <c r="I8" s="49" t="n">
        <v>46320</v>
      </c>
      <c r="J8" s="29" t="inlineStr">
        <is>
          <t>sevilla:kaynak:328;sevilla:kaynak:315;sevilla:kaynak:206</t>
        </is>
      </c>
      <c r="K8" s="51" t="n">
        <v>1</v>
      </c>
      <c r="L8" s="29" t="inlineStr">
        <is>
          <t>Taslak</t>
        </is>
      </c>
    </row>
    <row r="9" ht="54" customHeight="1">
      <c r="A9" s="29" t="inlineStr">
        <is>
          <t>sevilla:route:002</t>
        </is>
      </c>
      <c r="B9" s="29" t="inlineStr">
        <is>
          <t>sevilla</t>
        </is>
      </c>
      <c r="C9" s="29" t="inlineStr">
        <is>
          <t>Triana ve nehir kıyısı</t>
        </is>
      </c>
      <c r="D9" s="29" t="inlineStr">
        <is>
          <t>Gün içi · Nehir ve mahalle</t>
        </is>
      </c>
      <c r="E9" s="29" t="inlineStr">
        <is>
          <t>Museo Marítimo Torre del Oro
Puente de Triana (Isabel II)
Mercado de Triana
Centro Cerámica Triana
Capilla de los Marineros
Basílica del Cristo de la Expiración (El Cachorro)</t>
        </is>
      </c>
      <c r="F9" s="29" t="inlineStr">
        <is>
          <t>sevilla:museo-maritimo-torre-del-oro;sevilla:puente-de-triana;sevilla:mercado-de-triana;sevilla:centro-ceramica-triana;sevilla:capilla-de-los-marineros;sevilla:basilica-del-cachorro</t>
        </is>
      </c>
      <c r="G9" s="29" t="inlineStr">
        <is>
          <t>sevilla:museo-maritimo-torre-del-oro</t>
        </is>
      </c>
      <c r="H9" s="29" t="inlineStr">
        <is>
          <t>Torre del Oro'dan başla, köprüyü geçip Triana'ya in ve El Cachorro Bazilikası'nda bitir. Ardışık duraklar arası kuş uçuşu mesafe 0,69; 0,12; 0,10; 0,37 ve 1,07 km, toplam yaklaşık 2,35 km (koordinatlardan hesap). Mercado de Triana pazartesi–cumartesi 09:00–00:00, pazar ve resmî tatillerde 09:00–17:00 açık. Centro Cerámica Triana salı–pazar 10:00–19:00 açık, yani pazartesi kapalı.</t>
        </is>
      </c>
      <c r="I9" s="49" t="n">
        <v>46320</v>
      </c>
      <c r="J9" s="29" t="inlineStr">
        <is>
          <t>sevilla:kaynak:371;sevilla:kaynak:341</t>
        </is>
      </c>
      <c r="K9" s="51" t="n">
        <v>2</v>
      </c>
      <c r="L9" s="29" t="inlineStr">
        <is>
          <t>Taslak</t>
        </is>
      </c>
    </row>
    <row r="10" ht="54" customHeight="1">
      <c r="A10" s="29" t="inlineStr">
        <is>
          <t>sevilla:route:003</t>
        </is>
      </c>
      <c r="B10" s="29" t="inlineStr">
        <is>
          <t>sevilla</t>
        </is>
      </c>
      <c r="C10" s="29" t="inlineStr">
        <is>
          <t>María Luisa Parkı ve Plaza de España</t>
        </is>
      </c>
      <c r="D10" s="29" t="inlineStr">
        <is>
          <t>Gün içi · Park ve meydan</t>
        </is>
      </c>
      <c r="E10" s="29" t="inlineStr">
        <is>
          <t>Plaza de España
Parque de María Luisa
Museo de Artes y Costumbres Populares
Casa de la Ciencia (Pabellón de Perú)
Costurero de la Reina</t>
        </is>
      </c>
      <c r="F10" s="29" t="inlineStr">
        <is>
          <t>sevilla:plaza-de-espana;sevilla:parque-de-maria-luisa;sevilla:museo-de-artes-y-costumbres-populares;sevilla:casa-de-la-ciencia;sevilla:costurero-de-la-reina</t>
        </is>
      </c>
      <c r="G10" s="29" t="inlineStr">
        <is>
          <t>sevilla:plaza-de-espana</t>
        </is>
      </c>
      <c r="H10" s="29" t="inlineStr">
        <is>
          <t>Plaza de España'dan başla, ilk iki durakta güneye in, Museo de Artes y Costumbres Populares'ten sonra kuzeye dönüp Casa de la Ciencia ve Costurero de la Reina'ya geç. Ardışık duraklar arası kuş uçuşu mesafe 0,23; 0,41; 0,68 ve 0,19 km, toplam yaklaşık 1,50 km (koordinatlardan hesap). Plaza de España her gün 8.00–24.00 arası girilebiliyor; yaz konserleri ve etkinlikleri sırasında plaza ve park girişi kapanabiliyor. Casa de la Ciencia salı–pazar 10:00–20:00 açık, tatil olmayan pazartesiler kapalı; genel giriş 3 euro.</t>
        </is>
      </c>
      <c r="I10" s="49" t="n">
        <v>46320</v>
      </c>
      <c r="J10" s="29" t="inlineStr">
        <is>
          <t>sevilla:kaynak:326;sevilla:kaynak:390</t>
        </is>
      </c>
      <c r="K10" s="51" t="n">
        <v>3</v>
      </c>
      <c r="L10" s="29" t="inlineStr">
        <is>
          <t>Taslak</t>
        </is>
      </c>
    </row>
    <row r="11" ht="54" customHeight="1">
      <c r="A11" s="29" t="inlineStr">
        <is>
          <t>sevilla:route:004</t>
        </is>
      </c>
      <c r="B11" s="29" t="inlineStr">
        <is>
          <t>sevilla</t>
        </is>
      </c>
      <c r="C11" s="29" t="inlineStr">
        <is>
          <t>Macarena ve surlar</t>
        </is>
      </c>
      <c r="D11" s="29" t="inlineStr">
        <is>
          <t>Gün içi · Sur ve mahalle</t>
        </is>
      </c>
      <c r="E11" s="29" t="inlineStr">
        <is>
          <t>Basílica de la Macarena
Puerta y muralla de la Macarena
Jardines Torre de los Perdigones
Palacio de los Marqueses de la Algaba (Centro Mudéjar)
Iglesia de San Román</t>
        </is>
      </c>
      <c r="F11" s="29" t="inlineStr">
        <is>
          <t>sevilla:basilica-de-la-macarena;sevilla:muralla-de-la-macarena;sevilla:jardines-torre-de-los-perdigones;sevilla:palacio-marqueses-de-la-algaba;sevilla:iglesia-de-san-roman</t>
        </is>
      </c>
      <c r="G11" s="29" t="inlineStr">
        <is>
          <t>sevilla:basilica-de-la-macarena</t>
        </is>
      </c>
      <c r="H11" s="29" t="inlineStr">
        <is>
          <t>Macarena Bazilikası ve yanındaki surdan başla, önce kuzeye, Perdigones bahçesine çık (0,35 km), sonra güneye inip Algaba Sarayı'ndan geçerek San Román Kilisesi'nde bitir. Ardışık duraklar arası kuş uçuşu mesafe 0,04; 0,35; 0,51 ve 0,65 km, toplam yaklaşık 1,55 km (koordinatlardan hesap). Macarena Bazilikası her gün 9:00–14:00 ve 17:00–21:00 açık; San Román Kilisesi'ne giriş ücretsiz.</t>
        </is>
      </c>
      <c r="I11" s="49" t="n">
        <v>46320</v>
      </c>
      <c r="J11" s="29" t="inlineStr">
        <is>
          <t>sevilla:kaynak:300;sevilla:kaynak:414</t>
        </is>
      </c>
      <c r="K11" s="51" t="n">
        <v>4</v>
      </c>
      <c r="L11" s="29" t="inlineStr">
        <is>
          <t>Taslak</t>
        </is>
      </c>
    </row>
    <row r="12" ht="54" customHeight="1">
      <c r="A12" s="29" t="inlineStr">
        <is>
          <t>sevilla:route:005</t>
        </is>
      </c>
      <c r="B12" s="29" t="inlineStr">
        <is>
          <t>sevilla</t>
        </is>
      </c>
      <c r="C12" s="29" t="inlineStr">
        <is>
          <t>Cartuja Adası: sanat, sahne, nehir ormanı</t>
        </is>
      </c>
      <c r="D12" s="29" t="inlineStr">
        <is>
          <t>Gün içi · Sanat ve açık hava</t>
        </is>
      </c>
      <c r="E12" s="29" t="inlineStr">
        <is>
          <t>CaixaForum Sevilla
CAAC - Centro Andaluz de Arte Contemporáneo
Cartuja Center CITE
Parque del Alamillo</t>
        </is>
      </c>
      <c r="F12" s="29" t="inlineStr">
        <is>
          <t>sevilla:caixaforum-sevilla;sevilla:caac-centro-andaluz-arte-contemporaneo;sevilla:cartuja-center-cite;sevilla:parque-del-alamillo</t>
        </is>
      </c>
      <c r="G12" s="29" t="inlineStr">
        <is>
          <t>sevilla:caixaforum-sevilla</t>
        </is>
      </c>
      <c r="H12" s="29" t="inlineStr">
        <is>
          <t>CaixaForum'dan başla, duraklar kuzeye doğru sıralı; Parque del Alamillo son durak. Ardışık duraklar arası kuş uçuşu mesafe 0,70; 0,82 ve 1,63 km, toplam yaklaşık 3,15 km (koordinatlardan hesap). CaixaForum hafta içi 9–20 h, hafta sonu ve tatillerde 10–20 h açık; genel giriş 6 euro.</t>
        </is>
      </c>
      <c r="I12" s="49" t="n">
        <v>46320</v>
      </c>
      <c r="J12" s="29" t="inlineStr">
        <is>
          <t>sevilla:kaynak:347</t>
        </is>
      </c>
      <c r="K12" s="51" t="n">
        <v>5</v>
      </c>
      <c r="L12" s="29" t="inlineStr">
        <is>
          <t>Taslak</t>
        </is>
      </c>
    </row>
    <row r="13" ht="54" customHeight="1">
      <c r="A13" s="29" t="inlineStr">
        <is>
          <t>sevilla:route:006</t>
        </is>
      </c>
      <c r="B13" s="29" t="inlineStr">
        <is>
          <t>sevilla</t>
        </is>
      </c>
      <c r="C13" s="29" t="inlineStr">
        <is>
          <t>Müzeler günü</t>
        </is>
      </c>
      <c r="D13" s="29" t="inlineStr">
        <is>
          <t>Tam gün · Müze</t>
        </is>
      </c>
      <c r="E13" s="29" t="inlineStr">
        <is>
          <t>Museo de Bellas Artes de Sevilla
Museo del Baile Flamenco
Museo Taurino de la Real Maestranza
Museo Marítimo Torre del Oro</t>
        </is>
      </c>
      <c r="F13" s="29" t="inlineStr">
        <is>
          <t>sevilla:museo-de-bellas-artes-de-sevilla;sevilla:museo-del-baile-flamenco;sevilla:museo-taurino-real-maestranza;sevilla:museo-maritimo-torre-del-oro</t>
        </is>
      </c>
      <c r="G13" s="29" t="inlineStr">
        <is>
          <t>sevilla:museo-de-bellas-artes-de-sevilla</t>
        </is>
      </c>
      <c r="H13" s="29" t="inlineStr">
        <is>
          <t>Güzel Sanatlar Müzesi'nden başla, nehre doğru ilerle ve Torre del Oro'daki denizcilik müzesinde bitir. Ardışık duraklar arası kuş uçuşu mesafe 0,88; 0,77 ve 0,45 km, toplam yaklaşık 2,10 km (koordinatlardan hesap). Güzel Sanatlar Müzesi salı–cumartesi 9–21h açık; pazar, resmî tatiller ve Ağustos'ta 9–15h, pazartesi kapalı. Museo Taurino her gün 09:30–21:30 açık (boğa güreşi olan günlerde 09:30–15:30; kasa kapanıştan 30 dakika önce kapanır; 25 Aralık kapalı); genel giriş 10 euro.</t>
        </is>
      </c>
      <c r="I13" s="49" t="n">
        <v>46320</v>
      </c>
      <c r="J13" s="29" t="inlineStr">
        <is>
          <t>sevilla:kaynak:337;sevilla:kaynak:342</t>
        </is>
      </c>
      <c r="K13" s="51" t="n">
        <v>6</v>
      </c>
      <c r="L13" s="29" t="inlineStr">
        <is>
          <t>Taslak</t>
        </is>
      </c>
    </row>
    <row r="14" ht="54" customHeight="1">
      <c r="A14" s="29" t="inlineStr">
        <is>
          <t>sevilla:route:007</t>
        </is>
      </c>
      <c r="B14" s="29" t="inlineStr">
        <is>
          <t>sevilla</t>
        </is>
      </c>
      <c r="C14" s="29" t="inlineStr">
        <is>
          <t>Flamenko akşamı</t>
        </is>
      </c>
      <c r="D14" s="29" t="inlineStr">
        <is>
          <t>Akşam · Flamenko</t>
        </is>
      </c>
      <c r="E14" s="29" t="inlineStr">
        <is>
          <t>Museo del Baile Flamenco
Casa de la Memoria de Al-Andalus
Casa de la Guitarra</t>
        </is>
      </c>
      <c r="F14" s="29" t="inlineStr">
        <is>
          <t>sevilla:museo-del-baile-flamenco;sevilla:casa-de-la-memoria-al-andalus;sevilla:casa-de-la-guitarra</t>
        </is>
      </c>
      <c r="G14" s="29" t="inlineStr">
        <is>
          <t>sevilla:museo-del-baile-flamenco</t>
        </is>
      </c>
      <c r="H14" s="29" t="inlineStr">
        <is>
          <t>Museo del Baile Flamenco ile başla, akşam için iki gösteriden birini seç; ikisini birleştireceksen Casa de la Memoria'nın 18:00 seansını Casa de la Guitarra'nın 21:00 seansıyla eşle (19:30 seansı ile 21:00 arası yalnız yarım saat). Casa de la Memoria gösterileri 18:00–19:00 ve 19:30–20:30, genel giriş 24 euro. Casa de la Guitarra akşam seansı 21:00–22:00, genel giriş 20 euro.</t>
        </is>
      </c>
      <c r="I14" s="49" t="n">
        <v>46320</v>
      </c>
      <c r="J14" s="29" t="inlineStr">
        <is>
          <t>sevilla:kaynak:384;sevilla:kaynak:402</t>
        </is>
      </c>
      <c r="K14" s="51" t="n">
        <v>7</v>
      </c>
      <c r="L14" s="29" t="inlineStr">
        <is>
          <t>Taslak</t>
        </is>
      </c>
    </row>
    <row r="15" ht="54" customHeight="1">
      <c r="A15" s="29" t="inlineStr">
        <is>
          <t>sevilla:route:008</t>
        </is>
      </c>
      <c r="B15" s="29" t="inlineStr">
        <is>
          <t>sevilla</t>
        </is>
      </c>
      <c r="C15" s="29" t="inlineStr">
        <is>
          <t>Çocuklarla bir gün</t>
        </is>
      </c>
      <c r="D15" s="29" t="inlineStr">
        <is>
          <t>Gün içi · Aile</t>
        </is>
      </c>
      <c r="E15" s="29" t="inlineStr">
        <is>
          <t>Acuario de Sevilla
Jardines de las Delicias
Casa de la Ciencia (Pabellón de Perú)
Parque de María Luisa</t>
        </is>
      </c>
      <c r="F15" s="29" t="inlineStr">
        <is>
          <t>sevilla:acuario-de-sevilla;sevilla:jardines-de-las-delicias;sevilla:casa-de-la-ciencia;sevilla:parque-de-maria-luisa</t>
        </is>
      </c>
      <c r="G15" s="29" t="inlineStr">
        <is>
          <t>sevilla:acuario-de-sevilla</t>
        </is>
      </c>
      <c r="H15" s="29" t="inlineStr">
        <is>
          <t>Akvaryumdan başla, Delicias Bahçesi üzerinden María Luisa Parkı'na yürü; çocuklar için park molası ver. Ardışık duraklar arası kuş uçuşu mesafe 0,11; 0,76 ve 0,30 km, toplam yaklaşık 1,17 km (koordinatlardan hesap). Akvaryum hafta içi 10:00–18:00, hafta sonu 10:00–19:00 açık; kasa ve gezi girişi kapanıştan 1 saat önce kapanıyor. Casa de la Ciencia salı–pazar 10:00–20:00 açık, genel giriş 3 euro.</t>
        </is>
      </c>
      <c r="I15" s="49" t="n">
        <v>46320</v>
      </c>
      <c r="J15" s="29" t="inlineStr">
        <is>
          <t>sevilla:kaynak:376;sevilla:kaynak:390</t>
        </is>
      </c>
      <c r="K15" s="51" t="n">
        <v>8</v>
      </c>
      <c r="L15" s="29" t="inlineStr">
        <is>
          <t>Taslak</t>
        </is>
      </c>
    </row>
    <row r="16" ht="54" customHeight="1">
      <c r="A16" s="29" t="inlineStr">
        <is>
          <t>sevilla:route:009</t>
        </is>
      </c>
      <c r="B16" s="29" t="inlineStr">
        <is>
          <t>sevilla</t>
        </is>
      </c>
      <c r="C16" s="29" t="inlineStr">
        <is>
          <t>Pazarlar ve tapas</t>
        </is>
      </c>
      <c r="D16" s="29" t="inlineStr">
        <is>
          <t>Gün içi · Yeme-içme</t>
        </is>
      </c>
      <c r="E16" s="29" t="inlineStr">
        <is>
          <t>Mercado de la Encarnación (Las Setas)
Mercado de la calle Feria
El Rinconcillo
Bodega Góngora
Mercado Lonja del Barranco</t>
        </is>
      </c>
      <c r="F16" s="29" t="inlineStr">
        <is>
          <t>sevilla:mercado-de-la-encarnacion;sevilla:mercado-de-la-calle-feria;sevilla:el-rinconcillo;sevilla:bodega-gongora;sevilla:mercado-lonja-del-barranco</t>
        </is>
      </c>
      <c r="G16" s="29" t="inlineStr">
        <is>
          <t>sevilla:mercado-de-la-encarnacion</t>
        </is>
      </c>
      <c r="H16" s="29" t="inlineStr">
        <is>
          <t>Sabah Encarnación pazarına git (pazartesi–cumartesi 8:00–15:00 açık), öğleden sonra Calle Feria pazarına geç (salı–çarşamba 12:30–18:00, perşembe–cumartesi 13:00–00:00, pazar 13:00–18:00; perşembe geleneksel Jueves pazarı kuruluyor), tapas için El Rinconcillo ve Bodega Góngora'ya, nehir kıyısındaki Lonja del Barranco'ya geç. Bu duraklar için kayıtlarda koordinat olmadığından mesafe hesaplanmadı; adresler durak kayıtlarında.</t>
        </is>
      </c>
      <c r="I16" s="49" t="n">
        <v>46320</v>
      </c>
      <c r="J16" s="29" t="inlineStr">
        <is>
          <t>sevilla:kaynak:312;sevilla:kaynak:309</t>
        </is>
      </c>
      <c r="K16" s="51" t="n">
        <v>9</v>
      </c>
      <c r="L16" s="29" t="inlineStr">
        <is>
          <t>Taslak</t>
        </is>
      </c>
    </row>
    <row r="17" ht="54" customHeight="1">
      <c r="A17" s="29" t="inlineStr">
        <is>
          <t>sevilla:route:010</t>
        </is>
      </c>
      <c r="B17" s="29" t="inlineStr">
        <is>
          <t>sevilla</t>
        </is>
      </c>
      <c r="C17" s="29" t="inlineStr">
        <is>
          <t>Kiliseler ve saraylar</t>
        </is>
      </c>
      <c r="D17" s="29" t="inlineStr">
        <is>
          <t>Gün içi · Tarih ve mimari</t>
        </is>
      </c>
      <c r="E17" s="29" t="inlineStr">
        <is>
          <t>Palacio de las Dueñas
Iglesia de Santa Catalina
Palacio de la Condesa de Lebrija
Iglesia del Divino Salvador</t>
        </is>
      </c>
      <c r="F17" s="29" t="inlineStr">
        <is>
          <t>sevilla:palacio-de-las-duenas;sevilla:iglesia-de-santa-catalina;sevilla:palacio-de-la-condesa-de-lebrija;sevilla:iglesia-del-divino-salvador</t>
        </is>
      </c>
      <c r="G17" s="29" t="inlineStr">
        <is>
          <t>sevilla:palacio-de-las-duenas</t>
        </is>
      </c>
      <c r="H17" s="29" t="inlineStr">
        <is>
          <t>Palacio de las Dueñas'tan başla, Salvador Kilisesi'nde bitir; hepsi yürüyerek. Santa Catalina için kaynaklarda serbest giriş saati yok; kilise 2026 boyunca yalnız "La Sevilla Mudéjar" ve rehberli ziyaret etkinlikleriyle listeleniyor. Ardışık duraklar arası kuş uçuşu mesafe 0,20; 0,51 ve 0,26 km, toplam yaklaşık 0,97 km (koordinatlardan hesap). Palacio de la Condesa de Lebrija eylül–haziran arası her gün 10:00–18:00 açık. Salvador Kilisesi genel ziyaret için pazartesi–cumartesi 10:15–18:00 açık.</t>
        </is>
      </c>
      <c r="I17" s="49" t="n">
        <v>46320</v>
      </c>
      <c r="J17" s="29" t="inlineStr">
        <is>
          <t>sevilla:kaynak:317;sevilla:kaynak:318;sevilla:kaynak:412</t>
        </is>
      </c>
      <c r="K17" s="51" t="n">
        <v>10</v>
      </c>
      <c r="L17" s="29" t="inlineStr">
        <is>
          <t>Taslak</t>
        </is>
      </c>
    </row>
    <row r="18" ht="54" customHeight="1">
      <c r="A18" s="29" t="inlineStr">
        <is>
          <t>sevilla:route:011</t>
        </is>
      </c>
      <c r="B18" s="29" t="inlineStr">
        <is>
          <t>sevilla</t>
        </is>
      </c>
      <c r="C18" s="29" t="inlineStr">
        <is>
          <t>Alameda ve kuzey</t>
        </is>
      </c>
      <c r="D18" s="29" t="inlineStr">
        <is>
          <t>Gün içi · Mahalle</t>
        </is>
      </c>
      <c r="E18" s="29" t="inlineStr">
        <is>
          <t>Basílica del Gran Poder
Alameda de Hércules
Mercado de la calle Feria
Palacio de los Marqueses de la Algaba (Centro Mudéjar)
Espacio Santa Clara (Antiguo Monasterio)</t>
        </is>
      </c>
      <c r="F18" s="29" t="inlineStr">
        <is>
          <t>sevilla:basilica-del-gran-poder;sevilla:alameda-de-hercules;sevilla:mercado-de-la-calle-feria;sevilla:palacio-marqueses-de-la-algaba;sevilla:espacio-santa-clara</t>
        </is>
      </c>
      <c r="G18" s="29" t="inlineStr">
        <is>
          <t>sevilla:basilica-del-gran-poder</t>
        </is>
      </c>
      <c r="H18" s="29" t="inlineStr">
        <is>
          <t>Gran Poder Bazilikası'ndan başla, Alameda de Hércules ve Calle Feria üzerinden Santa Clara'da bitir. Ardışık duraklar arası kuş uçuşu mesafe 0,26; 0,22; 0,07 ve 0,44 km, toplam yaklaşık 1,00 km (koordinatlardan hesap). Espacio Santa Clara salı–cumartesi 10:00–14:00 ve 17:00–20:00 açık (pazar sabahı da açık); 14:00–17:00 arası kapalı, bu yüzden Calle Feria pazarından (13:00'te açılıyor) sonra Santa Clara'ya 17:00'den sonra git. Calle Feria pazarı salı–çarşamba 12:30–18:00, perşembe–cumartesi 13:00–0:00, pazar 13:00–18:00 açık; perşembe geleneksel Jueves pazarı kuruluyor.</t>
        </is>
      </c>
      <c r="I18" s="49" t="n">
        <v>46320</v>
      </c>
      <c r="J18" s="29" t="inlineStr">
        <is>
          <t>sevilla:kaynak:336;sevilla:kaynak:312</t>
        </is>
      </c>
      <c r="K18" s="51" t="n">
        <v>11</v>
      </c>
      <c r="L18" s="29" t="inlineStr">
        <is>
          <t>Taslak</t>
        </is>
      </c>
    </row>
    <row r="19" ht="54" customHeight="1">
      <c r="A19" s="29" t="inlineStr">
        <is>
          <t>sevilla:route:012</t>
        </is>
      </c>
      <c r="B19" s="29" t="inlineStr">
        <is>
          <t>sevilla</t>
        </is>
      </c>
      <c r="C19" s="29" t="inlineStr">
        <is>
          <t>Yeşil alanlar</t>
        </is>
      </c>
      <c r="D19" s="29" t="inlineStr">
        <is>
          <t>Gün içi · Park ve bahçe</t>
        </is>
      </c>
      <c r="E19" s="29" t="inlineStr">
        <is>
          <t>Jardines de Murillo
Paseo de Catalina de Ribera
Río Guadalquivir (Paseo de las Delicias)
Jardines de las Delicias
Parque de María Luisa</t>
        </is>
      </c>
      <c r="F19" s="29" t="inlineStr">
        <is>
          <t>sevilla:jardines-de-murillo;sevilla:paseo-catalina-de-ribera;sevilla:guadalquivir-paseo-de-las-delicias;sevilla:jardines-de-las-delicias;sevilla:parque-de-maria-luisa</t>
        </is>
      </c>
      <c r="G19" s="29" t="inlineStr">
        <is>
          <t>sevilla:jardines-de-murillo</t>
        </is>
      </c>
      <c r="H19" s="29" t="inlineStr">
        <is>
          <t>Jardines de Murillo'dan başla, Paseo de Catalina de Ribera'dan nehir kıyısındaki Paseo de las Delicias'a in, Jardines de las Delicias'tan geçip María Luisa Parkı'nda bitir. Ardışık duraklar arası kuş uçuşu mesafe 0,06; 0,62; 1,10 ve 0,54 km, toplam yaklaşık 2,32 km (koordinatlardan hesap). Jardines de Murillo kışın 8:00–22:00, yazın 8:00–24:00 açık. Jardines de las Delicias'a giriş ücretsiz.</t>
        </is>
      </c>
      <c r="I19" s="49" t="n">
        <v>46320</v>
      </c>
      <c r="J19" s="29" t="inlineStr">
        <is>
          <t>sevilla:kaynak:353;sevilla:kaynak:354</t>
        </is>
      </c>
      <c r="K19" s="51" t="n">
        <v>12</v>
      </c>
      <c r="L19" s="29" t="inlineStr">
        <is>
          <t>Taslak</t>
        </is>
      </c>
    </row>
    <row r="20" ht="54" customHeight="1">
      <c r="A20" s="29" t="n"/>
      <c r="B20" s="29" t="n"/>
      <c r="C20" s="29" t="n"/>
      <c r="D20" s="29" t="n"/>
      <c r="E20" s="29" t="n"/>
      <c r="F20" s="29" t="n"/>
      <c r="G20" s="29" t="n"/>
      <c r="H20" s="29" t="n"/>
      <c r="I20" s="49" t="n"/>
      <c r="J20" s="29" t="n"/>
      <c r="K20" s="51" t="n"/>
      <c r="L20" s="29" t="n"/>
    </row>
    <row r="21" ht="54" customHeight="1">
      <c r="A21" s="29" t="n"/>
      <c r="B21" s="29" t="n"/>
      <c r="C21" s="29" t="n"/>
      <c r="D21" s="29" t="n"/>
      <c r="E21" s="29" t="n"/>
      <c r="F21" s="29" t="n"/>
      <c r="G21" s="29" t="n"/>
      <c r="H21" s="29" t="n"/>
      <c r="I21" s="49" t="n"/>
      <c r="J21" s="29" t="n"/>
      <c r="K21" s="51" t="n"/>
      <c r="L21" s="29" t="n"/>
    </row>
    <row r="22" ht="54" customHeight="1">
      <c r="A22" s="29" t="n"/>
      <c r="B22" s="29" t="n"/>
      <c r="C22" s="29" t="n"/>
      <c r="D22" s="29" t="n"/>
      <c r="E22" s="29" t="n"/>
      <c r="F22" s="29" t="n"/>
      <c r="G22" s="29" t="n"/>
      <c r="H22" s="29" t="n"/>
      <c r="I22" s="49" t="n"/>
      <c r="J22" s="29" t="n"/>
      <c r="K22" s="51" t="n"/>
      <c r="L22" s="29" t="n"/>
    </row>
    <row r="23" ht="54" customHeight="1">
      <c r="A23" s="29" t="n"/>
      <c r="B23" s="29" t="n"/>
      <c r="C23" s="29" t="n"/>
      <c r="D23" s="29" t="n"/>
      <c r="E23" s="29" t="n"/>
      <c r="F23" s="29" t="n"/>
      <c r="G23" s="29" t="n"/>
      <c r="H23" s="29" t="n"/>
      <c r="I23" s="49" t="n"/>
      <c r="J23" s="29" t="n"/>
      <c r="K23" s="51" t="n"/>
      <c r="L23" s="29" t="n"/>
    </row>
    <row r="24" ht="54" customHeight="1">
      <c r="A24" s="29" t="n"/>
      <c r="B24" s="29" t="n"/>
      <c r="C24" s="29" t="n"/>
      <c r="D24" s="29" t="n"/>
      <c r="E24" s="29" t="n"/>
      <c r="F24" s="29" t="n"/>
      <c r="G24" s="29" t="n"/>
      <c r="H24" s="29" t="n"/>
      <c r="I24" s="49" t="n"/>
      <c r="J24" s="29" t="n"/>
      <c r="K24" s="51" t="n"/>
      <c r="L24" s="29" t="n"/>
    </row>
    <row r="25" ht="54" customHeight="1">
      <c r="A25" s="29" t="n"/>
      <c r="B25" s="29" t="n"/>
      <c r="C25" s="29" t="n"/>
      <c r="D25" s="29" t="n"/>
      <c r="E25" s="29" t="n"/>
      <c r="F25" s="29" t="n"/>
      <c r="G25" s="29" t="n"/>
      <c r="H25" s="29" t="n"/>
      <c r="I25" s="49" t="n"/>
      <c r="J25" s="29" t="n"/>
      <c r="K25" s="51" t="n"/>
      <c r="L25" s="29" t="n"/>
    </row>
    <row r="26" ht="54" customHeight="1">
      <c r="A26" s="29" t="n"/>
      <c r="B26" s="29" t="n"/>
      <c r="C26" s="29" t="n"/>
      <c r="D26" s="29" t="n"/>
      <c r="E26" s="29" t="n"/>
      <c r="F26" s="29" t="n"/>
      <c r="G26" s="29" t="n"/>
      <c r="H26" s="29" t="n"/>
      <c r="I26" s="49" t="n"/>
      <c r="J26" s="29" t="n"/>
      <c r="K26" s="51" t="n"/>
      <c r="L26" s="29" t="n"/>
    </row>
    <row r="27" ht="54" customHeight="1">
      <c r="A27" s="29" t="n"/>
      <c r="B27" s="29" t="n"/>
      <c r="C27" s="29" t="n"/>
      <c r="D27" s="29" t="n"/>
      <c r="E27" s="29" t="n"/>
      <c r="F27" s="29" t="n"/>
      <c r="G27" s="29" t="n"/>
      <c r="H27" s="29" t="n"/>
      <c r="I27" s="49" t="n"/>
      <c r="J27" s="29" t="n"/>
      <c r="K27" s="51" t="n"/>
      <c r="L27" s="29" t="n"/>
    </row>
    <row r="28" ht="54" customHeight="1">
      <c r="A28" s="29" t="n"/>
      <c r="B28" s="29" t="n"/>
      <c r="C28" s="29" t="n"/>
      <c r="D28" s="29" t="n"/>
      <c r="E28" s="29" t="n"/>
      <c r="F28" s="29" t="n"/>
      <c r="G28" s="29" t="n"/>
      <c r="H28" s="29" t="n"/>
      <c r="I28" s="49" t="n"/>
      <c r="J28" s="29" t="n"/>
      <c r="K28" s="51" t="n"/>
      <c r="L28" s="29" t="n"/>
    </row>
    <row r="29" ht="54" customHeight="1">
      <c r="A29" s="29" t="n"/>
      <c r="B29" s="29" t="n"/>
      <c r="C29" s="29" t="n"/>
      <c r="D29" s="29" t="n"/>
      <c r="E29" s="29" t="n"/>
      <c r="F29" s="29" t="n"/>
      <c r="G29" s="29" t="n"/>
      <c r="H29" s="29" t="n"/>
      <c r="I29" s="49" t="n"/>
      <c r="J29" s="29" t="n"/>
      <c r="K29" s="51" t="n"/>
      <c r="L29" s="29" t="n"/>
    </row>
    <row r="30" ht="54" customHeight="1">
      <c r="A30" s="29" t="n"/>
      <c r="B30" s="29" t="n"/>
      <c r="C30" s="29" t="n"/>
      <c r="D30" s="29" t="n"/>
      <c r="E30" s="29" t="n"/>
      <c r="F30" s="29" t="n"/>
      <c r="G30" s="29" t="n"/>
      <c r="H30" s="29" t="n"/>
      <c r="I30" s="49" t="n"/>
      <c r="J30" s="29" t="n"/>
      <c r="K30" s="51" t="n"/>
      <c r="L30" s="29" t="n"/>
    </row>
    <row r="31" ht="54" customHeight="1">
      <c r="A31" s="29" t="n"/>
      <c r="B31" s="29" t="n"/>
      <c r="C31" s="29" t="n"/>
      <c r="D31" s="29" t="n"/>
      <c r="E31" s="29" t="n"/>
      <c r="F31" s="29" t="n"/>
      <c r="G31" s="29" t="n"/>
      <c r="H31" s="29" t="n"/>
      <c r="I31" s="49" t="n"/>
      <c r="J31" s="29" t="n"/>
      <c r="K31" s="51" t="n"/>
      <c r="L31" s="29" t="n"/>
    </row>
    <row r="32" ht="54" customHeight="1">
      <c r="A32" s="29" t="n"/>
      <c r="B32" s="29" t="n"/>
      <c r="C32" s="29" t="n"/>
      <c r="D32" s="29" t="n"/>
      <c r="E32" s="29" t="n"/>
      <c r="F32" s="29" t="n"/>
      <c r="G32" s="29" t="n"/>
      <c r="H32" s="29" t="n"/>
      <c r="I32" s="49" t="n"/>
      <c r="J32" s="29" t="n"/>
      <c r="K32" s="51" t="n"/>
      <c r="L32" s="29" t="n"/>
    </row>
    <row r="33" ht="54" customHeight="1">
      <c r="A33" s="29" t="n"/>
      <c r="B33" s="29" t="n"/>
      <c r="C33" s="29" t="n"/>
      <c r="D33" s="29" t="n"/>
      <c r="E33" s="29" t="n"/>
      <c r="F33" s="29" t="n"/>
      <c r="G33" s="29" t="n"/>
      <c r="H33" s="29" t="n"/>
      <c r="I33" s="49" t="n"/>
      <c r="J33" s="29" t="n"/>
      <c r="K33" s="51" t="n"/>
      <c r="L33" s="29" t="n"/>
    </row>
    <row r="34" ht="54" customHeight="1">
      <c r="A34" s="29" t="n"/>
      <c r="B34" s="29" t="n"/>
      <c r="C34" s="29" t="n"/>
      <c r="D34" s="29" t="n"/>
      <c r="E34" s="29" t="n"/>
      <c r="F34" s="29" t="n"/>
      <c r="G34" s="29" t="n"/>
      <c r="H34" s="29" t="n"/>
      <c r="I34" s="49" t="n"/>
      <c r="J34" s="29" t="n"/>
      <c r="K34" s="51" t="n"/>
      <c r="L34" s="29" t="n"/>
    </row>
    <row r="35" ht="54" customHeight="1">
      <c r="A35" s="29" t="n"/>
      <c r="B35" s="29" t="n"/>
      <c r="C35" s="29" t="n"/>
      <c r="D35" s="29" t="n"/>
      <c r="E35" s="29" t="n"/>
      <c r="F35" s="29" t="n"/>
      <c r="G35" s="29" t="n"/>
      <c r="H35" s="29" t="n"/>
      <c r="I35" s="49" t="n"/>
      <c r="J35" s="29" t="n"/>
      <c r="K35" s="51" t="n"/>
      <c r="L35" s="29" t="n"/>
    </row>
    <row r="36" ht="54" customHeight="1">
      <c r="A36" s="29" t="n"/>
      <c r="B36" s="29" t="n"/>
      <c r="C36" s="29" t="n"/>
      <c r="D36" s="29" t="n"/>
      <c r="E36" s="29" t="n"/>
      <c r="F36" s="29" t="n"/>
      <c r="G36" s="29" t="n"/>
      <c r="H36" s="29" t="n"/>
      <c r="I36" s="49" t="n"/>
      <c r="J36" s="29" t="n"/>
      <c r="K36" s="51" t="n"/>
      <c r="L36" s="29" t="n"/>
    </row>
    <row r="37" ht="54" customHeight="1">
      <c r="A37" s="29" t="n"/>
      <c r="B37" s="29" t="n"/>
      <c r="C37" s="29" t="n"/>
      <c r="D37" s="29" t="n"/>
      <c r="E37" s="29" t="n"/>
      <c r="F37" s="29" t="n"/>
      <c r="G37" s="29" t="n"/>
      <c r="H37" s="29" t="n"/>
      <c r="I37" s="49" t="n"/>
      <c r="J37" s="29" t="n"/>
      <c r="K37" s="51" t="n"/>
      <c r="L37" s="29" t="n"/>
    </row>
  </sheetData>
  <mergeCells count="1">
    <mergeCell ref="A3:H3"/>
  </mergeCells>
  <conditionalFormatting sqref="A8:A37">
    <cfRule type="expression" priority="1" dxfId="1">
      <formula>AND($A8&lt;&gt;"",ISBLANK(A8))</formula>
    </cfRule>
  </conditionalFormatting>
  <conditionalFormatting sqref="B8:B37">
    <cfRule type="expression" priority="2" dxfId="1">
      <formula>AND($A8&lt;&gt;"",ISBLANK(B8))</formula>
    </cfRule>
  </conditionalFormatting>
  <conditionalFormatting sqref="C8:C37">
    <cfRule type="expression" priority="3" dxfId="1">
      <formula>AND($A8&lt;&gt;"",ISBLANK(C8))</formula>
    </cfRule>
  </conditionalFormatting>
  <conditionalFormatting sqref="D8:D37">
    <cfRule type="expression" priority="4" dxfId="1">
      <formula>AND($A8&lt;&gt;"",ISBLANK(D8))</formula>
    </cfRule>
  </conditionalFormatting>
  <conditionalFormatting sqref="E8:E37">
    <cfRule type="expression" priority="5" dxfId="1">
      <formula>AND($A8&lt;&gt;"",ISBLANK(E8))</formula>
    </cfRule>
  </conditionalFormatting>
  <conditionalFormatting sqref="G8:G37">
    <cfRule type="expression" priority="6" dxfId="1">
      <formula>AND($A8&lt;&gt;"",ISBLANK(G8))</formula>
    </cfRule>
  </conditionalFormatting>
  <conditionalFormatting sqref="H8:H37">
    <cfRule type="expression" priority="7" dxfId="1">
      <formula>AND($A8&lt;&gt;"",ISBLANK(H8))</formula>
    </cfRule>
  </conditionalFormatting>
  <conditionalFormatting sqref="I8:I37">
    <cfRule type="expression" priority="8" dxfId="1">
      <formula>AND($A8&lt;&gt;"",ISBLANK(I8))</formula>
    </cfRule>
  </conditionalFormatting>
  <conditionalFormatting sqref="J8:J37">
    <cfRule type="expression" priority="9" dxfId="1">
      <formula>AND($A8&lt;&gt;"",ISBLANK(J8))</formula>
    </cfRule>
  </conditionalFormatting>
  <conditionalFormatting sqref="K8:K37">
    <cfRule type="expression" priority="10" dxfId="1">
      <formula>AND($A8&lt;&gt;"",ISBLANK(K8))</formula>
    </cfRule>
  </conditionalFormatting>
  <conditionalFormatting sqref="L8:L37">
    <cfRule type="expression" priority="11" dxfId="1">
      <formula>AND($A8&lt;&gt;"",ISBLANK(L8))</formula>
    </cfRule>
  </conditionalFormatting>
  <dataValidations count="1">
    <dataValidation sqref="L8:L37"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H1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28" customWidth="1" min="3" max="3"/>
    <col width="58" customWidth="1" min="4" max="4"/>
    <col width="28" customWidth="1" min="5" max="5"/>
    <col width="20" customWidth="1" min="6" max="6"/>
    <col width="28" customWidth="1" min="7" max="7"/>
    <col width="28" customWidth="1" min="8" max="8"/>
  </cols>
  <sheetData>
    <row r="1" ht="30" customHeight="1">
      <c r="A1" s="2" t="n"/>
      <c r="B1" s="2" t="n"/>
      <c r="C1" s="2" t="n"/>
      <c r="D1" s="2" t="n"/>
      <c r="E1" s="2" t="n"/>
      <c r="F1" s="2" t="n"/>
      <c r="G1" s="2" t="n"/>
      <c r="H1" s="2" t="n"/>
    </row>
    <row r="2" ht="30" customHeight="1">
      <c r="A2" s="19" t="inlineStr">
        <is>
          <t>Corteqs · Yerel terimler sözlüğü</t>
        </is>
      </c>
      <c r="B2" s="2" t="n"/>
      <c r="C2" s="2" t="n"/>
      <c r="D2" s="2" t="n"/>
      <c r="E2" s="2" t="n"/>
      <c r="F2" s="2" t="n"/>
      <c r="G2" s="2" t="n"/>
      <c r="H2" s="2" t="n"/>
    </row>
    <row r="3" ht="36" customHeight="1">
      <c r="A3" s="20" t="inlineStr">
        <is>
          <t>Türkçe başlığı okuyun; veriyi 8. satırdan yazın. 7. satırdaki alan adını ve sayfa adını değiştirmeyin.</t>
        </is>
      </c>
    </row>
    <row r="4" ht="30" customHeight="1">
      <c r="A4" s="21" t="n"/>
      <c r="B4" s="21" t="n"/>
      <c r="C4" s="21" t="n"/>
      <c r="D4" s="21" t="n"/>
      <c r="E4" s="21" t="n"/>
      <c r="F4" s="21" t="n"/>
      <c r="G4" s="21" t="n"/>
      <c r="H4" s="21" t="n"/>
    </row>
    <row r="5" ht="26" customHeight="1">
      <c r="A5" s="22" t="inlineStr">
        <is>
          <t>Zorunlu</t>
        </is>
      </c>
      <c r="B5" s="22" t="inlineStr">
        <is>
          <t>Zorunlu</t>
        </is>
      </c>
      <c r="C5" s="22" t="inlineStr">
        <is>
          <t>Zorunlu</t>
        </is>
      </c>
      <c r="D5" s="22" t="inlineStr">
        <is>
          <t>Zorunlu</t>
        </is>
      </c>
      <c r="E5" s="22" t="inlineStr">
        <is>
          <t>Zorunlu · ; ile</t>
        </is>
      </c>
      <c r="F5" s="22" t="inlineStr">
        <is>
          <t>Zorunlu · tarih</t>
        </is>
      </c>
      <c r="G5" s="22" t="inlineStr">
        <is>
          <t>Zorunlu</t>
        </is>
      </c>
      <c r="H5" s="22" t="inlineStr">
        <is>
          <t>Zorunlu</t>
        </is>
      </c>
    </row>
    <row r="6" ht="44" customHeight="1">
      <c r="A6" s="25" t="inlineStr">
        <is>
          <t>Terim kimliği</t>
        </is>
      </c>
      <c r="B6" s="25" t="inlineStr">
        <is>
          <t>Şehir kimliği</t>
        </is>
      </c>
      <c r="C6" s="25" t="inlineStr">
        <is>
          <t>Yerel terim</t>
        </is>
      </c>
      <c r="D6" s="25" t="inlineStr">
        <is>
          <t>Türkçe açıklama</t>
        </is>
      </c>
      <c r="E6" s="25" t="inlineStr">
        <is>
          <t>Kaynak kimlikleri</t>
        </is>
      </c>
      <c r="F6" s="25" t="inlineStr">
        <is>
          <t>Terim kontrol tarihi</t>
        </is>
      </c>
      <c r="G6" s="25" t="inlineStr">
        <is>
          <t>Sıra</t>
        </is>
      </c>
      <c r="H6" s="25" t="inlineStr">
        <is>
          <t>Editör durumu</t>
        </is>
      </c>
    </row>
    <row r="7" ht="32" customHeight="1">
      <c r="A7" s="28" t="inlineStr">
        <is>
          <t>term_id</t>
        </is>
      </c>
      <c r="B7" s="28" t="inlineStr">
        <is>
          <t>city_id</t>
        </is>
      </c>
      <c r="C7" s="28" t="inlineStr">
        <is>
          <t>term</t>
        </is>
      </c>
      <c r="D7" s="28" t="inlineStr">
        <is>
          <t>definition</t>
        </is>
      </c>
      <c r="E7" s="28" t="inlineStr">
        <is>
          <t>source_ids</t>
        </is>
      </c>
      <c r="F7" s="28" t="inlineStr">
        <is>
          <t>reviewed_on</t>
        </is>
      </c>
      <c r="G7" s="28" t="inlineStr">
        <is>
          <t>order</t>
        </is>
      </c>
      <c r="H7" s="28" t="inlineStr">
        <is>
          <t>editorial_status</t>
        </is>
      </c>
    </row>
    <row r="8" ht="54" customHeight="1">
      <c r="A8" s="29" t="inlineStr">
        <is>
          <t>sevilla:term:001</t>
        </is>
      </c>
      <c r="B8" s="29" t="inlineStr">
        <is>
          <t>sevilla</t>
        </is>
      </c>
      <c r="C8" s="29" t="inlineStr">
        <is>
          <t>empadronamiento (adres kaydı)</t>
        </is>
      </c>
      <c r="D8" s="29" t="inlineStr">
        <is>
          <t>Oturduğun belediyenin nüfus kütüğüne (padrón municipal) adres kaydı. İspanya'daki adres, bazı başvurularda bu kayıttan alınan certificado de empadronamiento ile belgelenir; volante ve certificado elektronik ortamda da istenebilir.</t>
        </is>
      </c>
      <c r="E8" s="29" t="inlineStr">
        <is>
          <t>sevilla:kaynak:106;sevilla:kaynak:018</t>
        </is>
      </c>
      <c r="F8" s="49" t="n">
        <v>46320</v>
      </c>
      <c r="G8" s="51" t="n">
        <v>1</v>
      </c>
      <c r="H8" s="29" t="inlineStr">
        <is>
          <t>Taslak</t>
        </is>
      </c>
    </row>
    <row r="9" ht="54" customHeight="1">
      <c r="A9" s="29" t="inlineStr">
        <is>
          <t>sevilla:term:002</t>
        </is>
      </c>
      <c r="B9" s="29" t="inlineStr">
        <is>
          <t>sevilla</t>
        </is>
      </c>
      <c r="C9" s="29" t="inlineStr">
        <is>
          <t>volante de empadronamiento</t>
        </is>
      </c>
      <c r="D9" s="29" t="inlineStr">
        <is>
          <t>Adres kaydını gösteren, yalnızca bilgi amaçlı belge. Belediye yetkilisinin imzasını gerektirmez; imzalı resmî belge isteniyorsa certificado de empadronamiento gerekir.</t>
        </is>
      </c>
      <c r="E9" s="29" t="inlineStr">
        <is>
          <t>sevilla:kaynak:018</t>
        </is>
      </c>
      <c r="F9" s="49" t="n">
        <v>46320</v>
      </c>
      <c r="G9" s="51" t="n">
        <v>2</v>
      </c>
      <c r="H9" s="29" t="inlineStr">
        <is>
          <t>Taslak</t>
        </is>
      </c>
    </row>
    <row r="10" ht="54" customHeight="1">
      <c r="A10" s="29" t="inlineStr">
        <is>
          <t>sevilla:term:003</t>
        </is>
      </c>
      <c r="B10" s="29" t="inlineStr">
        <is>
          <t>sevilla</t>
        </is>
      </c>
      <c r="C10" s="29" t="inlineStr">
        <is>
          <t>NIE (yabancı kimlik numarası)</t>
        </is>
      </c>
      <c r="D10" s="29" t="inlineStr">
        <is>
          <t>Número de Identidad de Extranjero. İspanya ile ekonomik, mesleki veya sosyal ilişkisi olan yabancılara atanan kimlik numarası. Polis sitesindeki harç tarifesinde NIE atanması için 9,84 € yazıyor.</t>
        </is>
      </c>
      <c r="E10" s="29" t="inlineStr">
        <is>
          <t>sevilla:kaynak:001;sevilla:kaynak:004</t>
        </is>
      </c>
      <c r="F10" s="49" t="n">
        <v>46320</v>
      </c>
      <c r="G10" s="51" t="n">
        <v>3</v>
      </c>
      <c r="H10" s="29" t="inlineStr">
        <is>
          <t>Taslak</t>
        </is>
      </c>
    </row>
    <row r="11" ht="54" customHeight="1">
      <c r="A11" s="29" t="inlineStr">
        <is>
          <t>sevilla:term:004</t>
        </is>
      </c>
      <c r="B11" s="29" t="inlineStr">
        <is>
          <t>sevilla</t>
        </is>
      </c>
      <c r="C11" s="29" t="inlineStr">
        <is>
          <t>TIE (yabancı kimlik kartı)</t>
        </is>
      </c>
      <c r="D11" s="29" t="inlineStr">
        <is>
          <t>Tarjeta de Identidad de Extranjero. AB vatandaşı olmayan yabancıların oturum belgesini taşıyan kart. Polis sitesinde ilk oturum izni TIE'si için 16,08 €, yenileme TIE'si için 19,30 € harç yazıyor; SEPE gibi yerlerde AB dışı kişiden fotoğraflı TIE istenir.</t>
        </is>
      </c>
      <c r="E11" s="29" t="inlineStr">
        <is>
          <t>sevilla:kaynak:004;sevilla:kaynak:061</t>
        </is>
      </c>
      <c r="F11" s="49" t="n">
        <v>46320</v>
      </c>
      <c r="G11" s="51" t="n">
        <v>4</v>
      </c>
      <c r="H11" s="29" t="inlineStr">
        <is>
          <t>Taslak</t>
        </is>
      </c>
    </row>
    <row r="12" ht="54" customHeight="1">
      <c r="A12" s="29" t="inlineStr">
        <is>
          <t>sevilla:term:005</t>
        </is>
      </c>
      <c r="B12" s="29" t="inlineStr">
        <is>
          <t>sevilla</t>
        </is>
      </c>
      <c r="C12" s="29" t="inlineStr">
        <is>
          <t>Certificado de Registro de Ciudadano de la UE (AB vatandaşı kayıt belgesi)</t>
        </is>
      </c>
      <c r="D12" s="29" t="inlineStr">
        <is>
          <t>AB veya AEA vatandaşının İspanya'da üç aydan uzun kalacağı zaman Yabancılar Merkez Kaydı'na yaptığı kaydı gösteren belge. Üzerinde ad, uyruk, adres, NIE ve kayıt tarihi bulunur; kayıt, girişten itibaren üç ay içinde Yabancılar Bürosu'nda veya ilgili polis karakolunda yapılır.</t>
        </is>
      </c>
      <c r="E12" s="29" t="inlineStr">
        <is>
          <t>sevilla:kaynak:003</t>
        </is>
      </c>
      <c r="F12" s="49" t="n">
        <v>46320</v>
      </c>
      <c r="G12" s="51" t="n">
        <v>5</v>
      </c>
      <c r="H12" s="29" t="inlineStr">
        <is>
          <t>Taslak</t>
        </is>
      </c>
    </row>
    <row r="13" ht="54" customHeight="1">
      <c r="A13" s="29" t="inlineStr">
        <is>
          <t>sevilla:term:006</t>
        </is>
      </c>
      <c r="B13" s="29" t="inlineStr">
        <is>
          <t>sevilla</t>
        </is>
      </c>
      <c r="C13" s="29" t="inlineStr">
        <is>
          <t>cita previa (önceden randevu)</t>
        </is>
      </c>
      <c r="D13" s="29" t="inlineStr">
        <is>
          <t>Kamu kurumlarında işlem için önceden alınan randevu. Seguridad Social randevuyu internet üzerinden aldırıp yönetmeye izin verir. EMVISESA'nın korumalı konut talep kaydına yazılmak için de önceden randevu alman şarttır; randevu 010'u arayarak ya da Sevilla Belediyesi'nin web platformundan alınır.</t>
        </is>
      </c>
      <c r="E13" s="29" t="inlineStr">
        <is>
          <t>sevilla:kaynak:272;sevilla:kaynak:147</t>
        </is>
      </c>
      <c r="F13" s="49" t="n">
        <v>46320</v>
      </c>
      <c r="G13" s="51" t="n">
        <v>6</v>
      </c>
      <c r="H13" s="29" t="inlineStr">
        <is>
          <t>Taslak</t>
        </is>
      </c>
    </row>
    <row r="14" ht="54" customHeight="1">
      <c r="A14" s="29" t="inlineStr">
        <is>
          <t>sevilla:term:007</t>
        </is>
      </c>
      <c r="B14" s="29" t="inlineStr">
        <is>
          <t>sevilla</t>
        </is>
      </c>
      <c r="C14" s="29" t="inlineStr">
        <is>
          <t>Cl@ve</t>
        </is>
      </c>
      <c r="D14" s="29" t="inlineStr">
        <is>
          <t>Kamu hizmetlerinde elektronik kimlik doğrulama ve imza sistemi. Cl@ve Permanente kullanıcı kodu (DNI veya NIE) ve şifreyle çalışır; Cl@ve uygulaması ise kimlik doğrulamayı ve elektronik imzayı tek yerde toplar.</t>
        </is>
      </c>
      <c r="E14" s="29" t="inlineStr">
        <is>
          <t>sevilla:kaynak:022;sevilla:kaynak:023</t>
        </is>
      </c>
      <c r="F14" s="49" t="n">
        <v>46320</v>
      </c>
      <c r="G14" s="51" t="n">
        <v>7</v>
      </c>
      <c r="H14" s="29" t="inlineStr">
        <is>
          <t>Taslak</t>
        </is>
      </c>
    </row>
    <row r="15" ht="54" customHeight="1">
      <c r="A15" s="29" t="inlineStr">
        <is>
          <t>sevilla:term:008</t>
        </is>
      </c>
      <c r="B15" s="29" t="inlineStr">
        <is>
          <t>sevilla</t>
        </is>
      </c>
      <c r="C15" s="29" t="inlineStr">
        <is>
          <t>certificado digital (FNMT dijital sertifika)</t>
        </is>
      </c>
      <c r="D15" s="29" t="inlineStr">
        <is>
          <t>Kamu başvurularında kimlik doğrulama ve imza için kullanılan elektronik sertifika. FNMT'nin yüz yüze kimlik doğrulamalı yöntemiyle alınan kullanıcı sertifikası dört adımda, sırayla alınır.</t>
        </is>
      </c>
      <c r="E15" s="29" t="inlineStr">
        <is>
          <t>sevilla:kaynak:024</t>
        </is>
      </c>
      <c r="F15" s="49" t="n">
        <v>46320</v>
      </c>
      <c r="G15" s="51" t="n">
        <v>8</v>
      </c>
      <c r="H15" s="29" t="inlineStr">
        <is>
          <t>Taslak</t>
        </is>
      </c>
    </row>
    <row r="16" ht="54" customHeight="1">
      <c r="A16" s="29" t="inlineStr">
        <is>
          <t>sevilla:term:009</t>
        </is>
      </c>
      <c r="B16" s="29" t="inlineStr">
        <is>
          <t>sevilla</t>
        </is>
      </c>
      <c r="C16" s="29" t="inlineStr">
        <is>
          <t>NUSS (Sosyal Güvenlik numarası)</t>
        </is>
      </c>
      <c r="D16" s="29" t="inlineStr">
        <is>
          <t>Número de la Seguridad Social. Sosyal Güvenlik'in seni tanıdığı numaradır, NAF olarak da bilinir. İlk kez çalışmaya başlarken, emeklilik, ödenek ve yardımlar için gerekir; istediğin zaman alınabilir.</t>
        </is>
      </c>
      <c r="E16" s="29" t="inlineStr">
        <is>
          <t>sevilla:kaynak:093</t>
        </is>
      </c>
      <c r="F16" s="49" t="n">
        <v>46320</v>
      </c>
      <c r="G16" s="51" t="n">
        <v>9</v>
      </c>
      <c r="H16" s="29" t="inlineStr">
        <is>
          <t>Taslak</t>
        </is>
      </c>
    </row>
    <row r="17" ht="54" customHeight="1">
      <c r="A17" s="29" t="inlineStr">
        <is>
          <t>sevilla:term:010</t>
        </is>
      </c>
      <c r="B17" s="29" t="inlineStr">
        <is>
          <t>sevilla</t>
        </is>
      </c>
      <c r="C17" s="29" t="inlineStr">
        <is>
          <t>vida laboral (çalışma geçmişi raporu)</t>
        </is>
      </c>
      <c r="D17" s="29" t="inlineStr">
        <is>
          <t>Sosyal Güvenlik'te kayıtlı tüm giriş (alta) ve çıkış (baja) durumlarını ve kaç gün kayıtlı kaldığını gösteren rapor. Sosyal Güvenlik'te hiç alta kaydı olmayan kişi bu raporu alamaz.</t>
        </is>
      </c>
      <c r="E17" s="29" t="inlineStr">
        <is>
          <t>sevilla:kaynak:020</t>
        </is>
      </c>
      <c r="F17" s="49" t="n">
        <v>46320</v>
      </c>
      <c r="G17" s="51" t="n">
        <v>10</v>
      </c>
      <c r="H17" s="29" t="inlineStr">
        <is>
          <t>Taslak</t>
        </is>
      </c>
    </row>
    <row r="18" ht="54" customHeight="1">
      <c r="A18" s="29" t="inlineStr">
        <is>
          <t>sevilla:term:011</t>
        </is>
      </c>
      <c r="B18" s="29" t="inlineStr">
        <is>
          <t>sevilla</t>
        </is>
      </c>
      <c r="C18" s="29" t="inlineStr">
        <is>
          <t>NIF (vergi kimlik numarası)</t>
        </is>
      </c>
      <c r="D18" s="29" t="inlineStr">
        <is>
          <t>Vergi açısından önemli işlem yapan gerçek kişinin sahip olması gereken numara. Genelde DNI veya NIE ile aynıdır.</t>
        </is>
      </c>
      <c r="E18" s="29" t="inlineStr">
        <is>
          <t>sevilla:kaynak:021</t>
        </is>
      </c>
      <c r="F18" s="49" t="n">
        <v>46320</v>
      </c>
      <c r="G18" s="51" t="n">
        <v>11</v>
      </c>
      <c r="H18" s="29" t="inlineStr">
        <is>
          <t>Taslak</t>
        </is>
      </c>
    </row>
    <row r="19" ht="54" customHeight="1">
      <c r="A19" s="29" t="inlineStr">
        <is>
          <t>sevilla:term:012</t>
        </is>
      </c>
      <c r="B19" s="29" t="inlineStr">
        <is>
          <t>sevilla</t>
        </is>
      </c>
      <c r="C19" s="29" t="inlineStr">
        <is>
          <t>libro de familia (aile cüzdanı)</t>
        </is>
      </c>
      <c r="D19" s="29" t="inlineStr">
        <is>
          <t>Ailenin kayıt bilgilerini taşıyan belge. Yenidoğanın Registro Civil'deki kaydı libro de familia'ya işlenir; güncel olmayan libro de familia ile doğum kaydının literal sureti birlikte istenebilir.</t>
        </is>
      </c>
      <c r="E19" s="29" t="inlineStr">
        <is>
          <t>sevilla:kaynak:254</t>
        </is>
      </c>
      <c r="F19" s="49" t="n">
        <v>46320</v>
      </c>
      <c r="G19" s="51" t="n">
        <v>12</v>
      </c>
      <c r="H19" s="29" t="inlineStr">
        <is>
          <t>Taslak</t>
        </is>
      </c>
    </row>
    <row r="20" ht="54" customHeight="1">
      <c r="A20" s="29" t="inlineStr">
        <is>
          <t>sevilla:term:013</t>
        </is>
      </c>
      <c r="B20" s="29" t="inlineStr">
        <is>
          <t>sevilla</t>
        </is>
      </c>
      <c r="C20" s="29" t="inlineStr">
        <is>
          <t>Registro Civil (sivil kayıt dairesi)</t>
        </is>
      </c>
      <c r="D20" s="29" t="inlineStr">
        <is>
          <t>Doğum gibi kişisel durum kayıtlarının tutulduğu daire. Bebek kaydı çoğu durumda daireye şahsen gidilmeden yapılabilir.</t>
        </is>
      </c>
      <c r="E20" s="29" t="inlineStr">
        <is>
          <t>sevilla:kaynak:254</t>
        </is>
      </c>
      <c r="F20" s="49" t="n">
        <v>46320</v>
      </c>
      <c r="G20" s="51" t="n">
        <v>13</v>
      </c>
      <c r="H20" s="29" t="inlineStr">
        <is>
          <t>Taslak</t>
        </is>
      </c>
    </row>
    <row r="21" ht="54" customHeight="1">
      <c r="A21" s="29" t="inlineStr">
        <is>
          <t>sevilla:term:014</t>
        </is>
      </c>
      <c r="B21" s="29" t="inlineStr">
        <is>
          <t>sevilla</t>
        </is>
      </c>
      <c r="C21" s="29" t="inlineStr">
        <is>
          <t>apostilla (Lahey apostili)</t>
        </is>
      </c>
      <c r="D21" s="29" t="inlineStr">
        <is>
          <t>Yabancı ülkede düzenlenmiş resmî belgenin üzerindeki imzanın gerçekliğini onaylayan Lahey apostili. İspanya'da yabancı resmî belgeler, örneğin uzaktan çalışma vizesi başvurusunda, legalizado veya apostillado olmalıdır.</t>
        </is>
      </c>
      <c r="E21" s="29" t="inlineStr">
        <is>
          <t>sevilla:kaynak:026;sevilla:kaynak:008</t>
        </is>
      </c>
      <c r="F21" s="49" t="n">
        <v>46320</v>
      </c>
      <c r="G21" s="51" t="n">
        <v>14</v>
      </c>
      <c r="H21" s="29" t="inlineStr">
        <is>
          <t>Taslak</t>
        </is>
      </c>
    </row>
    <row r="22" ht="54" customHeight="1">
      <c r="A22" s="29" t="inlineStr">
        <is>
          <t>sevilla:term:015</t>
        </is>
      </c>
      <c r="B22" s="29" t="inlineStr">
        <is>
          <t>sevilla</t>
        </is>
      </c>
      <c r="C22" s="29" t="inlineStr">
        <is>
          <t>traductor jurado (yeminli tercüman)</t>
        </is>
      </c>
      <c r="D22" s="29" t="inlineStr">
        <is>
          <t>Dışişleri Bakanlığı'ndan Traductor/a Jurado/a unvanı almış çevirmen. Yaptığı çeviriler resmî niteliktedir ve mahkemelere ile idari makamlara sunulabilir.</t>
        </is>
      </c>
      <c r="E22" s="29" t="inlineStr">
        <is>
          <t>sevilla:kaynak:025</t>
        </is>
      </c>
      <c r="F22" s="49" t="n">
        <v>46320</v>
      </c>
      <c r="G22" s="51" t="n">
        <v>15</v>
      </c>
      <c r="H22" s="29" t="inlineStr">
        <is>
          <t>Taslak</t>
        </is>
      </c>
    </row>
    <row r="23" ht="54" customHeight="1">
      <c r="A23" s="29" t="inlineStr">
        <is>
          <t>sevilla:term:016</t>
        </is>
      </c>
      <c r="B23" s="29" t="inlineStr">
        <is>
          <t>sevilla</t>
        </is>
      </c>
      <c r="C23" s="29" t="inlineStr">
        <is>
          <t>arraigo (kök salma oturumu)</t>
        </is>
      </c>
      <c r="D23" s="29" t="inlineStr">
        <is>
          <t>Olağanüstü koşullara dayanan geçici oturum izni türü. Çeşitleri: ikinci fırsat, sosyal-iş, sosyal, sosyal-eğitim ve aile arraigo'su. İzinler bir yıl süreli; aile arraigo'su beş yıl süreli.</t>
        </is>
      </c>
      <c r="E23" s="29" t="inlineStr">
        <is>
          <t>sevilla:kaynak:005</t>
        </is>
      </c>
      <c r="F23" s="49" t="n">
        <v>46320</v>
      </c>
      <c r="G23" s="51" t="n">
        <v>16</v>
      </c>
      <c r="H23" s="29" t="inlineStr">
        <is>
          <t>Taslak</t>
        </is>
      </c>
    </row>
    <row r="24" ht="54" customHeight="1">
      <c r="A24" s="29" t="inlineStr">
        <is>
          <t>sevilla:term:017</t>
        </is>
      </c>
      <c r="B24" s="29" t="inlineStr">
        <is>
          <t>sevilla</t>
        </is>
      </c>
      <c r="C24" s="29" t="inlineStr">
        <is>
          <t>IBI (emlak vergisi)</t>
        </is>
      </c>
      <c r="D24" s="29" t="inlineStr">
        <is>
          <t>Impuesto sobre Bienes Inmuebles, emlak vergisi. Junta de Andalucía'nın kiracı ve ev sahibi hakları sayfasına göre IBI, çöp harcı ve konutun bina sigortası ev sahibinin yükümlülüğüdür. Kiracı kural olarak yalnız ayrı sayaçlı faturaları (elektrik, su, gaz, telefon) öder; vergi ve harçları yalnız sözleşmede kararlaştırılmışsa üstlenir.</t>
        </is>
      </c>
      <c r="E24" s="29" t="inlineStr">
        <is>
          <t>sevilla:kaynak:153</t>
        </is>
      </c>
      <c r="F24" s="49" t="n">
        <v>46320</v>
      </c>
      <c r="G24" s="51" t="n">
        <v>17</v>
      </c>
      <c r="H24" s="29" t="inlineStr">
        <is>
          <t>Taslak</t>
        </is>
      </c>
    </row>
    <row r="25" ht="54" customHeight="1">
      <c r="A25" s="29" t="inlineStr">
        <is>
          <t>sevilla:term:018</t>
        </is>
      </c>
      <c r="B25" s="29" t="inlineStr">
        <is>
          <t>sevilla</t>
        </is>
      </c>
      <c r="C25" s="29" t="inlineStr">
        <is>
          <t>fianza (kira depozitosu)</t>
        </is>
      </c>
      <c r="D25" s="29" t="inlineStr">
        <is>
          <t>Kiracının kiraya verene nakit olarak bıraktığı depozito. Ley de Arrendamientos Urbanos'a göre konut kirasında bir aylık kira tutarındadır. Endülüs'te 24 Ocak 2026'dan itibaren yapılan sözleşmelerde depozitoyu Junta'ya yatırma zorunluluğu kalktı.</t>
        </is>
      </c>
      <c r="E25" s="29" t="inlineStr">
        <is>
          <t>sevilla:kaynak:090;sevilla:kaynak:133</t>
        </is>
      </c>
      <c r="F25" s="49" t="n">
        <v>46320</v>
      </c>
      <c r="G25" s="51" t="n">
        <v>18</v>
      </c>
      <c r="H25" s="29" t="inlineStr">
        <is>
          <t>Taslak</t>
        </is>
      </c>
    </row>
    <row r="26" ht="54" customHeight="1">
      <c r="A26" s="29" t="inlineStr">
        <is>
          <t>sevilla:term:019</t>
        </is>
      </c>
      <c r="B26" s="29" t="inlineStr">
        <is>
          <t>sevilla</t>
        </is>
      </c>
      <c r="C26" s="29" t="inlineStr">
        <is>
          <t>AVRA</t>
        </is>
      </c>
      <c r="D26" s="29" t="inlineStr">
        <is>
          <t>Agencia de Vivienda y Rehabilitación de Andalucía, Endülüs konut ve yenileme ajansı. Kira depozitosunun iadesi bu kurumun sayfalarında yürütülür; iade isteği kiraya veren veya yasal temsilcisi tarafından yapılır ve idare iade başvurusundan itibaren bir ay içinde depozitoyu iade etmek zorundadır.</t>
        </is>
      </c>
      <c r="E26" s="29" t="inlineStr">
        <is>
          <t>sevilla:kaynak:133;sevilla:kaynak:152</t>
        </is>
      </c>
      <c r="F26" s="49" t="n">
        <v>46320</v>
      </c>
      <c r="G26" s="51" t="n">
        <v>19</v>
      </c>
      <c r="H26" s="29" t="inlineStr">
        <is>
          <t>Taslak</t>
        </is>
      </c>
    </row>
    <row r="27" ht="54" customHeight="1">
      <c r="A27" s="29" t="inlineStr">
        <is>
          <t>sevilla:term:020</t>
        </is>
      </c>
      <c r="B27" s="29" t="inlineStr">
        <is>
          <t>sevilla</t>
        </is>
      </c>
      <c r="C27" s="29" t="inlineStr">
        <is>
          <t>IPRA (kira referans fiyat endeksi)</t>
        </is>
      </c>
      <c r="D27" s="29" t="inlineStr">
        <is>
          <t>Índice de Precio de Referencia de Alquiler Residencial Municipal. Sevilla Belediyesi'nin konut kirası için referans fiyat endeksidir; son güncelleme Sevilla Junta de Gobierno'nun 25 Kasım 2022 tarihli kararıyla kesinleşmiştir.</t>
        </is>
      </c>
      <c r="E27" s="29" t="inlineStr">
        <is>
          <t>sevilla:kaynak:150</t>
        </is>
      </c>
      <c r="F27" s="49" t="n">
        <v>46320</v>
      </c>
      <c r="G27" s="51" t="n">
        <v>20</v>
      </c>
      <c r="H27" s="29" t="inlineStr">
        <is>
          <t>Taslak</t>
        </is>
      </c>
    </row>
    <row r="28" ht="54" customHeight="1">
      <c r="A28" s="29" t="inlineStr">
        <is>
          <t>sevilla:term:021</t>
        </is>
      </c>
      <c r="B28" s="29" t="inlineStr">
        <is>
          <t>sevilla</t>
        </is>
      </c>
      <c r="C28" s="29" t="inlineStr">
        <is>
          <t>EMVISESA</t>
        </is>
      </c>
      <c r="D28" s="29" t="inlineStr">
        <is>
          <t>Empresa Municipal de Vivienda, Suelo y Equipamiento de Sevilla. Sevilla Belediyesi'nin konut şirketidir; korumalı konut talep kaydı ile satılık ve kiralık konutlar için başvuru noktasıdır.</t>
        </is>
      </c>
      <c r="E28" s="29" t="inlineStr">
        <is>
          <t>sevilla:kaynak:144</t>
        </is>
      </c>
      <c r="F28" s="49" t="n">
        <v>46320</v>
      </c>
      <c r="G28" s="51" t="n">
        <v>21</v>
      </c>
      <c r="H28" s="29" t="inlineStr">
        <is>
          <t>Taslak</t>
        </is>
      </c>
    </row>
    <row r="29" ht="54" customHeight="1">
      <c r="A29" s="29" t="inlineStr">
        <is>
          <t>sevilla:term:022</t>
        </is>
      </c>
      <c r="B29" s="29" t="inlineStr">
        <is>
          <t>sevilla</t>
        </is>
      </c>
      <c r="C29" s="29" t="inlineStr">
        <is>
          <t>Registro de Demandantes de Vivienda Protegida (korumalı konut talep kaydı)</t>
        </is>
      </c>
      <c r="D29" s="29" t="inlineStr">
        <is>
          <t>Sevilla Belediyesi'nin korumalı konutları dağıttığı kayıt. Satın alma veya kira olsun, korumalı konuttan yararlanmak için bu kayda yazılmak gerekir; şehirdeki tüm korumalı konutlar bu kayıt üzerinden verilir.</t>
        </is>
      </c>
      <c r="E29" s="29" t="inlineStr">
        <is>
          <t>sevilla:kaynak:145</t>
        </is>
      </c>
      <c r="F29" s="49" t="n">
        <v>46320</v>
      </c>
      <c r="G29" s="51" t="n">
        <v>22</v>
      </c>
      <c r="H29" s="29" t="inlineStr">
        <is>
          <t>Taslak</t>
        </is>
      </c>
    </row>
    <row r="30" ht="54" customHeight="1">
      <c r="A30" s="29" t="inlineStr">
        <is>
          <t>sevilla:term:023</t>
        </is>
      </c>
      <c r="B30" s="29" t="inlineStr">
        <is>
          <t>sevilla</t>
        </is>
      </c>
      <c r="C30" s="29" t="inlineStr">
        <is>
          <t>Bono Alquiler Joven (genç kira yardımı)</t>
        </is>
      </c>
      <c r="D30" s="29" t="inlineStr">
        <is>
          <t>Endülüs'te gençlere kira yardımı veren program. 2026 başvuru dönemi 13 Ocak 2026'da yeniden açıldı ve 15.000 başvuruya ulaşılınca 22 Haziran 2026'da kapandı.</t>
        </is>
      </c>
      <c r="E30" s="29" t="inlineStr">
        <is>
          <t>sevilla:kaynak:154</t>
        </is>
      </c>
      <c r="F30" s="49" t="n">
        <v>46320</v>
      </c>
      <c r="G30" s="51" t="n">
        <v>23</v>
      </c>
      <c r="H30" s="29" t="inlineStr">
        <is>
          <t>Taslak</t>
        </is>
      </c>
    </row>
    <row r="31" ht="54" customHeight="1">
      <c r="A31" s="29" t="inlineStr">
        <is>
          <t>sevilla:term:024</t>
        </is>
      </c>
      <c r="B31" s="29" t="inlineStr">
        <is>
          <t>sevilla</t>
        </is>
      </c>
      <c r="C31" s="29" t="inlineStr">
        <is>
          <t>nómina (maaş bordrosu)</t>
        </is>
      </c>
      <c r="D31" s="29" t="inlineStr">
        <is>
          <t>Maaş bordrosu; resmî adıyla recibo individual de salarios. Bordro modeli 27 Aralık 1994 tarihli bir Emir ile onaylanmıştır.</t>
        </is>
      </c>
      <c r="E31" s="29" t="inlineStr">
        <is>
          <t>sevilla:kaynak:059</t>
        </is>
      </c>
      <c r="F31" s="49" t="n">
        <v>46320</v>
      </c>
      <c r="G31" s="51" t="n">
        <v>24</v>
      </c>
      <c r="H31" s="29" t="inlineStr">
        <is>
          <t>Taslak</t>
        </is>
      </c>
    </row>
    <row r="32" ht="54" customHeight="1">
      <c r="A32" s="29" t="inlineStr">
        <is>
          <t>sevilla:term:025</t>
        </is>
      </c>
      <c r="B32" s="29" t="inlineStr">
        <is>
          <t>sevilla</t>
        </is>
      </c>
      <c r="C32" s="29" t="inlineStr">
        <is>
          <t>finiquito (işten ayrılma tasfiye makbuzu)</t>
        </is>
      </c>
      <c r="D32" s="29" t="inlineStr">
        <is>
          <t>İş ilişkisi bitince ödenecek alacakların tasfiye makbuzu. Çalışan, finiquito imzalanırken işçi temsilcisinin hazır bulunmasını isteyebilir.</t>
        </is>
      </c>
      <c r="E32" s="29" t="inlineStr">
        <is>
          <t>sevilla:kaynak:055</t>
        </is>
      </c>
      <c r="F32" s="49" t="n">
        <v>46320</v>
      </c>
      <c r="G32" s="51" t="n">
        <v>25</v>
      </c>
      <c r="H32" s="29" t="inlineStr">
        <is>
          <t>Taslak</t>
        </is>
      </c>
    </row>
    <row r="33" ht="54" customHeight="1">
      <c r="A33" s="29" t="inlineStr">
        <is>
          <t>sevilla:term:026</t>
        </is>
      </c>
      <c r="B33" s="29" t="inlineStr">
        <is>
          <t>sevilla</t>
        </is>
      </c>
      <c r="C33" s="29" t="inlineStr">
        <is>
          <t>convenio colectivo (toplu iş sözleşmesi)</t>
        </is>
      </c>
      <c r="D33" s="29" t="inlineStr">
        <is>
          <t>Sektör veya işyeri için çalışma koşullarını belirleyen toplu sözleşme. Azami çalışma süresi gibi konularda işletmede uygulanır; yoksa yasal azami süre geçerlidir.</t>
        </is>
      </c>
      <c r="E33" s="29" t="inlineStr">
        <is>
          <t>sevilla:kaynak:055</t>
        </is>
      </c>
      <c r="F33" s="49" t="n">
        <v>46320</v>
      </c>
      <c r="G33" s="51" t="n">
        <v>26</v>
      </c>
      <c r="H33" s="29" t="inlineStr">
        <is>
          <t>Taslak</t>
        </is>
      </c>
    </row>
    <row r="34" ht="54" customHeight="1">
      <c r="A34" s="29" t="inlineStr">
        <is>
          <t>sevilla:term:027</t>
        </is>
      </c>
      <c r="B34" s="29" t="inlineStr">
        <is>
          <t>sevilla</t>
        </is>
      </c>
      <c r="C34" s="29" t="inlineStr">
        <is>
          <t>autónomo (serbest çalışan)</t>
        </is>
      </c>
      <c r="D34" s="29" t="inlineStr">
        <is>
          <t>Kendi adına ve düzenli olarak ticari, sınai veya mesleki faaliyet yürüten gerçek kişi. Sosyal Güvenlik'e autónomo olarak alta yaptırmak, kendi hesabına faaliyete başlamanın ilk adımıdır ve Importass uygulamasıyla mobilden yapılabilir.</t>
        </is>
      </c>
      <c r="E34" s="29" t="inlineStr">
        <is>
          <t>sevilla:kaynak:244;sevilla:kaynak:064</t>
        </is>
      </c>
      <c r="F34" s="49" t="n">
        <v>46320</v>
      </c>
      <c r="G34" s="51" t="n">
        <v>27</v>
      </c>
      <c r="H34" s="29" t="inlineStr">
        <is>
          <t>Taslak</t>
        </is>
      </c>
    </row>
    <row r="35" ht="54" customHeight="1">
      <c r="A35" s="29" t="inlineStr">
        <is>
          <t>sevilla:term:028</t>
        </is>
      </c>
      <c r="B35" s="29" t="inlineStr">
        <is>
          <t>sevilla</t>
        </is>
      </c>
      <c r="C35" s="29" t="inlineStr">
        <is>
          <t>SEPE</t>
        </is>
      </c>
      <c r="D35" s="29" t="inlineStr">
        <is>
          <t>Servicio Público de Empleo Estatal, ulusal kamu istihdam servisi. İşsizlik ödeneğini tanımaktan ve ödemekten sorumludur.</t>
        </is>
      </c>
      <c r="E35" s="29" t="inlineStr">
        <is>
          <t>sevilla:kaynak:236</t>
        </is>
      </c>
      <c r="F35" s="49" t="n">
        <v>46320</v>
      </c>
      <c r="G35" s="51" t="n">
        <v>28</v>
      </c>
      <c r="H35" s="29" t="inlineStr">
        <is>
          <t>Taslak</t>
        </is>
      </c>
    </row>
    <row r="36" ht="54" customHeight="1">
      <c r="A36" s="29" t="inlineStr">
        <is>
          <t>sevilla:term:029</t>
        </is>
      </c>
      <c r="B36" s="29" t="inlineStr">
        <is>
          <t>sevilla</t>
        </is>
      </c>
      <c r="C36" s="29" t="inlineStr">
        <is>
          <t>SAE (Endülüs İstihdam Servisi)</t>
        </is>
      </c>
      <c r="D36" s="29" t="inlineStr">
        <is>
          <t>Servicio Andaluz de Empleo, Endülüs'ün istihdam servisi. Hizmetlerinden yararlanmak için önce işsiz olarak (demandante) kaydolmak gerekir; SEPE'den işsizlik ödeneği isteyecekler için de bu kayıt önceden şarttır.</t>
        </is>
      </c>
      <c r="E36" s="29" t="inlineStr">
        <is>
          <t>sevilla:kaynak:134</t>
        </is>
      </c>
      <c r="F36" s="49" t="n">
        <v>46320</v>
      </c>
      <c r="G36" s="51" t="n">
        <v>29</v>
      </c>
      <c r="H36" s="29" t="inlineStr">
        <is>
          <t>Taslak</t>
        </is>
      </c>
    </row>
    <row r="37" ht="54" customHeight="1">
      <c r="A37" s="29" t="inlineStr">
        <is>
          <t>sevilla:term:030</t>
        </is>
      </c>
      <c r="B37" s="29" t="inlineStr">
        <is>
          <t>sevilla</t>
        </is>
      </c>
      <c r="C37" s="29" t="inlineStr">
        <is>
          <t>sellar el paro (işsizlik kaydını yenileme)</t>
        </is>
      </c>
      <c r="D37" s="29" t="inlineStr">
        <is>
          <t>İş arayan (demandante) kaydının düzenli aralıklarla yenilenmesi. Yenileme tarihleri genellikle 90 günde bir olup tarjeta de empleo üzerinde yazar; tarihi kaçırmak ödeneklerin askıya alınmasına yol açabilir ve kayıt silme sebebidir.</t>
        </is>
      </c>
      <c r="E37" s="29" t="inlineStr">
        <is>
          <t>sevilla:kaynak:237</t>
        </is>
      </c>
      <c r="F37" s="49" t="n">
        <v>46320</v>
      </c>
      <c r="G37" s="51" t="n">
        <v>30</v>
      </c>
      <c r="H37" s="29" t="inlineStr">
        <is>
          <t>Taslak</t>
        </is>
      </c>
    </row>
    <row r="38" ht="54" customHeight="1">
      <c r="A38" s="29" t="inlineStr">
        <is>
          <t>sevilla:term:031</t>
        </is>
      </c>
      <c r="B38" s="29" t="inlineStr">
        <is>
          <t>sevilla</t>
        </is>
      </c>
      <c r="C38" s="29" t="inlineStr">
        <is>
          <t>prestación por desempleo (işsizlik ödeneği)</t>
        </is>
      </c>
      <c r="D38" s="29" t="inlineStr">
        <is>
          <t>Yasal işsizlik durumunda ve gereken asgari prim süresi doluysa ödenen devlet ödeneği. Brüt tutardan Sosyal Güvenlik primi ve gerekirse IRPF stopajı kesilir.</t>
        </is>
      </c>
      <c r="E38" s="29" t="inlineStr">
        <is>
          <t>sevilla:kaynak:061</t>
        </is>
      </c>
      <c r="F38" s="49" t="n">
        <v>46320</v>
      </c>
      <c r="G38" s="51" t="n">
        <v>31</v>
      </c>
      <c r="H38" s="29" t="inlineStr">
        <is>
          <t>Taslak</t>
        </is>
      </c>
    </row>
    <row r="39" ht="54" customHeight="1">
      <c r="A39" s="29" t="inlineStr">
        <is>
          <t>sevilla:term:032</t>
        </is>
      </c>
      <c r="B39" s="29" t="inlineStr">
        <is>
          <t>sevilla</t>
        </is>
      </c>
      <c r="C39" s="29" t="inlineStr">
        <is>
          <t>centro de salud (aile sağlığı merkezi)</t>
        </is>
      </c>
      <c r="D39" s="29" t="inlineStr">
        <is>
          <t>Birinci basamak sağlık merkezi. Tarjeta sanitaria'yı ilk kez almak için gidilen yerdir; Endülüs'te acil hizmetler hastanelerde olduğu kadar centro de salud'lerde de verilir.</t>
        </is>
      </c>
      <c r="E39" s="29" t="inlineStr">
        <is>
          <t>sevilla:kaynak:128;sevilla:kaynak:191</t>
        </is>
      </c>
      <c r="F39" s="49" t="n">
        <v>46320</v>
      </c>
      <c r="G39" s="51" t="n">
        <v>32</v>
      </c>
      <c r="H39" s="29" t="inlineStr">
        <is>
          <t>Taslak</t>
        </is>
      </c>
    </row>
    <row r="40" ht="54" customHeight="1">
      <c r="A40" s="29" t="inlineStr">
        <is>
          <t>sevilla:term:033</t>
        </is>
      </c>
      <c r="B40" s="29" t="inlineStr">
        <is>
          <t>sevilla</t>
        </is>
      </c>
      <c r="C40" s="29" t="inlineStr">
        <is>
          <t>tarjeta sanitaria (sağlık kartı)</t>
        </is>
      </c>
      <c r="D40" s="29" t="inlineStr">
        <is>
          <t>Endülüs Kamu Sağlık Sistemi'nde seni tanıtan belge. Kamu sağlık kapsamı olan ve bölgede yaşayan herkes alabilir.</t>
        </is>
      </c>
      <c r="E40" s="29" t="inlineStr">
        <is>
          <t>sevilla:kaynak:128</t>
        </is>
      </c>
      <c r="F40" s="49" t="n">
        <v>46320</v>
      </c>
      <c r="G40" s="51" t="n">
        <v>33</v>
      </c>
      <c r="H40" s="29" t="inlineStr">
        <is>
          <t>Taslak</t>
        </is>
      </c>
    </row>
    <row r="41" ht="54" customHeight="1">
      <c r="A41" s="29" t="inlineStr">
        <is>
          <t>sevilla:term:034</t>
        </is>
      </c>
      <c r="B41" s="29" t="inlineStr">
        <is>
          <t>sevilla</t>
        </is>
      </c>
      <c r="C41" s="29" t="inlineStr">
        <is>
          <t>Tarjeta Sanitaria Europea (TSE, Avrupa Sağlık Kartı)</t>
        </is>
      </c>
      <c r="D41" s="29" t="inlineStr">
        <is>
          <t>AB, AEA, Birleşik Krallık veya İsviçre kapsamında verilen sağlık kartı. Ulusal sağlık sisteminde yalnızca geçici seyahatlerde bakım hakkı verir; İspanya'da ikamet belirlemek için geçerli belge değildir.</t>
        </is>
      </c>
      <c r="E41" s="29" t="inlineStr">
        <is>
          <t>sevilla:kaynak:082</t>
        </is>
      </c>
      <c r="F41" s="49" t="n">
        <v>46320</v>
      </c>
      <c r="G41" s="51" t="n">
        <v>34</v>
      </c>
      <c r="H41" s="29" t="inlineStr">
        <is>
          <t>Taslak</t>
        </is>
      </c>
    </row>
    <row r="42" ht="54" customHeight="1">
      <c r="A42" s="29" t="inlineStr">
        <is>
          <t>sevilla:term:035</t>
        </is>
      </c>
      <c r="B42" s="29" t="inlineStr">
        <is>
          <t>sevilla</t>
        </is>
      </c>
      <c r="C42" s="29" t="inlineStr">
        <is>
          <t>convenio especial (özel sağlık sözleşmesi)</t>
        </is>
      </c>
      <c r="D42" s="29" t="inlineStr">
        <is>
          <t>Ekonomik olarak aktif olmayan yabancıların prim ödeyerek ulusal sağlık sistemine (SNS) dahil olmasını sağlayan sözleşme.</t>
        </is>
      </c>
      <c r="E42" s="29" t="inlineStr">
        <is>
          <t>sevilla:kaynak:082</t>
        </is>
      </c>
      <c r="F42" s="49" t="n">
        <v>46320</v>
      </c>
      <c r="G42" s="51" t="n">
        <v>35</v>
      </c>
      <c r="H42" s="29" t="inlineStr">
        <is>
          <t>Taslak</t>
        </is>
      </c>
    </row>
    <row r="43" ht="54" customHeight="1">
      <c r="A43" s="29" t="inlineStr">
        <is>
          <t>sevilla:term:036</t>
        </is>
      </c>
      <c r="B43" s="29" t="inlineStr">
        <is>
          <t>sevilla</t>
        </is>
      </c>
      <c r="C43" s="29" t="inlineStr">
        <is>
          <t>061 (Endülüs sağlık acil hattı)</t>
        </is>
      </c>
      <c r="D43" s="29" t="inlineStr">
        <is>
          <t>Sağlık acili için doğrudan aranan numara. Endülüs'te acil bir sağlık durumunda 061 aranır veya yakındaki bir acil servise gidilir.</t>
        </is>
      </c>
      <c r="E43" s="29" t="inlineStr">
        <is>
          <t>sevilla:kaynak:191</t>
        </is>
      </c>
      <c r="F43" s="49" t="n">
        <v>46320</v>
      </c>
      <c r="G43" s="51" t="n">
        <v>36</v>
      </c>
      <c r="H43" s="29" t="inlineStr">
        <is>
          <t>Taslak</t>
        </is>
      </c>
    </row>
    <row r="44" ht="54" customHeight="1">
      <c r="A44" s="29" t="inlineStr">
        <is>
          <t>sevilla:term:037</t>
        </is>
      </c>
      <c r="B44" s="29" t="inlineStr">
        <is>
          <t>sevilla</t>
        </is>
      </c>
      <c r="C44" s="29" t="inlineStr">
        <is>
          <t>112 (acil çağrı hattı)</t>
        </is>
      </c>
      <c r="D44" s="29" t="inlineStr">
        <is>
          <t>Acil durumlarda aranan ücretsiz numara; Endülüs'te tüm vatandaşlar için erişilebilirdir.</t>
        </is>
      </c>
      <c r="E44" s="29" t="inlineStr">
        <is>
          <t>sevilla:kaynak:193</t>
        </is>
      </c>
      <c r="F44" s="49" t="n">
        <v>46320</v>
      </c>
      <c r="G44" s="51" t="n">
        <v>37</v>
      </c>
      <c r="H44" s="29" t="inlineStr">
        <is>
          <t>Taslak</t>
        </is>
      </c>
    </row>
    <row r="45" ht="54" customHeight="1">
      <c r="A45" s="29" t="inlineStr">
        <is>
          <t>sevilla:term:038</t>
        </is>
      </c>
      <c r="B45" s="29" t="inlineStr">
        <is>
          <t>sevilla</t>
        </is>
      </c>
      <c r="C45" s="29" t="inlineStr">
        <is>
          <t>012 (Junta de Andalucía bilgi hattı)</t>
        </is>
      </c>
      <c r="D45" s="29" t="inlineStr">
        <is>
          <t>Junta de Andalucía'nın idari bilgi ve randevu için sunduğu çok kanallı merkezî hizmet. 061 ve 112 bu hizmetin kapsamı dışındadır.</t>
        </is>
      </c>
      <c r="E45" s="29" t="inlineStr">
        <is>
          <t>sevilla:kaynak:267</t>
        </is>
      </c>
      <c r="F45" s="49" t="n">
        <v>46320</v>
      </c>
      <c r="G45" s="51" t="n">
        <v>38</v>
      </c>
      <c r="H45" s="29" t="inlineStr">
        <is>
          <t>Taslak</t>
        </is>
      </c>
    </row>
    <row r="46" ht="54" customHeight="1">
      <c r="A46" s="29" t="inlineStr">
        <is>
          <t>sevilla:term:039</t>
        </is>
      </c>
      <c r="B46" s="29" t="inlineStr">
        <is>
          <t>sevilla</t>
        </is>
      </c>
      <c r="C46" s="29" t="inlineStr">
        <is>
          <t>PVPC (düzenlenmiş elektrik tarifesi)</t>
        </is>
      </c>
      <c r="D46" s="29" t="inlineStr">
        <is>
          <t>Precio Voluntario para el Pequeño Consumidor. Yalnızca comercializadora de referencia adı verilen şirketlerin uygulayabildiği, toptan elektrik piyasasına endeksli dinamik fiyat. 1 Nisan 2014'ten beri uygulanır.</t>
        </is>
      </c>
      <c r="E46" s="29" t="inlineStr">
        <is>
          <t>sevilla:kaynak:069</t>
        </is>
      </c>
      <c r="F46" s="49" t="n">
        <v>46320</v>
      </c>
      <c r="G46" s="51" t="n">
        <v>39</v>
      </c>
      <c r="H46" s="29" t="inlineStr">
        <is>
          <t>Taslak</t>
        </is>
      </c>
    </row>
    <row r="47" ht="54" customHeight="1">
      <c r="A47" s="29" t="inlineStr">
        <is>
          <t>sevilla:term:040</t>
        </is>
      </c>
      <c r="B47" s="29" t="inlineStr">
        <is>
          <t>sevilla</t>
        </is>
      </c>
      <c r="C47" s="29" t="inlineStr">
        <is>
          <t>mercado libre / mercado regulado (serbest / düzenlenmiş elektrik piyasası)</t>
        </is>
      </c>
      <c r="D47" s="29" t="inlineStr">
        <is>
          <t>Serbest piyasada satıcı ve tüketici koşulları serbestçe belirler; düzenlenmiş piyasada ise yalnızca PVPC sözleşmesi yapılabilir. Düzenlenmiş piyasa seçeneği, sözleşmeli gücü 10 kW veya altında olan gerçek kişiler ve mikro işletmeler içindir.</t>
        </is>
      </c>
      <c r="E47" s="29" t="inlineStr">
        <is>
          <t>sevilla:kaynak:067</t>
        </is>
      </c>
      <c r="F47" s="49" t="n">
        <v>46320</v>
      </c>
      <c r="G47" s="51" t="n">
        <v>40</v>
      </c>
      <c r="H47" s="29" t="inlineStr">
        <is>
          <t>Taslak</t>
        </is>
      </c>
    </row>
    <row r="48" ht="54" customHeight="1">
      <c r="A48" s="29" t="inlineStr">
        <is>
          <t>sevilla:term:041</t>
        </is>
      </c>
      <c r="B48" s="29" t="inlineStr">
        <is>
          <t>sevilla</t>
        </is>
      </c>
      <c r="C48" s="29" t="inlineStr">
        <is>
          <t>EMASESA</t>
        </is>
      </c>
      <c r="D48" s="29" t="inlineStr">
        <is>
          <t>Sevilla'nın su şirketi. İçme suyu, atık su ve su faturası konusunda başvuru yapılan kuruluştur; faturalar Bizum ile de ödenebilir.</t>
        </is>
      </c>
      <c r="E48" s="29" t="inlineStr">
        <is>
          <t>sevilla:kaynak:160;sevilla:kaynak:162</t>
        </is>
      </c>
      <c r="F48" s="49" t="n">
        <v>46320</v>
      </c>
      <c r="G48" s="51" t="n">
        <v>41</v>
      </c>
      <c r="H48" s="29" t="inlineStr">
        <is>
          <t>Taslak</t>
        </is>
      </c>
    </row>
    <row r="49" ht="54" customHeight="1">
      <c r="A49" s="29" t="inlineStr">
        <is>
          <t>sevilla:term:042</t>
        </is>
      </c>
      <c r="B49" s="29" t="inlineStr">
        <is>
          <t>sevilla</t>
        </is>
      </c>
      <c r="C49" s="29" t="inlineStr">
        <is>
          <t>tarifa social (EMASESA sosyal su tarifesi)</t>
        </is>
      </c>
      <c r="D49" s="29" t="inlineStr">
        <is>
          <t>Kişi başı günde 110 litreye kadar su tüketen konutlara fatura indirimi sağlayan sosyal tarife. Erişim için IPREM tek ekonomik gösterge olarak alınır.</t>
        </is>
      </c>
      <c r="E49" s="29" t="inlineStr">
        <is>
          <t>sevilla:kaynak:159</t>
        </is>
      </c>
      <c r="F49" s="49" t="n">
        <v>46320</v>
      </c>
      <c r="G49" s="51" t="n">
        <v>42</v>
      </c>
      <c r="H49" s="29" t="inlineStr">
        <is>
          <t>Taslak</t>
        </is>
      </c>
    </row>
    <row r="50" ht="54" customHeight="1">
      <c r="A50" s="29" t="inlineStr">
        <is>
          <t>sevilla:term:043</t>
        </is>
      </c>
      <c r="B50" s="29" t="inlineStr">
        <is>
          <t>sevilla</t>
        </is>
      </c>
      <c r="C50" s="29" t="inlineStr">
        <is>
          <t>Bizum</t>
        </is>
      </c>
      <c r="D50" s="29" t="inlineStr">
        <is>
          <t>Hesap numaranı cep telefonu numarana bağlayarak para göndermeyi ve ödeme yapmayı kolaylaştıran İspanyol ödeme uygulaması. 2016'da doğdu.</t>
        </is>
      </c>
      <c r="E50" s="29" t="inlineStr">
        <is>
          <t>sevilla:kaynak:050</t>
        </is>
      </c>
      <c r="F50" s="49" t="n">
        <v>46320</v>
      </c>
      <c r="G50" s="51" t="n">
        <v>43</v>
      </c>
      <c r="H50" s="29" t="inlineStr">
        <is>
          <t>Taslak</t>
        </is>
      </c>
    </row>
    <row r="51" ht="54" customHeight="1">
      <c r="A51" s="29" t="inlineStr">
        <is>
          <t>sevilla:term:044</t>
        </is>
      </c>
      <c r="B51" s="29" t="inlineStr">
        <is>
          <t>sevilla</t>
        </is>
      </c>
      <c r="C51" s="29" t="inlineStr">
        <is>
          <t>IBAN</t>
        </is>
      </c>
      <c r="D51" s="29" t="inlineStr">
        <is>
          <t>Banka hesabını tanımlayan, harf ve rakamlardan oluşan kod. İspanya'da 24 karakterdir; havale yaparken yanlış girilmemesi gerekir.</t>
        </is>
      </c>
      <c r="E51" s="29" t="inlineStr">
        <is>
          <t>sevilla:kaynak:037</t>
        </is>
      </c>
      <c r="F51" s="49" t="n">
        <v>46320</v>
      </c>
      <c r="G51" s="51" t="n">
        <v>44</v>
      </c>
      <c r="H51" s="29" t="inlineStr">
        <is>
          <t>Taslak</t>
        </is>
      </c>
    </row>
    <row r="52" ht="54" customHeight="1">
      <c r="A52" s="29" t="inlineStr">
        <is>
          <t>sevilla:term:045</t>
        </is>
      </c>
      <c r="B52" s="29" t="inlineStr">
        <is>
          <t>sevilla</t>
        </is>
      </c>
      <c r="C52" s="29" t="inlineStr">
        <is>
          <t>IRPF (gelir vergisi)</t>
        </is>
      </c>
      <c r="D52" s="29" t="inlineStr">
        <is>
          <t>Gerçek kişilerin gelir vergisi. Genel gelir tabanına devletin genel ölçeği uygulanır, bunun yanında özerk bölgenin ölçeği de vardır.</t>
        </is>
      </c>
      <c r="E52" s="29" t="inlineStr">
        <is>
          <t>sevilla:kaynak:038;sevilla:kaynak:039</t>
        </is>
      </c>
      <c r="F52" s="49" t="n">
        <v>46320</v>
      </c>
      <c r="G52" s="51" t="n">
        <v>45</v>
      </c>
      <c r="H52" s="29" t="inlineStr">
        <is>
          <t>Taslak</t>
        </is>
      </c>
    </row>
    <row r="53" ht="54" customHeight="1">
      <c r="A53" s="29" t="inlineStr">
        <is>
          <t>sevilla:term:046</t>
        </is>
      </c>
      <c r="B53" s="29" t="inlineStr">
        <is>
          <t>sevilla</t>
        </is>
      </c>
      <c r="C53" s="29" t="inlineStr">
        <is>
          <t>IVA (katma değer vergisi)</t>
        </is>
      </c>
      <c r="D53" s="29" t="inlineStr">
        <is>
          <t>Mal ve hizmet satışında uygulanan katma değer vergisi. Genel oran yüzde 21, indirimli oranlar yüzde 10 ve yüzde 4'tür.</t>
        </is>
      </c>
      <c r="E53" s="29" t="inlineStr">
        <is>
          <t>sevilla:kaynak:040</t>
        </is>
      </c>
      <c r="F53" s="49" t="n">
        <v>46320</v>
      </c>
      <c r="G53" s="51" t="n">
        <v>46</v>
      </c>
      <c r="H53" s="29" t="inlineStr">
        <is>
          <t>Taslak</t>
        </is>
      </c>
    </row>
    <row r="54" ht="54" customHeight="1">
      <c r="A54" s="29" t="inlineStr">
        <is>
          <t>sevilla:term:047</t>
        </is>
      </c>
      <c r="B54" s="29" t="inlineStr">
        <is>
          <t>sevilla</t>
        </is>
      </c>
      <c r="C54" s="29" t="inlineStr">
        <is>
          <t>AEAT (Agencia Tributaria, vergi dairesi)</t>
        </is>
      </c>
      <c r="D54" s="29" t="inlineStr">
        <is>
          <t>İspanya'nın vergi idaresi. Ofislerde yüz yüze hizmet randevuyla verilir (belge teslimi hariç); genel randevu telefonu 91 333 5 333, hafta içi 9-19 saatleri arasında (ağustosta 15'e kadar).</t>
        </is>
      </c>
      <c r="E54" s="29" t="inlineStr">
        <is>
          <t>sevilla:kaynak:169</t>
        </is>
      </c>
      <c r="F54" s="49" t="n">
        <v>46320</v>
      </c>
      <c r="G54" s="51" t="n">
        <v>47</v>
      </c>
      <c r="H54" s="29" t="inlineStr">
        <is>
          <t>Taslak</t>
        </is>
      </c>
    </row>
    <row r="55" ht="54" customHeight="1">
      <c r="A55" s="29" t="inlineStr">
        <is>
          <t>sevilla:term:048</t>
        </is>
      </c>
      <c r="B55" s="29" t="inlineStr">
        <is>
          <t>sevilla</t>
        </is>
      </c>
      <c r="C55" s="29" t="inlineStr">
        <is>
          <t>Consorcio de Transporte (Sevilla Metropoliten Ulaşım Konsorsiyumu)</t>
        </is>
      </c>
      <c r="D55" s="29" t="inlineStr">
        <is>
          <t>Sevilla çevresinde metropoliten ulaşımı birleştiren kamu kuruluşu; adı Consorcio de Transporte Metropolitano del Área de Sevilla. Konsorsiyum kartı metropoliten otobüslerde, Metro de Sevilla Hat 1'de, Renfe Cercanías'ta, Tussam şehir otobüslerinde (özel hizmetler ve havalimanı hattı hariç) ve Metrocentro'da kullanılır.</t>
        </is>
      </c>
      <c r="E55" s="29" t="inlineStr">
        <is>
          <t>sevilla:kaynak:260;sevilla:kaynak:287</t>
        </is>
      </c>
      <c r="F55" s="49" t="n">
        <v>46320</v>
      </c>
      <c r="G55" s="51" t="n">
        <v>48</v>
      </c>
      <c r="H55" s="29" t="inlineStr">
        <is>
          <t>Taslak</t>
        </is>
      </c>
    </row>
    <row r="56" ht="54" customHeight="1">
      <c r="A56" s="29" t="inlineStr">
        <is>
          <t>sevilla:term:049</t>
        </is>
      </c>
      <c r="B56" s="29" t="inlineStr">
        <is>
          <t>sevilla</t>
        </is>
      </c>
      <c r="C56" s="29" t="inlineStr">
        <is>
          <t>tarjeta de transporte (ulaşım kartı)</t>
        </is>
      </c>
      <c r="D56" s="29" t="inlineStr">
        <is>
          <t>Yüklenebilir, temassız (contactless) cüzdan kartı. Junta de Andalucía'ya göre entegre ulaşım türlerinde tek yolculuk biletine kıyasla önemli indirim sağlar. Sevilla konsorsiyumunun kartı yetkili satış noktalarında 1,50 € yönetim giderini ödeyerek alınır ve 5 € ile 500 € arasında yüklenir.</t>
        </is>
      </c>
      <c r="E56" s="29" t="inlineStr">
        <is>
          <t>sevilla:kaynak:178;sevilla:kaynak:287</t>
        </is>
      </c>
      <c r="F56" s="49" t="n">
        <v>46320</v>
      </c>
      <c r="G56" s="51" t="n">
        <v>49</v>
      </c>
      <c r="H56" s="29" t="inlineStr">
        <is>
          <t>Taslak</t>
        </is>
      </c>
    </row>
    <row r="57" ht="54" customHeight="1">
      <c r="A57" s="29" t="inlineStr">
        <is>
          <t>sevilla:term:050</t>
        </is>
      </c>
      <c r="B57" s="29" t="inlineStr">
        <is>
          <t>sevilla</t>
        </is>
      </c>
      <c r="C57" s="29" t="inlineStr">
        <is>
          <t>Sevici</t>
        </is>
      </c>
      <c r="D57" s="29" t="inlineStr">
        <is>
          <t>Sevilla'nın kamu bisiklet kiralama servisi. Şehirde 265 istasyon vardır ve günün 24 saati açıktır.</t>
        </is>
      </c>
      <c r="E57" s="29" t="inlineStr">
        <is>
          <t>sevilla:kaynak:185</t>
        </is>
      </c>
      <c r="F57" s="49" t="n">
        <v>46320</v>
      </c>
      <c r="G57" s="51" t="n">
        <v>50</v>
      </c>
      <c r="H57" s="29" t="inlineStr">
        <is>
          <t>Taslak</t>
        </is>
      </c>
    </row>
    <row r="58" ht="54" customHeight="1">
      <c r="A58" s="29" t="inlineStr">
        <is>
          <t>sevilla:term:051</t>
        </is>
      </c>
      <c r="B58" s="29" t="inlineStr">
        <is>
          <t>sevilla</t>
        </is>
      </c>
      <c r="C58" s="29" t="inlineStr">
        <is>
          <t>ITV (araç muayenesi)</t>
        </is>
      </c>
      <c r="D58" s="29" t="inlineStr">
        <is>
          <t>Inspección Técnica de Vehículos. Aracın yolda kullanıma uygun olduğunu, güvenlik ve çevre koşullarını sağladığını kontrol eden muayene; İspanya'da kayıtlı araçlar, yönetmelikte belirtilen durum, sıklık ve istisnalara göre ITV istasyonunda muayeneden geçer.</t>
        </is>
      </c>
      <c r="E58" s="29" t="inlineStr">
        <is>
          <t>sevilla:kaynak:116</t>
        </is>
      </c>
      <c r="F58" s="49" t="n">
        <v>46320</v>
      </c>
      <c r="G58" s="51" t="n">
        <v>51</v>
      </c>
      <c r="H58" s="29" t="inlineStr">
        <is>
          <t>Taslak</t>
        </is>
      </c>
    </row>
    <row r="59" ht="54" customHeight="1">
      <c r="A59" s="29" t="inlineStr">
        <is>
          <t>sevilla:term:052</t>
        </is>
      </c>
      <c r="B59" s="29" t="inlineStr">
        <is>
          <t>sevilla</t>
        </is>
      </c>
      <c r="C59" s="29" t="inlineStr">
        <is>
          <t>AUSSA (düzenli park yönetimi)</t>
        </is>
      </c>
      <c r="D59" s="29" t="inlineStr">
        <is>
          <t>Sevilla'da kamu otoparklarını, düzenli park alanlarını (estacionamiento regulado) ve araç çekme hizmetini yöneten şirket.</t>
        </is>
      </c>
      <c r="E59" s="29" t="inlineStr">
        <is>
          <t>sevilla:kaynak:190</t>
        </is>
      </c>
      <c r="F59" s="49" t="n">
        <v>46320</v>
      </c>
      <c r="G59" s="51" t="n">
        <v>52</v>
      </c>
      <c r="H59" s="29" t="inlineStr">
        <is>
          <t>Taslak</t>
        </is>
      </c>
    </row>
    <row r="60" ht="54" customHeight="1">
      <c r="A60" s="29" t="inlineStr">
        <is>
          <t>sevilla:term:053</t>
        </is>
      </c>
      <c r="B60" s="29" t="inlineStr">
        <is>
          <t>sevilla</t>
        </is>
      </c>
      <c r="C60" s="29" t="inlineStr">
        <is>
          <t>Feria de Abril (Nisan Fuarı)</t>
        </is>
      </c>
      <c r="D60" s="29" t="inlineStr">
        <is>
          <t>Sevilla'nın her yıl kutlanan büyük şenliği. Bir hafta sürer, havai fişekle biter; çadırlar (casetas) arasında yemek, içki ve dans vardır. Casetaların birçoğu aile, grup veya derneklere ait özel çadırdır, bazıları herkese açıktır.</t>
        </is>
      </c>
      <c r="E60" s="29" t="inlineStr">
        <is>
          <t>sevilla:kaynak:282;sevilla:kaynak:283</t>
        </is>
      </c>
      <c r="F60" s="49" t="n">
        <v>46320</v>
      </c>
      <c r="G60" s="51" t="n">
        <v>53</v>
      </c>
      <c r="H60" s="29" t="inlineStr">
        <is>
          <t>Taslak</t>
        </is>
      </c>
    </row>
    <row r="61" ht="54" customHeight="1">
      <c r="A61" s="29" t="inlineStr">
        <is>
          <t>sevilla:term:054</t>
        </is>
      </c>
      <c r="B61" s="29" t="inlineStr">
        <is>
          <t>sevilla</t>
        </is>
      </c>
      <c r="C61" s="29" t="inlineStr">
        <is>
          <t>Semana Santa (Kutsal Hafta)</t>
        </is>
      </c>
      <c r="D61" s="29" t="inlineStr">
        <is>
          <t>Sevilla'nın Paskalya öncesi haftada yaşadığı büyük dinî ve kültürel şenlik; her gün sokaklarda alay (procesión) düzenlenir. Tarihi her yıl değişir; 2027'de 21-28 Mart arasındadır.</t>
        </is>
      </c>
      <c r="E61" s="29" t="inlineStr">
        <is>
          <t>sevilla:kaynak:202</t>
        </is>
      </c>
      <c r="F61" s="49" t="n">
        <v>46320</v>
      </c>
      <c r="G61" s="51" t="n">
        <v>54</v>
      </c>
      <c r="H61" s="29" t="inlineStr">
        <is>
          <t>Taslak</t>
        </is>
      </c>
    </row>
    <row r="62" ht="54" customHeight="1">
      <c r="A62" s="29" t="inlineStr">
        <is>
          <t>sevilla:term:055</t>
        </is>
      </c>
      <c r="B62" s="29" t="inlineStr">
        <is>
          <t>sevilla</t>
        </is>
      </c>
      <c r="C62" s="29" t="inlineStr">
        <is>
          <t>Bienal de Flamenco (Flamenko Bienali)</t>
        </is>
      </c>
      <c r="D62" s="29" t="inlineStr">
        <is>
          <t>Sevilla'da çift yıllarda düzenlenen büyük flamenko festivali. XXIV. Bienal 9 Eylül-3 Ekim 2026 arasında yapıldı.</t>
        </is>
      </c>
      <c r="E62" s="29" t="inlineStr">
        <is>
          <t>sevilla:kaynak:212;sevilla:kaynak:214</t>
        </is>
      </c>
      <c r="F62" s="49" t="n">
        <v>46320</v>
      </c>
      <c r="G62" s="51" t="n">
        <v>55</v>
      </c>
      <c r="H62" s="29" t="inlineStr">
        <is>
          <t>Taslak</t>
        </is>
      </c>
    </row>
    <row r="63" ht="54" customHeight="1">
      <c r="A63" s="29" t="inlineStr">
        <is>
          <t>sevilla:term:056</t>
        </is>
      </c>
      <c r="B63" s="29" t="inlineStr">
        <is>
          <t>sevilla</t>
        </is>
      </c>
      <c r="C63" s="29" t="inlineStr">
        <is>
          <t>ATAL (dil uyum sınıfları)</t>
        </is>
      </c>
      <c r="D63" s="29" t="inlineStr">
        <is>
          <t>Aulas Temporales de Adaptación Lingüística. İspanyolca bilmeyen yabancı öğrencilere okul saatinde, özel öğretmenlerle verilen İspanyolca öğretimi programıdır.</t>
        </is>
      </c>
      <c r="E63" s="29" t="inlineStr">
        <is>
          <t>sevilla:kaynak:251</t>
        </is>
      </c>
      <c r="F63" s="49" t="n">
        <v>46320</v>
      </c>
      <c r="G63" s="51" t="n">
        <v>56</v>
      </c>
      <c r="H63" s="29" t="inlineStr">
        <is>
          <t>Taslak</t>
        </is>
      </c>
    </row>
    <row r="64" ht="54" customHeight="1">
      <c r="A64" s="29" t="inlineStr">
        <is>
          <t>sevilla:term:057</t>
        </is>
      </c>
      <c r="B64" s="29" t="inlineStr">
        <is>
          <t>sevilla</t>
        </is>
      </c>
      <c r="C64" s="29" t="inlineStr">
        <is>
          <t>Ingreso Mínimo Vital (IMV, asgari yaşam geliri)</t>
        </is>
      </c>
      <c r="D64" s="29" t="inlineStr">
        <is>
          <t>Tek başına yaşayan veya birlikte yaşama birimi içinde olup temel ihtiyaçlarını karşılayacak geliri olmayanlar için yoksulluğu ve dışlanmayı önlemeye yönelik ödenek. Bilgi hattı 020'dir.</t>
        </is>
      </c>
      <c r="E64" s="29" t="inlineStr">
        <is>
          <t>sevilla:kaynak:106</t>
        </is>
      </c>
      <c r="F64" s="49" t="n">
        <v>46320</v>
      </c>
      <c r="G64" s="51" t="n">
        <v>57</v>
      </c>
      <c r="H64" s="29" t="inlineStr">
        <is>
          <t>Taslak</t>
        </is>
      </c>
    </row>
    <row r="65" ht="54" customHeight="1">
      <c r="A65" s="29" t="inlineStr">
        <is>
          <t>sevilla:term:058</t>
        </is>
      </c>
      <c r="B65" s="29" t="inlineStr">
        <is>
          <t>sevilla</t>
        </is>
      </c>
      <c r="C65" s="29" t="inlineStr">
        <is>
          <t>iANDE</t>
        </is>
      </c>
      <c r="D65" s="29" t="inlineStr">
        <is>
          <t>Endülüs okul kayıtlarında çevrimiçi başvuru için kullanılan kimlik doğrulama ve imza yöntemi. Anahtar iPASEN üzerinden bulunur; yeni anahtar için bir okula şahsen gidilir.</t>
        </is>
      </c>
      <c r="E65" s="29" t="inlineStr">
        <is>
          <t>sevilla:kaynak:256</t>
        </is>
      </c>
      <c r="F65" s="49" t="n">
        <v>46320</v>
      </c>
      <c r="G65" s="51" t="n">
        <v>58</v>
      </c>
      <c r="H65" s="29" t="inlineStr">
        <is>
          <t>Taslak</t>
        </is>
      </c>
    </row>
    <row r="66" ht="54" customHeight="1">
      <c r="A66" s="29" t="inlineStr">
        <is>
          <t>sevilla:term:059</t>
        </is>
      </c>
      <c r="B66" s="29" t="inlineStr">
        <is>
          <t>sevilla</t>
        </is>
      </c>
      <c r="C66" s="29" t="inlineStr">
        <is>
          <t>Oficina de Asistencia en Materia de Registros (kayıt yardım ofisi)</t>
        </is>
      </c>
      <c r="D66" s="29" t="inlineStr">
        <is>
          <t>Junta de Andalucía'nın ofislerinde dilekçe, yazı ve bildirimleri merkezî, özerk veya yerel herhangi bir idareye sunabildiğin yer.</t>
        </is>
      </c>
      <c r="E66" s="29" t="inlineStr">
        <is>
          <t>sevilla:kaynak:268</t>
        </is>
      </c>
      <c r="F66" s="49" t="n">
        <v>46320</v>
      </c>
      <c r="G66" s="51" t="n">
        <v>59</v>
      </c>
      <c r="H66" s="29" t="inlineStr">
        <is>
          <t>Taslak</t>
        </is>
      </c>
    </row>
    <row r="67" ht="54" customHeight="1">
      <c r="A67" s="29" t="inlineStr">
        <is>
          <t>sevilla:term:060</t>
        </is>
      </c>
      <c r="B67" s="29" t="inlineStr">
        <is>
          <t>sevilla</t>
        </is>
      </c>
      <c r="C67" s="29" t="inlineStr">
        <is>
          <t>hoja de reclamaciones (şikâyet formu)</t>
        </is>
      </c>
      <c r="D67" s="29" t="inlineStr">
        <is>
          <t>Mal ve hizmet satanların tüketiciye vermek zorunda olduğu resmî şikâyet formu. İstenince verilmesi zorunlu, hemen ve ücretsizdir.</t>
        </is>
      </c>
      <c r="E67" s="29" t="inlineStr">
        <is>
          <t>sevilla:kaynak:155</t>
        </is>
      </c>
      <c r="F67" s="49" t="n">
        <v>46320</v>
      </c>
      <c r="G67" s="51" t="n">
        <v>60</v>
      </c>
      <c r="H67" s="29" t="inlineStr">
        <is>
          <t>Taslak</t>
        </is>
      </c>
    </row>
    <row r="68" ht="54" customHeight="1">
      <c r="A68" s="29" t="n"/>
      <c r="B68" s="29" t="n"/>
      <c r="C68" s="29" t="n"/>
      <c r="D68" s="29" t="n"/>
      <c r="E68" s="29" t="n"/>
      <c r="F68" s="49" t="n"/>
      <c r="G68" s="51" t="n"/>
      <c r="H68" s="29" t="n"/>
    </row>
    <row r="69" ht="54" customHeight="1">
      <c r="A69" s="29" t="n"/>
      <c r="B69" s="29" t="n"/>
      <c r="C69" s="29" t="n"/>
      <c r="D69" s="29" t="n"/>
      <c r="E69" s="29" t="n"/>
      <c r="F69" s="49" t="n"/>
      <c r="G69" s="51" t="n"/>
      <c r="H69" s="29" t="n"/>
    </row>
    <row r="70" ht="54" customHeight="1">
      <c r="A70" s="29" t="n"/>
      <c r="B70" s="29" t="n"/>
      <c r="C70" s="29" t="n"/>
      <c r="D70" s="29" t="n"/>
      <c r="E70" s="29" t="n"/>
      <c r="F70" s="49" t="n"/>
      <c r="G70" s="51" t="n"/>
      <c r="H70" s="29" t="n"/>
    </row>
    <row r="71" ht="54" customHeight="1">
      <c r="A71" s="29" t="n"/>
      <c r="B71" s="29" t="n"/>
      <c r="C71" s="29" t="n"/>
      <c r="D71" s="29" t="n"/>
      <c r="E71" s="29" t="n"/>
      <c r="F71" s="49" t="n"/>
      <c r="G71" s="51" t="n"/>
      <c r="H71" s="29" t="n"/>
    </row>
    <row r="72" ht="54" customHeight="1">
      <c r="A72" s="29" t="n"/>
      <c r="B72" s="29" t="n"/>
      <c r="C72" s="29" t="n"/>
      <c r="D72" s="29" t="n"/>
      <c r="E72" s="29" t="n"/>
      <c r="F72" s="49" t="n"/>
      <c r="G72" s="51" t="n"/>
      <c r="H72" s="29" t="n"/>
    </row>
    <row r="73" ht="54" customHeight="1">
      <c r="A73" s="29" t="n"/>
      <c r="B73" s="29" t="n"/>
      <c r="C73" s="29" t="n"/>
      <c r="D73" s="29" t="n"/>
      <c r="E73" s="29" t="n"/>
      <c r="F73" s="49" t="n"/>
      <c r="G73" s="51" t="n"/>
      <c r="H73" s="29" t="n"/>
    </row>
    <row r="74" ht="54" customHeight="1">
      <c r="A74" s="29" t="n"/>
      <c r="B74" s="29" t="n"/>
      <c r="C74" s="29" t="n"/>
      <c r="D74" s="29" t="n"/>
      <c r="E74" s="29" t="n"/>
      <c r="F74" s="49" t="n"/>
      <c r="G74" s="51" t="n"/>
      <c r="H74" s="29" t="n"/>
    </row>
    <row r="75" ht="54" customHeight="1">
      <c r="A75" s="29" t="n"/>
      <c r="B75" s="29" t="n"/>
      <c r="C75" s="29" t="n"/>
      <c r="D75" s="29" t="n"/>
      <c r="E75" s="29" t="n"/>
      <c r="F75" s="49" t="n"/>
      <c r="G75" s="51" t="n"/>
      <c r="H75" s="29" t="n"/>
    </row>
    <row r="76" ht="54" customHeight="1">
      <c r="A76" s="29" t="n"/>
      <c r="B76" s="29" t="n"/>
      <c r="C76" s="29" t="n"/>
      <c r="D76" s="29" t="n"/>
      <c r="E76" s="29" t="n"/>
      <c r="F76" s="49" t="n"/>
      <c r="G76" s="51" t="n"/>
      <c r="H76" s="29" t="n"/>
    </row>
    <row r="77" ht="54" customHeight="1">
      <c r="A77" s="29" t="n"/>
      <c r="B77" s="29" t="n"/>
      <c r="C77" s="29" t="n"/>
      <c r="D77" s="29" t="n"/>
      <c r="E77" s="29" t="n"/>
      <c r="F77" s="49" t="n"/>
      <c r="G77" s="51" t="n"/>
      <c r="H77" s="29" t="n"/>
    </row>
    <row r="78" ht="54" customHeight="1">
      <c r="A78" s="29" t="n"/>
      <c r="B78" s="29" t="n"/>
      <c r="C78" s="29" t="n"/>
      <c r="D78" s="29" t="n"/>
      <c r="E78" s="29" t="n"/>
      <c r="F78" s="49" t="n"/>
      <c r="G78" s="51" t="n"/>
      <c r="H78" s="29" t="n"/>
    </row>
    <row r="79" ht="54" customHeight="1">
      <c r="A79" s="29" t="n"/>
      <c r="B79" s="29" t="n"/>
      <c r="C79" s="29" t="n"/>
      <c r="D79" s="29" t="n"/>
      <c r="E79" s="29" t="n"/>
      <c r="F79" s="49" t="n"/>
      <c r="G79" s="51" t="n"/>
      <c r="H79" s="29" t="n"/>
    </row>
    <row r="80" ht="54" customHeight="1">
      <c r="A80" s="29" t="n"/>
      <c r="B80" s="29" t="n"/>
      <c r="C80" s="29" t="n"/>
      <c r="D80" s="29" t="n"/>
      <c r="E80" s="29" t="n"/>
      <c r="F80" s="49" t="n"/>
      <c r="G80" s="51" t="n"/>
      <c r="H80" s="29" t="n"/>
    </row>
    <row r="81" ht="54" customHeight="1">
      <c r="A81" s="29" t="n"/>
      <c r="B81" s="29" t="n"/>
      <c r="C81" s="29" t="n"/>
      <c r="D81" s="29" t="n"/>
      <c r="E81" s="29" t="n"/>
      <c r="F81" s="49" t="n"/>
      <c r="G81" s="51" t="n"/>
      <c r="H81" s="29" t="n"/>
    </row>
    <row r="82" ht="54" customHeight="1">
      <c r="A82" s="29" t="n"/>
      <c r="B82" s="29" t="n"/>
      <c r="C82" s="29" t="n"/>
      <c r="D82" s="29" t="n"/>
      <c r="E82" s="29" t="n"/>
      <c r="F82" s="49" t="n"/>
      <c r="G82" s="51" t="n"/>
      <c r="H82" s="29" t="n"/>
    </row>
    <row r="83" ht="54" customHeight="1">
      <c r="A83" s="29" t="n"/>
      <c r="B83" s="29" t="n"/>
      <c r="C83" s="29" t="n"/>
      <c r="D83" s="29" t="n"/>
      <c r="E83" s="29" t="n"/>
      <c r="F83" s="49" t="n"/>
      <c r="G83" s="51" t="n"/>
      <c r="H83" s="29" t="n"/>
    </row>
    <row r="84" ht="54" customHeight="1">
      <c r="A84" s="29" t="n"/>
      <c r="B84" s="29" t="n"/>
      <c r="C84" s="29" t="n"/>
      <c r="D84" s="29" t="n"/>
      <c r="E84" s="29" t="n"/>
      <c r="F84" s="49" t="n"/>
      <c r="G84" s="51" t="n"/>
      <c r="H84" s="29" t="n"/>
    </row>
    <row r="85" ht="54" customHeight="1">
      <c r="A85" s="29" t="n"/>
      <c r="B85" s="29" t="n"/>
      <c r="C85" s="29" t="n"/>
      <c r="D85" s="29" t="n"/>
      <c r="E85" s="29" t="n"/>
      <c r="F85" s="49" t="n"/>
      <c r="G85" s="51" t="n"/>
      <c r="H85" s="29" t="n"/>
    </row>
    <row r="86" ht="54" customHeight="1">
      <c r="A86" s="29" t="n"/>
      <c r="B86" s="29" t="n"/>
      <c r="C86" s="29" t="n"/>
      <c r="D86" s="29" t="n"/>
      <c r="E86" s="29" t="n"/>
      <c r="F86" s="49" t="n"/>
      <c r="G86" s="51" t="n"/>
      <c r="H86" s="29" t="n"/>
    </row>
    <row r="87" ht="54" customHeight="1">
      <c r="A87" s="29" t="n"/>
      <c r="B87" s="29" t="n"/>
      <c r="C87" s="29" t="n"/>
      <c r="D87" s="29" t="n"/>
      <c r="E87" s="29" t="n"/>
      <c r="F87" s="49" t="n"/>
      <c r="G87" s="51" t="n"/>
      <c r="H87" s="29" t="n"/>
    </row>
    <row r="88" ht="54" customHeight="1">
      <c r="A88" s="29" t="n"/>
      <c r="B88" s="29" t="n"/>
      <c r="C88" s="29" t="n"/>
      <c r="D88" s="29" t="n"/>
      <c r="E88" s="29" t="n"/>
      <c r="F88" s="49" t="n"/>
      <c r="G88" s="51" t="n"/>
      <c r="H88" s="29" t="n"/>
    </row>
    <row r="89" ht="54" customHeight="1">
      <c r="A89" s="29" t="n"/>
      <c r="B89" s="29" t="n"/>
      <c r="C89" s="29" t="n"/>
      <c r="D89" s="29" t="n"/>
      <c r="E89" s="29" t="n"/>
      <c r="F89" s="49" t="n"/>
      <c r="G89" s="51" t="n"/>
      <c r="H89" s="29" t="n"/>
    </row>
    <row r="90" ht="54" customHeight="1">
      <c r="A90" s="29" t="n"/>
      <c r="B90" s="29" t="n"/>
      <c r="C90" s="29" t="n"/>
      <c r="D90" s="29" t="n"/>
      <c r="E90" s="29" t="n"/>
      <c r="F90" s="49" t="n"/>
      <c r="G90" s="51" t="n"/>
      <c r="H90" s="29" t="n"/>
    </row>
    <row r="91" ht="54" customHeight="1">
      <c r="A91" s="29" t="n"/>
      <c r="B91" s="29" t="n"/>
      <c r="C91" s="29" t="n"/>
      <c r="D91" s="29" t="n"/>
      <c r="E91" s="29" t="n"/>
      <c r="F91" s="49" t="n"/>
      <c r="G91" s="51" t="n"/>
      <c r="H91" s="29" t="n"/>
    </row>
    <row r="92" ht="54" customHeight="1">
      <c r="A92" s="29" t="n"/>
      <c r="B92" s="29" t="n"/>
      <c r="C92" s="29" t="n"/>
      <c r="D92" s="29" t="n"/>
      <c r="E92" s="29" t="n"/>
      <c r="F92" s="49" t="n"/>
      <c r="G92" s="51" t="n"/>
      <c r="H92" s="29" t="n"/>
    </row>
    <row r="93" ht="54" customHeight="1">
      <c r="A93" s="29" t="n"/>
      <c r="B93" s="29" t="n"/>
      <c r="C93" s="29" t="n"/>
      <c r="D93" s="29" t="n"/>
      <c r="E93" s="29" t="n"/>
      <c r="F93" s="49" t="n"/>
      <c r="G93" s="51" t="n"/>
      <c r="H93" s="29" t="n"/>
    </row>
    <row r="94" ht="54" customHeight="1">
      <c r="A94" s="29" t="n"/>
      <c r="B94" s="29" t="n"/>
      <c r="C94" s="29" t="n"/>
      <c r="D94" s="29" t="n"/>
      <c r="E94" s="29" t="n"/>
      <c r="F94" s="49" t="n"/>
      <c r="G94" s="51" t="n"/>
      <c r="H94" s="29" t="n"/>
    </row>
    <row r="95" ht="54" customHeight="1">
      <c r="A95" s="29" t="n"/>
      <c r="B95" s="29" t="n"/>
      <c r="C95" s="29" t="n"/>
      <c r="D95" s="29" t="n"/>
      <c r="E95" s="29" t="n"/>
      <c r="F95" s="49" t="n"/>
      <c r="G95" s="51" t="n"/>
      <c r="H95" s="29" t="n"/>
    </row>
    <row r="96" ht="54" customHeight="1">
      <c r="A96" s="29" t="n"/>
      <c r="B96" s="29" t="n"/>
      <c r="C96" s="29" t="n"/>
      <c r="D96" s="29" t="n"/>
      <c r="E96" s="29" t="n"/>
      <c r="F96" s="49" t="n"/>
      <c r="G96" s="51" t="n"/>
      <c r="H96" s="29" t="n"/>
    </row>
    <row r="97" ht="54" customHeight="1">
      <c r="A97" s="29" t="n"/>
      <c r="B97" s="29" t="n"/>
      <c r="C97" s="29" t="n"/>
      <c r="D97" s="29" t="n"/>
      <c r="E97" s="29" t="n"/>
      <c r="F97" s="49" t="n"/>
      <c r="G97" s="51" t="n"/>
      <c r="H97" s="29" t="n"/>
    </row>
    <row r="98" ht="54" customHeight="1">
      <c r="A98" s="29" t="n"/>
      <c r="B98" s="29" t="n"/>
      <c r="C98" s="29" t="n"/>
      <c r="D98" s="29" t="n"/>
      <c r="E98" s="29" t="n"/>
      <c r="F98" s="49" t="n"/>
      <c r="G98" s="51" t="n"/>
      <c r="H98" s="29" t="n"/>
    </row>
    <row r="99" ht="54" customHeight="1">
      <c r="A99" s="29" t="n"/>
      <c r="B99" s="29" t="n"/>
      <c r="C99" s="29" t="n"/>
      <c r="D99" s="29" t="n"/>
      <c r="E99" s="29" t="n"/>
      <c r="F99" s="49" t="n"/>
      <c r="G99" s="51" t="n"/>
      <c r="H99" s="29" t="n"/>
    </row>
    <row r="100" ht="54" customHeight="1">
      <c r="A100" s="29" t="n"/>
      <c r="B100" s="29" t="n"/>
      <c r="C100" s="29" t="n"/>
      <c r="D100" s="29" t="n"/>
      <c r="E100" s="29" t="n"/>
      <c r="F100" s="49" t="n"/>
      <c r="G100" s="51" t="n"/>
      <c r="H100" s="29" t="n"/>
    </row>
    <row r="101" ht="54" customHeight="1">
      <c r="A101" s="29" t="n"/>
      <c r="B101" s="29" t="n"/>
      <c r="C101" s="29" t="n"/>
      <c r="D101" s="29" t="n"/>
      <c r="E101" s="29" t="n"/>
      <c r="F101" s="49" t="n"/>
      <c r="G101" s="51" t="n"/>
      <c r="H101" s="29" t="n"/>
    </row>
    <row r="102" ht="54" customHeight="1">
      <c r="A102" s="29" t="n"/>
      <c r="B102" s="29" t="n"/>
      <c r="C102" s="29" t="n"/>
      <c r="D102" s="29" t="n"/>
      <c r="E102" s="29" t="n"/>
      <c r="F102" s="49" t="n"/>
      <c r="G102" s="51" t="n"/>
      <c r="H102" s="29" t="n"/>
    </row>
    <row r="103" ht="54" customHeight="1">
      <c r="A103" s="29" t="n"/>
      <c r="B103" s="29" t="n"/>
      <c r="C103" s="29" t="n"/>
      <c r="D103" s="29" t="n"/>
      <c r="E103" s="29" t="n"/>
      <c r="F103" s="49" t="n"/>
      <c r="G103" s="51" t="n"/>
      <c r="H103" s="29" t="n"/>
    </row>
    <row r="104" ht="54" customHeight="1">
      <c r="A104" s="29" t="n"/>
      <c r="B104" s="29" t="n"/>
      <c r="C104" s="29" t="n"/>
      <c r="D104" s="29" t="n"/>
      <c r="E104" s="29" t="n"/>
      <c r="F104" s="49" t="n"/>
      <c r="G104" s="51" t="n"/>
      <c r="H104" s="29" t="n"/>
    </row>
    <row r="105" ht="54" customHeight="1">
      <c r="A105" s="29" t="n"/>
      <c r="B105" s="29" t="n"/>
      <c r="C105" s="29" t="n"/>
      <c r="D105" s="29" t="n"/>
      <c r="E105" s="29" t="n"/>
      <c r="F105" s="49" t="n"/>
      <c r="G105" s="51" t="n"/>
      <c r="H105" s="29" t="n"/>
    </row>
    <row r="106" ht="54" customHeight="1">
      <c r="A106" s="29" t="n"/>
      <c r="B106" s="29" t="n"/>
      <c r="C106" s="29" t="n"/>
      <c r="D106" s="29" t="n"/>
      <c r="E106" s="29" t="n"/>
      <c r="F106" s="49" t="n"/>
      <c r="G106" s="51" t="n"/>
      <c r="H106" s="29" t="n"/>
    </row>
    <row r="107" ht="54" customHeight="1">
      <c r="A107" s="29" t="n"/>
      <c r="B107" s="29" t="n"/>
      <c r="C107" s="29" t="n"/>
      <c r="D107" s="29" t="n"/>
      <c r="E107" s="29" t="n"/>
      <c r="F107" s="49" t="n"/>
      <c r="G107" s="51" t="n"/>
      <c r="H107" s="29" t="n"/>
    </row>
  </sheetData>
  <mergeCells count="1">
    <mergeCell ref="A3:H3"/>
  </mergeCells>
  <conditionalFormatting sqref="A8:A107">
    <cfRule type="expression" priority="1" dxfId="1">
      <formula>AND($A8&lt;&gt;"",ISBLANK(A8))</formula>
    </cfRule>
  </conditionalFormatting>
  <conditionalFormatting sqref="B8:B107">
    <cfRule type="expression" priority="2" dxfId="1">
      <formula>AND($A8&lt;&gt;"",ISBLANK(B8))</formula>
    </cfRule>
  </conditionalFormatting>
  <conditionalFormatting sqref="C8:C107">
    <cfRule type="expression" priority="3" dxfId="1">
      <formula>AND($A8&lt;&gt;"",ISBLANK(C8))</formula>
    </cfRule>
  </conditionalFormatting>
  <conditionalFormatting sqref="D8:D107">
    <cfRule type="expression" priority="4" dxfId="1">
      <formula>AND($A8&lt;&gt;"",ISBLANK(D8))</formula>
    </cfRule>
  </conditionalFormatting>
  <conditionalFormatting sqref="E8:E107">
    <cfRule type="expression" priority="5" dxfId="1">
      <formula>AND($A8&lt;&gt;"",ISBLANK(E8))</formula>
    </cfRule>
  </conditionalFormatting>
  <conditionalFormatting sqref="F8:F107">
    <cfRule type="expression" priority="6" dxfId="1">
      <formula>AND($A8&lt;&gt;"",ISBLANK(F8))</formula>
    </cfRule>
  </conditionalFormatting>
  <conditionalFormatting sqref="G8:G107">
    <cfRule type="expression" priority="7" dxfId="1">
      <formula>AND($A8&lt;&gt;"",ISBLANK(G8))</formula>
    </cfRule>
  </conditionalFormatting>
  <conditionalFormatting sqref="H8:H107">
    <cfRule type="expression" priority="8" dxfId="1">
      <formula>AND($A8&lt;&gt;"",ISBLANK(H8))</formula>
    </cfRule>
  </conditionalFormatting>
  <dataValidations count="1">
    <dataValidation sqref="H8:H107"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G4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28" customWidth="1" min="5" max="5"/>
    <col width="58" customWidth="1" min="6" max="6"/>
    <col width="28" customWidth="1" min="7" max="7"/>
  </cols>
  <sheetData>
    <row r="1" ht="30" customHeight="1">
      <c r="A1" s="2" t="n"/>
      <c r="B1" s="2" t="n"/>
      <c r="C1" s="2" t="n"/>
      <c r="D1" s="2" t="n"/>
      <c r="E1" s="2" t="n"/>
      <c r="F1" s="2" t="n"/>
      <c r="G1" s="2" t="n"/>
    </row>
    <row r="2" ht="30" customHeight="1">
      <c r="A2" s="19" t="inlineStr">
        <is>
          <t>Corteqs · Yerleşim yol haritası</t>
        </is>
      </c>
      <c r="B2" s="2" t="n"/>
      <c r="C2" s="2" t="n"/>
      <c r="D2" s="2" t="n"/>
      <c r="E2" s="2" t="n"/>
      <c r="F2" s="2" t="n"/>
      <c r="G2" s="2" t="n"/>
    </row>
    <row r="3" ht="36" customHeight="1">
      <c r="A3" s="20" t="inlineStr">
        <is>
          <t>Türkçe başlığı okuyun; veriyi 8. satırdan yazın. 7. satırdaki alan adını ve sayfa adını değiştirmeyin.</t>
        </is>
      </c>
    </row>
    <row r="4" ht="30" customHeight="1">
      <c r="A4" s="21" t="n"/>
      <c r="B4" s="21" t="n"/>
      <c r="C4" s="21" t="n"/>
      <c r="D4" s="21" t="n"/>
      <c r="E4" s="21" t="n"/>
      <c r="F4" s="21" t="n"/>
      <c r="G4" s="21" t="n"/>
    </row>
    <row r="5" ht="26" customHeight="1">
      <c r="A5" s="22" t="inlineStr">
        <is>
          <t>Zorunlu</t>
        </is>
      </c>
      <c r="B5" s="22" t="inlineStr">
        <is>
          <t>Zorunlu</t>
        </is>
      </c>
      <c r="C5" s="22" t="inlineStr">
        <is>
          <t>Zorunlu</t>
        </is>
      </c>
      <c r="D5" s="22" t="inlineStr">
        <is>
          <t>Zorunlu</t>
        </is>
      </c>
      <c r="E5" s="22" t="inlineStr">
        <is>
          <t>Zorunlu</t>
        </is>
      </c>
      <c r="F5" s="22" t="inlineStr">
        <is>
          <t>Zorunlu</t>
        </is>
      </c>
      <c r="G5" s="22" t="inlineStr">
        <is>
          <t>Zorunlu</t>
        </is>
      </c>
    </row>
    <row r="6" ht="44" customHeight="1">
      <c r="A6" s="25" t="inlineStr">
        <is>
          <t>Adım kimliği</t>
        </is>
      </c>
      <c r="B6" s="25" t="inlineStr">
        <is>
          <t>Şehir kimliği</t>
        </is>
      </c>
      <c r="C6" s="25" t="inlineStr">
        <is>
          <t>İçerik kimliği</t>
        </is>
      </c>
      <c r="D6" s="25" t="inlineStr">
        <is>
          <t>Adım başlığı</t>
        </is>
      </c>
      <c r="E6" s="25" t="inlineStr">
        <is>
          <t>Ne zaman</t>
        </is>
      </c>
      <c r="F6" s="25" t="inlineStr">
        <is>
          <t>Adım açıklaması</t>
        </is>
      </c>
      <c r="G6" s="25" t="inlineStr">
        <is>
          <t>Sıra</t>
        </is>
      </c>
    </row>
    <row r="7" ht="32" customHeight="1">
      <c r="A7" s="28" t="inlineStr">
        <is>
          <t>step_id</t>
        </is>
      </c>
      <c r="B7" s="28" t="inlineStr">
        <is>
          <t>city_id</t>
        </is>
      </c>
      <c r="C7" s="28" t="inlineStr">
        <is>
          <t>entry_id</t>
        </is>
      </c>
      <c r="D7" s="28" t="inlineStr">
        <is>
          <t>title</t>
        </is>
      </c>
      <c r="E7" s="28" t="inlineStr">
        <is>
          <t>when</t>
        </is>
      </c>
      <c r="F7" s="28" t="inlineStr">
        <is>
          <t>description</t>
        </is>
      </c>
      <c r="G7" s="28" t="inlineStr">
        <is>
          <t>order</t>
        </is>
      </c>
    </row>
    <row r="8" ht="54" customHeight="1">
      <c r="A8" s="29" t="inlineStr">
        <is>
          <t>sevilla:step:1</t>
        </is>
      </c>
      <c r="B8" s="29" t="inlineStr">
        <is>
          <t>sevilla</t>
        </is>
      </c>
      <c r="C8" s="29" t="inlineStr">
        <is>
          <t>sevilla:sevilla-havalimani-ve-santa-justa-garindan-merkeze</t>
        </is>
      </c>
      <c r="D8" s="29" t="inlineStr">
        <is>
          <t>Şehre ulaş: havalimanı otobüsü, taksi ya da tren</t>
        </is>
      </c>
      <c r="E8" s="29" t="inlineStr">
        <is>
          <t>Varış günü</t>
        </is>
      </c>
      <c r="F8" s="29" t="inlineStr">
        <is>
          <t>Havalimanından EA otobüsüyle (tekli 5 €) ya da taksiyle merkeze geç; trenle gelirsen Santa Justa garı merkeze yaklaşık 1 km.</t>
        </is>
      </c>
      <c r="G8" s="51" t="n">
        <v>101</v>
      </c>
    </row>
    <row r="9" ht="54" customHeight="1">
      <c r="A9" s="29" t="inlineStr">
        <is>
          <t>sevilla:step:2</t>
        </is>
      </c>
      <c r="B9" s="29" t="inlineStr">
        <is>
          <t>sevilla</t>
        </is>
      </c>
      <c r="C9" s="29" t="inlineStr">
        <is>
          <t>sevilla:sevilla-turizm-danisma-noktalari-adres-ve-saatler</t>
        </is>
      </c>
      <c r="D9" s="29" t="inlineStr">
        <is>
          <t>Harita ve şehir bilgisi al</t>
        </is>
      </c>
      <c r="E9" s="29" t="inlineStr">
        <is>
          <t>Varış günü</t>
        </is>
      </c>
      <c r="F9" s="29" t="inlineStr">
        <is>
          <t>Havalimanı ya da Santa Justa'daki OIT-Andalucía noktasına uğra; ikisi de hafta içi 09:00-19:30 açık.</t>
        </is>
      </c>
      <c r="G9" s="51" t="n">
        <v>102</v>
      </c>
    </row>
    <row r="10" ht="54" customHeight="1">
      <c r="A10" s="29" t="inlineStr">
        <is>
          <t>sevilla:step:3</t>
        </is>
      </c>
      <c r="B10" s="29" t="inlineStr">
        <is>
          <t>sevilla</t>
        </is>
      </c>
      <c r="C10" s="29" t="inlineStr">
        <is>
          <t>sevilla:sevilla-ulasim-karti-fiyati-ve-konsorsiyum-iletisim</t>
        </is>
      </c>
      <c r="D10" s="29" t="inlineStr">
        <is>
          <t>Ulaşım kartını al</t>
        </is>
      </c>
      <c r="E10" s="29" t="inlineStr">
        <is>
          <t>İlk hafta</t>
        </is>
      </c>
      <c r="F10" s="29" t="inlineStr">
        <is>
          <t>Ulaşım kartı ilk alımda 1,50 € kart bedeli ve en az 5 € yüklemeyle alınır; bakiye süresiz geçerli.</t>
        </is>
      </c>
      <c r="G10" s="51" t="n">
        <v>103</v>
      </c>
    </row>
    <row r="11" ht="54" customHeight="1">
      <c r="A11" s="29" t="inlineStr">
        <is>
          <t>sevilla:step:4</t>
        </is>
      </c>
      <c r="B11" s="29" t="inlineStr">
        <is>
          <t>sevilla</t>
        </is>
      </c>
      <c r="C11" s="29" t="inlineStr">
        <is>
          <t>sevilla:sevilla-gecici-konaklama-turistik-daire-kayit-kodu-kontrolu</t>
        </is>
      </c>
      <c r="D11" s="29" t="inlineStr">
        <is>
          <t>Geçici konaklamanın kayıt kodunu kontrol et</t>
        </is>
      </c>
      <c r="E11" s="29" t="inlineStr">
        <is>
          <t>İlk günler</t>
        </is>
      </c>
      <c r="F11" s="29" t="inlineStr">
        <is>
          <t>Turistik daire tutuyorsan ilandaki VUT kodunu Andalucía Turizm Kaydı sorgusunda ara.</t>
        </is>
      </c>
      <c r="G11" s="51" t="n">
        <v>104</v>
      </c>
    </row>
    <row r="12" ht="54" customHeight="1">
      <c r="A12" s="29" t="inlineStr">
        <is>
          <t>sevilla:step:5</t>
        </is>
      </c>
      <c r="B12" s="29" t="inlineStr">
        <is>
          <t>sevilla</t>
        </is>
      </c>
      <c r="C12" s="29" t="inlineStr">
        <is>
          <t>sevilla:sevilla-junta-012-hatti-bilgi-ve-randevu</t>
        </is>
      </c>
      <c r="D12" s="29" t="inlineStr">
        <is>
          <t>Randevu ve ofis bilgisi için 012'yi ara</t>
        </is>
      </c>
      <c r="E12" s="29" t="inlineStr">
        <is>
          <t>İlk hafta</t>
        </is>
      </c>
      <c r="F12" s="29" t="inlineStr">
        <is>
          <t>012 ya da 955 012 012'yi pazartesi-cuma 08:00-20:00 arasında ara; kayıt ofisleri için telefonla otomatik randevu alınabilir.</t>
        </is>
      </c>
      <c r="G12" s="51" t="n">
        <v>105</v>
      </c>
    </row>
    <row r="13" ht="54" customHeight="1">
      <c r="A13" s="29" t="inlineStr">
        <is>
          <t>sevilla:step:6</t>
        </is>
      </c>
      <c r="B13" s="29" t="inlineStr">
        <is>
          <t>sevilla</t>
        </is>
      </c>
      <c r="C13" s="29" t="inlineStr">
        <is>
          <t>sevilla:sevilla-gocmen-dernekleri-adres-ve-telefon-listesi</t>
        </is>
      </c>
      <c r="D13" s="29" t="inlineStr">
        <is>
          <t>Destek ağını öğren</t>
        </is>
      </c>
      <c r="E13" s="29" t="inlineStr">
        <is>
          <t>İlk ay</t>
        </is>
      </c>
      <c r="F13" s="29" t="inlineStr">
        <is>
          <t>Junta'nın listelediği derneklerden (Sevilla Acoge, Cruz Roja, ACCEM) birini ara ve hangi konuda yardım verdiklerini sor.</t>
        </is>
      </c>
      <c r="G13" s="51" t="n">
        <v>106</v>
      </c>
    </row>
    <row r="14" ht="54" customHeight="1">
      <c r="A14" s="29" t="inlineStr">
        <is>
          <t>sevilla:step:7</t>
        </is>
      </c>
      <c r="B14" s="29" t="inlineStr">
        <is>
          <t>sevilla</t>
        </is>
      </c>
      <c r="C14" s="29" t="inlineStr">
        <is>
          <t>sevilla:sevilla-yaz-sicaklarina-hazirlik-ve-uyari-seviyeleri</t>
        </is>
      </c>
      <c r="D14" s="29" t="inlineStr">
        <is>
          <t>Sıcak sezonuna hazırlan</t>
        </is>
      </c>
      <c r="E14" s="29" t="inlineStr">
        <is>
          <t>Mayıs-Eylül</t>
        </is>
      </c>
      <c r="F14" s="29" t="inlineStr">
        <is>
          <t>Salud Responde uygulamasını kur; öğle saatlerinde doğrudan güneşten kaçın, bol su iç.</t>
        </is>
      </c>
      <c r="G14" s="51" t="n">
        <v>107</v>
      </c>
    </row>
    <row r="15" ht="54" customHeight="1">
      <c r="A15" s="29" t="n"/>
      <c r="B15" s="29" t="n"/>
      <c r="C15" s="29" t="n"/>
      <c r="D15" s="29" t="n"/>
      <c r="E15" s="29" t="n"/>
      <c r="F15" s="29" t="n"/>
      <c r="G15" s="51" t="n"/>
    </row>
    <row r="16" ht="54" customHeight="1">
      <c r="A16" s="29" t="n"/>
      <c r="B16" s="29" t="n"/>
      <c r="C16" s="29" t="n"/>
      <c r="D16" s="29" t="n"/>
      <c r="E16" s="29" t="n"/>
      <c r="F16" s="29" t="n"/>
      <c r="G16" s="51" t="n"/>
    </row>
    <row r="17" ht="54" customHeight="1">
      <c r="A17" s="29" t="n"/>
      <c r="B17" s="29" t="n"/>
      <c r="C17" s="29" t="n"/>
      <c r="D17" s="29" t="n"/>
      <c r="E17" s="29" t="n"/>
      <c r="F17" s="29" t="n"/>
      <c r="G17" s="51" t="n"/>
    </row>
    <row r="18" ht="54" customHeight="1">
      <c r="A18" s="29" t="n"/>
      <c r="B18" s="29" t="n"/>
      <c r="C18" s="29" t="n"/>
      <c r="D18" s="29" t="n"/>
      <c r="E18" s="29" t="n"/>
      <c r="F18" s="29" t="n"/>
      <c r="G18" s="51" t="n"/>
    </row>
    <row r="19" ht="54" customHeight="1">
      <c r="A19" s="29" t="n"/>
      <c r="B19" s="29" t="n"/>
      <c r="C19" s="29" t="n"/>
      <c r="D19" s="29" t="n"/>
      <c r="E19" s="29" t="n"/>
      <c r="F19" s="29" t="n"/>
      <c r="G19" s="51" t="n"/>
    </row>
    <row r="20" ht="54" customHeight="1">
      <c r="A20" s="29" t="n"/>
      <c r="B20" s="29" t="n"/>
      <c r="C20" s="29" t="n"/>
      <c r="D20" s="29" t="n"/>
      <c r="E20" s="29" t="n"/>
      <c r="F20" s="29" t="n"/>
      <c r="G20" s="51" t="n"/>
    </row>
    <row r="21" ht="54" customHeight="1">
      <c r="A21" s="29" t="n"/>
      <c r="B21" s="29" t="n"/>
      <c r="C21" s="29" t="n"/>
      <c r="D21" s="29" t="n"/>
      <c r="E21" s="29" t="n"/>
      <c r="F21" s="29" t="n"/>
      <c r="G21" s="51" t="n"/>
    </row>
    <row r="22" ht="54" customHeight="1">
      <c r="A22" s="29" t="n"/>
      <c r="B22" s="29" t="n"/>
      <c r="C22" s="29" t="n"/>
      <c r="D22" s="29" t="n"/>
      <c r="E22" s="29" t="n"/>
      <c r="F22" s="29" t="n"/>
      <c r="G22" s="51" t="n"/>
    </row>
    <row r="23" ht="54" customHeight="1">
      <c r="A23" s="29" t="n"/>
      <c r="B23" s="29" t="n"/>
      <c r="C23" s="29" t="n"/>
      <c r="D23" s="29" t="n"/>
      <c r="E23" s="29" t="n"/>
      <c r="F23" s="29" t="n"/>
      <c r="G23" s="51" t="n"/>
    </row>
    <row r="24" ht="54" customHeight="1">
      <c r="A24" s="29" t="n"/>
      <c r="B24" s="29" t="n"/>
      <c r="C24" s="29" t="n"/>
      <c r="D24" s="29" t="n"/>
      <c r="E24" s="29" t="n"/>
      <c r="F24" s="29" t="n"/>
      <c r="G24" s="51" t="n"/>
    </row>
    <row r="25" ht="54" customHeight="1">
      <c r="A25" s="29" t="n"/>
      <c r="B25" s="29" t="n"/>
      <c r="C25" s="29" t="n"/>
      <c r="D25" s="29" t="n"/>
      <c r="E25" s="29" t="n"/>
      <c r="F25" s="29" t="n"/>
      <c r="G25" s="51" t="n"/>
    </row>
    <row r="26" ht="54" customHeight="1">
      <c r="A26" s="29" t="n"/>
      <c r="B26" s="29" t="n"/>
      <c r="C26" s="29" t="n"/>
      <c r="D26" s="29" t="n"/>
      <c r="E26" s="29" t="n"/>
      <c r="F26" s="29" t="n"/>
      <c r="G26" s="51" t="n"/>
    </row>
    <row r="27" ht="54" customHeight="1">
      <c r="A27" s="29" t="n"/>
      <c r="B27" s="29" t="n"/>
      <c r="C27" s="29" t="n"/>
      <c r="D27" s="29" t="n"/>
      <c r="E27" s="29" t="n"/>
      <c r="F27" s="29" t="n"/>
      <c r="G27" s="51" t="n"/>
    </row>
    <row r="28" ht="54" customHeight="1">
      <c r="A28" s="29" t="n"/>
      <c r="B28" s="29" t="n"/>
      <c r="C28" s="29" t="n"/>
      <c r="D28" s="29" t="n"/>
      <c r="E28" s="29" t="n"/>
      <c r="F28" s="29" t="n"/>
      <c r="G28" s="51" t="n"/>
    </row>
    <row r="29" ht="54" customHeight="1">
      <c r="A29" s="29" t="n"/>
      <c r="B29" s="29" t="n"/>
      <c r="C29" s="29" t="n"/>
      <c r="D29" s="29" t="n"/>
      <c r="E29" s="29" t="n"/>
      <c r="F29" s="29" t="n"/>
      <c r="G29" s="51" t="n"/>
    </row>
    <row r="30" ht="54" customHeight="1">
      <c r="A30" s="29" t="n"/>
      <c r="B30" s="29" t="n"/>
      <c r="C30" s="29" t="n"/>
      <c r="D30" s="29" t="n"/>
      <c r="E30" s="29" t="n"/>
      <c r="F30" s="29" t="n"/>
      <c r="G30" s="51" t="n"/>
    </row>
    <row r="31" ht="54" customHeight="1">
      <c r="A31" s="29" t="n"/>
      <c r="B31" s="29" t="n"/>
      <c r="C31" s="29" t="n"/>
      <c r="D31" s="29" t="n"/>
      <c r="E31" s="29" t="n"/>
      <c r="F31" s="29" t="n"/>
      <c r="G31" s="51" t="n"/>
    </row>
    <row r="32" ht="54" customHeight="1">
      <c r="A32" s="29" t="n"/>
      <c r="B32" s="29" t="n"/>
      <c r="C32" s="29" t="n"/>
      <c r="D32" s="29" t="n"/>
      <c r="E32" s="29" t="n"/>
      <c r="F32" s="29" t="n"/>
      <c r="G32" s="51" t="n"/>
    </row>
    <row r="33" ht="54" customHeight="1">
      <c r="A33" s="29" t="n"/>
      <c r="B33" s="29" t="n"/>
      <c r="C33" s="29" t="n"/>
      <c r="D33" s="29" t="n"/>
      <c r="E33" s="29" t="n"/>
      <c r="F33" s="29" t="n"/>
      <c r="G33" s="51" t="n"/>
    </row>
    <row r="34" ht="54" customHeight="1">
      <c r="A34" s="29" t="n"/>
      <c r="B34" s="29" t="n"/>
      <c r="C34" s="29" t="n"/>
      <c r="D34" s="29" t="n"/>
      <c r="E34" s="29" t="n"/>
      <c r="F34" s="29" t="n"/>
      <c r="G34" s="51" t="n"/>
    </row>
    <row r="35" ht="54" customHeight="1">
      <c r="A35" s="29" t="n"/>
      <c r="B35" s="29" t="n"/>
      <c r="C35" s="29" t="n"/>
      <c r="D35" s="29" t="n"/>
      <c r="E35" s="29" t="n"/>
      <c r="F35" s="29" t="n"/>
      <c r="G35" s="51" t="n"/>
    </row>
    <row r="36" ht="54" customHeight="1">
      <c r="A36" s="29" t="n"/>
      <c r="B36" s="29" t="n"/>
      <c r="C36" s="29" t="n"/>
      <c r="D36" s="29" t="n"/>
      <c r="E36" s="29" t="n"/>
      <c r="F36" s="29" t="n"/>
      <c r="G36" s="51" t="n"/>
    </row>
    <row r="37" ht="54" customHeight="1">
      <c r="A37" s="29" t="n"/>
      <c r="B37" s="29" t="n"/>
      <c r="C37" s="29" t="n"/>
      <c r="D37" s="29" t="n"/>
      <c r="E37" s="29" t="n"/>
      <c r="F37" s="29" t="n"/>
      <c r="G37" s="51" t="n"/>
    </row>
    <row r="38" ht="54" customHeight="1">
      <c r="A38" s="29" t="n"/>
      <c r="B38" s="29" t="n"/>
      <c r="C38" s="29" t="n"/>
      <c r="D38" s="29" t="n"/>
      <c r="E38" s="29" t="n"/>
      <c r="F38" s="29" t="n"/>
      <c r="G38" s="51" t="n"/>
    </row>
    <row r="39" ht="54" customHeight="1">
      <c r="A39" s="29" t="n"/>
      <c r="B39" s="29" t="n"/>
      <c r="C39" s="29" t="n"/>
      <c r="D39" s="29" t="n"/>
      <c r="E39" s="29" t="n"/>
      <c r="F39" s="29" t="n"/>
      <c r="G39" s="51" t="n"/>
    </row>
    <row r="40" ht="54" customHeight="1">
      <c r="A40" s="29" t="n"/>
      <c r="B40" s="29" t="n"/>
      <c r="C40" s="29" t="n"/>
      <c r="D40" s="29" t="n"/>
      <c r="E40" s="29" t="n"/>
      <c r="F40" s="29" t="n"/>
      <c r="G40" s="51" t="n"/>
    </row>
    <row r="41" ht="54" customHeight="1">
      <c r="A41" s="29" t="n"/>
      <c r="B41" s="29" t="n"/>
      <c r="C41" s="29" t="n"/>
      <c r="D41" s="29" t="n"/>
      <c r="E41" s="29" t="n"/>
      <c r="F41" s="29" t="n"/>
      <c r="G41" s="51" t="n"/>
    </row>
    <row r="42" ht="54" customHeight="1">
      <c r="A42" s="29" t="n"/>
      <c r="B42" s="29" t="n"/>
      <c r="C42" s="29" t="n"/>
      <c r="D42" s="29" t="n"/>
      <c r="E42" s="29" t="n"/>
      <c r="F42" s="29" t="n"/>
      <c r="G42" s="51" t="n"/>
    </row>
    <row r="43" ht="54" customHeight="1">
      <c r="A43" s="29" t="n"/>
      <c r="B43" s="29" t="n"/>
      <c r="C43" s="29" t="n"/>
      <c r="D43" s="29" t="n"/>
      <c r="E43" s="29" t="n"/>
      <c r="F43" s="29" t="n"/>
      <c r="G43" s="51" t="n"/>
    </row>
    <row r="44" ht="54" customHeight="1">
      <c r="A44" s="29" t="n"/>
      <c r="B44" s="29" t="n"/>
      <c r="C44" s="29" t="n"/>
      <c r="D44" s="29" t="n"/>
      <c r="E44" s="29" t="n"/>
      <c r="F44" s="29" t="n"/>
      <c r="G44" s="51" t="n"/>
    </row>
    <row r="45" ht="54" customHeight="1">
      <c r="A45" s="29" t="n"/>
      <c r="B45" s="29" t="n"/>
      <c r="C45" s="29" t="n"/>
      <c r="D45" s="29" t="n"/>
      <c r="E45" s="29" t="n"/>
      <c r="F45" s="29" t="n"/>
      <c r="G45" s="51" t="n"/>
    </row>
    <row r="46" ht="54" customHeight="1">
      <c r="A46" s="29" t="n"/>
      <c r="B46" s="29" t="n"/>
      <c r="C46" s="29" t="n"/>
      <c r="D46" s="29" t="n"/>
      <c r="E46" s="29" t="n"/>
      <c r="F46" s="29" t="n"/>
      <c r="G46" s="51" t="n"/>
    </row>
    <row r="47" ht="54" customHeight="1">
      <c r="A47" s="29" t="n"/>
      <c r="B47" s="29" t="n"/>
      <c r="C47" s="29" t="n"/>
      <c r="D47" s="29" t="n"/>
      <c r="E47" s="29" t="n"/>
      <c r="F47" s="29" t="n"/>
      <c r="G47" s="51" t="n"/>
    </row>
  </sheetData>
  <mergeCells count="1">
    <mergeCell ref="A3:G3"/>
  </mergeCells>
  <conditionalFormatting sqref="A8:A47">
    <cfRule type="expression" priority="1" dxfId="1">
      <formula>AND($A8&lt;&gt;"",ISBLANK(A8))</formula>
    </cfRule>
  </conditionalFormatting>
  <conditionalFormatting sqref="B8:B47">
    <cfRule type="expression" priority="2" dxfId="1">
      <formula>AND($A8&lt;&gt;"",ISBLANK(B8))</formula>
    </cfRule>
  </conditionalFormatting>
  <conditionalFormatting sqref="C8:C47">
    <cfRule type="expression" priority="3" dxfId="1">
      <formula>AND($A8&lt;&gt;"",ISBLANK(C8))</formula>
    </cfRule>
  </conditionalFormatting>
  <conditionalFormatting sqref="D8:D47">
    <cfRule type="expression" priority="4" dxfId="1">
      <formula>AND($A8&lt;&gt;"",ISBLANK(D8))</formula>
    </cfRule>
  </conditionalFormatting>
  <conditionalFormatting sqref="E8:E47">
    <cfRule type="expression" priority="5" dxfId="1">
      <formula>AND($A8&lt;&gt;"",ISBLANK(E8))</formula>
    </cfRule>
  </conditionalFormatting>
  <conditionalFormatting sqref="F8:F47">
    <cfRule type="expression" priority="6" dxfId="1">
      <formula>AND($A8&lt;&gt;"",ISBLANK(F8))</formula>
    </cfRule>
  </conditionalFormatting>
  <conditionalFormatting sqref="G8:G47">
    <cfRule type="expression" priority="7" dxfId="1">
      <formula>AND($A8&lt;&gt;"",ISBLANK(G8))</formula>
    </cfRule>
  </conditionalFormatting>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K5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28" customWidth="1" min="3" max="3"/>
    <col width="28" customWidth="1" min="4" max="4"/>
    <col width="48" customWidth="1" min="5" max="5"/>
    <col width="20" customWidth="1" min="6" max="6"/>
    <col width="28" customWidth="1" min="7" max="7"/>
    <col width="58" customWidth="1" min="8" max="8"/>
    <col width="28" customWidth="1" min="9" max="9"/>
    <col width="28" customWidth="1" min="10" max="10"/>
    <col width="28" customWidth="1" min="11" max="11"/>
  </cols>
  <sheetData>
    <row r="1" ht="30" customHeight="1">
      <c r="A1" s="2" t="n"/>
      <c r="B1" s="2" t="n"/>
      <c r="C1" s="2" t="n"/>
      <c r="D1" s="2" t="n"/>
      <c r="E1" s="2" t="n"/>
      <c r="F1" s="2" t="n"/>
      <c r="G1" s="2" t="n"/>
      <c r="H1" s="2" t="n"/>
      <c r="I1" s="2" t="n"/>
      <c r="J1" s="2" t="n"/>
      <c r="K1" s="2" t="n"/>
    </row>
    <row r="2" ht="30" customHeight="1">
      <c r="A2" s="19" t="inlineStr">
        <is>
          <t>Corteqs · Birincil bilgi kaynakları</t>
        </is>
      </c>
      <c r="B2" s="2" t="n"/>
      <c r="C2" s="2" t="n"/>
      <c r="D2" s="2" t="n"/>
      <c r="E2" s="2" t="n"/>
      <c r="F2" s="2" t="n"/>
      <c r="G2" s="2" t="n"/>
      <c r="H2" s="2" t="n"/>
      <c r="I2" s="2" t="n"/>
      <c r="J2" s="2" t="n"/>
      <c r="K2" s="2" t="n"/>
    </row>
    <row r="3" ht="36" customHeight="1">
      <c r="A3" s="20" t="inlineStr">
        <is>
          <t>Türkçe başlığı okuyun; veriyi 8. satırdan yazın. 7. satırdaki alan adını ve sayfa adını değiştirmeyin.</t>
        </is>
      </c>
      <c r="I3" s="2" t="n"/>
      <c r="J3" s="2" t="n"/>
      <c r="K3" s="2" t="n"/>
    </row>
    <row r="4" ht="30" customHeight="1">
      <c r="A4" s="21" t="n"/>
      <c r="B4" s="21" t="n"/>
      <c r="C4" s="21" t="n"/>
      <c r="D4" s="21" t="n"/>
      <c r="E4" s="21" t="n"/>
      <c r="F4" s="21" t="n"/>
      <c r="G4" s="21" t="n"/>
      <c r="H4" s="21" t="n"/>
      <c r="I4" s="21" t="n"/>
      <c r="J4" s="21" t="n"/>
      <c r="K4" s="21" t="n"/>
    </row>
    <row r="5" ht="26" customHeight="1">
      <c r="A5" s="22" t="inlineStr">
        <is>
          <t>Zorunlu</t>
        </is>
      </c>
      <c r="B5" s="22" t="inlineStr">
        <is>
          <t>Zorunlu</t>
        </is>
      </c>
      <c r="C5" s="22" t="inlineStr">
        <is>
          <t>Zorunlu</t>
        </is>
      </c>
      <c r="D5" s="22" t="inlineStr">
        <is>
          <t>Zorunlu</t>
        </is>
      </c>
      <c r="E5" s="22" t="inlineStr">
        <is>
          <t>Zorunlu</t>
        </is>
      </c>
      <c r="F5" s="22" t="inlineStr">
        <is>
          <t>Zorunlu · tarih</t>
        </is>
      </c>
      <c r="G5" s="22" t="inlineStr">
        <is>
          <t>İsteğe bağlı</t>
        </is>
      </c>
      <c r="H5" s="22" t="inlineStr">
        <is>
          <t>İsteğe bağlı</t>
        </is>
      </c>
      <c r="I5" s="22" t="inlineStr">
        <is>
          <t>Zorunlu</t>
        </is>
      </c>
      <c r="J5" s="22" t="inlineStr">
        <is>
          <t>İsteğe bağlı</t>
        </is>
      </c>
      <c r="K5" s="22" t="inlineStr">
        <is>
          <t>İsteğe bağlı</t>
        </is>
      </c>
    </row>
    <row r="6" ht="44" customHeight="1">
      <c r="A6" s="25" t="inlineStr">
        <is>
          <t>Kaynak kimliği</t>
        </is>
      </c>
      <c r="B6" s="25" t="inlineStr">
        <is>
          <t>Şehir kimliği</t>
        </is>
      </c>
      <c r="C6" s="25" t="inlineStr">
        <is>
          <t>Kaynak başlığı</t>
        </is>
      </c>
      <c r="D6" s="25" t="inlineStr">
        <is>
          <t>Yayıncı / kurum</t>
        </is>
      </c>
      <c r="E6" s="25" t="inlineStr">
        <is>
          <t>Kaynak bağlantısı</t>
        </is>
      </c>
      <c r="F6" s="25" t="inlineStr">
        <is>
          <t>Kaynak kontrol tarihi</t>
        </is>
      </c>
      <c r="G6" s="25" t="inlineStr">
        <is>
          <t>Araştırma konusu</t>
        </is>
      </c>
      <c r="H6" s="25" t="inlineStr">
        <is>
          <t>Türkçe araştırma notu</t>
        </is>
      </c>
      <c r="I6" s="25" t="inlineStr">
        <is>
          <t>Kaynak notu incelendi</t>
        </is>
      </c>
      <c r="J6" s="25" t="inlineStr">
        <is>
          <t>Varsa kaynak kanıt dosyası</t>
        </is>
      </c>
      <c r="K6" s="25" t="inlineStr">
        <is>
          <t>Varsa kanıt SHA-256</t>
        </is>
      </c>
    </row>
    <row r="7" ht="32" customHeight="1">
      <c r="A7" s="28" t="inlineStr">
        <is>
          <t>source_id</t>
        </is>
      </c>
      <c r="B7" s="28" t="inlineStr">
        <is>
          <t>city_id</t>
        </is>
      </c>
      <c r="C7" s="28" t="inlineStr">
        <is>
          <t>title</t>
        </is>
      </c>
      <c r="D7" s="28" t="inlineStr">
        <is>
          <t>publisher</t>
        </is>
      </c>
      <c r="E7" s="28" t="inlineStr">
        <is>
          <t>url</t>
        </is>
      </c>
      <c r="F7" s="28" t="inlineStr">
        <is>
          <t>checked_on</t>
        </is>
      </c>
      <c r="G7" s="28" t="inlineStr">
        <is>
          <t>topic</t>
        </is>
      </c>
      <c r="H7" s="28" t="inlineStr">
        <is>
          <t>summary</t>
        </is>
      </c>
      <c r="I7" s="28" t="inlineStr">
        <is>
          <t>verified</t>
        </is>
      </c>
      <c r="J7" s="28" t="inlineStr">
        <is>
          <t>snapshot_file</t>
        </is>
      </c>
      <c r="K7" s="28" t="inlineStr">
        <is>
          <t>snapshot_sha256</t>
        </is>
      </c>
    </row>
    <row r="8" ht="54" customHeight="1">
      <c r="A8" s="29" t="inlineStr">
        <is>
          <t>sevilla:kaynak:001</t>
        </is>
      </c>
      <c r="B8" s="29" t="inlineStr">
        <is>
          <t>sevilla</t>
        </is>
      </c>
      <c r="C8" s="29" t="inlineStr">
        <is>
          <t>Extranjería - Asignación de NIE a instancia de interesado - Sede Electrónica de la Policía Nacional</t>
        </is>
      </c>
      <c r="D8" s="29" t="inlineStr">
        <is>
          <t>Dirección General de la Policía (Policía Nacional) - Sede electrónica</t>
        </is>
      </c>
      <c r="E8" s="29" t="inlineStr">
        <is>
          <t>https://sede.policia.gob.es/portalCiudadano/_es/tramites_extranjeria_tramite_asignacion_nie.php</t>
        </is>
      </c>
      <c r="F8" s="49" t="n">
        <v>46319</v>
      </c>
      <c r="G8" s="29" t="inlineStr">
        <is>
          <t>sevilla:oturum</t>
        </is>
      </c>
      <c r="H8" s="29" t="inlineStr">
        <is>
          <t>Kart 1: NIE nedir, kim talep eder (EX15 + tasa 790-012); sayfada yıl yok, NIE ücreti tasas sayfasinda</t>
        </is>
      </c>
      <c r="I8" s="29" t="inlineStr">
        <is>
          <t>Evet</t>
        </is>
      </c>
      <c r="J8" s="29" t="inlineStr">
        <is>
          <t>Lisans kanıtları/3e20ce2f8a8e98ef200e674b100dcce40fad7a8dfbba32a5d70918627315adef.html</t>
        </is>
      </c>
      <c r="K8" s="29" t="inlineStr">
        <is>
          <t>3e20ce2f8a8e98ef200e674b100dcce40fad7a8dfbba32a5d70918627315adef</t>
        </is>
      </c>
    </row>
    <row r="9" ht="54" customHeight="1">
      <c r="A9" s="29" t="inlineStr">
        <is>
          <t>sevilla:kaynak:002</t>
        </is>
      </c>
      <c r="B9" s="29" t="inlineStr">
        <is>
          <t>sevilla</t>
        </is>
      </c>
      <c r="C9" s="29" t="inlineStr">
        <is>
          <t xml:space="preserve">BOE-A-2025-12056 Orden PJC/617/2025, de 13 de junio, por la que se establece el importe de las tasas por tramitación de autorizaciones administrativas y documentos de identidad en </t>
        </is>
      </c>
      <c r="D9" s="29" t="inlineStr">
        <is>
          <t>Agencia Estatal Boletín Oficial del Estado (BOE)</t>
        </is>
      </c>
      <c r="E9" s="29" t="inlineStr">
        <is>
          <t>https://www.boe.es/buscar/doc.php?id=BOE-A-2025-12056</t>
        </is>
      </c>
      <c r="F9" s="49" t="n">
        <v>46319</v>
      </c>
      <c r="G9" s="29" t="inlineStr">
        <is>
          <t>sevilla:oturum</t>
        </is>
      </c>
      <c r="H9" s="29" t="inlineStr">
        <is>
          <t>Kart 7 ücret: aile birleşimi tasası 10,94 EUR (Orden PJC/617/2025, 16.06.2025'ten beri; RD 316/2026 buna atıf yapıyor, yenisi bulunamadı)</t>
        </is>
      </c>
      <c r="I9" s="29" t="inlineStr">
        <is>
          <t>Evet</t>
        </is>
      </c>
      <c r="J9" s="29" t="inlineStr">
        <is>
          <t>Lisans kanıtları/3bfdcf55ef3d00c3986989886f8f289d1c3d82b16166f4e0a26d4160feacc248.html</t>
        </is>
      </c>
      <c r="K9" s="29" t="inlineStr">
        <is>
          <t>3bfdcf55ef3d00c3986989886f8f289d1c3d82b16166f4e0a26d4160feacc248</t>
        </is>
      </c>
    </row>
    <row r="10" ht="54" customHeight="1">
      <c r="A10" s="29" t="inlineStr">
        <is>
          <t>sevilla:kaynak:003</t>
        </is>
      </c>
      <c r="B10" s="29" t="inlineStr">
        <is>
          <t>sevilla</t>
        </is>
      </c>
      <c r="C10" s="29" t="inlineStr">
        <is>
          <t>Extranjería - Certificado de Registro de Ciudadano de la Unión Europea - Sede Electrónica de la Policía Nacional</t>
        </is>
      </c>
      <c r="D10" s="29" t="inlineStr">
        <is>
          <t>Dirección General de la Policía (Policía Nacional) - Sede electrónica</t>
        </is>
      </c>
      <c r="E10" s="29" t="inlineStr">
        <is>
          <t>https://sede.policia.gob.es/portalCiudadano/_es/tramites_extranjeria_tramite_certificadoregistro_ciudadanoue.php</t>
        </is>
      </c>
      <c r="F10" s="49" t="n">
        <v>46319</v>
      </c>
      <c r="G10" s="29" t="inlineStr">
        <is>
          <t>sevilla:oturum</t>
        </is>
      </c>
      <c r="H10" s="29" t="inlineStr">
        <is>
          <t>Kart 1 ve 2: AB vatandaşı kayıt sertifikası (yeşil NIE): 3 ay içinde, anında verilir, EX18 + tasa 790-012, sertifikada NIE yer alır</t>
        </is>
      </c>
      <c r="I10" s="29" t="inlineStr">
        <is>
          <t>Evet</t>
        </is>
      </c>
      <c r="J10" s="29" t="inlineStr">
        <is>
          <t>Lisans kanıtları/4b0400f02808e37dfe79c80c2f63bde7cceac00cfa07e1500136c61f165a34ea.html</t>
        </is>
      </c>
      <c r="K10" s="29" t="inlineStr">
        <is>
          <t>4b0400f02808e37dfe79c80c2f63bde7cceac00cfa07e1500136c61f165a34ea</t>
        </is>
      </c>
    </row>
    <row r="11" ht="54" customHeight="1">
      <c r="A11" s="29" t="inlineStr">
        <is>
          <t>sevilla:kaynak:004</t>
        </is>
      </c>
      <c r="B11" s="29" t="inlineStr">
        <is>
          <t>sevilla</t>
        </is>
      </c>
      <c r="C11" s="29" t="inlineStr">
        <is>
          <t>Tasas de trámites de extranjería (Sede electrónica). Sitio web de la Policía Nacional España</t>
        </is>
      </c>
      <c r="D11" s="29" t="inlineStr">
        <is>
          <t>Dirección General de la Policía (Policía Nacional) - Sede electrónica</t>
        </is>
      </c>
      <c r="E11" s="29" t="inlineStr">
        <is>
          <t>https://sede.policia.gob.es/portalCiudadano/_es/tramites_extranjeria_tasas.php</t>
        </is>
      </c>
      <c r="F11" s="49" t="n">
        <v>46319</v>
      </c>
      <c r="G11" s="29" t="inlineStr">
        <is>
          <t>sevilla:oturum</t>
        </is>
      </c>
      <c r="H11" s="29" t="inlineStr">
        <is>
          <t>Kart 2, 4, 6, 15 ücretler (sayfa 24.10.2026 tarihinde güncel, yıl etiketi yok; tutarlar Orden PJC/617/2025 ile aynı): AB kayıt sertifikası 12,00 EUR; TIE ilk 16,08; TIE yenileme 19,30; Brexit TIE 12,00</t>
        </is>
      </c>
      <c r="I11" s="29" t="inlineStr">
        <is>
          <t>Evet</t>
        </is>
      </c>
      <c r="J11" s="29" t="inlineStr">
        <is>
          <t>Lisans kanıtları/49fa384a5d2f0bdbb002b96ec7e0e11979ba77e29deda39e53832333cda3f1f5.html</t>
        </is>
      </c>
      <c r="K11" s="29" t="inlineStr">
        <is>
          <t>49fa384a5d2f0bdbb002b96ec7e0e11979ba77e29deda39e53832333cda3f1f5</t>
        </is>
      </c>
    </row>
    <row r="12" ht="54" customHeight="1">
      <c r="A12" s="29" t="inlineStr">
        <is>
          <t>sevilla:kaynak:005</t>
        </is>
      </c>
      <c r="B12" s="29" t="inlineStr">
        <is>
          <t>sevilla</t>
        </is>
      </c>
      <c r="C12" s="29" t="inlineStr">
        <is>
          <t>BOE-A-2024-24099 Real Decreto 1155/2024, de 19 de noviembre, por el que se aprueba el Reglamento de la Ley Orgánica 4/2000, de 11 de enero, sobre derechos y libertades de los extra</t>
        </is>
      </c>
      <c r="D12" s="29" t="inlineStr">
        <is>
          <t>Agencia Estatal Boletín Oficial del Estado (BOE)</t>
        </is>
      </c>
      <c r="E12" s="29" t="inlineStr">
        <is>
          <t>https://www.boe.es/buscar/act.php?id=BOE-A-2024-24099</t>
        </is>
      </c>
      <c r="F12" s="49" t="n">
        <v>46319</v>
      </c>
      <c r="G12" s="29" t="inlineStr">
        <is>
          <t>sevilla:oturum</t>
        </is>
      </c>
      <c r="H12" s="29" t="inlineStr">
        <is>
          <t>Kart 6: yenileme süresi (bitişten önceki 2 ay, sonraki 3 ay içinde uzatma); konsolide metin 22/09/2026 güncel</t>
        </is>
      </c>
      <c r="I12" s="29" t="inlineStr">
        <is>
          <t>Evet</t>
        </is>
      </c>
      <c r="J12" s="29" t="inlineStr">
        <is>
          <t>Lisans kanıtları/5e089f91bc5332d4c5f27938f0351ca40faa08fefd4959e25458c7558e9789a6.html</t>
        </is>
      </c>
      <c r="K12" s="29" t="inlineStr">
        <is>
          <t>5e089f91bc5332d4c5f27938f0351ca40faa08fefd4959e25458c7558e9789a6</t>
        </is>
      </c>
    </row>
    <row r="13" ht="54" customHeight="1">
      <c r="A13" s="29" t="inlineStr">
        <is>
          <t>sevilla:kaynak:006</t>
        </is>
      </c>
      <c r="B13" s="29" t="inlineStr">
        <is>
          <t>sevilla</t>
        </is>
      </c>
      <c r="C13" s="29" t="inlineStr">
        <is>
          <t>BOE-A-2007-4184 Real Decreto 240/2007, de 16 de febrero, sobre entrada, libre circulación y residencia en España de ciudadanos de los Estados miembros de la Unión Europea y de otro</t>
        </is>
      </c>
      <c r="D13" s="29" t="inlineStr">
        <is>
          <t>Agencia Estatal Boletín Oficial del Estado (BOE)</t>
        </is>
      </c>
      <c r="E13" s="29" t="inlineStr">
        <is>
          <t>https://www.boe.es/buscar/act.php?id=BOE-A-2007-4184</t>
        </is>
      </c>
      <c r="F13" s="49" t="n">
        <v>46319</v>
      </c>
      <c r="G13" s="29" t="inlineStr">
        <is>
          <t>sevilla:oturum</t>
        </is>
      </c>
      <c r="H13" s="29" t="inlineStr">
        <is>
          <t>Kart 5: AB vatandaşı işçi/serbest çalışan olarak 3 aydan uzun kalabilir, İspanyollarla aynı koşullar (art. 3 ve 7)</t>
        </is>
      </c>
      <c r="I13" s="29" t="inlineStr">
        <is>
          <t>Evet</t>
        </is>
      </c>
      <c r="J13" s="29" t="inlineStr">
        <is>
          <t>Lisans kanıtları/17910f67ec73d74619247e9da1e4222672a46596aca8e705d1e98409eb9c0497.html</t>
        </is>
      </c>
      <c r="K13" s="29" t="inlineStr">
        <is>
          <t>17910f67ec73d74619247e9da1e4222672a46596aca8e705d1e98409eb9c0497</t>
        </is>
      </c>
    </row>
    <row r="14" ht="54" customHeight="1">
      <c r="A14" s="29" t="inlineStr">
        <is>
          <t>sevilla:kaynak:007</t>
        </is>
      </c>
      <c r="B14" s="29" t="inlineStr">
        <is>
          <t>sevilla</t>
        </is>
      </c>
      <c r="C14" s="29" t="inlineStr">
        <is>
          <t>Extranjería - Autorización y renovación residencia temporal por circunstancias excepcionales - Sede Electrónica de la Policía Nacional</t>
        </is>
      </c>
      <c r="D14" s="29" t="inlineStr">
        <is>
          <t>Dirección General de la Policía (Policía Nacional) - Sede electrónica</t>
        </is>
      </c>
      <c r="E14" s="29" t="inlineStr">
        <is>
          <t>https://sede.policia.gob.es/portalCiudadano/_es/tramites_extranjeria_tramite_residenciatemporal_circunstanciasexcepcionales.php</t>
        </is>
      </c>
      <c r="F14" s="49" t="n">
        <v>46319</v>
      </c>
      <c r="G14" s="29" t="inlineStr">
        <is>
          <t>sevilla:oturum</t>
        </is>
      </c>
      <c r="H14" s="29" t="inlineStr">
        <is>
          <t>Kart 9: arraigo başvurusu EX10 + tasa 790-012, şartlar RD 1155/2024 Título VII</t>
        </is>
      </c>
      <c r="I14" s="29" t="inlineStr">
        <is>
          <t>Evet</t>
        </is>
      </c>
      <c r="J14" s="29" t="inlineStr">
        <is>
          <t>Lisans kanıtları/5d3b72ce1509a66ca2f594b1c5d83d679b307298226409c53c36c60cf5105b6d.html</t>
        </is>
      </c>
      <c r="K14" s="29" t="inlineStr">
        <is>
          <t>5d3b72ce1509a66ca2f594b1c5d83d679b307298226409c53c36c60cf5105b6d</t>
        </is>
      </c>
    </row>
    <row r="15" ht="54" customHeight="1">
      <c r="A15" s="29" t="inlineStr">
        <is>
          <t>sevilla:kaynak:008</t>
        </is>
      </c>
      <c r="B15" s="29" t="inlineStr">
        <is>
          <t>sevilla</t>
        </is>
      </c>
      <c r="C15" s="29" t="inlineStr">
        <is>
          <t>Requisitos Visado Nómadas</t>
        </is>
      </c>
      <c r="D15" s="29" t="inlineStr">
        <is>
          <t>Ministerio de Asuntos Exteriores, Unión Europea y Cooperación (Consulado General en Estambul)</t>
        </is>
      </c>
      <c r="E15" s="29" t="inlineStr">
        <is>
          <t>https://www.exteriores.gob.es/Consulados/estambul/es/Comunicacion/Noticias/Paginas/Articulos/Requisitos-Visado-Teletrabajo.aspx</t>
        </is>
      </c>
      <c r="F15" s="49" t="n">
        <v>46319</v>
      </c>
      <c r="G15" s="29" t="inlineStr">
        <is>
          <t>sevilla:oturum</t>
        </is>
      </c>
      <c r="H15" s="29" t="inlineStr">
        <is>
          <t>Kart 10 gelir eşiği: SMI'nin %200'ü (aile: ilk kişi %75, diğerleri %25); sayfa tarihi 7 Ocak 2025, 2026 SMI rakamı sayfada yok</t>
        </is>
      </c>
      <c r="I15" s="29" t="inlineStr">
        <is>
          <t>Evet</t>
        </is>
      </c>
      <c r="J15" s="29" t="inlineStr">
        <is>
          <t>Lisans kanıtları/0b16e2f5b518dabc9ddf8fa297df720813d778b0abe87ff192578eb832e9ef8a.html</t>
        </is>
      </c>
      <c r="K15" s="29" t="inlineStr">
        <is>
          <t>0b16e2f5b518dabc9ddf8fa297df720813d778b0abe87ff192578eb832e9ef8a</t>
        </is>
      </c>
    </row>
    <row r="16" ht="54" customHeight="1">
      <c r="A16" s="29" t="inlineStr">
        <is>
          <t>sevilla:kaynak:009</t>
        </is>
      </c>
      <c r="B16" s="29" t="inlineStr">
        <is>
          <t>sevilla</t>
        </is>
      </c>
      <c r="C16" s="29" t="inlineStr">
        <is>
          <t>BOE-A-2026-3815 Real Decreto 126/2026, de 18 de febrero, por el que se fija el salario mínimo interprofesional para 2026.</t>
        </is>
      </c>
      <c r="D16" s="29" t="inlineStr">
        <is>
          <t>Boletín Oficial del Estado</t>
        </is>
      </c>
      <c r="E16" s="29" t="inlineStr">
        <is>
          <t>https://www.boe.es/diario_boe/txt.php?id=BOE-A-2026-3815</t>
        </is>
      </c>
      <c r="F16" s="49" t="n">
        <v>46319</v>
      </c>
      <c r="G16" s="29" t="inlineStr">
        <is>
          <t>sevilla:oturum</t>
        </is>
      </c>
      <c r="H16" s="29" t="inlineStr">
        <is>
          <t>2026 asgari ücret tutarı (dijital göçebe vizesi gelir şartı için).</t>
        </is>
      </c>
      <c r="I16" s="29" t="inlineStr">
        <is>
          <t>Evet</t>
        </is>
      </c>
      <c r="J16" s="29" t="inlineStr">
        <is>
          <t>Lisans kanıtları/a88d31e5dce050c16ee9d9ef701dc59bf5b839b2d1e2bbcc5349d3cf350601b6.html</t>
        </is>
      </c>
      <c r="K16" s="29" t="inlineStr">
        <is>
          <t>a88d31e5dce050c16ee9d9ef701dc59bf5b839b2d1e2bbcc5349d3cf350601b6</t>
        </is>
      </c>
    </row>
    <row r="17" ht="54" customHeight="1">
      <c r="A17" s="29" t="inlineStr">
        <is>
          <t>sevilla:kaynak:010</t>
        </is>
      </c>
      <c r="B17" s="29" t="inlineStr">
        <is>
          <t>sevilla</t>
        </is>
      </c>
      <c r="C17" s="29" t="inlineStr">
        <is>
          <t>Servicios consulares</t>
        </is>
      </c>
      <c r="D17" s="29" t="inlineStr">
        <is>
          <t>Ministerio de Asuntos Exteriores, Consulado General de España en Estambul</t>
        </is>
      </c>
      <c r="E17" s="29" t="inlineStr">
        <is>
          <t>https://www.exteriores.gob.es/Consulados/estambul/es/ServiciosConsulares/Paginas/index.aspx?scca=Visados&amp;scco=Turqu%C3%ADa&amp;scd=141&amp;scs=Visados+Nacionales+-+Visado+de+residencia+no+lucrativa</t>
        </is>
      </c>
      <c r="F17" s="49" t="n">
        <v>46319</v>
      </c>
      <c r="G17" s="29" t="inlineStr">
        <is>
          <t>sevilla:oturum</t>
        </is>
      </c>
      <c r="H17" s="29" t="inlineStr">
        <is>
          <t>İstanbul Başkonsolosluğu'nun NLV şartları ve başvuru yolu.</t>
        </is>
      </c>
      <c r="I17" s="29" t="inlineStr">
        <is>
          <t>Evet</t>
        </is>
      </c>
      <c r="J17" s="29" t="inlineStr">
        <is>
          <t>Lisans kanıtları/894bd3ef10fca2eaa4ec3bb8f19f8f0f7af06f6d11e083622b3b93dc5769f3ff.html</t>
        </is>
      </c>
      <c r="K17" s="29" t="inlineStr">
        <is>
          <t>894bd3ef10fca2eaa4ec3bb8f19f8f0f7af06f6d11e083622b3b93dc5769f3ff</t>
        </is>
      </c>
    </row>
    <row r="18" ht="54" customHeight="1">
      <c r="A18" s="29" t="inlineStr">
        <is>
          <t>sevilla:kaynak:011</t>
        </is>
      </c>
      <c r="B18" s="29" t="inlineStr">
        <is>
          <t>sevilla</t>
        </is>
      </c>
      <c r="C18" s="29" t="inlineStr">
        <is>
          <t>Non-lucrative residence visa</t>
        </is>
      </c>
      <c r="D18" s="29" t="inlineStr">
        <is>
          <t>Ministerio de Asuntos Exteriores, Unión Europea y Cooperación (Embajada en Nueva Delhi)</t>
        </is>
      </c>
      <c r="E18" s="29" t="inlineStr">
        <is>
          <t>https://www.exteriores.gob.es/Embajadas/nuevadelhi/en/ServiciosConsulares/Paginas/Consular/Visado-de-residencia-no-lucrativa.aspx</t>
        </is>
      </c>
      <c r="F18" s="49" t="n">
        <v>46319</v>
      </c>
      <c r="G18" s="29" t="inlineStr">
        <is>
          <t>sevilla:oturum</t>
        </is>
      </c>
      <c r="H18" s="29" t="inlineStr">
        <is>
          <t>Kart 11 gelir eşiği: IPREM %400 = 2.400 EUR/ay (2026), aile bireyi başına 600 EUR; sayfa 2026 yılını açıkça yazıyor (sayfa İngilizce)</t>
        </is>
      </c>
      <c r="I18" s="29" t="inlineStr">
        <is>
          <t>Evet</t>
        </is>
      </c>
      <c r="J18" s="29" t="inlineStr">
        <is>
          <t>Lisans kanıtları/9672ef220f15ec089885a85495831fa005f819140fb9394c31b9bb5ac8b3b11c.html</t>
        </is>
      </c>
      <c r="K18" s="29" t="inlineStr">
        <is>
          <t>9672ef220f15ec089885a85495831fa005f819140fb9394c31b9bb5ac8b3b11c</t>
        </is>
      </c>
    </row>
    <row r="19" ht="54" customHeight="1">
      <c r="A19" s="29" t="inlineStr">
        <is>
          <t>sevilla:kaynak:012</t>
        </is>
      </c>
      <c r="B19" s="29" t="inlineStr">
        <is>
          <t>sevilla</t>
        </is>
      </c>
      <c r="C19" s="29" t="inlineStr">
        <is>
          <t>BOE-A-2025-76 Ley Orgánica 1/2025, de 2 de enero, de medidas en materia de eficiencia del Servicio Público de Justicia.</t>
        </is>
      </c>
      <c r="D19" s="29" t="inlineStr">
        <is>
          <t>Agencia Estatal Boletín Oficial del Estado (BOE)</t>
        </is>
      </c>
      <c r="E19" s="29" t="inlineStr">
        <is>
          <t>https://www.boe.es/buscar/act.php?id=BOE-A-2025-76</t>
        </is>
      </c>
      <c r="F19" s="49" t="n">
        <v>46319</v>
      </c>
      <c r="G19" s="29" t="inlineStr">
        <is>
          <t>sevilla:oturum</t>
        </is>
      </c>
      <c r="H19" s="29" t="inlineStr">
        <is>
          <t>Kart 12: yatırımcı/altın vize (Ley 14/2013 art. 63-67) yürürlükten kalktı; yürürlük 03/04/2025</t>
        </is>
      </c>
      <c r="I19" s="29" t="inlineStr">
        <is>
          <t>Evet</t>
        </is>
      </c>
      <c r="J19" s="29" t="inlineStr">
        <is>
          <t>Lisans kanıtları/e1ff140b426ba22a087a5a261cb8ffa04b512fef654677c9cd2163e3628344fa.html</t>
        </is>
      </c>
      <c r="K19" s="29" t="inlineStr">
        <is>
          <t>e1ff140b426ba22a087a5a261cb8ffa04b512fef654677c9cd2163e3628344fa</t>
        </is>
      </c>
    </row>
    <row r="20" ht="54" customHeight="1">
      <c r="A20" s="29" t="inlineStr">
        <is>
          <t>sevilla:kaynak:013</t>
        </is>
      </c>
      <c r="B20" s="29" t="inlineStr">
        <is>
          <t>sevilla</t>
        </is>
      </c>
      <c r="C20" s="29" t="inlineStr">
        <is>
          <t>La Moncloa. El 3 de abril entra en vigor el fin de las 'Golden Visa' | 02/04/2025 [Prensa/Actualidad/Vivienda y Agenda Urbana]</t>
        </is>
      </c>
      <c r="D20" s="29" t="inlineStr">
        <is>
          <t>La Moncloa - Gobierno de España</t>
        </is>
      </c>
      <c r="E20" s="29" t="inlineStr">
        <is>
          <t>https://www.lamoncloa.gob.es/serviciosdeprensa/notasprensa/vivienda-agenda-urbana/paginas/2025/020425-fin-golden-visa.aspx</t>
        </is>
      </c>
      <c r="F20" s="49" t="n">
        <v>46319</v>
      </c>
      <c r="G20" s="29" t="inlineStr">
        <is>
          <t>sevilla:oturum</t>
        </is>
      </c>
      <c r="H20" s="29" t="inlineStr">
        <is>
          <t>Kart 12: resmi basın notu 02/04/2025, golden visa 3 Nisan 2025'te sona erdi</t>
        </is>
      </c>
      <c r="I20" s="29" t="inlineStr">
        <is>
          <t>Evet</t>
        </is>
      </c>
      <c r="J20" s="29" t="inlineStr">
        <is>
          <t>Lisans kanıtları/4183a8be0a21993076e5a45854fd7c9c42dba3da84f3054a007e584e3698cae3.html</t>
        </is>
      </c>
      <c r="K20" s="29" t="inlineStr">
        <is>
          <t>4183a8be0a21993076e5a45854fd7c9c42dba3da84f3054a007e584e3698cae3</t>
        </is>
      </c>
    </row>
    <row r="21" ht="54" customHeight="1">
      <c r="A21" s="29" t="inlineStr">
        <is>
          <t>sevilla:kaynak:014</t>
        </is>
      </c>
      <c r="B21" s="29" t="inlineStr">
        <is>
          <t>sevilla</t>
        </is>
      </c>
      <c r="C21" s="29" t="inlineStr">
        <is>
          <t>BOE-A-1889-4763 Real Decreto de 24 de julio de 1889 por el que se publica el Código Civil.</t>
        </is>
      </c>
      <c r="D21" s="29" t="inlineStr">
        <is>
          <t>Agencia Estatal Boletín Oficial del Estado (BOE)</t>
        </is>
      </c>
      <c r="E21" s="29" t="inlineStr">
        <is>
          <t>https://www.boe.es/buscar/act.php?id=BOE-A-1889-4763</t>
        </is>
      </c>
      <c r="F21" s="49" t="n">
        <v>46319</v>
      </c>
      <c r="G21" s="29" t="inlineStr">
        <is>
          <t>sevilla:oturum</t>
        </is>
      </c>
      <c r="H21" s="29" t="inlineStr">
        <is>
          <t>Kart 14: vatandaşlık için 10 yıl (mülteci 5; İberoamerika/Andorra/Filipinler/Ekvator Ginesi/Portekiz/Sefarad 2 yıl)</t>
        </is>
      </c>
      <c r="I21" s="29" t="inlineStr">
        <is>
          <t>Evet</t>
        </is>
      </c>
      <c r="J21" s="29" t="inlineStr">
        <is>
          <t>Lisans kanıtları/b128a04d0de811a5533a933653e17871077bf5440787ab0f32b23f5b9e21886d.html</t>
        </is>
      </c>
      <c r="K21" s="29" t="inlineStr">
        <is>
          <t>b128a04d0de811a5533a933653e17871077bf5440787ab0f32b23f5b9e21886d</t>
        </is>
      </c>
    </row>
    <row r="22" ht="54" customHeight="1">
      <c r="A22" s="29" t="inlineStr">
        <is>
          <t>sevilla:kaynak:015</t>
        </is>
      </c>
      <c r="B22" s="29" t="inlineStr">
        <is>
          <t>sevilla</t>
        </is>
      </c>
      <c r="C22" s="29" t="inlineStr">
        <is>
          <t>BOE-A-2015-12047 Real Decreto 1004/2015, de 6 de noviembre, por el que se aprueba el Reglamento por el que se regula el procedimiento para la adquisición de la nacionalidad español</t>
        </is>
      </c>
      <c r="D22" s="29" t="inlineStr">
        <is>
          <t>Boletín Oficial del Estado</t>
        </is>
      </c>
      <c r="E22" s="29" t="inlineStr">
        <is>
          <t>https://www.boe.es/buscar/act.php?id=BOE-A-2015-12047</t>
        </is>
      </c>
      <c r="F22" s="49" t="n">
        <v>46319</v>
      </c>
      <c r="G22" s="29" t="inlineStr">
        <is>
          <t>sevilla:oturum</t>
        </is>
      </c>
      <c r="H22" s="29" t="inlineStr">
        <is>
          <t>Vatandaşlıkta DELE A2 ve CCSE sınavı şartı.</t>
        </is>
      </c>
      <c r="I22" s="29" t="inlineStr">
        <is>
          <t>Evet</t>
        </is>
      </c>
      <c r="J22" s="29" t="inlineStr">
        <is>
          <t>Lisans kanıtları/cbbcf4d994205d4f9b3a3866ea9eb0c871d0d400fea2b11248f37c86b8900991.html</t>
        </is>
      </c>
      <c r="K22" s="29" t="inlineStr">
        <is>
          <t>cbbcf4d994205d4f9b3a3866ea9eb0c871d0d400fea2b11248f37c86b8900991</t>
        </is>
      </c>
    </row>
    <row r="23" ht="54" customHeight="1">
      <c r="A23" s="29" t="inlineStr">
        <is>
          <t>sevilla:kaynak:016</t>
        </is>
      </c>
      <c r="B23" s="29" t="inlineStr">
        <is>
          <t>sevilla</t>
        </is>
      </c>
      <c r="C23" s="29" t="inlineStr">
        <is>
          <t>BOE-A-2020-7276 Resolución de 2 de julio de 2020, de la Subsecretaría, por la que se publica la Instrucción conjunta de la Dirección General de Migraciones y de la Dirección Genera</t>
        </is>
      </c>
      <c r="D23" s="29" t="inlineStr">
        <is>
          <t>Agencia Estatal Boletín Oficial del Estado (BOE)</t>
        </is>
      </c>
      <c r="E23" s="29" t="inlineStr">
        <is>
          <t>https://www.boe.es/diario_boe/txt.php?id=BOE-A-2020-7276</t>
        </is>
      </c>
      <c r="F23" s="49" t="n">
        <v>46319</v>
      </c>
      <c r="G23" s="29" t="inlineStr">
        <is>
          <t>sevilla:oturum</t>
        </is>
      </c>
      <c r="H23" s="29" t="inlineStr">
        <is>
          <t>Kart 15: Brexit sonrası İngiliz vatandaşı için Geri Çekilme Anlaşması art. 18.4 ikamet belgesi (2020 talimatı; ücret tasas sayfasında)</t>
        </is>
      </c>
      <c r="I23" s="29" t="inlineStr">
        <is>
          <t>Evet</t>
        </is>
      </c>
      <c r="J23" s="29" t="inlineStr">
        <is>
          <t>Lisans kanıtları/9c9ffb0d0ed4f74c698d2ed6087b0b1e81058f060b14451b8cace53f0380752d.html</t>
        </is>
      </c>
      <c r="K23" s="29" t="inlineStr">
        <is>
          <t>9c9ffb0d0ed4f74c698d2ed6087b0b1e81058f060b14451b8cace53f0380752d</t>
        </is>
      </c>
    </row>
    <row r="24" ht="54" customHeight="1">
      <c r="A24" s="29" t="inlineStr">
        <is>
          <t>sevilla:kaynak:017</t>
        </is>
      </c>
      <c r="B24" s="29" t="inlineStr">
        <is>
          <t>sevilla</t>
        </is>
      </c>
      <c r="C24" s="29" t="inlineStr">
        <is>
          <t>BOE-A-1985-5392 Ley 7/1985, de 2 de abril, Reguladora de las Bases del Régimen Local</t>
        </is>
      </c>
      <c r="D24" s="29" t="inlineStr">
        <is>
          <t>Agencia Estatal Boletín Oficial del Estado (BOE)</t>
        </is>
      </c>
      <c r="E24" s="29" t="inlineStr">
        <is>
          <t>https://www.boe.es/buscar/act.php?id=BOE-A-1985-5392</t>
        </is>
      </c>
      <c r="F24" s="49" t="n">
        <v>46319</v>
      </c>
      <c r="G24" s="29" t="inlineStr">
        <is>
          <t>sevilla:resmi</t>
        </is>
      </c>
      <c r="H24" s="29" t="inlineStr">
        <is>
          <t>Kart 1: empadronamiento zorunlu; padrón belediye idari kaydı, ikametin kanıtı</t>
        </is>
      </c>
      <c r="I24" s="29" t="inlineStr">
        <is>
          <t>Evet</t>
        </is>
      </c>
      <c r="J24" s="29" t="inlineStr">
        <is>
          <t>Lisans kanıtları/c60f69f4fe90497e33ed040a89d04a2b7059273e34ffd1493ab9faaa0fd1decd.html</t>
        </is>
      </c>
      <c r="K24" s="29" t="inlineStr">
        <is>
          <t>c60f69f4fe90497e33ed040a89d04a2b7059273e34ffd1493ab9faaa0fd1decd</t>
        </is>
      </c>
    </row>
    <row r="25" ht="54" customHeight="1">
      <c r="A25" s="29" t="inlineStr">
        <is>
          <t>sevilla:kaynak:018</t>
        </is>
      </c>
      <c r="B25" s="29" t="inlineStr">
        <is>
          <t>sevilla</t>
        </is>
      </c>
      <c r="C25" s="29" t="inlineStr">
        <is>
          <t>BOE-A-2020-4784 Resolución de 29 de abril de 2020, de la Subsecretaría, por la que se publica la Resolución de 17 de febrero de 2020, de la Presidencia del Instituto Nacional de Es</t>
        </is>
      </c>
      <c r="D25" s="29" t="inlineStr">
        <is>
          <t>Agencia Estatal Boletín Oficial del Estado (BOE)</t>
        </is>
      </c>
      <c r="E25" s="29" t="inlineStr">
        <is>
          <t>https://www.boe.es/buscar/doc.php?id=BOE-A-2020-4784</t>
        </is>
      </c>
      <c r="F25" s="49" t="n">
        <v>46319</v>
      </c>
      <c r="G25" s="29" t="inlineStr">
        <is>
          <t>sevilla:resmi</t>
        </is>
      </c>
      <c r="H25" s="29" t="inlineStr">
        <is>
          <t>Kart 2: certificado (kesin kanıt) ile volante (yalnız bilgilendirici) farkı</t>
        </is>
      </c>
      <c r="I25" s="29" t="inlineStr">
        <is>
          <t>Evet</t>
        </is>
      </c>
      <c r="J25" s="29" t="inlineStr">
        <is>
          <t>Lisans kanıtları/368697ed87bc228f3fa50f95f6d93d47537da5dd31dabcb9ab26acf35dc11416.html</t>
        </is>
      </c>
      <c r="K25" s="29" t="inlineStr">
        <is>
          <t>368697ed87bc228f3fa50f95f6d93d47537da5dd31dabcb9ab26acf35dc11416</t>
        </is>
      </c>
    </row>
    <row r="26" ht="54" customHeight="1">
      <c r="A26" s="29" t="inlineStr">
        <is>
          <t>sevilla:kaynak:019</t>
        </is>
      </c>
      <c r="B26" s="29" t="inlineStr">
        <is>
          <t>sevilla</t>
        </is>
      </c>
      <c r="C26" s="29" t="inlineStr">
        <is>
          <t>Seguridad Social: Afiliación</t>
        </is>
      </c>
      <c r="D26" s="29" t="inlineStr">
        <is>
          <t>Seguridad Social (Tesorería General de la Seguridad Social)</t>
        </is>
      </c>
      <c r="E26" s="29" t="inlineStr">
        <is>
          <t>https://www.seg-social.es/wps/portal/wss/internet/Trabajadores/Afiliacion/10817/31190/2194/160060?changeLanguage=es</t>
        </is>
      </c>
      <c r="F26" s="49" t="n">
        <v>46319</v>
      </c>
      <c r="G26" s="29" t="inlineStr">
        <is>
          <t>sevilla:resmi</t>
        </is>
      </c>
      <c r="H26" s="29" t="inlineStr">
        <is>
          <t>Kart 3: SS numarası çevrimiçi servis veya TA.1 formu ile</t>
        </is>
      </c>
      <c r="I26" s="29" t="inlineStr">
        <is>
          <t>Evet</t>
        </is>
      </c>
      <c r="J26" s="29" t="inlineStr">
        <is>
          <t>Lisans kanıtları/3b2400542e4e5bdd299a40439c1cdd1e64b521d1080c78b54b558c40e1446cdf.html</t>
        </is>
      </c>
      <c r="K26" s="29" t="inlineStr">
        <is>
          <t>3b2400542e4e5bdd299a40439c1cdd1e64b521d1080c78b54b558c40e1446cdf</t>
        </is>
      </c>
    </row>
    <row r="27" ht="54" customHeight="1">
      <c r="A27" s="29" t="inlineStr">
        <is>
          <t>sevilla:kaynak:020</t>
        </is>
      </c>
      <c r="B27" s="29" t="inlineStr">
        <is>
          <t>sevilla</t>
        </is>
      </c>
      <c r="C27" s="29" t="inlineStr">
        <is>
          <t>Categorias</t>
        </is>
      </c>
      <c r="D27" s="29" t="inlineStr">
        <is>
          <t>Seguridad Social - Tesorería General (Import@ss)</t>
        </is>
      </c>
      <c r="E27" s="29" t="inlineStr">
        <is>
          <t>https://portal.seg-social.gob.es/wps/portal/importass/importass/Categorias/Vida+laboral+e+informes/Informes+sobre+tu+situacion+laboral/Informe+de+tu+vida+laboral</t>
        </is>
      </c>
      <c r="F27" s="49" t="n">
        <v>46319</v>
      </c>
      <c r="G27" s="29" t="inlineStr">
        <is>
          <t>sevilla:resmi</t>
        </is>
      </c>
      <c r="H27" s="29" t="inlineStr">
        <is>
          <t>Kart 4: vida laboral raporu ne ve hangi kimlik doğrulamayla alınır</t>
        </is>
      </c>
      <c r="I27" s="29" t="inlineStr">
        <is>
          <t>Evet</t>
        </is>
      </c>
      <c r="J27" s="29" t="inlineStr">
        <is>
          <t>Lisans kanıtları/d532fcd15b230c0ce05a3747da15ebb81e8b1547b35f8e8312d7f5e9dd73a799.html</t>
        </is>
      </c>
      <c r="K27" s="29" t="inlineStr">
        <is>
          <t>d532fcd15b230c0ce05a3747da15ebb81e8b1547b35f8e8312d7f5e9dd73a799</t>
        </is>
      </c>
    </row>
    <row r="28" ht="54" customHeight="1">
      <c r="A28" s="29" t="inlineStr">
        <is>
          <t>sevilla:kaynak:021</t>
        </is>
      </c>
      <c r="B28" s="29" t="inlineStr">
        <is>
          <t>sevilla</t>
        </is>
      </c>
      <c r="C28" s="29" t="inlineStr">
        <is>
          <t>Agencia Tributaria: NIF Persona física</t>
        </is>
      </c>
      <c r="D28" s="29" t="inlineStr">
        <is>
          <t>Agencia Tributaria (AEAT)</t>
        </is>
      </c>
      <c r="E28" s="29" t="inlineStr">
        <is>
          <t>https://sede.agenciatributaria.gob.es/Sede/censos-nif-domicilio-fiscal/solicitar-nif/nif-persona-fisica.html</t>
        </is>
      </c>
      <c r="F28" s="49" t="n">
        <v>46319</v>
      </c>
      <c r="G28" s="29" t="inlineStr">
        <is>
          <t>sevilla:resmi</t>
        </is>
      </c>
      <c r="H28" s="29" t="inlineStr">
        <is>
          <t>Kart 5: NIE yoksa vergi numarası (NIF) AEAT'tan; NIE varsa NIF=NIE</t>
        </is>
      </c>
      <c r="I28" s="29" t="inlineStr">
        <is>
          <t>Evet</t>
        </is>
      </c>
      <c r="J28" s="29" t="inlineStr">
        <is>
          <t>Lisans kanıtları/c2ecdbc7bbd8dbfa1f836abfa6f014a3869c697ebf40be683c85f5a6ac63c8a6.html</t>
        </is>
      </c>
      <c r="K28" s="29" t="inlineStr">
        <is>
          <t>c2ecdbc7bbd8dbfa1f836abfa6f014a3869c697ebf40be683c85f5a6ac63c8a6</t>
        </is>
      </c>
    </row>
    <row r="29" ht="54" customHeight="1">
      <c r="A29" s="29" t="inlineStr">
        <is>
          <t>sevilla:kaynak:022</t>
        </is>
      </c>
      <c r="B29" s="29" t="inlineStr">
        <is>
          <t>sevilla</t>
        </is>
      </c>
      <c r="C29" s="29" t="inlineStr">
        <is>
          <t>Cl@ve | ¿Qué es Cl@ve Permanente?</t>
        </is>
      </c>
      <c r="D29" s="29" t="inlineStr">
        <is>
          <t>Gobierno de España - Cl@ve (clave.gob.es)</t>
        </is>
      </c>
      <c r="E29" s="29" t="inlineStr">
        <is>
          <t>https://clave.gob.es/clave-permanente/que-es</t>
        </is>
      </c>
      <c r="F29" s="49" t="n">
        <v>46319</v>
      </c>
      <c r="G29" s="29" t="inlineStr">
        <is>
          <t>sevilla:resmi</t>
        </is>
      </c>
      <c r="H29" s="29" t="inlineStr">
        <is>
          <t>Kart 6: Cl@ve Permanente kalıcı şifre ile (DNI/NIE + şifre)</t>
        </is>
      </c>
      <c r="I29" s="29" t="inlineStr">
        <is>
          <t>Evet</t>
        </is>
      </c>
      <c r="J29" s="29" t="inlineStr">
        <is>
          <t>Lisans kanıtları/60fac516ad088d98c87e1ffc38244027147f93f51b0a9f56186556f5f91c32b1.html</t>
        </is>
      </c>
      <c r="K29" s="29" t="inlineStr">
        <is>
          <t>60fac516ad088d98c87e1ffc38244027147f93f51b0a9f56186556f5f91c32b1</t>
        </is>
      </c>
    </row>
    <row r="30" ht="54" customHeight="1">
      <c r="A30" s="29" t="inlineStr">
        <is>
          <t>sevilla:kaynak:023</t>
        </is>
      </c>
      <c r="B30" s="29" t="inlineStr">
        <is>
          <t>sevilla</t>
        </is>
      </c>
      <c r="C30" s="29" t="inlineStr">
        <is>
          <t>Cl@ve | The Cl@ve app</t>
        </is>
      </c>
      <c r="D30" s="29" t="inlineStr">
        <is>
          <t>Gobierno de España, Cl@ve</t>
        </is>
      </c>
      <c r="E30" s="29" t="inlineStr">
        <is>
          <t>https://clave.gob.es/en/clave-movil/app-clave</t>
        </is>
      </c>
      <c r="F30" s="49" t="n">
        <v>46319</v>
      </c>
      <c r="G30" s="29" t="inlineStr">
        <is>
          <t>sevilla:oturum</t>
        </is>
      </c>
      <c r="H30" s="29" t="inlineStr">
        <is>
          <t>Eski Cl@ve PIN uygulamasının yeni Cl@ve uygulamasına dönüşmesi ve Cl@ve Móvil.</t>
        </is>
      </c>
      <c r="I30" s="29" t="inlineStr">
        <is>
          <t>Evet</t>
        </is>
      </c>
      <c r="J30" s="29" t="inlineStr">
        <is>
          <t>Lisans kanıtları/c15a7ebe11d4d9349d6a0df1dff04536d7690f5c222c937283e78615c293ac59.html</t>
        </is>
      </c>
      <c r="K30" s="29" t="inlineStr">
        <is>
          <t>c15a7ebe11d4d9349d6a0df1dff04536d7690f5c222c937283e78615c293ac59</t>
        </is>
      </c>
    </row>
    <row r="31" ht="54" customHeight="1">
      <c r="A31" s="29" t="inlineStr">
        <is>
          <t>sevilla:kaynak:024</t>
        </is>
      </c>
      <c r="B31" s="29" t="inlineStr">
        <is>
          <t>sevilla</t>
        </is>
      </c>
      <c r="C31" s="29" t="inlineStr">
        <is>
          <t>Certificado con Acreditación Presencial - Sede</t>
        </is>
      </c>
      <c r="D31" s="29" t="inlineStr">
        <is>
          <t>Fábrica Nacional de Moneda y Timbre (FNMT)</t>
        </is>
      </c>
      <c r="E31" s="29" t="inlineStr">
        <is>
          <t>https://www.sede.fnmt.gob.es/certificados/persona-fisica/obtener-certificado-software</t>
        </is>
      </c>
      <c r="F31" s="49" t="n">
        <v>46319</v>
      </c>
      <c r="G31" s="29" t="inlineStr">
        <is>
          <t>sevilla:resmi</t>
        </is>
      </c>
      <c r="H31" s="29" t="inlineStr">
        <is>
          <t>Kart 7: FNMT sertifikası adımları (başvuru kodu, ofiste kimlik doğrulama, indirme)</t>
        </is>
      </c>
      <c r="I31" s="29" t="inlineStr">
        <is>
          <t>Evet</t>
        </is>
      </c>
      <c r="J31" s="29" t="inlineStr">
        <is>
          <t>Lisans kanıtları/f9fa6b466c9febeb87d5eb6f1b65c6e376e5194eb7b941e7efe9436b71597070.html</t>
        </is>
      </c>
      <c r="K31" s="29" t="inlineStr">
        <is>
          <t>f9fa6b466c9febeb87d5eb6f1b65c6e376e5194eb7b941e7efe9436b71597070</t>
        </is>
      </c>
    </row>
    <row r="32" ht="54" customHeight="1">
      <c r="A32" s="29" t="inlineStr">
        <is>
          <t>sevilla:kaynak:025</t>
        </is>
      </c>
      <c r="B32" s="29" t="inlineStr">
        <is>
          <t>sevilla</t>
        </is>
      </c>
      <c r="C32" s="29" t="inlineStr">
        <is>
          <t>Traductores/as - Intérpretes Jurados/as</t>
        </is>
      </c>
      <c r="D32" s="29" t="inlineStr">
        <is>
          <t>Ministerio de Asuntos Exteriores, Unión Europea y Cooperación</t>
        </is>
      </c>
      <c r="E32" s="29" t="inlineStr">
        <is>
          <t>https://www.exteriores.gob.es/es/ServiciosAlCiudadano/Paginas/Traductores-Interpretes-Jurados.aspx</t>
        </is>
      </c>
      <c r="F32" s="49" t="n">
        <v>46319</v>
      </c>
      <c r="G32" s="29" t="inlineStr">
        <is>
          <t>sevilla:resmi</t>
        </is>
      </c>
      <c r="H32" s="29" t="inlineStr">
        <is>
          <t>Kart 8: yeminli tercüme resmi geçerlidir; ücret serbest piyasa, sayfada tutar yok</t>
        </is>
      </c>
      <c r="I32" s="29" t="inlineStr">
        <is>
          <t>Evet</t>
        </is>
      </c>
      <c r="J32" s="29" t="inlineStr">
        <is>
          <t>Lisans kanıtları/15cf103501e9949d916abcf83589d731e0765f01108325dcb423cf656b06c6df.html</t>
        </is>
      </c>
      <c r="K32" s="29" t="inlineStr">
        <is>
          <t>15cf103501e9949d916abcf83589d731e0765f01108325dcb423cf656b06c6df</t>
        </is>
      </c>
    </row>
    <row r="33" ht="54" customHeight="1">
      <c r="A33" s="29" t="inlineStr">
        <is>
          <t>sevilla:kaynak:026</t>
        </is>
      </c>
      <c r="B33" s="29" t="inlineStr">
        <is>
          <t>sevilla</t>
        </is>
      </c>
      <c r="C33" s="29" t="inlineStr">
        <is>
          <t>Legalización Única o Apostilla de la Haya - Trámites y Gestiones Personales</t>
        </is>
      </c>
      <c r="D33" s="29" t="inlineStr">
        <is>
          <t>Ministerio de Justicia</t>
        </is>
      </c>
      <c r="E33" s="29" t="inlineStr">
        <is>
          <t>https://www.mjusticia.gob.es/es/ciudadania/tramites/legalizacion-unica-apostilla</t>
        </is>
      </c>
      <c r="F33" s="49" t="n">
        <v>46319</v>
      </c>
      <c r="G33" s="29" t="inlineStr">
        <is>
          <t>sevilla:resmi</t>
        </is>
      </c>
      <c r="H33" s="29" t="inlineStr">
        <is>
          <t>Kart 8: apostil kimden alınır (noter belgeleri yalnız Colegio de Notarios); apostil ücreti sayfada yok</t>
        </is>
      </c>
      <c r="I33" s="29" t="inlineStr">
        <is>
          <t>Evet</t>
        </is>
      </c>
      <c r="J33" s="29" t="inlineStr">
        <is>
          <t>Lisans kanıtları/30bfe0df74ce4ef5f3db85b3f9e2a0d5d8376f3c01a7548a191fa8fdce568d70.html</t>
        </is>
      </c>
      <c r="K33" s="29" t="inlineStr">
        <is>
          <t>30bfe0df74ce4ef5f3db85b3f9e2a0d5d8376f3c01a7548a191fa8fdce568d70</t>
        </is>
      </c>
    </row>
    <row r="34" ht="54" customHeight="1">
      <c r="A34" s="29" t="inlineStr">
        <is>
          <t>sevilla:kaynak:027</t>
        </is>
      </c>
      <c r="B34" s="29" t="inlineStr">
        <is>
          <t>sevilla</t>
        </is>
      </c>
      <c r="C34" s="29" t="inlineStr">
        <is>
          <t>BOE-A-1989-28111 Real Decreto 1426/1989, de 17 de noviembre, por el que se aprueba el Arancel de los Notarios.</t>
        </is>
      </c>
      <c r="D34" s="29" t="inlineStr">
        <is>
          <t>Agencia Estatal Boletín Oficial del Estado (BOE)</t>
        </is>
      </c>
      <c r="E34" s="29" t="inlineStr">
        <is>
          <t>https://www.boe.es/buscar/act.php?id=BOE-A-1989-28111</t>
        </is>
      </c>
      <c r="F34" s="49" t="n">
        <v>46319</v>
      </c>
      <c r="G34" s="29" t="inlineStr">
        <is>
          <t>sevilla:resmi</t>
        </is>
      </c>
      <c r="H34" s="29" t="inlineStr">
        <is>
          <t>Kart 9: noter harçları (vekaletname 30,050605 EUR, imza tasdiki 6,010121 EUR); konsolide metinde son değişiklik 17/11/2011, hâlâ yürürlükte; miktarlı işlemlerde oranlı tarife</t>
        </is>
      </c>
      <c r="I34" s="29" t="inlineStr">
        <is>
          <t>Evet</t>
        </is>
      </c>
      <c r="J34" s="29" t="inlineStr">
        <is>
          <t>Lisans kanıtları/7ac8b005a4cb8d0dfdf53a3cb0be22ebffddfa2320cad6e72631badbfef437fd.html</t>
        </is>
      </c>
      <c r="K34" s="29" t="inlineStr">
        <is>
          <t>7ac8b005a4cb8d0dfdf53a3cb0be22ebffddfa2320cad6e72631badbfef437fd</t>
        </is>
      </c>
    </row>
    <row r="35" ht="54" customHeight="1">
      <c r="A35" s="29" t="inlineStr">
        <is>
          <t>sevilla:kaynak:028</t>
        </is>
      </c>
      <c r="B35" s="29" t="inlineStr">
        <is>
          <t>sevilla</t>
        </is>
      </c>
      <c r="C35" s="29" t="inlineStr">
        <is>
          <t>BOE-A-2011-12628 Ley 20/2011, de 21 de julio, del Registro Civil.</t>
        </is>
      </c>
      <c r="D35" s="29" t="inlineStr">
        <is>
          <t>Agencia Estatal Boletín Oficial del Estado (BOE)</t>
        </is>
      </c>
      <c r="E35" s="29" t="inlineStr">
        <is>
          <t>https://www.boe.es/buscar/act.php?id=BOE-A-2011-12628</t>
        </is>
      </c>
      <c r="F35" s="49" t="n">
        <v>46319</v>
      </c>
      <c r="G35" s="29" t="inlineStr">
        <is>
          <t>sevilla:resmi</t>
        </is>
      </c>
      <c r="H35" s="29" t="inlineStr">
        <is>
          <t>Kart 10: Libro de Familia yeni Registro Civil modelinde kaldırılıyor, etkileri geçici olarak sürüyor</t>
        </is>
      </c>
      <c r="I35" s="29" t="inlineStr">
        <is>
          <t>Evet</t>
        </is>
      </c>
      <c r="J35" s="29" t="inlineStr">
        <is>
          <t>Lisans kanıtları/b37e9fa3f69ef15d48fdf71f9e2fc21af9542c099143f54e2838e01ebc7c97da.html</t>
        </is>
      </c>
      <c r="K35" s="29" t="inlineStr">
        <is>
          <t>b37e9fa3f69ef15d48fdf71f9e2fc21af9542c099143f54e2838e01ebc7c97da</t>
        </is>
      </c>
    </row>
    <row r="36" ht="54" customHeight="1">
      <c r="A36" s="29" t="inlineStr">
        <is>
          <t>sevilla:kaynak:029</t>
        </is>
      </c>
      <c r="B36" s="29" t="inlineStr">
        <is>
          <t>sevilla</t>
        </is>
      </c>
      <c r="C36" s="29" t="inlineStr">
        <is>
          <t>El Registro Civil - Estado civil</t>
        </is>
      </c>
      <c r="D36" s="29" t="inlineStr">
        <is>
          <t>Ministerio de Justicia</t>
        </is>
      </c>
      <c r="E36" s="29" t="inlineStr">
        <is>
          <t>https://www.mjusticia.gob.es/es/ciudadania/estado-civil/registro-civil</t>
        </is>
      </c>
      <c r="F36" s="49" t="n">
        <v>46319</v>
      </c>
      <c r="G36" s="29" t="inlineStr">
        <is>
          <t>sevilla:resmi</t>
        </is>
      </c>
      <c r="H36" s="29" t="inlineStr">
        <is>
          <t>Kart 11 (ve 10): Registro Civil ne kaydeder; sertifikalar ücretsiz</t>
        </is>
      </c>
      <c r="I36" s="29" t="inlineStr">
        <is>
          <t>Evet</t>
        </is>
      </c>
      <c r="J36" s="29" t="inlineStr">
        <is>
          <t>Lisans kanıtları/3bc527edf4bbfd807b5af80512af3f47f52d213d14fd21441791565b1c7e5ea8.html</t>
        </is>
      </c>
      <c r="K36" s="29" t="inlineStr">
        <is>
          <t>3bc527edf4bbfd807b5af80512af3f47f52d213d14fd21441791565b1c7e5ea8</t>
        </is>
      </c>
    </row>
    <row r="37" ht="54" customHeight="1">
      <c r="A37" s="29" t="inlineStr">
        <is>
          <t>sevilla:kaynak:030</t>
        </is>
      </c>
      <c r="B37" s="29" t="inlineStr">
        <is>
          <t>sevilla</t>
        </is>
      </c>
      <c r="C37" s="29" t="inlineStr">
        <is>
          <t>DGT - Canje de permisos de países extracomunitarios</t>
        </is>
      </c>
      <c r="D37" s="29" t="inlineStr">
        <is>
          <t>Dirección General de Tráfico (DGT)</t>
        </is>
      </c>
      <c r="E37" s="29" t="inlineStr">
        <is>
          <t>https://www.dgt.es/nuestros-servicios/permisos-de-conducir/permisos-extranjeros-y-de-fuerzas-y-cuerpos-de-seguridad/canjes-de-permisos/canjes-de-permisos-extranjeros/canje-de-permisos-de-otros-paises/</t>
        </is>
      </c>
      <c r="F37" s="49" t="n">
        <v>46319</v>
      </c>
      <c r="G37" s="29" t="inlineStr">
        <is>
          <t>sevilla:resmi</t>
        </is>
      </c>
      <c r="H37" s="29" t="inlineStr">
        <is>
          <t>Kart 12: ehliyet İspanya'da yerleşik olmadan önce alınmış olmalı</t>
        </is>
      </c>
      <c r="I37" s="29" t="inlineStr">
        <is>
          <t>Evet</t>
        </is>
      </c>
      <c r="J37" s="29" t="inlineStr">
        <is>
          <t>Lisans kanıtları/7d94e3ec46e6b7a74379fe76a068151beca99c604c383d05bdcf90f2fd07768c.html</t>
        </is>
      </c>
      <c r="K37" s="29" t="inlineStr">
        <is>
          <t>7d94e3ec46e6b7a74379fe76a068151beca99c604c383d05bdcf90f2fd07768c</t>
        </is>
      </c>
    </row>
    <row r="38" ht="54" customHeight="1">
      <c r="A38" s="29" t="inlineStr">
        <is>
          <t>sevilla:kaynak:031</t>
        </is>
      </c>
      <c r="B38" s="29" t="inlineStr">
        <is>
          <t>sevilla</t>
        </is>
      </c>
      <c r="C38" s="29" t="inlineStr">
        <is>
          <t>BOE-A-2011-5606 Acuerdo entre el Reino de España y la República de Turquía sobre el reconocimiento recíproco y el canje de los permisos de conducción nacionales, hecho "ad referend</t>
        </is>
      </c>
      <c r="D38" s="29" t="inlineStr">
        <is>
          <t>Boletín Oficial del Estado</t>
        </is>
      </c>
      <c r="E38" s="29" t="inlineStr">
        <is>
          <t>https://www.boe.es/diario_boe/txt.php?id=BOE-A-2011-5606</t>
        </is>
      </c>
      <c r="F38" s="49" t="n">
        <v>46319</v>
      </c>
      <c r="G38" s="29" t="inlineStr">
        <is>
          <t>sevilla:oturum</t>
        </is>
      </c>
      <c r="H38" s="29" t="inlineStr">
        <is>
          <t>Türkiye-İspanya ehliyet değişim anlaşması: sınıflar, sınav şartı, değiştirilemeyen sınıflar.</t>
        </is>
      </c>
      <c r="I38" s="29" t="inlineStr">
        <is>
          <t>Evet</t>
        </is>
      </c>
      <c r="J38" s="29" t="inlineStr">
        <is>
          <t>Lisans kanıtları/53b1243fa1db18f65495c1c59132d572f10a826e2de658252520f73df9a4326b.html</t>
        </is>
      </c>
      <c r="K38" s="29" t="inlineStr">
        <is>
          <t>53b1243fa1db18f65495c1c59132d572f10a826e2de658252520f73df9a4326b</t>
        </is>
      </c>
    </row>
    <row r="39" ht="54" customHeight="1">
      <c r="A39" s="29" t="inlineStr">
        <is>
          <t>sevilla:kaynak:032</t>
        </is>
      </c>
      <c r="B39" s="29" t="inlineStr">
        <is>
          <t>sevilla</t>
        </is>
      </c>
      <c r="C39" s="29" t="inlineStr">
        <is>
          <t>Sede Electrónica DGT - Matriculación de vehículos nuevos y vehículos provenientes del extranjero</t>
        </is>
      </c>
      <c r="D39" s="29" t="inlineStr">
        <is>
          <t>Dirección General de Tráfico (DGT) - Sede electrónica</t>
        </is>
      </c>
      <c r="E39" s="29" t="inlineStr">
        <is>
          <t>https://sede.dgt.gob.es/es/vehiculos/matriculaciones-de-vehiculos/matriculacion-ordinaria/</t>
        </is>
      </c>
      <c r="F39" s="49" t="n">
        <v>46319</v>
      </c>
      <c r="G39" s="29" t="inlineStr">
        <is>
          <t>sevilla:resmi</t>
        </is>
      </c>
      <c r="H39" s="29" t="inlineStr">
        <is>
          <t>Kart 13: araç tescili, DGT azami 3 ay, tescil vergisi ödeme/muafiyat kanıtı gerekir</t>
        </is>
      </c>
      <c r="I39" s="29" t="inlineStr">
        <is>
          <t>Evet</t>
        </is>
      </c>
      <c r="J39" s="29" t="inlineStr">
        <is>
          <t>Lisans kanıtları/6f027c960fdb8de30dd8edc9db2d1bf3c0ee7e319d378dd59c5e4740b10e66e7.html</t>
        </is>
      </c>
      <c r="K39" s="29" t="inlineStr">
        <is>
          <t>6f027c960fdb8de30dd8edc9db2d1bf3c0ee7e319d378dd59c5e4740b10e66e7</t>
        </is>
      </c>
    </row>
    <row r="40" ht="54" customHeight="1">
      <c r="A40" s="29" t="inlineStr">
        <is>
          <t>sevilla:kaynak:033</t>
        </is>
      </c>
      <c r="B40" s="29" t="inlineStr">
        <is>
          <t>sevilla</t>
        </is>
      </c>
      <c r="C40" s="29" t="inlineStr">
        <is>
          <t>Agencia Tributaria: Impuesto de Matriculación</t>
        </is>
      </c>
      <c r="D40" s="29" t="inlineStr">
        <is>
          <t>Agencia Tributaria (AEAT)</t>
        </is>
      </c>
      <c r="E40" s="29" t="inlineStr">
        <is>
          <t>https://sede.agenciatributaria.gob.es/Sede/impuestos-tasas/impuesto-matriculacion.html</t>
        </is>
      </c>
      <c r="F40" s="49" t="n">
        <v>46319</v>
      </c>
      <c r="G40" s="29" t="inlineStr">
        <is>
          <t>sevilla:resmi</t>
        </is>
      </c>
      <c r="H40" s="29" t="inlineStr">
        <is>
          <t>Kart 13 vergi: tescil vergisi Modelo 576 ile kendi beyan (vergi tutarı sayfada yok)</t>
        </is>
      </c>
      <c r="I40" s="29" t="inlineStr">
        <is>
          <t>Evet</t>
        </is>
      </c>
      <c r="J40" s="29" t="inlineStr">
        <is>
          <t>Lisans kanıtları/a7cf1a18d8f622adb3b18e4e5db0c0de87f388e37c160f4639a2bd92d5f38fe3.html</t>
        </is>
      </c>
      <c r="K40" s="29" t="inlineStr">
        <is>
          <t>a7cf1a18d8f622adb3b18e4e5db0c0de87f388e37c160f4639a2bd92d5f38fe3</t>
        </is>
      </c>
    </row>
    <row r="41" ht="54" customHeight="1">
      <c r="A41" s="29" t="inlineStr">
        <is>
          <t>sevilla:kaynak:034</t>
        </is>
      </c>
      <c r="B41" s="29" t="inlineStr">
        <is>
          <t>sevilla</t>
        </is>
      </c>
      <c r="C41" s="29" t="inlineStr">
        <is>
          <t>Solicitud de apertura de cuentas de pago - Cliente Bancario, Banco de España</t>
        </is>
      </c>
      <c r="D41" s="29" t="inlineStr">
        <is>
          <t>Banco de España - Cliente Bancario</t>
        </is>
      </c>
      <c r="E41" s="29" t="inlineStr">
        <is>
          <t>https://clientebancario.bde.es/pcb/es/blog/solicitud-de-apertura-de-cuentas-de-pago.html</t>
        </is>
      </c>
      <c r="F41" s="49" t="n">
        <v>46319</v>
      </c>
      <c r="G41" s="29" t="inlineStr">
        <is>
          <t>sevilla:para</t>
        </is>
      </c>
      <c r="H41" s="29" t="inlineStr">
        <is>
          <t>Kart 1: banka hesap açmada serbest ama uyruk/ikamet gibi ayrımcı gerekçeyle reddedemez; zorluk olursa temel ödeme hesabı. Sayfa tarihi 11/11/2025. Belge listesi (NIE/pasaport) bu sayfada yok.</t>
        </is>
      </c>
      <c r="I41" s="29" t="inlineStr">
        <is>
          <t>Evet</t>
        </is>
      </c>
      <c r="J41" s="29" t="inlineStr">
        <is>
          <t>Lisans kanıtları/0e76e3344f719fedbca845c9fde389f0c68c82306f76d8b7f83c4da4dd97ee9c.html</t>
        </is>
      </c>
      <c r="K41" s="29" t="inlineStr">
        <is>
          <t>0e76e3344f719fedbca845c9fde389f0c68c82306f76d8b7f83c4da4dd97ee9c</t>
        </is>
      </c>
    </row>
    <row r="42" ht="54" customHeight="1">
      <c r="A42" s="29" t="inlineStr">
        <is>
          <t>sevilla:kaynak:035</t>
        </is>
      </c>
      <c r="B42" s="29" t="inlineStr">
        <is>
          <t>sevilla</t>
        </is>
      </c>
      <c r="C42" s="29" t="inlineStr">
        <is>
          <t>¿Quiénes pueden solicitarla? - Cliente Bancario, Banco de España</t>
        </is>
      </c>
      <c r="D42" s="29" t="inlineStr">
        <is>
          <t>Banco de España - Cliente Bancario</t>
        </is>
      </c>
      <c r="E42" s="29" t="inlineStr">
        <is>
          <t>https://clientebancario.bde.es/pcb/es/menu-horizontal/productosservici/cuentasdepositos/cuentascorriente/guia-textual/CuentadepagoBasica/quienes-pueden-solicitarla-.html</t>
        </is>
      </c>
      <c r="F42" s="49" t="n">
        <v>46319</v>
      </c>
      <c r="G42" s="29" t="inlineStr">
        <is>
          <t>sevilla:para</t>
        </is>
      </c>
      <c r="H42" s="29" t="inlineStr">
        <is>
          <t>Kart 1: banka hesabı hakkı - AB'de yasal ikamet eden herkese temel ödeme hesabı sunma zorunluluğu (sabit adres şart değil).</t>
        </is>
      </c>
      <c r="I42" s="29" t="inlineStr">
        <is>
          <t>Evet</t>
        </is>
      </c>
      <c r="J42" s="29" t="inlineStr">
        <is>
          <t>Lisans kanıtları/77b469df8a2f5ec88100a830b6cd53e2b576a32109414c9f456d5b9c6bcc865b.html</t>
        </is>
      </c>
      <c r="K42" s="29" t="inlineStr">
        <is>
          <t>77b469df8a2f5ec88100a830b6cd53e2b576a32109414c9f456d5b9c6bcc865b</t>
        </is>
      </c>
    </row>
    <row r="43" ht="54" customHeight="1">
      <c r="A43" s="29" t="inlineStr">
        <is>
          <t>sevilla:kaynak:036</t>
        </is>
      </c>
      <c r="B43" s="29" t="inlineStr">
        <is>
          <t>sevilla</t>
        </is>
      </c>
      <c r="C43" s="29" t="inlineStr">
        <is>
          <t>Transferencia SEPA - Cliente Bancario, Banco de España</t>
        </is>
      </c>
      <c r="D43" s="29" t="inlineStr">
        <is>
          <t>Banco de España - Cliente Bancario</t>
        </is>
      </c>
      <c r="E43" s="29" t="inlineStr">
        <is>
          <t>https://clientebancario.bde.es/pcb/es/menu-horizontal/productosservici/serviciospago/traspasostransfe/guia-textual/tipos/Transferencia_SEPA.html</t>
        </is>
      </c>
      <c r="F43" s="49" t="n">
        <v>46319</v>
      </c>
      <c r="G43" s="29" t="inlineStr">
        <is>
          <t>sevilla:para</t>
        </is>
      </c>
      <c r="H43" s="29" t="inlineStr">
        <is>
          <t>Kart 2: SEPA bölgesi (27 AB üyesi + IS, LI, NO) ve euro ödemelerin ulusal/sınır ötesi aynı koşullarda yapılması.</t>
        </is>
      </c>
      <c r="I43" s="29" t="inlineStr">
        <is>
          <t>Evet</t>
        </is>
      </c>
      <c r="J43" s="29" t="inlineStr">
        <is>
          <t>Lisans kanıtları/df9275d7450cd640c950f481ca12d6a0359adb48d04ed459a37eb117e9e6d70d.html</t>
        </is>
      </c>
      <c r="K43" s="29" t="inlineStr">
        <is>
          <t>df9275d7450cd640c950f481ca12d6a0359adb48d04ed459a37eb117e9e6d70d</t>
        </is>
      </c>
    </row>
    <row r="44" ht="54" customHeight="1">
      <c r="A44" s="29" t="inlineStr">
        <is>
          <t>sevilla:kaynak:037</t>
        </is>
      </c>
      <c r="B44" s="29" t="inlineStr">
        <is>
          <t>sevilla</t>
        </is>
      </c>
      <c r="C44" s="29" t="inlineStr">
        <is>
          <t>Upppsss…transferencia enviada al IBAN equivocado - Cliente Bancario, Banco de España</t>
        </is>
      </c>
      <c r="D44" s="29" t="inlineStr">
        <is>
          <t>Banco de España - Portal del Cliente Bancario</t>
        </is>
      </c>
      <c r="E44" s="29" t="inlineStr">
        <is>
          <t>https://clientebancario.bde.es/pcb/es/blog/upppssstransferencia-enviada-al-iban-equivocado.html</t>
        </is>
      </c>
      <c r="F44" s="49" t="n">
        <v>46319</v>
      </c>
      <c r="G44" s="29" t="inlineStr">
        <is>
          <t>sevilla:para</t>
        </is>
      </c>
      <c r="H44" s="29" t="inlineStr">
        <is>
          <t>Kart 2 (IBAN): 19/02/2026 tarihli BdE sayfası; 9 Ekim'den beri alıcı adı doğrulama hizmeti (coincidente/casi coincidente/no coincidente); uyarıya rağmen havale gider</t>
        </is>
      </c>
      <c r="I44" s="29" t="inlineStr">
        <is>
          <t>Evet</t>
        </is>
      </c>
      <c r="J44" s="29" t="inlineStr">
        <is>
          <t>Lisans kanıtları/ac63ec4a3291141cfaa2a1515ef1dfb81b58d7fe452b175a27a573c6af591026.html</t>
        </is>
      </c>
      <c r="K44" s="29" t="inlineStr">
        <is>
          <t>ac63ec4a3291141cfaa2a1515ef1dfb81b58d7fe452b175a27a573c6af591026</t>
        </is>
      </c>
    </row>
    <row r="45" ht="54" customHeight="1">
      <c r="A45" s="29" t="inlineStr">
        <is>
          <t>sevilla:kaynak:038</t>
        </is>
      </c>
      <c r="B45" s="29" t="inlineStr">
        <is>
          <t>sevilla</t>
        </is>
      </c>
      <c r="C45" s="29" t="inlineStr">
        <is>
          <t>Agencia Tributaria: Gravamen estatal</t>
        </is>
      </c>
      <c r="D45" s="29" t="inlineStr">
        <is>
          <t>Agencia Tributaria (AEAT)</t>
        </is>
      </c>
      <c r="E45" s="29" t="inlineStr">
        <is>
          <t>https://sede.agenciatributaria.gob.es/Sede/ayuda/manuales-videos-folletos/manuales-practicos/irpf-2025/c15-calculo-impuesto-determinacion-cuotas-integras/gravamen-base-liquidable-general/gravamen-estatal.html</t>
        </is>
      </c>
      <c r="F45" s="49" t="n">
        <v>46319</v>
      </c>
      <c r="G45" s="29" t="inlineStr">
        <is>
          <t>sevilla:para</t>
        </is>
      </c>
      <c r="H45" s="29" t="inlineStr">
        <is>
          <t>Kart 3: devlet IRPF ölçeği 9,50% (12.450 EUR'ya kadar) - 24,50% (300.000 EUR üstü); ölçek yaşanılan yerden bağımsız devlet payı. Manuel Renta 2025 (2026 baharında verilen beyan), sayfa 2026'da erişildi.</t>
        </is>
      </c>
      <c r="I45" s="29" t="inlineStr">
        <is>
          <t>Evet</t>
        </is>
      </c>
      <c r="J45" s="29" t="inlineStr">
        <is>
          <t>Lisans kanıtları/cf034579f6383a255d2b0682059fe338b68413dac26432b8e9214f9696e6526d.html</t>
        </is>
      </c>
      <c r="K45" s="29" t="inlineStr">
        <is>
          <t>cf034579f6383a255d2b0682059fe338b68413dac26432b8e9214f9696e6526d</t>
        </is>
      </c>
    </row>
    <row r="46" ht="54" customHeight="1">
      <c r="A46" s="29" t="inlineStr">
        <is>
          <t>sevilla:kaynak:039</t>
        </is>
      </c>
      <c r="B46" s="29" t="inlineStr">
        <is>
          <t>sevilla</t>
        </is>
      </c>
      <c r="C46" s="29" t="inlineStr">
        <is>
          <t>Agencia Tributaria: Gravamen autonómico</t>
        </is>
      </c>
      <c r="D46" s="29" t="inlineStr">
        <is>
          <t>Agencia Tributaria (AEAT)</t>
        </is>
      </c>
      <c r="E46" s="29" t="inlineStr">
        <is>
          <t>https://sede.agenciatributaria.gob.es/Sede/ayuda/manuales-videos-folletos/manuales-practicos/irpf-2025/c15-calculo-impuesto-determinacion-cuotas-integras/gravamen-base-liquidable-general/gravamen-autonomico.html</t>
        </is>
      </c>
      <c r="F46" s="49" t="n">
        <v>46319</v>
      </c>
      <c r="G46" s="29" t="inlineStr">
        <is>
          <t>sevilla:para</t>
        </is>
      </c>
      <c r="H46" s="29" t="inlineStr">
        <is>
          <t>Kart 3: bölgesel dilimin her özerk bölge tarafından onaylanan ölçeğe göre değiştiği (bölgeye göre değişir) çerçevesi. Sayfa 'Para el ejercicio 2025', güncelleme 17/marzo/2026.</t>
        </is>
      </c>
      <c r="I46" s="29" t="inlineStr">
        <is>
          <t>Evet</t>
        </is>
      </c>
      <c r="J46" s="29" t="inlineStr">
        <is>
          <t>Lisans kanıtları/6aa585d2693f134d22ba162112676052af012014ffc0fe58011a4075f91dbb4b.html</t>
        </is>
      </c>
      <c r="K46" s="29" t="inlineStr">
        <is>
          <t>6aa585d2693f134d22ba162112676052af012014ffc0fe58011a4075f91dbb4b</t>
        </is>
      </c>
    </row>
    <row r="47" ht="54" customHeight="1">
      <c r="A47" s="29" t="inlineStr">
        <is>
          <t>sevilla:kaynak:040</t>
        </is>
      </c>
      <c r="B47" s="29" t="inlineStr">
        <is>
          <t>sevilla</t>
        </is>
      </c>
      <c r="C47" s="29" t="inlineStr">
        <is>
          <t>Agencia Tributaria: Tipos impositivos de IVA</t>
        </is>
      </c>
      <c r="D47" s="29" t="inlineStr">
        <is>
          <t>Agencia Tributaria (AEAT)</t>
        </is>
      </c>
      <c r="E47" s="29" t="inlineStr">
        <is>
          <t>https://sede.agenciatributaria.gob.es/Sede/iva/calculo-iva-repercutido-clientes/tipos-impositivos-iva.html</t>
        </is>
      </c>
      <c r="F47" s="49" t="n">
        <v>46319</v>
      </c>
      <c r="G47" s="29" t="inlineStr">
        <is>
          <t>sevilla:para</t>
        </is>
      </c>
      <c r="H47" s="29" t="inlineStr">
        <is>
          <t>Kart 4: genel %21, indirimli %10 ve %4 (+ bazı işlemlerde %0). Sayfa güncelleme 13/octubre/2026. Not: sayfa 4'ü de 'reducido' diyor; 'süper azaltılmış' adı AEAT sözlüğünde. | 'Süper azaltılmış %4' adı AEAT sözlüğünde (sede.agenciatributaria.gob.es/.../glosario/sobre-iva.html: 'el superreducido del 4%').</t>
        </is>
      </c>
      <c r="I47" s="29" t="inlineStr">
        <is>
          <t>Evet</t>
        </is>
      </c>
      <c r="J47" s="29" t="inlineStr">
        <is>
          <t>Lisans kanıtları/60a68e7e314a612315304229d09b2054ce033f0776da5e41ba4fcd86bca54ac2.html</t>
        </is>
      </c>
      <c r="K47" s="29" t="inlineStr">
        <is>
          <t>60a68e7e314a612315304229d09b2054ce033f0776da5e41ba4fcd86bca54ac2</t>
        </is>
      </c>
    </row>
    <row r="48" ht="54" customHeight="1">
      <c r="A48" s="29" t="inlineStr">
        <is>
          <t>sevilla:kaynak:041</t>
        </is>
      </c>
      <c r="B48" s="29" t="inlineStr">
        <is>
          <t>sevilla</t>
        </is>
      </c>
      <c r="C48" s="29" t="inlineStr">
        <is>
          <t>: Territorio en el que se aplica el impuesto</t>
        </is>
      </c>
      <c r="D48" s="29" t="inlineStr">
        <is>
          <t>Agencia Tributaria (AEAT)</t>
        </is>
      </c>
      <c r="E48" s="29" t="inlineStr">
        <is>
          <t>https://sede.agenciatributaria.gob.es/Sede/ayuda/manuales-videos-folletos/manuales-practicos/manual-iva-2025/capitulo-02-introduccion/territorio-que-se-aplica-impuesto.html</t>
        </is>
      </c>
      <c r="F48" s="49" t="n">
        <v>46319</v>
      </c>
      <c r="G48" s="29" t="inlineStr">
        <is>
          <t>sevilla:para</t>
        </is>
      </c>
      <c r="H48" s="29" t="inlineStr">
        <is>
          <t>Kart 4: IVA yalnız Yarımada ve Baleares'te; Canarias, Ceuta, Melilla kapsam dışı. Manuel IVA 2025.</t>
        </is>
      </c>
      <c r="I48" s="29" t="inlineStr">
        <is>
          <t>Evet</t>
        </is>
      </c>
      <c r="J48" s="29" t="inlineStr">
        <is>
          <t>Lisans kanıtları/b327da1005dfba23860bbf4a321dc2fac11e5a60480ef26073b3d732e91a66d3.html</t>
        </is>
      </c>
      <c r="K48" s="29" t="inlineStr">
        <is>
          <t>b327da1005dfba23860bbf4a321dc2fac11e5a60480ef26073b3d732e91a66d3</t>
        </is>
      </c>
    </row>
    <row r="49" ht="54" customHeight="1">
      <c r="A49" s="29" t="inlineStr">
        <is>
          <t>sevilla:kaynak:042</t>
        </is>
      </c>
      <c r="B49" s="29" t="inlineStr">
        <is>
          <t>sevilla</t>
        </is>
      </c>
      <c r="C49" s="29" t="inlineStr">
        <is>
          <t>Agencia Tributaria: Plazo y forma de presentación de las declaraciones</t>
        </is>
      </c>
      <c r="D49" s="29" t="inlineStr">
        <is>
          <t>Agencia Tributaria (AEAT)</t>
        </is>
      </c>
      <c r="E49" s="29" t="inlineStr">
        <is>
          <t>https://sede.agenciatributaria.gob.es/Sede/ayuda/manuales-videos-folletos/manuales-practicos/irpf-2025/c01-campana-declaracion-renta/confirmacion-borrador-presentacion-declaraciones/plazo-forma-presentacion.html</t>
        </is>
      </c>
      <c r="F49" s="49" t="n">
        <v>46319</v>
      </c>
      <c r="G49" s="29" t="inlineStr">
        <is>
          <t>sevilla:para</t>
        </is>
      </c>
      <c r="H49" s="29" t="inlineStr">
        <is>
          <t>Kart 5: Renta 2025 kampanyası 8 Nisan - 30 Haziran 2026; banka talimatlı ödeme için 25 Haziran 2026; Renta WEB. Her yıl tarih değişir. | Kart 7: beyan Renta WEB ile mükellef kendisi internetten verebilir; colaboradores sociales (gestor/asesor) temsilci olarak aynı servisi kullanabilir.</t>
        </is>
      </c>
      <c r="I49" s="29" t="inlineStr">
        <is>
          <t>Evet</t>
        </is>
      </c>
      <c r="J49" s="29" t="inlineStr">
        <is>
          <t>Lisans kanıtları/c8eac1ccd523529e64bcb9525258b31b72022de3f20e5bb99fccf2e0a66993e5.html</t>
        </is>
      </c>
      <c r="K49" s="29" t="inlineStr">
        <is>
          <t>c8eac1ccd523529e64bcb9525258b31b72022de3f20e5bb99fccf2e0a66993e5</t>
        </is>
      </c>
    </row>
    <row r="50" ht="54" customHeight="1">
      <c r="A50" s="29" t="inlineStr">
        <is>
          <t>sevilla:kaynak:043</t>
        </is>
      </c>
      <c r="B50" s="29" t="inlineStr">
        <is>
          <t>sevilla</t>
        </is>
      </c>
      <c r="C50" s="29" t="inlineStr">
        <is>
          <t>Agencia Tributaria: Delimitación de la obligación de declarar en el IRPF</t>
        </is>
      </c>
      <c r="D50" s="29" t="inlineStr">
        <is>
          <t>Agencia Tributaria (AEAT)</t>
        </is>
      </c>
      <c r="E50" s="29" t="inlineStr">
        <is>
          <t>https://sede.agenciatributaria.gob.es/Sede/ayuda/manuales-videos-folletos/manuales-practicos/irpf-2025/c01-campana-declaracion-renta/quienes-estan-obligados-presentar-declaracion-irpf/delimitacion-obligacion-declarar-irpf.html</t>
        </is>
      </c>
      <c r="F50" s="49" t="n">
        <v>46319</v>
      </c>
      <c r="G50" s="29" t="inlineStr">
        <is>
          <t>sevilla:para</t>
        </is>
      </c>
      <c r="H50" s="29" t="inlineStr">
        <is>
          <t>Kart 5: beyan zorunluluğu eşikleri (iş gelirinde tek ödeyici için 22.000 EUR, birden çok ödeyicide 15.876 EUR). Manuel Renta 2025 (2025 geliri).</t>
        </is>
      </c>
      <c r="I50" s="29" t="inlineStr">
        <is>
          <t>Evet</t>
        </is>
      </c>
      <c r="J50" s="29" t="inlineStr">
        <is>
          <t>Lisans kanıtları/829142ae4fb4e341294a296dd5e53bbb14ba64bea4382e95099cc2fe53da8ac8.html</t>
        </is>
      </c>
      <c r="K50" s="29" t="inlineStr">
        <is>
          <t>829142ae4fb4e341294a296dd5e53bbb14ba64bea4382e95099cc2fe53da8ac8</t>
        </is>
      </c>
    </row>
    <row r="51" ht="54" customHeight="1">
      <c r="A51" s="29" t="inlineStr">
        <is>
          <t>sevilla:kaynak:044</t>
        </is>
      </c>
      <c r="B51" s="29" t="inlineStr">
        <is>
          <t>sevilla</t>
        </is>
      </c>
      <c r="C51" s="29" t="inlineStr">
        <is>
          <t>Agencia Tributaria: Cómo consultar una devolución</t>
        </is>
      </c>
      <c r="D51" s="29" t="inlineStr">
        <is>
          <t>Agencia Tributaria (AEAT)</t>
        </is>
      </c>
      <c r="E51" s="29" t="inlineStr">
        <is>
          <t>https://sede.agenciatributaria.gob.es/Sede/irpf/declaraciones-presentadas/consultar-devolucion.html</t>
        </is>
      </c>
      <c r="F51" s="49" t="n">
        <v>46319</v>
      </c>
      <c r="G51" s="29" t="inlineStr">
        <is>
          <t>sevilla:para</t>
        </is>
      </c>
      <c r="H51" s="29" t="inlineStr">
        <is>
          <t>Kart 6: vergi iadesi banka havalesiyle kendi hesabına; idarenin 6 ayı var, aşılırsa faiz. Sayfa güncelleme 09/abril/2026.</t>
        </is>
      </c>
      <c r="I51" s="29" t="inlineStr">
        <is>
          <t>Evet</t>
        </is>
      </c>
      <c r="J51" s="29" t="inlineStr">
        <is>
          <t>Lisans kanıtları/eeeb7e570933e633c86498f9c0268dd9d8e308e0736ac1b07216aa85fa58007e.html</t>
        </is>
      </c>
      <c r="K51" s="29" t="inlineStr">
        <is>
          <t>eeeb7e570933e633c86498f9c0268dd9d8e308e0736ac1b07216aa85fa58007e</t>
        </is>
      </c>
    </row>
    <row r="52" ht="54" customHeight="1">
      <c r="A52" s="29" t="inlineStr">
        <is>
          <t>sevilla:kaynak:045</t>
        </is>
      </c>
      <c r="B52" s="29" t="inlineStr">
        <is>
          <t>sevilla</t>
        </is>
      </c>
      <c r="C52" s="29" t="inlineStr">
        <is>
          <t>Agencia Tributaria: Preguntas frecuentes sobre colaboración social</t>
        </is>
      </c>
      <c r="D52" s="29" t="inlineStr">
        <is>
          <t>Agencia Tributaria (AEAT)</t>
        </is>
      </c>
      <c r="E52" s="29" t="inlineStr">
        <is>
          <t>https://sede.agenciatributaria.gob.es/Sede/colaborar-agencia-tributaria/colaboracion-social-presentacion-declaraciones/preguntas-frecuentes-sobre-colaboracion-social.html</t>
        </is>
      </c>
      <c r="F52" s="49" t="n">
        <v>46319</v>
      </c>
      <c r="G52" s="29" t="inlineStr">
        <is>
          <t>sevilla:para</t>
        </is>
      </c>
      <c r="H52" s="29" t="inlineStr">
        <is>
          <t>Kart 7: gestor/asesor ancak AEAT ile işbirliği anlaşmalı meslek kuruluşları üyesi olarak üçüncü kişi adına elektronik beyan verebilir; zorunluluk getirmez. Sayfa güncelleme 19/junio/2023.</t>
        </is>
      </c>
      <c r="I52" s="29" t="inlineStr">
        <is>
          <t>Evet</t>
        </is>
      </c>
      <c r="J52" s="29" t="inlineStr">
        <is>
          <t>Lisans kanıtları/052be9aaf70897a2c0df96013b73b32867b073be973e18d08a1a8e3528767ca4.html</t>
        </is>
      </c>
      <c r="K52" s="29" t="inlineStr">
        <is>
          <t>052be9aaf70897a2c0df96013b73b32867b073be973e18d08a1a8e3528767ca4</t>
        </is>
      </c>
    </row>
    <row r="53" ht="54" customHeight="1">
      <c r="A53" s="29" t="inlineStr">
        <is>
          <t>sevilla:kaynak:046</t>
        </is>
      </c>
      <c r="B53" s="29" t="inlineStr">
        <is>
          <t>sevilla</t>
        </is>
      </c>
      <c r="C53" s="29" t="inlineStr">
        <is>
          <t>BOE-A-2004-18911 Real Decreto Legislativo 8/2004, de 29 de octubre, por el que se aprueba el texto refundido de la Ley sobre responsabilidad civil y seguro en la circulación de veh</t>
        </is>
      </c>
      <c r="D53" s="29" t="inlineStr">
        <is>
          <t>Boletín Oficial del Estado (BOE)</t>
        </is>
      </c>
      <c r="E53" s="29" t="inlineStr">
        <is>
          <t>https://www.boe.es/buscar/act.php?id=BOE-A-2004-18911</t>
        </is>
      </c>
      <c r="F53" s="49" t="n">
        <v>46319</v>
      </c>
      <c r="G53" s="29" t="inlineStr">
        <is>
          <t>sevilla:para</t>
        </is>
      </c>
      <c r="H53" s="29" t="inlineStr">
        <is>
          <t>Kart 8: araç sigortası zorunluluğu (her araç için sözleşme). Konsolide metin (BOE).</t>
        </is>
      </c>
      <c r="I53" s="29" t="inlineStr">
        <is>
          <t>Evet</t>
        </is>
      </c>
      <c r="J53" s="29" t="inlineStr">
        <is>
          <t>Lisans kanıtları/e617fe30f892599071dd14dd20064a54aeaf9134d412fa3c44e5ec8b6f3e88c8.html</t>
        </is>
      </c>
      <c r="K53" s="29" t="inlineStr">
        <is>
          <t>e617fe30f892599071dd14dd20064a54aeaf9134d412fa3c44e5ec8b6f3e88c8</t>
        </is>
      </c>
    </row>
    <row r="54" ht="54" customHeight="1">
      <c r="A54" s="29" t="inlineStr">
        <is>
          <t>sevilla:kaynak:047</t>
        </is>
      </c>
      <c r="B54" s="29" t="inlineStr">
        <is>
          <t>sevilla</t>
        </is>
      </c>
      <c r="C54" s="29" t="inlineStr">
        <is>
          <t>Seguros hipotecarios - Cliente Bancario, Banco de España</t>
        </is>
      </c>
      <c r="D54" s="29" t="inlineStr">
        <is>
          <t>Banco de España - Cliente Bancario</t>
        </is>
      </c>
      <c r="E54" s="29" t="inlineStr">
        <is>
          <t>https://clientebancario.bde.es/pcb/es/menu-horizontal/productosservici/financiacion/hipotecas/guia-textual/primerospasoscon/Seguros_hipotecarios.html</t>
        </is>
      </c>
      <c r="F54" s="49" t="n">
        <v>46319</v>
      </c>
      <c r="G54" s="29" t="inlineStr">
        <is>
          <t>sevilla:para</t>
        </is>
      </c>
      <c r="H54" s="29" t="inlineStr">
        <is>
          <t>Kart 8: hipotekle ilişkili sigortalar (hayat, yangın/multirriesgo hogar). DİKKAT: aynı sayfa yangın/hogar sigortasını 'hipotek alırken zorunlu' diyor, bağlı hayat sigortasını zorunlu değil gösteriyor; DGSFP ise yasal zorunluluk olmadığını söylüyor. Ev/hayat için net 'isteğe bağlı' cümlesi yok.</t>
        </is>
      </c>
      <c r="I54" s="29" t="inlineStr">
        <is>
          <t>Evet</t>
        </is>
      </c>
      <c r="J54" s="29" t="inlineStr">
        <is>
          <t>Lisans kanıtları/15b757e913013eb69c1ff23f4ff977b637cdba2aa29bb9b614e432b84ac01bef.html</t>
        </is>
      </c>
      <c r="K54" s="29" t="inlineStr">
        <is>
          <t>15b757e913013eb69c1ff23f4ff977b637cdba2aa29bb9b614e432b84ac01bef</t>
        </is>
      </c>
    </row>
    <row r="55" ht="54" customHeight="1">
      <c r="A55" s="29" t="inlineStr">
        <is>
          <t>sevilla:kaynak:048</t>
        </is>
      </c>
      <c r="B55" s="29" t="inlineStr">
        <is>
          <t>sevilla</t>
        </is>
      </c>
      <c r="C55" s="29" t="inlineStr">
        <is>
          <t>Seguridad Social: Prestaciones / Pensiones de Trabajadores</t>
        </is>
      </c>
      <c r="D55" s="29" t="inlineStr">
        <is>
          <t>Seguridad Social (seg-social.es)</t>
        </is>
      </c>
      <c r="E55" s="29" t="inlineStr">
        <is>
          <t>https://www.seg-social.es/wps/portal/wss/internet/Trabajadores/PrestacionesPensionesTrabajadores/10963/28393/28396/28472</t>
        </is>
      </c>
      <c r="F55" s="49" t="n">
        <v>46319</v>
      </c>
      <c r="G55" s="29" t="inlineStr">
        <is>
          <t>sevilla:para</t>
        </is>
      </c>
      <c r="H55" s="29" t="inlineStr">
        <is>
          <t>Kart 9: 2026 için emeklilik yaşı tablosu (38 yıl 3 ay+ prim: 65; daha az: 66 yıl 10 ay; 2027'den itibaren 38 yıl 6 ay), asgari 15 yıl prim. Yıllık değişir.</t>
        </is>
      </c>
      <c r="I55" s="29" t="inlineStr">
        <is>
          <t>Evet</t>
        </is>
      </c>
      <c r="J55" s="29" t="inlineStr">
        <is>
          <t>Lisans kanıtları/43a3b34bab55deedef178dd6bb405f8dd183c56f0a923a46df881a89e41f8f7e.html</t>
        </is>
      </c>
      <c r="K55" s="29" t="inlineStr">
        <is>
          <t>43a3b34bab55deedef178dd6bb405f8dd183c56f0a923a46df881a89e41f8f7e</t>
        </is>
      </c>
    </row>
    <row r="56" ht="54" customHeight="1">
      <c r="A56" s="29" t="inlineStr">
        <is>
          <t>sevilla:kaynak:049</t>
        </is>
      </c>
      <c r="B56" s="29" t="inlineStr">
        <is>
          <t>sevilla</t>
        </is>
      </c>
      <c r="C56" s="29" t="inlineStr">
        <is>
          <t>BOE-A-2026-7296 Orden PJC/297/2026, de 30 de marzo, por la que se desarrollan las normas legales de cotización a la Seguridad Social, desempleo, protección por cese de actividad, F</t>
        </is>
      </c>
      <c r="D56" s="29" t="inlineStr">
        <is>
          <t>Boletín Oficial del Estado (BOE)</t>
        </is>
      </c>
      <c r="E56" s="29" t="inlineStr">
        <is>
          <t>https://www.boe.es/buscar/act.php?id=BOE-A-2026-7296</t>
        </is>
      </c>
      <c r="F56" s="49" t="n">
        <v>46319</v>
      </c>
      <c r="G56" s="29" t="inlineStr">
        <is>
          <t>sevilla:para</t>
        </is>
      </c>
      <c r="H56" s="29" t="inlineStr">
        <is>
          <t>Kart 9: 2026 ortak risk (contingencias comunes) primi toplam %28,30: işveren %23,60, işçi %4,70. Ejercicio 2026.</t>
        </is>
      </c>
      <c r="I56" s="29" t="inlineStr">
        <is>
          <t>Evet</t>
        </is>
      </c>
      <c r="J56" s="29" t="inlineStr">
        <is>
          <t>Lisans kanıtları/4e1a433802ecadf73729ff92a7cbccf69184fff4759b467eb8cf4b456ef0eb88.html</t>
        </is>
      </c>
      <c r="K56" s="29" t="inlineStr">
        <is>
          <t>4e1a433802ecadf73729ff92a7cbccf69184fff4759b467eb8cf4b456ef0eb88</t>
        </is>
      </c>
    </row>
    <row r="57" ht="54" customHeight="1">
      <c r="A57" s="29" t="inlineStr">
        <is>
          <t>sevilla:kaynak:050</t>
        </is>
      </c>
      <c r="B57" s="29" t="inlineStr">
        <is>
          <t>sevilla</t>
        </is>
      </c>
      <c r="C57" s="29" t="inlineStr">
        <is>
          <t>Bizum: te contamos todos sus secretos - Cliente Bancario, Banco de España</t>
        </is>
      </c>
      <c r="D57" s="29" t="inlineStr">
        <is>
          <t>Banco de España - Cliente Bancario</t>
        </is>
      </c>
      <c r="E57" s="29" t="inlineStr">
        <is>
          <t>https://clientebancario.bde.es/pcb/es/blog/bizum--te-contamos-todos-sus-secretos.html</t>
        </is>
      </c>
      <c r="F57" s="49" t="n">
        <v>46319</v>
      </c>
      <c r="G57" s="29" t="inlineStr">
        <is>
          <t>sevilla:para</t>
        </is>
      </c>
      <c r="H57" s="29" t="inlineStr">
        <is>
          <t>Kart 10: Bizum telefon numarasını hesaba bağlar, bankalar komisyon almaz, işlemler geri alınamaz. Sayfadaki limit rakamları (0,50-1.000 EUR) tarihsiz, karta yazılmasın.</t>
        </is>
      </c>
      <c r="I57" s="29" t="inlineStr">
        <is>
          <t>Evet</t>
        </is>
      </c>
      <c r="J57" s="29" t="inlineStr">
        <is>
          <t>Lisans kanıtları/13ca2935614c4d5742ae9e799ac0844c1dd3e1f5e877770fe1d3f1c040b6dd97.html</t>
        </is>
      </c>
      <c r="K57" s="29" t="inlineStr">
        <is>
          <t>13ca2935614c4d5742ae9e799ac0844c1dd3e1f5e877770fe1d3f1c040b6dd97</t>
        </is>
      </c>
    </row>
    <row r="58" ht="54" customHeight="1">
      <c r="A58" s="29" t="inlineStr">
        <is>
          <t>sevilla:kaynak:051</t>
        </is>
      </c>
      <c r="B58" s="29" t="inlineStr">
        <is>
          <t>sevilla</t>
        </is>
      </c>
      <c r="C58" s="29" t="inlineStr">
        <is>
          <t>Comisiones - Cliente Bancario, Banco de España</t>
        </is>
      </c>
      <c r="D58" s="29" t="inlineStr">
        <is>
          <t>Banco de España - Cliente Bancario</t>
        </is>
      </c>
      <c r="E58" s="29" t="inlineStr">
        <is>
          <t>https://clientebancario.bde.es/pcb/es/menu-horizontal/productosservici/relacionados/comisiones/</t>
        </is>
      </c>
      <c r="F58" s="49" t="n">
        <v>46319</v>
      </c>
      <c r="G58" s="29" t="inlineStr">
        <is>
          <t>sevilla:para</t>
        </is>
      </c>
      <c r="H58" s="29" t="inlineStr">
        <is>
          <t>Kart 11: komisyonlar serbest (norm sınırlamadıkça), bankalar sık kullanılan hizmetlerin komisyonlarını yayımlamak zorunda.</t>
        </is>
      </c>
      <c r="I58" s="29" t="inlineStr">
        <is>
          <t>Evet</t>
        </is>
      </c>
      <c r="J58" s="29" t="inlineStr">
        <is>
          <t>Lisans kanıtları/1d29be37901dbd4e66f8cf41fca48c1acb952e89ee1dd1b50dae9ea0d3ed4834.html</t>
        </is>
      </c>
      <c r="K58" s="29" t="inlineStr">
        <is>
          <t>1d29be37901dbd4e66f8cf41fca48c1acb952e89ee1dd1b50dae9ea0d3ed4834</t>
        </is>
      </c>
    </row>
    <row r="59" ht="54" customHeight="1">
      <c r="A59" s="29" t="inlineStr">
        <is>
          <t>sevilla:kaynak:052</t>
        </is>
      </c>
      <c r="B59" s="29" t="inlineStr">
        <is>
          <t>sevilla</t>
        </is>
      </c>
      <c r="C59" s="29" t="inlineStr">
        <is>
          <t>Comisiones - Cliente Bancario, Banco de España</t>
        </is>
      </c>
      <c r="D59" s="29" t="inlineStr">
        <is>
          <t>Banco de España - Cliente Bancario</t>
        </is>
      </c>
      <c r="E59" s="29" t="inlineStr">
        <is>
          <t>https://clientebancario.bde.es/pcb/es/menu-horizontal/productosservici/cuentasdepositos/cuentascorriente/guia-textual/CuentadepagoBasica/comisiones.html</t>
        </is>
      </c>
      <c r="F59" s="49" t="n">
        <v>46319</v>
      </c>
      <c r="G59" s="29" t="inlineStr">
        <is>
          <t>sevilla:para</t>
        </is>
      </c>
      <c r="H59" s="29" t="inlineStr">
        <is>
          <t>Kart 11: temel ödeme hesabı için yasal azami komisyon 3 EUR/ay (BdE iki yılda bir güncelleyebilir). Kart 1 için de yardımcı.</t>
        </is>
      </c>
      <c r="I59" s="29" t="inlineStr">
        <is>
          <t>Evet</t>
        </is>
      </c>
      <c r="J59" s="29" t="inlineStr">
        <is>
          <t>Lisans kanıtları/eb90ff95eaf3fda25d7a3cbf22c3e12e2c21796f95f69f428a0523cc6f834dfc.html</t>
        </is>
      </c>
      <c r="K59" s="29" t="inlineStr">
        <is>
          <t>eb90ff95eaf3fda25d7a3cbf22c3e12e2c21796f95f69f428a0523cc6f834dfc</t>
        </is>
      </c>
    </row>
    <row r="60" ht="54" customHeight="1">
      <c r="A60" s="29" t="inlineStr">
        <is>
          <t>sevilla:kaynak:053</t>
        </is>
      </c>
      <c r="B60" s="29" t="inlineStr">
        <is>
          <t>sevilla</t>
        </is>
      </c>
      <c r="C60" s="29" t="inlineStr">
        <is>
          <t>Agencia Tributaria: Ámbito de aplicación</t>
        </is>
      </c>
      <c r="D60" s="29" t="inlineStr">
        <is>
          <t>Agencia Tributaria (AEAT)</t>
        </is>
      </c>
      <c r="E60" s="29" t="inlineStr">
        <is>
          <t>https://sede.agenciatributaria.gob.es/Sede/ayuda/manuales-videos-folletos/manuales-practicos/irpf-2025/c02-irpf-cuestiones-generales/sujecion-irpf-aspectos-personales/regimen-fiscal-especial-aplicable-trabajadores-desplazados/regimen-aplicable-trabajadores-desplazados/ambito-aplicacion.html</t>
        </is>
      </c>
      <c r="F60" s="49" t="n">
        <v>46319</v>
      </c>
      <c r="G60" s="29" t="inlineStr">
        <is>
          <t>sevilla:para</t>
        </is>
      </c>
      <c r="H60" s="29" t="inlineStr">
        <is>
          <t>Kart 12: Beckham kuralı şartları: önceki 5 vergi döneminde İspanya'da yerleşik olmama, iş sözleşmesi/işveren görevlendirmesi. Manuel Renta 2025.</t>
        </is>
      </c>
      <c r="I60" s="29" t="inlineStr">
        <is>
          <t>Evet</t>
        </is>
      </c>
      <c r="J60" s="29" t="inlineStr">
        <is>
          <t>Lisans kanıtları/069714f22a07d7085a0a6b6b55b43ae64673922630f05ae7061aaa16f04b1841.html</t>
        </is>
      </c>
      <c r="K60" s="29" t="inlineStr">
        <is>
          <t>069714f22a07d7085a0a6b6b55b43ae64673922630f05ae7061aaa16f04b1841</t>
        </is>
      </c>
    </row>
    <row r="61" ht="54" customHeight="1">
      <c r="A61" s="29" t="inlineStr">
        <is>
          <t>sevilla:kaynak:054</t>
        </is>
      </c>
      <c r="B61" s="29" t="inlineStr">
        <is>
          <t>sevilla</t>
        </is>
      </c>
      <c r="C61" s="29" t="inlineStr">
        <is>
          <t>Agencia Tributaria: Régimen fiscal especial aplicable a los trabajadores desplazados a territorio español</t>
        </is>
      </c>
      <c r="D61" s="29" t="inlineStr">
        <is>
          <t>Agencia Tributaria (AEAT)</t>
        </is>
      </c>
      <c r="E61" s="29" t="inlineStr">
        <is>
          <t>https://sede.agenciatributaria.gob.es/Sede/ayuda/manuales-videos-folletos/manuales-practicos/irpf-2025/c15-calculo-impuesto-determinacion-cuotas-integras/regimen-fiscal-especial-aplicable-trabajadores.html</t>
        </is>
      </c>
      <c r="F61" s="49" t="n">
        <v>46319</v>
      </c>
      <c r="G61" s="29" t="inlineStr">
        <is>
          <t>sevilla:para</t>
        </is>
      </c>
      <c r="H61" s="29" t="inlineStr">
        <is>
          <t>Kart 12: rejim süresi (geliş yılı + sonraki 5 vergi dönemi) ve oran %24 (600.000 EUR'ya kadar). Manuel Renta 2025.</t>
        </is>
      </c>
      <c r="I61" s="29" t="inlineStr">
        <is>
          <t>Evet</t>
        </is>
      </c>
      <c r="J61" s="29" t="inlineStr">
        <is>
          <t>Lisans kanıtları/d5fe19403f93894545b14b5ae1a7ca8fb8c94711bc79fac4a164184c9ef19e89.html</t>
        </is>
      </c>
      <c r="K61" s="29" t="inlineStr">
        <is>
          <t>d5fe19403f93894545b14b5ae1a7ca8fb8c94711bc79fac4a164184c9ef19e89</t>
        </is>
      </c>
    </row>
    <row r="62" ht="54" customHeight="1">
      <c r="A62" s="29" t="inlineStr">
        <is>
          <t>sevilla:kaynak:055</t>
        </is>
      </c>
      <c r="B62" s="29" t="inlineStr">
        <is>
          <t>sevilla</t>
        </is>
      </c>
      <c r="C62" s="29" t="inlineStr">
        <is>
          <t>BOE-A-2015-11430 Real Decreto Legislativo 2/2015, de 23 de octubre, por el que se aprueba el texto refundido de la Ley del Estatuto de los Trabajadores.</t>
        </is>
      </c>
      <c r="D62" s="29" t="inlineStr">
        <is>
          <t>BOE (Agencia Estatal Boletín Oficial del Estado)</t>
        </is>
      </c>
      <c r="E62" s="29" t="inlineStr">
        <is>
          <t>https://www.boe.es/buscar/act.php?id=BOE-A-2015-11430</t>
        </is>
      </c>
      <c r="F62" s="49" t="n">
        <v>46319</v>
      </c>
      <c r="G62" s="29" t="inlineStr">
        <is>
          <t>sevilla:is</t>
        </is>
      </c>
      <c r="H62" s="29" t="inlineStr">
        <is>
          <t>Kart 1: sözleşme türleri. Art. 15: sözleşme kural olarak belirsiz süreli sayılır; belirli süreli yalnız üretim koşulları (circunstancias de la producción) veya ikame (sustitución) nedeniyle yapılabilir (2021 reformu sonrası metin); fijo-discontinuo da aynı maddede geçer. Sayfa konsolide metin, son güncelleme 21/10/2026 görünümü; hukuki değeri olmayan bilgi amaçlı konsolide sürüm notu var.</t>
        </is>
      </c>
      <c r="I62" s="29" t="inlineStr">
        <is>
          <t>Evet</t>
        </is>
      </c>
      <c r="J62" s="29" t="inlineStr">
        <is>
          <t>Lisans kanıtları/d9a59a0ef368ee46722c67872526d743a2eaab871f316a5bbd0a600459859367.html</t>
        </is>
      </c>
      <c r="K62" s="29" t="inlineStr">
        <is>
          <t>d9a59a0ef368ee46722c67872526d743a2eaab871f316a5bbd0a600459859367</t>
        </is>
      </c>
    </row>
    <row r="63" ht="54" customHeight="1">
      <c r="A63" s="29" t="inlineStr">
        <is>
          <t>sevilla:kaynak:056</t>
        </is>
      </c>
      <c r="B63" s="29" t="inlineStr">
        <is>
          <t>sevilla</t>
        </is>
      </c>
      <c r="C63" s="29" t="inlineStr">
        <is>
          <t>BOE-A-2021-21788 Real Decreto-ley 32/2021, de 28 de diciembre, de medidas urgentes para la reforma laboral, la garantía de la estabilidad en el empleo y la transformación del merca</t>
        </is>
      </c>
      <c r="D63" s="29" t="inlineStr">
        <is>
          <t>BOE (Jefatura del Estado)</t>
        </is>
      </c>
      <c r="E63" s="29" t="inlineStr">
        <is>
          <t>https://www.boe.es/buscar/act.php?id=BOE-A-2021-21788</t>
        </is>
      </c>
      <c r="F63" s="49" t="n">
        <v>46319</v>
      </c>
      <c r="G63" s="29" t="inlineStr">
        <is>
          <t>sevilla:is</t>
        </is>
      </c>
      <c r="H63" s="29" t="inlineStr">
        <is>
          <t>Kart 1: 2021 iş reformunun amacı ve kapsamı: sözleşme türlerinin sadeleştirilmesi, belirsiz süreli sözleşmenin genelleştirilmesi, belirli süreli sözleşmeye nedensellik şartı; formativo sözleşmenin iki türe ayrılması (preamble). Karta yazılacak güncel kural için Estatuto konsolide metnine bakılır; bu RD-ley reformun kaynağı (28/12/2021, yürürlük 31/12/2021 ve 30/03/2022).</t>
        </is>
      </c>
      <c r="I63" s="29" t="inlineStr">
        <is>
          <t>Evet</t>
        </is>
      </c>
      <c r="J63" s="29" t="inlineStr">
        <is>
          <t>Lisans kanıtları/dfe5e70920600958304226ad77c9adaa98f24986a719e2b878754e27b496dd67.html</t>
        </is>
      </c>
      <c r="K63" s="29" t="inlineStr">
        <is>
          <t>dfe5e70920600958304226ad77c9adaa98f24986a719e2b878754e27b496dd67</t>
        </is>
      </c>
    </row>
    <row r="64" ht="54" customHeight="1">
      <c r="A64" s="29" t="inlineStr">
        <is>
          <t>sevilla:kaynak:057</t>
        </is>
      </c>
      <c r="B64" s="29" t="inlineStr">
        <is>
          <t>sevilla</t>
        </is>
      </c>
      <c r="C64" s="29" t="inlineStr">
        <is>
          <t>BOE-A-2026-3815 Real Decreto 126/2026, de 18 de febrero, por el que se fija el salario mínimo interprofesional para 2026.</t>
        </is>
      </c>
      <c r="D64" s="29" t="inlineStr">
        <is>
          <t>BOE (Agencia Estatal Boletín Oficial del Estado)</t>
        </is>
      </c>
      <c r="E64" s="29" t="inlineStr">
        <is>
          <t>https://www.boe.es/eli/es/rd/2026/02/18/126/con</t>
        </is>
      </c>
      <c r="F64" s="49" t="n">
        <v>46319</v>
      </c>
      <c r="G64" s="29" t="inlineStr">
        <is>
          <t>sevilla:is</t>
        </is>
      </c>
      <c r="H64" s="29" t="inlineStr">
        <is>
          <t>Kart 2: SMI 2026. RD 126/2026 (BOE 19/02/2026): günlük 40,70 euro veya aylık 1 221 euro (metinde 'euros/mes', 1 ile 221 arasında boşluk karakteri var); ev hizmetlisi saatlik 9,55 euro; 1 Ocak 2026'dan itibaren geçerli ('a partir del 1 de enero de 2026'). Yıllık 17.094 euro / 14 ödeme ifadesi metinde YOK (haber sitelerinden); karta yazılırsa 'metin yalnız günlük ve aylık tutarı verir' çerçevesinde. Konsolide metin 'Última actualización, publicada el 19/02/2026'.</t>
        </is>
      </c>
      <c r="I64" s="29" t="inlineStr">
        <is>
          <t>Evet</t>
        </is>
      </c>
      <c r="J64" s="29" t="inlineStr">
        <is>
          <t>Lisans kanıtları/0b05c22f8901dfeb74d9b999afed2ba617a34e953e9da6399d2b7ec2ad648ac1.html</t>
        </is>
      </c>
      <c r="K64" s="29" t="inlineStr">
        <is>
          <t>0b05c22f8901dfeb74d9b999afed2ba617a34e953e9da6399d2b7ec2ad648ac1</t>
        </is>
      </c>
    </row>
    <row r="65" ht="54" customHeight="1">
      <c r="A65" s="29" t="inlineStr">
        <is>
          <t>sevilla:kaynak:058</t>
        </is>
      </c>
      <c r="B65" s="29" t="inlineStr">
        <is>
          <t>sevilla</t>
        </is>
      </c>
      <c r="C65" s="29" t="inlineStr">
        <is>
          <t>BOE-A-2025-21667 Resolución de 17 de octubre de 2025, de la Dirección General de Trabajo, por la que se publica la relación de fiestas laborales para el año 2026.</t>
        </is>
      </c>
      <c r="D65" s="29" t="inlineStr">
        <is>
          <t>BOE (Ministerio de Trabajo y Economía Social, Dirección General de Trabajo)</t>
        </is>
      </c>
      <c r="E65" s="29" t="inlineStr">
        <is>
          <t>https://www.boe.es/diario_boe/txt.php?id=BOE-A-2025-21667</t>
        </is>
      </c>
      <c r="F65" s="49" t="n">
        <v>46319</v>
      </c>
      <c r="G65" s="29" t="inlineStr">
        <is>
          <t>sevilla:is</t>
        </is>
      </c>
      <c r="H65" s="29" t="inlineStr">
        <is>
          <t>Kart 3: resmi tatiller. 2026 yılı iş bayramları listesi (ulusal + özerk bölge + Ceuta/Melilla), anexo 'Año 2026'; Yılbaşı, 6 Ocak (Epifanía), 1 Mayıs, 15 Ağustos, 12 Ekim vb. ulusal sütunlarda; bölgeye göre farklı günler ayrı sütun. Her yıl yeni resolución yayımlanır (2027 listesi Ekim 2026'da yayımlandı, bu karta 2026 resolución'u yazıldı; yıl damgası: 'para el año 2026').</t>
        </is>
      </c>
      <c r="I65" s="29" t="inlineStr">
        <is>
          <t>Evet</t>
        </is>
      </c>
      <c r="J65" s="29" t="inlineStr">
        <is>
          <t>Lisans kanıtları/48af8c3f9e3ab48e6d933e3575d5b38982bb57f59b0079f6ea8733d514e32078.html</t>
        </is>
      </c>
      <c r="K65" s="29" t="inlineStr">
        <is>
          <t>48af8c3f9e3ab48e6d933e3575d5b38982bb57f59b0079f6ea8733d514e32078</t>
        </is>
      </c>
    </row>
    <row r="66" ht="54" customHeight="1">
      <c r="A66" s="29" t="inlineStr">
        <is>
          <t>sevilla:kaynak:059</t>
        </is>
      </c>
      <c r="B66" s="29" t="inlineStr">
        <is>
          <t>sevilla</t>
        </is>
      </c>
      <c r="C66" s="29" t="inlineStr">
        <is>
          <t>BOE-A-1995-912 Orden de 27 de diciembre de 1994 por la que se aprueba el modelo de recibo individual de salarios.</t>
        </is>
      </c>
      <c r="D66" s="29" t="inlineStr">
        <is>
          <t>BOE (Ministerio de Trabajo, texto consolidado)</t>
        </is>
      </c>
      <c r="E66" s="29" t="inlineStr">
        <is>
          <t>https://www.boe.es/buscar/act.php?id=BOE-A-1995-912</t>
        </is>
      </c>
      <c r="F66" s="49" t="n">
        <v>46319</v>
      </c>
      <c r="G66" s="29" t="inlineStr">
        <is>
          <t>sevilla:is</t>
        </is>
      </c>
      <c r="H66" s="29" t="inlineStr">
        <is>
          <t>Kart 4: nómina. Resmî bordro modeli: aylık (meses naturales); kazançlar ve kesintiler açık ve ayrı gösterilir; işçi imzası/banka dekontu; bordrolar en az 5 yıl saklanır (art. 3). Model tablosu (anexo) metinde değil, görsel; son güncelleme 11/11/2014 (Orden ESS/2098/2014).</t>
        </is>
      </c>
      <c r="I66" s="29" t="inlineStr">
        <is>
          <t>Evet</t>
        </is>
      </c>
      <c r="J66" s="29" t="inlineStr">
        <is>
          <t>Lisans kanıtları/cbd78d471d3d6af94a9ff28bbb3edbeefee1387f3bc8f6e92e534aa1aa88a4bd.html</t>
        </is>
      </c>
      <c r="K66" s="29" t="inlineStr">
        <is>
          <t>cbd78d471d3d6af94a9ff28bbb3edbeefee1387f3bc8f6e92e534aa1aa88a4bd</t>
        </is>
      </c>
    </row>
    <row r="67" ht="54" customHeight="1">
      <c r="A67" s="29" t="inlineStr">
        <is>
          <t>sevilla:kaynak:060</t>
        </is>
      </c>
      <c r="B67" s="29" t="inlineStr">
        <is>
          <t>sevilla</t>
        </is>
      </c>
      <c r="C67" s="29" t="inlineStr">
        <is>
          <t>BOE-A-2026-7296 Orden PJC/297/2026, de 30 de marzo, por la que se desarrollan las normas legales de cotización a la Seguridad Social, desempleo, protección por cese de actividad, F</t>
        </is>
      </c>
      <c r="D67" s="29" t="inlineStr">
        <is>
          <t>BOE (Ministerio de la Presidencia, Justicia y Relaciones con las Cortes)</t>
        </is>
      </c>
      <c r="E67" s="29" t="inlineStr">
        <is>
          <t>https://www.boe.es/diario_boe/txt.php?id=BOE-A-2026-7296</t>
        </is>
      </c>
      <c r="F67" s="49" t="n">
        <v>46319</v>
      </c>
      <c r="G67" s="29" t="inlineStr">
        <is>
          <t>sevilla:is</t>
        </is>
      </c>
      <c r="H67" s="29" t="inlineStr">
        <is>
          <t>Kart 4: bordroda sosyal güvenlik kesintisi. 2026 genel rejim ortak risklerde (contingencias comunes) toplam %28,30: %23,60 işveren, %4,70 işçi. Orden yılı 2026. İşsizlik, FP, MEI işçi payı ayrı maddede (yazılacaksa o metinden doğrulanmalı).</t>
        </is>
      </c>
      <c r="I67" s="29" t="inlineStr">
        <is>
          <t>Evet</t>
        </is>
      </c>
      <c r="J67" s="29" t="inlineStr">
        <is>
          <t>Lisans kanıtları/b929bc7e92be30c91abf74ee2d8670bb1ed24d5a38506e36c21b5cba5d9dc732.html</t>
        </is>
      </c>
      <c r="K67" s="29" t="inlineStr">
        <is>
          <t>b929bc7e92be30c91abf74ee2d8670bb1ed24d5a38506e36c21b5cba5d9dc732</t>
        </is>
      </c>
    </row>
    <row r="68" ht="54" customHeight="1">
      <c r="A68" s="29" t="inlineStr">
        <is>
          <t>sevilla:kaynak:061</t>
        </is>
      </c>
      <c r="B68" s="29" t="inlineStr">
        <is>
          <t>sevilla</t>
        </is>
      </c>
      <c r="C68" s="29" t="inlineStr">
        <is>
          <t>Prestación contributiva - He trabajado más de un año</t>
        </is>
      </c>
      <c r="D68" s="29" t="inlineStr">
        <is>
          <t>SEPE (Servicio Público de Empleo Estatal)</t>
        </is>
      </c>
      <c r="E68" s="29" t="inlineStr">
        <is>
          <t>https://www.sepe.es/HomeSepe/prestaciones-desempleo/prestacion-contributiva/prestacion-contributiva-mas-de-un-anyo.html</t>
        </is>
      </c>
      <c r="F68" s="49" t="n">
        <v>46319</v>
      </c>
      <c r="G68" s="29" t="inlineStr">
        <is>
          <t>sevilla:is</t>
        </is>
      </c>
      <c r="H68" s="29" t="inlineStr">
        <is>
          <t>Kart 7: paro. Şart: son 6 yılda en az 360 gün işsizlik primi; başvuru son çalışılan günden sonra 15 iş günü içinde (sayfada 'Solicitud ... plazo de los quince días hábiles'); tutar: ilk 180 gün baz matrahın %70'i, 181. günden sonra %60. Süre tablosu ayrı sayfada ('Ver tabla de la duración'). Tarih/yıl damgası sayfada yok.</t>
        </is>
      </c>
      <c r="I68" s="29" t="inlineStr">
        <is>
          <t>Evet</t>
        </is>
      </c>
      <c r="J68" s="29" t="inlineStr">
        <is>
          <t>Lisans kanıtları/fb293c47c327e19e6a754937bfde550ca6e7fc7b240379dec715ab545efab344.html</t>
        </is>
      </c>
      <c r="K68" s="29" t="inlineStr">
        <is>
          <t>fb293c47c327e19e6a754937bfde550ca6e7fc7b240379dec715ab545efab344</t>
        </is>
      </c>
    </row>
    <row r="69" ht="54" customHeight="1">
      <c r="A69" s="29" t="inlineStr">
        <is>
          <t>sevilla:kaynak:062</t>
        </is>
      </c>
      <c r="B69" s="29" t="inlineStr">
        <is>
          <t>sevilla</t>
        </is>
      </c>
      <c r="C69" s="29" t="inlineStr">
        <is>
          <t>Duración contributiva |Servicio Público de Empleo Estatal</t>
        </is>
      </c>
      <c r="D69" s="29" t="inlineStr">
        <is>
          <t>SEPE (Servicio Público de Empleo Estatal)</t>
        </is>
      </c>
      <c r="E69" s="29" t="inlineStr">
        <is>
          <t>https://www.sepe.es/HomeSepe/prestaciones-desempleo/duracion-prestacion-contributiva.html</t>
        </is>
      </c>
      <c r="F69" s="49" t="n">
        <v>46319</v>
      </c>
      <c r="G69" s="29" t="inlineStr">
        <is>
          <t>sevilla:is</t>
        </is>
      </c>
      <c r="H69" s="29" t="inlineStr">
        <is>
          <t>Kart 7: paro süresi tablosu: 360-539 gün prim = 120 gün ödenek, 540-719 = 180, ... 2.160 ve üzeri = 720 gün (azami). Sayfada tek yıl damgası altbilgide '2023 SEPE' (telif); tablo kendisi tarihsiz.</t>
        </is>
      </c>
      <c r="I69" s="29" t="inlineStr">
        <is>
          <t>Evet</t>
        </is>
      </c>
      <c r="J69" s="29" t="inlineStr">
        <is>
          <t>Lisans kanıtları/31c9dd67af7079b8f061bc43880f4ac31f89b6badef4d44bb7d07296cc44b643.html</t>
        </is>
      </c>
      <c r="K69" s="29" t="inlineStr">
        <is>
          <t>31c9dd67af7079b8f061bc43880f4ac31f89b6badef4d44bb7d07296cc44b643</t>
        </is>
      </c>
    </row>
    <row r="70" ht="54" customHeight="1">
      <c r="A70" s="29" t="inlineStr">
        <is>
          <t>sevilla:kaynak:063</t>
        </is>
      </c>
      <c r="B70" s="29" t="inlineStr">
        <is>
          <t>sevilla</t>
        </is>
      </c>
      <c r="C70" s="29" t="inlineStr">
        <is>
          <t>BOE-A-2015-11724 Real Decreto Legislativo 8/2015, de 30 de octubre, por el que se aprueba el texto refundido de la Ley General de la Seguridad Social.</t>
        </is>
      </c>
      <c r="D70" s="29" t="inlineStr">
        <is>
          <t>BOE (Agencia Estatal Boletín Oficial del Estado)</t>
        </is>
      </c>
      <c r="E70" s="29" t="inlineStr">
        <is>
          <t>https://www.boe.es/buscar/act.php?id=BOE-A-2015-11724</t>
        </is>
      </c>
      <c r="F70" s="49" t="n">
        <v>46319</v>
      </c>
      <c r="G70" s="29" t="inlineStr">
        <is>
          <t>sevilla:is</t>
        </is>
      </c>
      <c r="H70" s="29" t="inlineStr">
        <is>
          <t>Kart 8: iş kazası tanımı (art. 156: iş nedeniyle veya işle bağlantılı bedensel yaralanma; 156.2: işe gidiş-dönüş kazası da sayılır) ve geçici iş göremezlik azami süresi 365 gün + 180 gün (art. 169). Konsolide metin; meslek hastalığı tanımı art. 157.</t>
        </is>
      </c>
      <c r="I70" s="29" t="inlineStr">
        <is>
          <t>Evet</t>
        </is>
      </c>
      <c r="J70" s="29" t="inlineStr">
        <is>
          <t>Lisans kanıtları/2dd045fd02c01d2e30e4596fd91b85b44e0cde97b249887c294edcffb33ac6f1.html</t>
        </is>
      </c>
      <c r="K70" s="29" t="inlineStr">
        <is>
          <t>2dd045fd02c01d2e30e4596fd91b85b44e0cde97b249887c294edcffb33ac6f1</t>
        </is>
      </c>
    </row>
    <row r="71" ht="54" customHeight="1">
      <c r="A71" s="29" t="inlineStr">
        <is>
          <t>sevilla:kaynak:064</t>
        </is>
      </c>
      <c r="B71" s="29" t="inlineStr">
        <is>
          <t>sevilla</t>
        </is>
      </c>
      <c r="C71" s="29" t="inlineStr">
        <is>
          <t>Guía para darte de alta en la Seguridad Social como trabajador autónomo - Revista Seguridad Social</t>
        </is>
      </c>
      <c r="D71" s="29" t="inlineStr">
        <is>
          <t>Seguridad Social (Revista Seguridad Social, revista.seg-social.es)</t>
        </is>
      </c>
      <c r="E71" s="29" t="inlineStr">
        <is>
          <t>https://revista.seg-social.es/-/guia-para-darte-de-alta-en-la-seguridad-social-como-trabajador-autonomo</t>
        </is>
      </c>
      <c r="F71" s="49" t="n">
        <v>46319</v>
      </c>
      <c r="G71" s="29" t="inlineStr">
        <is>
          <t>sevilla:is</t>
        </is>
      </c>
      <c r="H71" s="29" t="inlineStr">
        <is>
          <t>Kart 9: otonom kaydı. Sıra: önce IAE/vergi kaydı (Agencia Tributaria), sonra Seguridad Social'da RETA alta (Import@ss / Tu Seguridad Social, çevrimiçi); sırasında mutua seçilir, tarifa plana seçeneği sorulur, banka hesabı verilir. Sayfada yıl damgası yok; tarifa plana tutarı bu sayfada yok.</t>
        </is>
      </c>
      <c r="I71" s="29" t="inlineStr">
        <is>
          <t>Evet</t>
        </is>
      </c>
      <c r="J71" s="29" t="inlineStr">
        <is>
          <t>Lisans kanıtları/05ab5ffe4939f0ab5553de252f96fd3ba71074c896ee8f85cf035bbe936d59c6.html</t>
        </is>
      </c>
      <c r="K71" s="29" t="inlineStr">
        <is>
          <t>05ab5ffe4939f0ab5553de252f96fd3ba71074c896ee8f85cf035bbe936d59c6</t>
        </is>
      </c>
    </row>
    <row r="72" ht="54" customHeight="1">
      <c r="A72" s="29" t="inlineStr">
        <is>
          <t>sevilla:kaynak:065</t>
        </is>
      </c>
      <c r="B72" s="29" t="inlineStr">
        <is>
          <t>sevilla</t>
        </is>
      </c>
      <c r="C72" s="29" t="inlineStr">
        <is>
          <t>¿Qué puedo homologar o convalidar? - Homologación y convalidación de títulos y estudios extranjeros no universitarios | Ministerio de Educación, Formación Profesional y Deportes</t>
        </is>
      </c>
      <c r="D72" s="29" t="inlineStr">
        <is>
          <t>Ministerio de Educación, Formación Profesional y Deportes</t>
        </is>
      </c>
      <c r="E72" s="29" t="inlineStr">
        <is>
          <t>https://www.educacionfpydeportes.gob.es/mc/convalidacion-homologacion/convalidacion-no-universitaria/homologar-convalidar.html</t>
        </is>
      </c>
      <c r="F72" s="49" t="n">
        <v>46319</v>
      </c>
      <c r="G72" s="29" t="inlineStr">
        <is>
          <t>sevilla:is</t>
        </is>
      </c>
      <c r="H72" s="29" t="inlineStr">
        <is>
          <t>Kart 11: yabancı okul/lise/MYO (üniversite DIŞI) diploma denkliği. Şart: ülkesinde resmî ve tamamlanmış olmalı, İspanyol karşılığıyla yeterli denklik; tek tek dersler, İspanya'dan zaten alınmış diplomalar ve yetkisiz yabancı okul diplomaları denklenmez. Sayfada yıl damgası yok; sayfa 'bilgilendirme, hukuki değeri yok' notlu.</t>
        </is>
      </c>
      <c r="I72" s="29" t="inlineStr">
        <is>
          <t>Evet</t>
        </is>
      </c>
      <c r="J72" s="29" t="inlineStr">
        <is>
          <t>Lisans kanıtları/0fef729b5e425c3e3fec9fe30f1c29c3d5a9979fda76a0338fa8c563af5ee3ff.html</t>
        </is>
      </c>
      <c r="K72" s="29" t="inlineStr">
        <is>
          <t>0fef729b5e425c3e3fec9fe30f1c29c3d5a9979fda76a0338fa8c563af5ee3ff</t>
        </is>
      </c>
    </row>
    <row r="73" ht="54" customHeight="1">
      <c r="A73" s="29" t="inlineStr">
        <is>
          <t>sevilla:kaynak:066</t>
        </is>
      </c>
      <c r="B73" s="29" t="inlineStr">
        <is>
          <t>sevilla</t>
        </is>
      </c>
      <c r="C73" s="29" t="inlineStr">
        <is>
          <t>BOE-A-2022-17045 Real Decreto 889/2022, de 18 de octubre, por el que se establecen las condiciones y los procedimientos de homologación, de declaración de equivalencia y de convali</t>
        </is>
      </c>
      <c r="D73" s="29" t="inlineStr">
        <is>
          <t>BOE (Ministerio de Universidades)</t>
        </is>
      </c>
      <c r="E73" s="29" t="inlineStr">
        <is>
          <t>https://www.boe.es/buscar/doc.php?id=BOE-A-2022-17045</t>
        </is>
      </c>
      <c r="F73" s="49" t="n">
        <v>46319</v>
      </c>
      <c r="G73" s="29" t="inlineStr">
        <is>
          <t>sevilla:is</t>
        </is>
      </c>
      <c r="H73" s="29" t="inlineStr">
        <is>
          <t>Kart 11: yabancı ÜNİVERSİTE diploması. Art. 12: başvuru yalnız çevrimiçi, Ministerio de Universidades sede electrónica; homologación = düzenlenmiş meslek (profesión regulada) için, equivalencia = düzenlenmemiş için (art. 2 tanımları). Metin 2022 tarihli RD (BOE 19/10/2022), güncel sürümü sayfada.</t>
        </is>
      </c>
      <c r="I73" s="29" t="inlineStr">
        <is>
          <t>Evet</t>
        </is>
      </c>
      <c r="J73" s="29" t="inlineStr">
        <is>
          <t>Lisans kanıtları/069d8636e3be5530d9ef4babcadfb1dd09eb2a95d42bfe415b1efbe4ce476a60.html</t>
        </is>
      </c>
      <c r="K73" s="29" t="inlineStr">
        <is>
          <t>069d8636e3be5530d9ef4babcadfb1dd09eb2a95d42bfe415b1efbe4ce476a60</t>
        </is>
      </c>
    </row>
    <row r="74" ht="54" customHeight="1">
      <c r="A74" s="29" t="inlineStr">
        <is>
          <t>sevilla:kaynak:067</t>
        </is>
      </c>
      <c r="B74" s="29" t="inlineStr">
        <is>
          <t>sevilla</t>
        </is>
      </c>
      <c r="C74" s="29" t="inlineStr">
        <is>
          <t>Contratación y suministro</t>
        </is>
      </c>
      <c r="D74" s="29" t="inlineStr">
        <is>
          <t>MITECO (Ministerio para la Transición Ecológica y el Reto Demográfico)</t>
        </is>
      </c>
      <c r="E74" s="29" t="inlineStr">
        <is>
          <t>https://www.miteco.gob.es/es/energia/energia-electrica/electricidad/contratacion-suministro.html</t>
        </is>
      </c>
      <c r="F74" s="49" t="n">
        <v>46319</v>
      </c>
      <c r="G74" s="29" t="inlineStr">
        <is>
          <t>sevilla:fatura</t>
        </is>
      </c>
      <c r="H74" s="29" t="inlineStr">
        <is>
          <t>Kart 1: serbest piyasa herkese açık, regüle piyasada (PVPC) yalnız &lt;=10 kW gerçek kişi/mikro işletme ve comercializadora de referencia ile. Sayfada yıl yok (canlı resmî sayfa).</t>
        </is>
      </c>
      <c r="I74" s="29" t="inlineStr">
        <is>
          <t>Evet</t>
        </is>
      </c>
      <c r="J74" s="29" t="inlineStr">
        <is>
          <t>Lisans kanıtları/4758e6434f52013ae23879e4c87817909b6c4ad061e3934e84387708b7518b98.html</t>
        </is>
      </c>
      <c r="K74" s="29" t="inlineStr">
        <is>
          <t>4758e6434f52013ae23879e4c87817909b6c4ad061e3934e84387708b7518b98</t>
        </is>
      </c>
    </row>
    <row r="75" ht="54" customHeight="1">
      <c r="A75" s="29" t="inlineStr">
        <is>
          <t>sevilla:kaynak:068</t>
        </is>
      </c>
      <c r="B75" s="29" t="inlineStr">
        <is>
          <t>sevilla</t>
        </is>
      </c>
      <c r="C75" s="29" t="inlineStr">
        <is>
          <t>Comercialización y suministro eléctrico | CNMC</t>
        </is>
      </c>
      <c r="D75" s="29" t="inlineStr">
        <is>
          <t>CNMC (Comisión Nacional de los Mercados y la Competencia)</t>
        </is>
      </c>
      <c r="E75" s="29" t="inlineStr">
        <is>
          <t>https://www.cnmc.es/facil-para-ti/que-hace-la-cnmc-para-consumidores/comercializacion-y-suministro-electrico</t>
        </is>
      </c>
      <c r="F75" s="49" t="n">
        <v>46319</v>
      </c>
      <c r="G75" s="29" t="inlineStr">
        <is>
          <t>sevilla:fatura</t>
        </is>
      </c>
      <c r="H75" s="29" t="inlineStr">
        <is>
          <t>Kart 2: faturanın bileşenleri (sabit güç terimi, enerji terimi, peaje/cargo ayrı gösterilir, Impuesto especial de la electricidad + IVA). Kart 3: güç değişikliği comercializadora üzerinden istenir, 12 ayda bir yapılır (potencia contratada). Kart 1 için de PVPC'ye kimin girebildiğini söyler. Sayfa içinde yıl damgası yalnız 'Copyright 2024'; bölümlerin bir kısmı 'en proceso de elaboración/pendiente de actualización' notlu, yukarıdaki cümleler bunlardan bağımsız metin. Vergi oranları (IVA yüzdesi) sayfada yok.</t>
        </is>
      </c>
      <c r="I75" s="29" t="inlineStr">
        <is>
          <t>Evet</t>
        </is>
      </c>
      <c r="J75" s="29" t="inlineStr">
        <is>
          <t>Lisans kanıtları/38c0a92eb9f088b7647061ca862af284609dccd0bfd87af9c1385e9b9616db29.html</t>
        </is>
      </c>
      <c r="K75" s="29" t="inlineStr">
        <is>
          <t>38c0a92eb9f088b7647061ca862af284609dccd0bfd87af9c1385e9b9616db29</t>
        </is>
      </c>
    </row>
    <row r="76" ht="54" customHeight="1">
      <c r="A76" s="29" t="inlineStr">
        <is>
          <t>sevilla:kaynak:069</t>
        </is>
      </c>
      <c r="B76" s="29" t="inlineStr">
        <is>
          <t>sevilla</t>
        </is>
      </c>
      <c r="C76" s="29" t="inlineStr">
        <is>
          <t>Precio Voluntario para el Pequeño Consumidor (PVPC)</t>
        </is>
      </c>
      <c r="D76" s="29" t="inlineStr">
        <is>
          <t>MITECO (Ministerio para la Transición Ecológica y el Reto Demográfico)</t>
        </is>
      </c>
      <c r="E76" s="29" t="inlineStr">
        <is>
          <t>https://www.miteco.gob.es/es/energia/energia-electrica/electricidad/contratacion-suministro/precio-voluntario.html</t>
        </is>
      </c>
      <c r="F76" s="49" t="n">
        <v>46319</v>
      </c>
      <c r="G76" s="29" t="inlineStr">
        <is>
          <t>sevilla:fatura</t>
        </is>
      </c>
      <c r="H76" s="29" t="inlineStr">
        <is>
          <t>Kart 1: PVPC saatlik değişen, toptan piyasaya endeksli fiyat (1 Nisan 2014'ten beri; 1 Ocak 2024'ten itibaren kısmen uzun vadeli sinyal içerir). Kart 2: PVPC'de potencia ve energía terimi var, vergi PVPC'nin üstüne ayrıca eklenir.</t>
        </is>
      </c>
      <c r="I76" s="29" t="inlineStr">
        <is>
          <t>Evet</t>
        </is>
      </c>
      <c r="J76" s="29" t="inlineStr">
        <is>
          <t>Lisans kanıtları/a45bf332451206ed7e7cea4d7f7bd4a68bd7042a9d3f7789208063aba5d21bde.html</t>
        </is>
      </c>
      <c r="K76" s="29" t="inlineStr">
        <is>
          <t>a45bf332451206ed7e7cea4d7f7bd4a68bd7042a9d3f7789208063aba5d21bde</t>
        </is>
      </c>
    </row>
    <row r="77" ht="54" customHeight="1">
      <c r="A77" s="29" t="inlineStr">
        <is>
          <t>sevilla:kaynak:070</t>
        </is>
      </c>
      <c r="B77" s="29" t="inlineStr">
        <is>
          <t>sevilla</t>
        </is>
      </c>
      <c r="C77" s="29" t="inlineStr">
        <is>
          <t>Consumidores de gas. Guía informativa | CNMC</t>
        </is>
      </c>
      <c r="D77" s="29" t="inlineStr">
        <is>
          <t>CNMC (Comisión Nacional de los Mercados y la Competencia)</t>
        </is>
      </c>
      <c r="E77" s="29" t="inlineStr">
        <is>
          <t>https://www.cnmc.es/facil-para-ti/que-hace-la-cnmc-para-consumidores/consumidores-gas</t>
        </is>
      </c>
      <c r="F77" s="49" t="n">
        <v>46319</v>
      </c>
      <c r="G77" s="29" t="inlineStr">
        <is>
          <t>sevilla:fatura</t>
        </is>
      </c>
      <c r="H77" s="29" t="inlineStr">
        <is>
          <t>Kart 4: gaz serbest piyasa / TUR ayrımı, TUR hakkı (yıllık tüketim &lt;=50.000 kWh, &lt;=4 bar), TUR.1-3 kademeleri, TUR değişkeni Ocak-Nisan-Temmuz-Ekim'de üç ayda bir güncellenir, tedarikçi değişimi ücretsiz, uzaktan sözleşmede 14 gün cayma, fatura içeriği. Kart 7: comparador.cnmc.gob.es yalnız bilgi aracı, doğrudan sözleşme yaptırmaz. Sayfa 'Peajes de acceso para el año de gas 2026' anıyor (güncel); 'En 2024' ayrı ödenek tutarı eski, kullanma.</t>
        </is>
      </c>
      <c r="I77" s="29" t="inlineStr">
        <is>
          <t>Evet</t>
        </is>
      </c>
      <c r="J77" s="29" t="inlineStr">
        <is>
          <t>Lisans kanıtları/a68b126f14613861f0ec04861fb78e299b602b55a06b04f0f08bc4f95507b9f7.html</t>
        </is>
      </c>
      <c r="K77" s="29" t="inlineStr">
        <is>
          <t>a68b126f14613861f0ec04861fb78e299b602b55a06b04f0f08bc4f95507b9f7</t>
        </is>
      </c>
    </row>
    <row r="78" ht="54" customHeight="1">
      <c r="A78" s="29" t="inlineStr">
        <is>
          <t>sevilla:kaynak:071</t>
        </is>
      </c>
      <c r="B78" s="29" t="inlineStr">
        <is>
          <t>sevilla</t>
        </is>
      </c>
      <c r="C78" s="29" t="inlineStr">
        <is>
          <t>¿Cuáles son los requisitos para solicitarlo?</t>
        </is>
      </c>
      <c r="D78" s="29" t="inlineStr">
        <is>
          <t>MITECO (Ministerio para la Transición Ecológica y el Reto Demográfico)</t>
        </is>
      </c>
      <c r="E78" s="29" t="inlineStr">
        <is>
          <t>https://www.miteco.gob.es/es/energia/pobreza-energetica/pe-001/requisitos.html</t>
        </is>
      </c>
      <c r="F78" s="49" t="n">
        <v>46319</v>
      </c>
      <c r="G78" s="29" t="inlineStr">
        <is>
          <t>sevilla:fatura</t>
        </is>
      </c>
      <c r="H78" s="29" t="inlineStr">
        <is>
          <t>Kart 5: bono social için PVPC + gerçek ikametgah + gelir/aile/emekli/IMV vb. kriterler (1,5 x IPREM 14 pagas, her ek yetişkin +0,3, her çocuk +0,5). Tarihe duyarlı: sayfa 'Hasta el 31 de diciembre de 2026 será de 42,5%' (geçici indirim) ve 'a partir del 31 de diciembre de 2025, en el 35%' (olağan indirim) diyor; sayfada TL/euro IPREM tutarları da yer alıyor (kart metninde sabit tutar yazma). 2026 sayfası.</t>
        </is>
      </c>
      <c r="I78" s="29" t="inlineStr">
        <is>
          <t>Evet</t>
        </is>
      </c>
      <c r="J78" s="29" t="inlineStr">
        <is>
          <t>Lisans kanıtları/2ba33e8b3440bf41e213bff5e0bed88c3bb71e30a6413946c4a40faacdb2a9e0.html</t>
        </is>
      </c>
      <c r="K78" s="29" t="inlineStr">
        <is>
          <t>2ba33e8b3440bf41e213bff5e0bed88c3bb71e30a6413946c4a40faacdb2a9e0</t>
        </is>
      </c>
    </row>
    <row r="79" ht="54" customHeight="1">
      <c r="A79" s="29" t="inlineStr">
        <is>
          <t>sevilla:kaynak:072</t>
        </is>
      </c>
      <c r="B79" s="29" t="inlineStr">
        <is>
          <t>sevilla</t>
        </is>
      </c>
      <c r="C79" s="29" t="inlineStr">
        <is>
          <t>BOE-A-2017-11505 Real Decreto 897/2017, de 6 de octubre, por el que se regula la figura del consumidor vulnerable, el bono social y otras medidas de protección para los consumidore</t>
        </is>
      </c>
      <c r="D79" s="29" t="inlineStr">
        <is>
          <t>BOE (Agencia Estatal Boletín Oficial del Estado)</t>
        </is>
      </c>
      <c r="E79" s="29" t="inlineStr">
        <is>
          <t>https://www.boe.es/buscar/act.php?id=BOE-A-2017-11505</t>
        </is>
      </c>
      <c r="F79" s="49" t="n">
        <v>46319</v>
      </c>
      <c r="G79" s="29" t="inlineStr">
        <is>
          <t>sevilla:fatura</t>
        </is>
      </c>
      <c r="H79" s="29" t="inlineStr">
        <is>
          <t>Kart 5: yasal dayanak, madde 3 (vulnerable tüketici kriterleri). Konsolide metin 'Última actualización publicada el 28/01/2026'; madde 3 mevcut sürümü 01/11/2024'ten geçerli. Fiili 2026 indirim oranları bu metinde değil, MITECO sayfasında.</t>
        </is>
      </c>
      <c r="I79" s="29" t="inlineStr">
        <is>
          <t>Evet</t>
        </is>
      </c>
      <c r="J79" s="29" t="inlineStr">
        <is>
          <t>Lisans kanıtları/67230e4d4db4d5b0d3a8c0504501f4ef0b832716b61dc8b49e738b3c60984224.html</t>
        </is>
      </c>
      <c r="K79" s="29" t="inlineStr">
        <is>
          <t>67230e4d4db4d5b0d3a8c0504501f4ef0b832716b61dc8b49e738b3c60984224</t>
        </is>
      </c>
    </row>
    <row r="80" ht="54" customHeight="1">
      <c r="A80" s="29" t="inlineStr">
        <is>
          <t>sevilla:kaynak:073</t>
        </is>
      </c>
      <c r="B80" s="29" t="inlineStr">
        <is>
          <t>sevilla</t>
        </is>
      </c>
      <c r="C80" s="29" t="inlineStr">
        <is>
          <t>BOE-A-2022-10757 Ley 11/2022, de 28 de junio, General de Telecomunicaciones.</t>
        </is>
      </c>
      <c r="D80" s="29" t="inlineStr">
        <is>
          <t>BOE (Agencia Estatal Boletín Oficial del Estado)</t>
        </is>
      </c>
      <c r="E80" s="29" t="inlineStr">
        <is>
          <t>https://www.boe.es/buscar/act.php?id=BOE-A-2022-10757</t>
        </is>
      </c>
      <c r="F80" s="49" t="n">
        <v>46319</v>
      </c>
      <c r="G80" s="29" t="inlineStr">
        <is>
          <t>sevilla:fatura</t>
        </is>
      </c>
      <c r="H80" s="29" t="inlineStr">
        <is>
          <t>Kart 6: tüketici-operatör sözleşmesi 24 aydan uzun olamaz (madde 67.7). Konsolide metin 'Última actualización publicada el 27/12/2025'.</t>
        </is>
      </c>
      <c r="I80" s="29" t="inlineStr">
        <is>
          <t>Evet</t>
        </is>
      </c>
      <c r="J80" s="29" t="inlineStr">
        <is>
          <t>Lisans kanıtları/8297453ff79fe6744adb2036528a6b2e84cfad0eb488f504b95bb1ff0aa0e0a5.html</t>
        </is>
      </c>
      <c r="K80" s="29" t="inlineStr">
        <is>
          <t>8297453ff79fe6744adb2036528a6b2e84cfad0eb488f504b95bb1ff0aa0e0a5</t>
        </is>
      </c>
    </row>
    <row r="81" ht="54" customHeight="1">
      <c r="A81" s="29" t="inlineStr">
        <is>
          <t>sevilla:kaynak:074</t>
        </is>
      </c>
      <c r="B81" s="29" t="inlineStr">
        <is>
          <t>sevilla</t>
        </is>
      </c>
      <c r="C81" s="29" t="inlineStr">
        <is>
          <t>BOE-A-2007-20555 Real Decreto Legislativo 1/2007, de 16 de noviembre, por el que se aprueba el texto refundido de la Ley General para la Defensa de los Consumidores y Usuarios y ot</t>
        </is>
      </c>
      <c r="D81" s="29" t="inlineStr">
        <is>
          <t>BOE (Agencia Estatal Boletín Oficial del Estado)</t>
        </is>
      </c>
      <c r="E81" s="29" t="inlineStr">
        <is>
          <t>https://www.boe.es/buscar/act.php?id=BOE-A-2007-20555</t>
        </is>
      </c>
      <c r="F81" s="49" t="n">
        <v>46319</v>
      </c>
      <c r="G81" s="29" t="inlineStr">
        <is>
          <t>sevilla:fatura</t>
        </is>
      </c>
      <c r="H81" s="29" t="inlineStr">
        <is>
          <t>Kart 6: cayma hakkı, madde 102 (14 takvim günü, gerekçe göstermeden). Uzaktan/dükkân dışı sözleşmeler için geçerli, mağazada imzalanan sözleşmeye otomatik uygulanmaz. Konsolide metin 'Última actualización publicada el 28/02/2026'.</t>
        </is>
      </c>
      <c r="I81" s="29" t="inlineStr">
        <is>
          <t>Evet</t>
        </is>
      </c>
      <c r="J81" s="29" t="inlineStr">
        <is>
          <t>Lisans kanıtları/a3a4fb90c6fa1243cd9b7d6e1fea998090a873f6843c92a3a4d1314115b7be29.html</t>
        </is>
      </c>
      <c r="K81" s="29" t="inlineStr">
        <is>
          <t>a3a4fb90c6fa1243cd9b7d6e1fea998090a873f6843c92a3a4d1314115b7be29</t>
        </is>
      </c>
    </row>
    <row r="82" ht="54" customHeight="1">
      <c r="A82" s="29" t="inlineStr">
        <is>
          <t>sevilla:kaynak:075</t>
        </is>
      </c>
      <c r="B82" s="29" t="inlineStr">
        <is>
          <t>sevilla</t>
        </is>
      </c>
      <c r="C82" s="29" t="inlineStr">
        <is>
          <t>Energía | CNMC</t>
        </is>
      </c>
      <c r="D82" s="29" t="inlineStr">
        <is>
          <t>CNMC (Comisión Nacional de los Mercados y la Competencia)</t>
        </is>
      </c>
      <c r="E82" s="29" t="inlineStr">
        <is>
          <t>https://www.cnmc.es/facil-para-ti/herramientas-utiles/energia</t>
        </is>
      </c>
      <c r="F82" s="49" t="n">
        <v>46319</v>
      </c>
      <c r="G82" s="29" t="inlineStr">
        <is>
          <t>sevilla:fatura</t>
        </is>
      </c>
      <c r="H82" s="29" t="inlineStr">
        <is>
          <t>Kart 7: CNMC karşılaştırma aracı elektrik ve doğalgaz tekliflerini karşılaştırır (adres comparador.cnmc.gob.es). Aynı sayfa 'Entiende tu factura' aracını (kart 2 için faydalı) ve PVPC fatura simülatörünü (&lt;=10 kW) tanıtır. Sayfadaki 'cerca de 800 ofertas de más de 80 comercializadoras' sayısı 2020 kaynaklı, kullanma.</t>
        </is>
      </c>
      <c r="I82" s="29" t="inlineStr">
        <is>
          <t>Evet</t>
        </is>
      </c>
      <c r="J82" s="29" t="inlineStr">
        <is>
          <t>Lisans kanıtları/c6ac86f0b12c95d3cb7532e78223f0294f4fa3afba9b837952f03b060ae1a7dd.html</t>
        </is>
      </c>
      <c r="K82" s="29" t="inlineStr">
        <is>
          <t>c6ac86f0b12c95d3cb7532e78223f0294f4fa3afba9b837952f03b060ae1a7dd</t>
        </is>
      </c>
    </row>
    <row r="83" ht="54" customHeight="1">
      <c r="A83" s="29" t="inlineStr">
        <is>
          <t>sevilla:kaynak:076</t>
        </is>
      </c>
      <c r="B83" s="29" t="inlineStr">
        <is>
          <t>sevilla</t>
        </is>
      </c>
      <c r="C83" s="29" t="inlineStr">
        <is>
          <t>Reclamaciones</t>
        </is>
      </c>
      <c r="D83" s="29" t="inlineStr">
        <is>
          <t>MITECO (Ministerio para la Transición Ecológica y el Reto Demográfico)</t>
        </is>
      </c>
      <c r="E83" s="29" t="inlineStr">
        <is>
          <t>https://www.miteco.gob.es/es/energia/energia-electrica/electricidad/contratacion-suministro/reclamaciones.html</t>
        </is>
      </c>
      <c r="F83" s="49" t="n">
        <v>46319</v>
      </c>
      <c r="G83" s="29" t="inlineStr">
        <is>
          <t>sevilla:fatura</t>
        </is>
      </c>
      <c r="H83" s="29" t="inlineStr">
        <is>
          <t>Kart 8: elektrik şikâyeti önce comercializadora/distribuidora'ya, 15 iş günü yanıt süresi, sonra Defensor del cliente / Juntas Arbitrales de Consumo / Comunidades Autónomas; bono social reddinde Comunidad Autónoma. Sayfada yıl yok (canlı resmî sayfa).</t>
        </is>
      </c>
      <c r="I83" s="29" t="inlineStr">
        <is>
          <t>Evet</t>
        </is>
      </c>
      <c r="J83" s="29" t="inlineStr">
        <is>
          <t>Lisans kanıtları/5c028debd9cb90201d4376c6d79986c83760b370d259eafd24a7120d6515bf53.html</t>
        </is>
      </c>
      <c r="K83" s="29" t="inlineStr">
        <is>
          <t>5c028debd9cb90201d4376c6d79986c83760b370d259eafd24a7120d6515bf53</t>
        </is>
      </c>
    </row>
    <row r="84" ht="54" customHeight="1">
      <c r="A84" s="29" t="inlineStr">
        <is>
          <t>sevilla:kaynak:077</t>
        </is>
      </c>
      <c r="B84" s="29" t="inlineStr">
        <is>
          <t>sevilla</t>
        </is>
      </c>
      <c r="C84" s="29" t="inlineStr">
        <is>
          <t>Usuarios Teleco | Telefonía e Internet</t>
        </is>
      </c>
      <c r="D84" s="29" t="inlineStr">
        <is>
          <t>Secretaría de Estado de Telecomunicaciones e Infraestructuras Digitales (digital.gob.es)</t>
        </is>
      </c>
      <c r="E84" s="29" t="inlineStr">
        <is>
          <t>https://usuariosteleco.digital.gob.es/reclamaciones/telefonia-e-internet</t>
        </is>
      </c>
      <c r="F84" s="49" t="n">
        <v>46319</v>
      </c>
      <c r="G84" s="29" t="inlineStr">
        <is>
          <t>sevilla:fatura</t>
        </is>
      </c>
      <c r="H84" s="29" t="inlineStr">
        <is>
          <t>Kart 8: telekom şikâyeti önce operatöre, 1 ay içinde yanıt yoksa/yetersizse OAUT'a, başvuru süresi 3 ay, OAUT 6 ayda karar verir. (SETSI'nin bugünkü adı: Secretaría de Estado de Telecomunicaciones e Infraestructuras Digitales.) Sayfada yıl yok (canlı resmî sayfa).</t>
        </is>
      </c>
      <c r="I84" s="29" t="inlineStr">
        <is>
          <t>Evet</t>
        </is>
      </c>
      <c r="J84" s="29" t="inlineStr">
        <is>
          <t>Lisans kanıtları/d8e0c0a5741768fef8c3367b641ac623cd21130016bd0c2c167eeb67a530c3cf.html</t>
        </is>
      </c>
      <c r="K84" s="29" t="inlineStr">
        <is>
          <t>d8e0c0a5741768fef8c3367b641ac623cd21130016bd0c2c167eeb67a530c3cf</t>
        </is>
      </c>
    </row>
    <row r="85" ht="54" customHeight="1">
      <c r="A85" s="29" t="inlineStr">
        <is>
          <t>sevilla:kaynak:078</t>
        </is>
      </c>
      <c r="B85" s="29" t="inlineStr">
        <is>
          <t>sevilla</t>
        </is>
      </c>
      <c r="C85" s="29" t="inlineStr">
        <is>
          <t>BOE-A-1960-10906 Ley 49/1960, de 21 de julio, sobre propiedad horizontal.</t>
        </is>
      </c>
      <c r="D85" s="29" t="inlineStr">
        <is>
          <t>BOE (Agencia Estatal Boletín Oficial del Estado)</t>
        </is>
      </c>
      <c r="E85" s="29" t="inlineStr">
        <is>
          <t>https://www.boe.es/buscar/act.php?id=BOE-A-1960-10906</t>
        </is>
      </c>
      <c r="F85" s="49" t="n">
        <v>46319</v>
      </c>
      <c r="G85" s="29" t="inlineStr">
        <is>
          <t>sevilla:fatura</t>
        </is>
      </c>
      <c r="H85" s="29" t="inlineStr">
        <is>
          <t>Kart 9: ortak giderlere katılım (madde 9.1.e, katılım payına göre), yıllık Junta toplantısı (madde 16.1), organlar ve başkanın seçimi/rotasyonu (madde 13). Konsolide metin 'Última actualización publicada el 03/10/2026'. Fondo de reserva en az yıllık bütçenin %10'u (madde 9.1.f).</t>
        </is>
      </c>
      <c r="I85" s="29" t="inlineStr">
        <is>
          <t>Evet</t>
        </is>
      </c>
      <c r="J85" s="29" t="inlineStr">
        <is>
          <t>Lisans kanıtları/8b98f88f1721781f0fa8de601a0ad842dd9d521ea42f27557f22792c8fcce6b7.html</t>
        </is>
      </c>
      <c r="K85" s="29" t="inlineStr">
        <is>
          <t>8b98f88f1721781f0fa8de601a0ad842dd9d521ea42f27557f22792c8fcce6b7</t>
        </is>
      </c>
    </row>
    <row r="86" ht="54" customHeight="1">
      <c r="A86" s="29" t="inlineStr">
        <is>
          <t>sevilla:kaynak:079</t>
        </is>
      </c>
      <c r="B86" s="29" t="inlineStr">
        <is>
          <t>sevilla</t>
        </is>
      </c>
      <c r="C86" s="29" t="inlineStr">
        <is>
          <t>BOE-A-2006-11130 Ley 5/2006, de 10 de mayo, del libro quinto del Código Civil de Cataluña, relativo a los derechos reales.</t>
        </is>
      </c>
      <c r="D86" s="29" t="inlineStr">
        <is>
          <t>Boletín Oficial del Estado (BOE)</t>
        </is>
      </c>
      <c r="E86" s="29" t="inlineStr">
        <is>
          <t>https://www.boe.es/buscar/act.php?id=BOE-A-2006-11130</t>
        </is>
      </c>
      <c r="F86" s="49" t="n">
        <v>46319</v>
      </c>
      <c r="G86" s="29" t="inlineStr">
        <is>
          <t>sevilla:fatura</t>
        </is>
      </c>
      <c r="H86" s="29" t="inlineStr">
        <is>
          <t>Katalonya'da kat mülkiyeti (propiedad horizontal) kendi medeni kanununun 5. kitabıyla düzenlenir; yedek fon oranı md. 553-6'da.</t>
        </is>
      </c>
      <c r="I86" s="29" t="inlineStr">
        <is>
          <t>Evet</t>
        </is>
      </c>
      <c r="J86" s="29" t="inlineStr">
        <is>
          <t>Lisans kanıtları/0a5c17642c3dc78dae6624c9ef658a5d1256ee4559abdcb12c91ff05c0c0d8c1.html</t>
        </is>
      </c>
      <c r="K86" s="29" t="inlineStr">
        <is>
          <t>0a5c17642c3dc78dae6624c9ef658a5d1256ee4559abdcb12c91ff05c0c0d8c1</t>
        </is>
      </c>
    </row>
    <row r="87" ht="54" customHeight="1">
      <c r="A87" s="29" t="inlineStr">
        <is>
          <t>sevilla:kaynak:080</t>
        </is>
      </c>
      <c r="B87" s="29" t="inlineStr">
        <is>
          <t>sevilla</t>
        </is>
      </c>
      <c r="C87" s="29" t="inlineStr">
        <is>
          <t>BOE-A-2018-10752 Real Decreto-ley 7/2018, de 27 de julio, sobre el acceso universal al Sistema Nacional de Salud.</t>
        </is>
      </c>
      <c r="D87" s="29" t="inlineStr">
        <is>
          <t>Boletín Oficial del Estado (BOE)</t>
        </is>
      </c>
      <c r="E87" s="29" t="inlineStr">
        <is>
          <t>https://www.boe.es/buscar/act.php?id=BOE-A-2018-10752</t>
        </is>
      </c>
      <c r="F87" s="49" t="n">
        <v>46319</v>
      </c>
      <c r="G87" s="29" t="inlineStr">
        <is>
          <t>sevilla:saglik</t>
        </is>
      </c>
      <c r="H87" s="29" t="inlineStr">
        <is>
          <t>Kart 1: evrensel erişim; SNS hak sahipleri (art. 3.1) ve ikamet izni olmayan yabancıların aynı koşullarda hakkı (art. 3 ter). Orijinal metin BOE 30/07/2018, yürürlük 31/07/2018 (norm Real Decreto-ley'dir; 'RD 7/2018' değil). Hak sahipliği şart ayrıntısı seg-social sayfasında.</t>
        </is>
      </c>
      <c r="I87" s="29" t="inlineStr">
        <is>
          <t>Evet</t>
        </is>
      </c>
      <c r="J87" s="29" t="inlineStr">
        <is>
          <t>Lisans kanıtları/3c773a3241780ea2318bc94464c03c362f8e05670ed46bb4f2c8a770eab8cfe5.html</t>
        </is>
      </c>
      <c r="K87" s="29" t="inlineStr">
        <is>
          <t>3c773a3241780ea2318bc94464c03c362f8e05670ed46bb4f2c8a770eab8cfe5</t>
        </is>
      </c>
    </row>
    <row r="88" ht="54" customHeight="1">
      <c r="A88" s="29" t="inlineStr">
        <is>
          <t>sevilla:kaynak:081</t>
        </is>
      </c>
      <c r="B88" s="29" t="inlineStr">
        <is>
          <t>sevilla</t>
        </is>
      </c>
      <c r="C88" s="29" t="inlineStr">
        <is>
          <t>Seguridad Social: Prestaciones / Pensiones de Trabajadores</t>
        </is>
      </c>
      <c r="D88" s="29" t="inlineStr">
        <is>
          <t>Seguridad Social (Tesorería/INSS)</t>
        </is>
      </c>
      <c r="E88" s="29" t="inlineStr">
        <is>
          <t>https://www.seg-social.es/wps/portal/wss/internet/Trabajadores/PrestacionesPensionesTrabajadores/10938/30476</t>
        </is>
      </c>
      <c r="F88" s="49" t="n">
        <v>46319</v>
      </c>
      <c r="G88" s="29" t="inlineStr">
        <is>
          <t>sevilla:saglik</t>
        </is>
      </c>
      <c r="H88" s="29" t="inlineStr">
        <is>
          <t>Kart 1: SNS hak sahipleri (İspanyol vatandaşı + İspanya'da ikamet eden yabancı; yabancı için yasal ve mutat ikamet, başka yoldan zorunlu sağlık güvencesi olmaması), ikamet izni olmayanlar (art. 3 ter) ve bölge sorumluluğu ('competencia ... corresponde a las CCAA/Servicios Públicos de Salud'). Sayfa Seguridad Social © 2026, JS gerekmeden okunuyor.</t>
        </is>
      </c>
      <c r="I88" s="29" t="inlineStr">
        <is>
          <t>Evet</t>
        </is>
      </c>
      <c r="J88" s="29" t="inlineStr">
        <is>
          <t>Lisans kanıtları/653dfa628d869103285c1e99a554b4905b439e95e032c60e84ffa4d297130e1d.html</t>
        </is>
      </c>
      <c r="K88" s="29" t="inlineStr">
        <is>
          <t>653dfa628d869103285c1e99a554b4905b439e95e032c60e84ffa4d297130e1d</t>
        </is>
      </c>
    </row>
    <row r="89" ht="54" customHeight="1">
      <c r="A89" s="29" t="inlineStr">
        <is>
          <t>sevilla:kaynak:082</t>
        </is>
      </c>
      <c r="B89" s="29" t="inlineStr">
        <is>
          <t>sevilla</t>
        </is>
      </c>
      <c r="C89" s="29" t="inlineStr">
        <is>
          <t>Ministerio de Sanidad, Consumo y Bienestar Social - Servicios al Ciudadano - Vacantes en organismos internacionales</t>
        </is>
      </c>
      <c r="D89" s="29" t="inlineStr">
        <is>
          <t>Ministerio de Sanidad</t>
        </is>
      </c>
      <c r="E89" s="29" t="inlineStr">
        <is>
          <t>https://www.sanidad.gob.es/servCiudadanos/internacional/convenioEspecial.htm</t>
        </is>
      </c>
      <c r="F89" s="49" t="n">
        <v>46319</v>
      </c>
      <c r="G89" s="29" t="inlineStr">
        <is>
          <t>sevilla:saglik</t>
        </is>
      </c>
      <c r="H89" s="29" t="inlineStr">
        <is>
          <t>Kart 2: SNS güvencesi olmayanlar için convenio especial: şartlar (1 yıl kesintisiz fiili ikamet, padrón, başka kamu güvencesi olmaması) ve aylık ücret (65 yaş altı 60 euro, 65 ve üstü 157 euro). Tarihe duyarlı: ücretler RD 576/2013 sabit tutarı; BOE metni 'bölgeler ek hizmet eklerse ücret artırılabilir' diyor (bölgeye göre değişir). Sayfada yıl yok. Sayfa &lt;title&gt; alanı hatalı ('Vacantes en organismos internacionales'); içerik doğru.</t>
        </is>
      </c>
      <c r="I89" s="29" t="inlineStr">
        <is>
          <t>Evet</t>
        </is>
      </c>
      <c r="J89" s="29" t="inlineStr">
        <is>
          <t>Lisans kanıtları/03b1f8622180fb21466ad6eb7e5e527bdfdc981b52603f5f31aba289b4c751a8.html</t>
        </is>
      </c>
      <c r="K89" s="29" t="inlineStr">
        <is>
          <t>03b1f8622180fb21466ad6eb7e5e527bdfdc981b52603f5f31aba289b4c751a8</t>
        </is>
      </c>
    </row>
    <row r="90" ht="54" customHeight="1">
      <c r="A90" s="29" t="inlineStr">
        <is>
          <t>sevilla:kaynak:083</t>
        </is>
      </c>
      <c r="B90" s="29" t="inlineStr">
        <is>
          <t>sevilla</t>
        </is>
      </c>
      <c r="C90" s="29" t="inlineStr">
        <is>
          <t>BOE-A-2015-8343 Real Decreto Legislativo 1/2015, de 24 de julio, por el que se aprueba el texto refundido de la Ley de garantías y uso racional de los medicamentos y productos sani</t>
        </is>
      </c>
      <c r="D90" s="29" t="inlineStr">
        <is>
          <t>Boletín Oficial del Estado (BOE)</t>
        </is>
      </c>
      <c r="E90" s="29" t="inlineStr">
        <is>
          <t>https://www.boe.es/buscar/act.php?id=BOE-A-2015-8343</t>
        </is>
      </c>
      <c r="F90" s="49" t="n">
        <v>46319</v>
      </c>
      <c r="G90" s="29" t="inlineStr">
        <is>
          <t>sevilla:saglik</t>
        </is>
      </c>
      <c r="H90" s="29" t="inlineStr">
        <is>
          <t>Kart 3: reçeteli ilaç katılım payı (copago), art. 102, gelire göre: %60 (gelir &gt;=100.000 euro), %50 (60.000-100.000), %45 (18.000-60.000), %40 diğer aktif sigortalılar, %10 SS emeklileri; ikamet izinsiz yabancılar için %40; aylık tavanlar var. Tarihe duyarlı: konsolide sayfa 'Última actualización 31/07/2026'; oranlar 24/10/2026 itibarıyla sayfadaki güncel metin. Ulusal kural.</t>
        </is>
      </c>
      <c r="I90" s="29" t="inlineStr">
        <is>
          <t>Evet</t>
        </is>
      </c>
      <c r="J90" s="29" t="inlineStr">
        <is>
          <t>Lisans kanıtları/2bbda3e30529b78824f668bb999ae4d3183053addf1e1c8dac234ccda3a88cc6.html</t>
        </is>
      </c>
      <c r="K90" s="29" t="inlineStr">
        <is>
          <t>2bbda3e30529b78824f668bb999ae4d3183053addf1e1c8dac234ccda3a88cc6</t>
        </is>
      </c>
    </row>
    <row r="91" ht="54" customHeight="1">
      <c r="A91" s="29" t="inlineStr">
        <is>
          <t>sevilla:kaynak:084</t>
        </is>
      </c>
      <c r="B91" s="29" t="inlineStr">
        <is>
          <t>sevilla</t>
        </is>
      </c>
      <c r="C91" s="29" t="inlineStr">
        <is>
          <t>Ministerio de Sanidad - Profesionales - Cartera de Servicios comunes del SNS</t>
        </is>
      </c>
      <c r="D91" s="29" t="inlineStr">
        <is>
          <t>Ministerio de Sanidad</t>
        </is>
      </c>
      <c r="E91" s="29" t="inlineStr">
        <is>
          <t>https://www.sanidad.gob.es/profesionales/prestacionesSanitarias/CarteraDeServicios/home.htm</t>
        </is>
      </c>
      <c r="F91" s="49" t="n">
        <v>46319</v>
      </c>
      <c r="G91" s="29" t="inlineStr">
        <is>
          <t>sevilla:saglik</t>
        </is>
      </c>
      <c r="H91" s="29" t="inlineStr">
        <is>
          <t>Kart 3: temel ortak paket tamamen kamu finansmanlı; ilaç, ortopedi, diyet ürünleri ve acil olmayan sağlık nakli 'aportación del usuario'na tabi. Sayfada ayrıca menü bağlantısı 'Cartera de servicios complementaria de las comunidades autónomas' (bölgeye göre değişir çerçevesi). Sayfada yıl yok; norm listesi Orden SND/715/2026 (8 Temmuz 2026)'ya kadar güncel.</t>
        </is>
      </c>
      <c r="I91" s="29" t="inlineStr">
        <is>
          <t>Evet</t>
        </is>
      </c>
      <c r="J91" s="29" t="inlineStr">
        <is>
          <t>Lisans kanıtları/adfa80d17723c88c851d3d4f49994d5ef1a5422340e2d096ef4afc21206cdbe0.html</t>
        </is>
      </c>
      <c r="K91" s="29" t="inlineStr">
        <is>
          <t>adfa80d17723c88c851d3d4f49994d5ef1a5422340e2d096ef4afc21206cdbe0</t>
        </is>
      </c>
    </row>
    <row r="92" ht="54" customHeight="1">
      <c r="A92" s="29" t="inlineStr">
        <is>
          <t>sevilla:kaynak:085</t>
        </is>
      </c>
      <c r="B92" s="29" t="inlineStr">
        <is>
          <t>sevilla</t>
        </is>
      </c>
      <c r="C92" s="29" t="inlineStr">
        <is>
          <t>BOE-A-1997-14058 Real Decreto 903/1997, de 16 de junio, por el que se regula el acceso, mediante redes de telecomunicaciones, al servicio de atención de llamadas de urgencia a trav</t>
        </is>
      </c>
      <c r="D92" s="29" t="inlineStr">
        <is>
          <t>Boletín Oficial del Estado (BOE)</t>
        </is>
      </c>
      <c r="E92" s="29" t="inlineStr">
        <is>
          <t>https://www.boe.es/buscar/doc.php?id=BOE-A-1997-14058</t>
        </is>
      </c>
      <c r="F92" s="49" t="n">
        <v>46319</v>
      </c>
      <c r="G92" s="29" t="inlineStr">
        <is>
          <t>sevilla:saglik</t>
        </is>
      </c>
      <c r="H92" s="29" t="inlineStr">
        <is>
          <t>Kart 4: 112 tek acil numara, ücretsiz; aramalar coğrafi alana göre ilgili merkeze yönlendirilir (hizmeti özerk bölgeler yürütür = bölgeye göre değişir). 061 (sağlık acil) için ulusal resmî derin sayfa BULUNAMADI, bkz. gaps.md. Orijinal metin 27/06/1997.</t>
        </is>
      </c>
      <c r="I92" s="29" t="inlineStr">
        <is>
          <t>Evet</t>
        </is>
      </c>
      <c r="J92" s="29" t="inlineStr">
        <is>
          <t>Lisans kanıtları/b33e9a95c2e6c4e28768862118210659efcbd7843897ed6765ec4d7b27d280e8.html</t>
        </is>
      </c>
      <c r="K92" s="29" t="inlineStr">
        <is>
          <t>b33e9a95c2e6c4e28768862118210659efcbd7843897ed6765ec4d7b27d280e8</t>
        </is>
      </c>
    </row>
    <row r="93" ht="54" customHeight="1">
      <c r="A93" s="29" t="inlineStr">
        <is>
          <t>sevilla:kaynak:086</t>
        </is>
      </c>
      <c r="B93" s="29" t="inlineStr">
        <is>
          <t>sevilla</t>
        </is>
      </c>
      <c r="C93" s="29" t="inlineStr">
        <is>
          <t>Ministerio de Sanidad - Áreas - Promoción de la salud y prevención - Vacunas y programas de vacunación - Calendario de vacunación a lo largo de toda la vida 2026</t>
        </is>
      </c>
      <c r="D93" s="29" t="inlineStr">
        <is>
          <t>Ministerio de Sanidad</t>
        </is>
      </c>
      <c r="E93" s="29" t="inlineStr">
        <is>
          <t>https://www.sanidad.gob.es/areas/promocionPrevencion/vacunaciones/calendario/home.htm</t>
        </is>
      </c>
      <c r="F93" s="49" t="n">
        <v>46319</v>
      </c>
      <c r="G93" s="29" t="inlineStr">
        <is>
          <t>sevilla:saglik</t>
        </is>
      </c>
      <c r="H93" s="29" t="inlineStr">
        <is>
          <t>Kart 5: CISNS ortak aşı takvimi; sayfa başlığında yıl 2026; 'Calendario común de vacunación a lo largo de toda la vida del Consejo Interterritorial del Sistema Nacional de Salud (CISNS)'; uygulama özerk bölgelerin yetkisi (bölgeye göre değişir). Takvim PDF'i ayrı bağlantı (okunmadı).</t>
        </is>
      </c>
      <c r="I93" s="29" t="inlineStr">
        <is>
          <t>Evet</t>
        </is>
      </c>
      <c r="J93" s="29" t="inlineStr">
        <is>
          <t>Lisans kanıtları/80e85eab0e66886ce11c2bf913991e3f1d49d085d674318d5df2642b192ae28c.html</t>
        </is>
      </c>
      <c r="K93" s="29" t="inlineStr">
        <is>
          <t>80e85eab0e66886ce11c2bf913991e3f1d49d085d674318d5df2642b192ae28c</t>
        </is>
      </c>
    </row>
    <row r="94" ht="54" customHeight="1">
      <c r="A94" s="29" t="inlineStr">
        <is>
          <t>sevilla:kaynak:087</t>
        </is>
      </c>
      <c r="B94" s="29" t="inlineStr">
        <is>
          <t>sevilla</t>
        </is>
      </c>
      <c r="C94" s="29" t="inlineStr">
        <is>
          <t>BOE-A-2006-16212 Real Decreto 1030/2006, de 15 de septiembre, por el que se establece la cartera de servicios comunes del Sistema Nacional de Salud y el procedimiento para su actua</t>
        </is>
      </c>
      <c r="D94" s="29" t="inlineStr">
        <is>
          <t>Boletín Oficial del Estado (BOE)</t>
        </is>
      </c>
      <c r="E94" s="29" t="inlineStr">
        <is>
          <t>https://www.boe.es/buscar/act.php?id=BOE-A-2006-16212</t>
        </is>
      </c>
      <c r="F94" s="49" t="n">
        <v>46319</v>
      </c>
      <c r="G94" s="29" t="inlineStr">
        <is>
          <t>sevilla:saglik</t>
        </is>
      </c>
      <c r="H94" s="29" t="inlineStr">
        <is>
          <t>Kart 6: ortak hizmet paketinde hamilelik ve lohusalık bakımı (ilk trimesterde yakalama, riskli hamilelik, doğum hazırlığı, doğum sonrası ilk ay lohusa ziyareti); metin 'según la organización del correspondiente servicio de salud' (bölgeye göre değişir). Konsolide metin son güncelleme 31/07/2026. Çocuk sağlığı: aynı sayfada '6.1 Servicios de atención a la infancia'.</t>
        </is>
      </c>
      <c r="I94" s="29" t="inlineStr">
        <is>
          <t>Evet</t>
        </is>
      </c>
      <c r="J94" s="29" t="inlineStr">
        <is>
          <t>Lisans kanıtları/fbc920770543f568959de73d76188e9bb39cab48e2be4ded8869261fcff260ce.html</t>
        </is>
      </c>
      <c r="K94" s="29" t="inlineStr">
        <is>
          <t>fbc920770543f568959de73d76188e9bb39cab48e2be4ded8869261fcff260ce</t>
        </is>
      </c>
    </row>
    <row r="95" ht="54" customHeight="1">
      <c r="A95" s="29" t="inlineStr">
        <is>
          <t>sevilla:kaynak:088</t>
        </is>
      </c>
      <c r="B95" s="29" t="inlineStr">
        <is>
          <t>sevilla</t>
        </is>
      </c>
      <c r="C95" s="29" t="inlineStr">
        <is>
          <t>Seguridad Social: Prestaciones / Pensiones de Trabajadores</t>
        </is>
      </c>
      <c r="D95" s="29" t="inlineStr">
        <is>
          <t>Seguridad Social (INSS)</t>
        </is>
      </c>
      <c r="E95" s="29" t="inlineStr">
        <is>
          <t>https://www.seg-social.es/wps/portal/wss/internet/Trabajadores/PrestacionesPensionesTrabajadores/6b96a085-4dc0-47af-b2cb-97e00716791e/requisitos+19-c021</t>
        </is>
      </c>
      <c r="F95" s="49" t="n">
        <v>46319</v>
      </c>
      <c r="G95" s="29" t="inlineStr">
        <is>
          <t>sevilla:saglik</t>
        </is>
      </c>
      <c r="H95" s="29" t="inlineStr">
        <is>
          <t>Kart 6: doğum ve bakım izni/ödeneği ulusal çerçeve (RDL 9/2025 ile izin uzatıldı, yürürlük 31/07/2025; ödenek düzenleyici matrahın %100'ü). Bu alıntılarda hafta sayısı yok (Duración bölümü ET art. 48'e atıf yapıyor); kartta süre rakamı yazılacaksa ET/BOE'den ayrıca doğrulanmalı. Sağlık değil Seguridad Social ödeneği.</t>
        </is>
      </c>
      <c r="I95" s="29" t="inlineStr">
        <is>
          <t>Evet</t>
        </is>
      </c>
      <c r="J95" s="29" t="inlineStr">
        <is>
          <t>Lisans kanıtları/cce848cf59c456f4e10127c5c8266685b0ae9c1785df50848de7101af738fe28.html</t>
        </is>
      </c>
      <c r="K95" s="29" t="inlineStr">
        <is>
          <t>cce848cf59c456f4e10127c5c8266685b0ae9c1785df50848de7101af738fe28</t>
        </is>
      </c>
    </row>
    <row r="96" ht="54" customHeight="1">
      <c r="A96" s="29" t="inlineStr">
        <is>
          <t>sevilla:kaynak:089</t>
        </is>
      </c>
      <c r="B96" s="29" t="inlineStr">
        <is>
          <t>sevilla</t>
        </is>
      </c>
      <c r="C96" s="29" t="inlineStr">
        <is>
          <t>BOE-A-2006-21990 Ley 39/2006, de 14 de diciembre, de Promoción de la Autonomía Personal y Atención a las personas en situación de dependencia.</t>
        </is>
      </c>
      <c r="D96" s="29" t="inlineStr">
        <is>
          <t>Boletín Oficial del Estado (BOE)</t>
        </is>
      </c>
      <c r="E96" s="29" t="inlineStr">
        <is>
          <t>https://www.boe.es/buscar/act.php?id=BOE-A-2006-21990</t>
        </is>
      </c>
      <c r="F96" s="49" t="n">
        <v>46319</v>
      </c>
      <c r="G96" s="29" t="inlineStr">
        <is>
          <t>sevilla:saglik</t>
        </is>
      </c>
      <c r="H96" s="29" t="inlineStr">
        <is>
          <t>Kart 7 (yaşlı bakımı/bağımlılık): SAAD; devlet asgari ortak hak içeriğini garanti eder, uygulama özerk bölgelerle birlikte (bölgeye göre değişir; art. 1.2). Hak sahipliği art. 5: bağımlılık derecesi + 5 yıl ikamet (son 2 yıl kesintisiz); yabancılar LO 4/2000'e tabi. TARİHE DUYARLI: art. 5 Ley 4/2026 (1 Ekim 2026) ile değişti, yürürlük 23/10/2026; sayfa 'Última actualización 03/10/2026'. Kart yazılırken art. 5 güncel metni yeniden okunmalı.</t>
        </is>
      </c>
      <c r="I96" s="29" t="inlineStr">
        <is>
          <t>Evet</t>
        </is>
      </c>
      <c r="J96" s="29" t="inlineStr">
        <is>
          <t>Lisans kanıtları/ad5a1a83a938796cf4581cb6837fdb4be56f9a2d9982efda06f6812675f5b215.html</t>
        </is>
      </c>
      <c r="K96" s="29" t="inlineStr">
        <is>
          <t>ad5a1a83a938796cf4581cb6837fdb4be56f9a2d9982efda06f6812675f5b215</t>
        </is>
      </c>
    </row>
    <row r="97" ht="54" customHeight="1">
      <c r="A97" s="29" t="inlineStr">
        <is>
          <t>sevilla:kaynak:090</t>
        </is>
      </c>
      <c r="B97" s="29" t="inlineStr">
        <is>
          <t>sevilla</t>
        </is>
      </c>
      <c r="C97" s="29" t="inlineStr">
        <is>
          <t>BOE-A-1994-26003 Ley 29/1994, de 24 de noviembre, de Arrendamientos Urbanos.</t>
        </is>
      </c>
      <c r="D97" s="29" t="inlineStr">
        <is>
          <t>Boletín Oficial del Estado (BOE)</t>
        </is>
      </c>
      <c r="E97" s="29" t="inlineStr">
        <is>
          <t>https://www.boe.es/buscar/act.php?id=BOE-A-1994-26003</t>
        </is>
      </c>
      <c r="F97" s="49" t="n">
        <v>46319</v>
      </c>
      <c r="G97" s="29" t="inlineStr">
        <is>
          <t>sevilla:ev</t>
        </is>
      </c>
      <c r="H97" s="29" t="inlineStr">
        <is>
          <t>Kart 1: LAU md. 9.1 - süre özgürce kararlaştırılır; 5 yıldan kısaysa (kiraya veren tüzel kişiyse 7 yıldan kısaysa) yıllık zorunlu uzatma; kiracı 30 gün önceden bildirerek yenilememe hakkı. Konsolide metin 'última actualización publicada el 07/10/2026'. UYARI: md. 10 (zımni uzatma, 4/2 ay ihbar, +3 yıl) RDL 28/2026 ile 15/11/2026'dan itibaren değişecek (6 ay ihbar, 5 yıllık uzatma, tazminat); RDL 29/2026 (6 Ekim 2026) md. 9.4, 9 bis (geçici konut) ekledi - kart yazılırken md. 9.1 çekirdeğiyle sınırlı kal.</t>
        </is>
      </c>
      <c r="I97" s="29" t="inlineStr">
        <is>
          <t>Evet</t>
        </is>
      </c>
      <c r="J97" s="29" t="inlineStr">
        <is>
          <t>Lisans kanıtları/664e61e793162d4c30a7f5003c913ddb99b4ac86833d14266770102a0a1353bc.html</t>
        </is>
      </c>
      <c r="K97" s="29" t="inlineStr">
        <is>
          <t>664e61e793162d4c30a7f5003c913ddb99b4ac86833d14266770102a0a1353bc</t>
        </is>
      </c>
    </row>
    <row r="98" ht="54" customHeight="1">
      <c r="A98" s="29" t="inlineStr">
        <is>
          <t>sevilla:kaynak:091</t>
        </is>
      </c>
      <c r="B98" s="29" t="inlineStr">
        <is>
          <t>sevilla</t>
        </is>
      </c>
      <c r="C98" s="29" t="inlineStr">
        <is>
          <t>INEbase / Nivel y condiciones de vida (IPC) /Índices de precios de consumo y vivienda /Índice de referencia de arrendamientos de vivienda / Últimos datos</t>
        </is>
      </c>
      <c r="D98" s="29" t="inlineStr">
        <is>
          <t>Instituto Nacional de Estadística (INE)</t>
        </is>
      </c>
      <c r="E98" s="29" t="inlineStr">
        <is>
          <t>https://ine.es/dyngs/INEbase/operacion.htm?c=Estadistica_C&amp;cid=1254736177110&amp;idp=1254735976607&amp;menu=ultiDatos</t>
        </is>
      </c>
      <c r="F98" s="49" t="n">
        <v>46319</v>
      </c>
      <c r="G98" s="29" t="inlineStr">
        <is>
          <t>sevilla:ev</t>
        </is>
      </c>
      <c r="H98" s="29" t="inlineStr">
        <is>
          <t>Kart 3 (tarihe duyarlı): INE IRAV sayfası - 26 Mayıs 2023 sonrası sözleşmeler IRAV'a göre güncellenir; endeks = IPC, çekirdek IPC ve ayarlı ortalama oranlarının en düşüğü. Sayfadaki son veri: 'Septiembre 2026', yayın 14/10/2026, yıllık değişim 2,54 % (her ay değişir - kartta rakam yazma ya da tarihle yaz).</t>
        </is>
      </c>
      <c r="I98" s="29" t="inlineStr">
        <is>
          <t>Evet</t>
        </is>
      </c>
      <c r="J98" s="29" t="inlineStr">
        <is>
          <t>Lisans kanıtları/ca1f5c565144f1122bb26fbba26fb9394ae0f36bee62010c4417f7e5c870393b.html</t>
        </is>
      </c>
      <c r="K98" s="29" t="inlineStr">
        <is>
          <t>ca1f5c565144f1122bb26fbba26fb9394ae0f36bee62010c4417f7e5c870393b</t>
        </is>
      </c>
    </row>
    <row r="99" ht="54" customHeight="1">
      <c r="A99" s="29" t="inlineStr">
        <is>
          <t>sevilla:kaynak:092</t>
        </is>
      </c>
      <c r="B99" s="29" t="inlineStr">
        <is>
          <t>sevilla</t>
        </is>
      </c>
      <c r="C99" s="29" t="inlineStr">
        <is>
          <t>Estafas en alquileres de viviendas | Ciudadanía | INCIBE</t>
        </is>
      </c>
      <c r="D99" s="29" t="inlineStr">
        <is>
          <t>INCIBE (Instituto Nacional de Ciberseguridad, Ciudadanía/OSI)</t>
        </is>
      </c>
      <c r="E99" s="29" t="inlineStr">
        <is>
          <t>https://www.incibe.es/ciudadania/estafas-alquileres</t>
        </is>
      </c>
      <c r="F99" s="49" t="n">
        <v>46319</v>
      </c>
      <c r="G99" s="29" t="inlineStr">
        <is>
          <t>sevilla:ev</t>
        </is>
      </c>
      <c r="H99" s="29" t="inlineStr">
        <is>
          <t>Kart 6: resmî siber güvenlik kurumundan sahte kiralık ilan uyarıları - çok düşük fiyat, kopyalanmış fotoğraf, yurtdışında oturduğu için evi gösteremeyen ev sahibi, anahtar/sözleşme için aracı, acele, anonim para gönderme (MoneyGram/Western Union) ve ev sahibinin ülkesi dışı banka havalesi. Sayfa tarihsiz ve eski tarz (örnek hikaye Dublin) ama ilke geçerli; policia.es sayfaları JS/boş, interior.gob.es 403 verdi.</t>
        </is>
      </c>
      <c r="I99" s="29" t="inlineStr">
        <is>
          <t>Evet</t>
        </is>
      </c>
      <c r="J99" s="29" t="inlineStr">
        <is>
          <t>Lisans kanıtları/f62be0a46694aba2d1eae580468ff41dce608668f8d49aee4b1f6cde2841a4d9.html</t>
        </is>
      </c>
      <c r="K99" s="29" t="inlineStr">
        <is>
          <t>f62be0a46694aba2d1eae580468ff41dce608668f8d49aee4b1f6cde2841a4d9</t>
        </is>
      </c>
    </row>
    <row r="100" ht="54" customHeight="1">
      <c r="A100" s="29" t="inlineStr">
        <is>
          <t>sevilla:kaynak:093</t>
        </is>
      </c>
      <c r="B100" s="29" t="inlineStr">
        <is>
          <t>sevilla</t>
        </is>
      </c>
      <c r="C100" s="29" t="inlineStr">
        <is>
          <t>Categorias</t>
        </is>
      </c>
      <c r="D100" s="29" t="inlineStr">
        <is>
          <t>Tesorería General de la Seguridad Social</t>
        </is>
      </c>
      <c r="E100" s="29" t="inlineStr">
        <is>
          <t>https://portal.seg-social.gob.es/wps/portal/importass/importass/Categorias/Altas,+bajas+y+modificaciones/Altas+y+afiliacion+de+trabajadores/Solicitar+el+numero+de+la+Seguridad+Social</t>
        </is>
      </c>
      <c r="F100" s="49" t="n">
        <v>46319</v>
      </c>
      <c r="G100" s="29" t="inlineStr">
        <is>
          <t>sevilla:planlama</t>
        </is>
      </c>
      <c r="H100" s="29" t="inlineStr">
        <is>
          <t>Kart 3: ilk günlerde sosyal güvenlik numarası (NUSS) adımı; NIE ile başvurulur, sağlık kartı için de kullanılır. Sayfa tarihsiz.</t>
        </is>
      </c>
      <c r="I100" s="29" t="inlineStr">
        <is>
          <t>Evet</t>
        </is>
      </c>
      <c r="J100" s="29" t="inlineStr">
        <is>
          <t>Lisans kanıtları/416ecdff4ad58afc1a7bba19b4b6d1108e2452529b9505f80f44579957550da1.html</t>
        </is>
      </c>
      <c r="K100" s="29" t="inlineStr">
        <is>
          <t>416ecdff4ad58afc1a7bba19b4b6d1108e2452529b9505f80f44579957550da1</t>
        </is>
      </c>
    </row>
    <row r="101" ht="54" customHeight="1">
      <c r="A101" s="29" t="inlineStr">
        <is>
          <t>sevilla:kaynak:094</t>
        </is>
      </c>
      <c r="B101" s="29" t="inlineStr">
        <is>
          <t>sevilla</t>
        </is>
      </c>
      <c r="C101" s="29" t="inlineStr">
        <is>
          <t>: Medios de pago</t>
        </is>
      </c>
      <c r="D101" s="29" t="inlineStr">
        <is>
          <t>Agencia Tributaria (AEAT) - Aduanas</t>
        </is>
      </c>
      <c r="E101" s="29" t="inlineStr">
        <is>
          <t>https://sede.agenciatributaria.gob.es/Sede/viajeros-trabajadores-desplazados-fronterizos/viajeros/medios-pago.html</t>
        </is>
      </c>
      <c r="F101" s="49" t="n">
        <v>46319</v>
      </c>
      <c r="G101" s="29" t="inlineStr">
        <is>
          <t>sevilla:planlama</t>
        </is>
      </c>
      <c r="H101" s="29" t="inlineStr">
        <is>
          <t>Kart 4: nakit/ödeme aracı taşıma eşiği (10.000 euro), AB içi için S1, AB dışı için E1 modeli. Sayfa 'Página actualizada: 23/septiembre/2026'.</t>
        </is>
      </c>
      <c r="I101" s="29" t="inlineStr">
        <is>
          <t>Evet</t>
        </is>
      </c>
      <c r="J101" s="29" t="inlineStr">
        <is>
          <t>Lisans kanıtları/733dcfb4bc205771c0fe323a310d81de0999dfb67d370771207e61bc5f263ad3.html</t>
        </is>
      </c>
      <c r="K101" s="29" t="inlineStr">
        <is>
          <t>733dcfb4bc205771c0fe323a310d81de0999dfb67d370771207e61bc5f263ad3</t>
        </is>
      </c>
    </row>
    <row r="102" ht="54" customHeight="1">
      <c r="A102" s="29" t="inlineStr">
        <is>
          <t>sevilla:kaynak:095</t>
        </is>
      </c>
      <c r="B102" s="29" t="inlineStr">
        <is>
          <t>sevilla</t>
        </is>
      </c>
      <c r="C102" s="29" t="inlineStr">
        <is>
          <t>Agencia Tributaria: Traslado de actividad empresarial, de residencia y otros - Traslado de residencia. Franquicias y ...</t>
        </is>
      </c>
      <c r="D102" s="29" t="inlineStr">
        <is>
          <t>Agencia Tributaria (AEAT) - Aduanas</t>
        </is>
      </c>
      <c r="E102" s="29" t="inlineStr">
        <is>
          <t>https://sede.agenciatributaria.gob.es/Sede/no-residentes/exenciones-viajeros-embajadas-otros/traslado-actividad-empresarial-residencia-otros/traslado-residencia-franquicias-exencion-impuestos.html</t>
        </is>
      </c>
      <c r="F102" s="49" t="n">
        <v>46319</v>
      </c>
      <c r="G102" s="29" t="inlineStr">
        <is>
          <t>sevilla:planlama</t>
        </is>
      </c>
      <c r="H102" s="29" t="inlineStr">
        <is>
          <t>Kart 4 (ev eşyası taşıma): AB dışından ikamet taşıyan kişinin eşyası için gümrük/KDV muafiyeti koşulları (12 ay yurt dışı ikamet, 6 ay eşya sahipliği). Sayfa 'Página actualizada: 12/mayo/2026'.</t>
        </is>
      </c>
      <c r="I102" s="29" t="inlineStr">
        <is>
          <t>Evet</t>
        </is>
      </c>
      <c r="J102" s="29" t="inlineStr">
        <is>
          <t>Lisans kanıtları/512df17a25bf9d3fb972ad90c08f886b4ba6d8a28eddad2e9af2a009eb3773a4.html</t>
        </is>
      </c>
      <c r="K102" s="29" t="inlineStr">
        <is>
          <t>512df17a25bf9d3fb972ad90c08f886b4ba6d8a28eddad2e9af2a009eb3773a4</t>
        </is>
      </c>
    </row>
    <row r="103" ht="54" customHeight="1">
      <c r="A103" s="29" t="inlineStr">
        <is>
          <t>sevilla:kaynak:096</t>
        </is>
      </c>
      <c r="B103" s="29" t="inlineStr">
        <is>
          <t>sevilla</t>
        </is>
      </c>
      <c r="C103" s="29" t="inlineStr">
        <is>
          <t>Agencia Tributaria: Mascotas. Animales de compañía</t>
        </is>
      </c>
      <c r="D103" s="29" t="inlineStr">
        <is>
          <t>Agencia Tributaria (AEAT) - Aduanas</t>
        </is>
      </c>
      <c r="E103" s="29" t="inlineStr">
        <is>
          <t>https://sede.agenciatributaria.gob.es/Sede/viajeros-trabajadores-desplazados-fronterizos/viajeros/mascotas-animales-compania.html</t>
        </is>
      </c>
      <c r="F103" s="49" t="n">
        <v>46319</v>
      </c>
      <c r="G103" s="29" t="inlineStr">
        <is>
          <t>sevilla:planlama</t>
        </is>
      </c>
      <c r="H103" s="29" t="inlineStr">
        <is>
          <t>Kart 5: AB dışı ülkeden (Türkiye dahil) evcil hayvanla giriş: mikroçip, kuduz aşısı, serolojik test, zoosanitario sertifika/pasaport, giriş noktası. Sayfa 'Página actualizada: 23/septiembre/2026'. Not: sayfa Reglamento 577/2013 Anexo II'ye atıf yapıyor; MAPA sayfası 2026/636'ya atıf yapıyor (güncel liste için bkz. gaps).</t>
        </is>
      </c>
      <c r="I103" s="29" t="inlineStr">
        <is>
          <t>Evet</t>
        </is>
      </c>
      <c r="J103" s="29" t="inlineStr">
        <is>
          <t>Lisans kanıtları/de292a74d87b29a8ee293845e8db8a567d7f53515765fa840f9fa6b3b39e4675.html</t>
        </is>
      </c>
      <c r="K103" s="29" t="inlineStr">
        <is>
          <t>de292a74d87b29a8ee293845e8db8a567d7f53515765fa840f9fa6b3b39e4675</t>
        </is>
      </c>
    </row>
    <row r="104" ht="54" customHeight="1">
      <c r="A104" s="29" t="inlineStr">
        <is>
          <t>sevilla:kaynak:097</t>
        </is>
      </c>
      <c r="B104" s="29" t="inlineStr">
        <is>
          <t>sevilla</t>
        </is>
      </c>
      <c r="C104" s="29" t="inlineStr">
        <is>
          <t>Reglamento Delegado (UE) 2026/131 de la Comisión (DOUE L 2026/131, 27.3.2026)</t>
        </is>
      </c>
      <c r="D104" s="29" t="inlineStr">
        <is>
          <t>Oficina de Publicaciones de la Unión Europea (Diario Oficial de la UE)</t>
        </is>
      </c>
      <c r="E104" s="29" t="inlineStr">
        <is>
          <t>https://publications.europa.eu/resource/cellar/12bce2c0-297f-11f1-8803-01aa75ed71a1.0007.03/DOC_1</t>
        </is>
      </c>
      <c r="F104" s="49" t="n">
        <v>46319</v>
      </c>
      <c r="G104" s="29" t="inlineStr">
        <is>
          <t>sevilla:planlama</t>
        </is>
      </c>
      <c r="H104" s="29" t="inlineStr">
        <is>
          <t>Evcil hayvan kartı: 577/2013 yerine 22.4.2026'dan beri geçerli kurallar; art. 14 c) üçüncü ülkeden gelen köpek/kedi/hurón için kuduz antikor testi.</t>
        </is>
      </c>
      <c r="I104" s="29" t="inlineStr">
        <is>
          <t>Evet</t>
        </is>
      </c>
      <c r="J104" s="29" t="inlineStr">
        <is>
          <t>Lisans kanıtları/79da971b5974151c5ab8c30fc8421bb9000868304b94c7fd44de42fdbe266de2.html</t>
        </is>
      </c>
      <c r="K104" s="29" t="inlineStr">
        <is>
          <t>79da971b5974151c5ab8c30fc8421bb9000868304b94c7fd44de42fdbe266de2</t>
        </is>
      </c>
    </row>
    <row r="105" ht="54" customHeight="1">
      <c r="A105" s="29" t="inlineStr">
        <is>
          <t>sevilla:kaynak:098</t>
        </is>
      </c>
      <c r="B105" s="29" t="inlineStr">
        <is>
          <t>sevilla</t>
        </is>
      </c>
      <c r="C105" s="29" t="inlineStr">
        <is>
          <t>Servicios consulares</t>
        </is>
      </c>
      <c r="D105" s="29" t="inlineStr">
        <is>
          <t>Ministerio de Asuntos Exteriores, UE y Cooperación (Consulado General de España en Estambul)</t>
        </is>
      </c>
      <c r="E105" s="29" t="inlineStr">
        <is>
          <t>https://www.exteriores.gob.es/Consulados/estambul/es/ServiciosConsulares/Paginas/index.aspx?scca=Visados&amp;scco=Turqu%C3%ADa&amp;scd=141&amp;scs=Visados+Nacionales+-+Visado+de+estudios</t>
        </is>
      </c>
      <c r="F105" s="49" t="n">
        <v>46319</v>
      </c>
      <c r="G105" s="29" t="inlineStr">
        <is>
          <t>sevilla:planlama</t>
        </is>
      </c>
      <c r="H105" s="29" t="inlineStr">
        <is>
          <t>Kart 6: öğrenci vizesi için sağlık sigortası şartı (kalış süresince geçerli, SNS ortak temel hizmet paketine benzer kapsam). Sayfa tarihsiz; 2026-10-24'te açıldı.</t>
        </is>
      </c>
      <c r="I105" s="29" t="inlineStr">
        <is>
          <t>Evet</t>
        </is>
      </c>
      <c r="J105" s="29" t="inlineStr">
        <is>
          <t>Lisans kanıtları/a97f38046d900f9faeb0661b530a2eba79a22a8a1ecc3abda10ba2f0371050b8.html</t>
        </is>
      </c>
      <c r="K105" s="29" t="inlineStr">
        <is>
          <t>a97f38046d900f9faeb0661b530a2eba79a22a8a1ecc3abda10ba2f0371050b8</t>
        </is>
      </c>
    </row>
    <row r="106" ht="54" customHeight="1">
      <c r="A106" s="29" t="inlineStr">
        <is>
          <t>sevilla:kaynak:099</t>
        </is>
      </c>
      <c r="B106" s="29" t="inlineStr">
        <is>
          <t>sevilla</t>
        </is>
      </c>
      <c r="C106" s="29" t="inlineStr">
        <is>
          <t>Monedas en euros - Banco de España</t>
        </is>
      </c>
      <c r="D106" s="29" t="inlineStr">
        <is>
          <t>Banco de España</t>
        </is>
      </c>
      <c r="E106" s="29" t="inlineStr">
        <is>
          <t>https://www.bde.es/wbe/es/areas-actuacion/billetes-monedas/monedas-euros/</t>
        </is>
      </c>
      <c r="F106" s="49" t="n">
        <v>46319</v>
      </c>
      <c r="G106" s="29" t="inlineStr">
        <is>
          <t>sevilla:planlama</t>
        </is>
      </c>
      <c r="H106" s="29" t="inlineStr">
        <is>
          <t>Kart 7: para birimi euro (euro bozuk paralar zona euro'da yasal ödeme aracı; İspanya'da FNMT basıyor, Banco de España dolaşıma sokuyor). Sayfa tarihsiz; güncel (2026-10-24'te açıldı).</t>
        </is>
      </c>
      <c r="I106" s="29" t="inlineStr">
        <is>
          <t>Evet</t>
        </is>
      </c>
      <c r="J106" s="29" t="inlineStr">
        <is>
          <t>Lisans kanıtları/3c5b55850a19928d9273b158299b437894f83769b2210ab600ecba5cde1dd528.html</t>
        </is>
      </c>
      <c r="K106" s="29" t="inlineStr">
        <is>
          <t>3c5b55850a19928d9273b158299b437894f83769b2210ab600ecba5cde1dd528</t>
        </is>
      </c>
    </row>
    <row r="107" ht="54" customHeight="1">
      <c r="A107" s="29" t="inlineStr">
        <is>
          <t>sevilla:kaynak:100</t>
        </is>
      </c>
      <c r="B107" s="29" t="inlineStr">
        <is>
          <t>sevilla</t>
        </is>
      </c>
      <c r="C107" s="29" t="inlineStr">
        <is>
          <t>BOE-A-1978-31229 Constitución Española.</t>
        </is>
      </c>
      <c r="D107" s="29" t="inlineStr">
        <is>
          <t>Agencia Estatal Boletín Oficial del Estado</t>
        </is>
      </c>
      <c r="E107" s="29" t="inlineStr">
        <is>
          <t>https://www.boe.es/buscar/act.php?id=BOE-A-1978-31229</t>
        </is>
      </c>
      <c r="F107" s="49" t="n">
        <v>46319</v>
      </c>
      <c r="G107" s="29" t="inlineStr">
        <is>
          <t>sevilla:planlama</t>
        </is>
      </c>
      <c r="H107" s="29" t="inlineStr">
        <is>
          <t>Kart 7: resmî diller (Kastilyaca devlet dili; diğer İspanyol dilleri özerk bölgelerde ortak resmî dil).</t>
        </is>
      </c>
      <c r="I107" s="29" t="inlineStr">
        <is>
          <t>Evet</t>
        </is>
      </c>
      <c r="J107" s="29" t="inlineStr">
        <is>
          <t>Lisans kanıtları/9c471bb536ef77b418b7ad4c51de8d268c4e650b25b77a16ac09ddd62a8acbea.html</t>
        </is>
      </c>
      <c r="K107" s="29" t="inlineStr">
        <is>
          <t>9c471bb536ef77b418b7ad4c51de8d268c4e650b25b77a16ac09ddd62a8acbea</t>
        </is>
      </c>
    </row>
    <row r="108" ht="54" customHeight="1">
      <c r="A108" s="29" t="inlineStr">
        <is>
          <t>sevilla:kaynak:101</t>
        </is>
      </c>
      <c r="B108" s="29" t="inlineStr">
        <is>
          <t>sevilla</t>
        </is>
      </c>
      <c r="C108" s="29" t="inlineStr">
        <is>
          <t>BOE-A-2002-4221 Real Decreto 236/2002, de 1 de marzo, por el que se establece la hora de verano.</t>
        </is>
      </c>
      <c r="D108" s="29" t="inlineStr">
        <is>
          <t>Agencia Estatal Boletín Oficial del Estado</t>
        </is>
      </c>
      <c r="E108" s="29" t="inlineStr">
        <is>
          <t>https://www.boe.es/buscar/doc.php?id=BOE-A-2002-4221</t>
        </is>
      </c>
      <c r="F108" s="49" t="n">
        <v>46319</v>
      </c>
      <c r="G108" s="29" t="inlineStr">
        <is>
          <t>sevilla:planlama</t>
        </is>
      </c>
      <c r="H108" s="29" t="inlineStr">
        <is>
          <t>Kart 7: iki resmî saat (Yarımada+Balear / Kanarya), yaz saati kuralı (Mart son pazar - Ekim son pazar). Sayfa 'texto original' 2002 tarihli ve yürürlükte; 2026 takvimi Orden PCM/186/2022 ile (bu yıl 25 Ekim 2026'da bitiyor).</t>
        </is>
      </c>
      <c r="I108" s="29" t="inlineStr">
        <is>
          <t>Evet</t>
        </is>
      </c>
      <c r="J108" s="29" t="inlineStr">
        <is>
          <t>Lisans kanıtları/40cc31504eb7ad4e9c7ebf2e92f99fdaecb13e6a042f3f672a73b0fe8ec4d1aa.html</t>
        </is>
      </c>
      <c r="K108" s="29" t="inlineStr">
        <is>
          <t>40cc31504eb7ad4e9c7ebf2e92f99fdaecb13e6a042f3f672a73b0fe8ec4d1aa</t>
        </is>
      </c>
    </row>
    <row r="109" ht="54" customHeight="1">
      <c r="A109" s="29" t="inlineStr">
        <is>
          <t>sevilla:kaynak:102</t>
        </is>
      </c>
      <c r="B109" s="29" t="inlineStr">
        <is>
          <t>sevilla</t>
        </is>
      </c>
      <c r="C109" s="29" t="inlineStr">
        <is>
          <t>: Franquicias: Tabaco, alcohol y otras mercancías</t>
        </is>
      </c>
      <c r="D109" s="29" t="inlineStr">
        <is>
          <t>Agencia Tributaria (AEAT) - Aduanas</t>
        </is>
      </c>
      <c r="E109" s="29" t="inlineStr">
        <is>
          <t>https://sede.agenciatributaria.gob.es/Sede/viajeros-trabajadores-desplazados-fronterizos/viajeros/franquicias-tabaco-alcohol-otras-mercancias.html</t>
        </is>
      </c>
      <c r="F109" s="49" t="n">
        <v>46319</v>
      </c>
      <c r="G109" s="29" t="inlineStr">
        <is>
          <t>sevilla:planlama</t>
        </is>
      </c>
      <c r="H109" s="29" t="inlineStr">
        <is>
          <t>Kart 4: AB dışından gelen yolcunun muafiyet tutarları (hava/deniz 430 euro, kara 300 euro). Sayfa 'Página actualizada: 23/septiembre/2026'.</t>
        </is>
      </c>
      <c r="I109" s="29" t="inlineStr">
        <is>
          <t>Evet</t>
        </is>
      </c>
      <c r="J109" s="29" t="inlineStr">
        <is>
          <t>Lisans kanıtları/5e542cbc850b6f2b4eb5d513f8db048eb6f620bdfd9e25543d83c21fd5db8f0f.html</t>
        </is>
      </c>
      <c r="K109" s="29" t="inlineStr">
        <is>
          <t>5e542cbc850b6f2b4eb5d513f8db048eb6f620bdfd9e25543d83c21fd5db8f0f</t>
        </is>
      </c>
    </row>
    <row r="110" ht="54" customHeight="1">
      <c r="A110" s="29" t="inlineStr">
        <is>
          <t>sevilla:kaynak:103</t>
        </is>
      </c>
      <c r="B110" s="29" t="inlineStr">
        <is>
          <t>sevilla</t>
        </is>
      </c>
      <c r="C110" s="29" t="inlineStr">
        <is>
          <t>BOE-A-2006-7899 Ley Orgánica 2/2006, de 3 de mayo, de Educación.</t>
        </is>
      </c>
      <c r="D110" s="29" t="inlineStr">
        <is>
          <t>BOE - Agencia Estatal Boletín Oficial del Estado</t>
        </is>
      </c>
      <c r="E110" s="29" t="inlineStr">
        <is>
          <t>https://www.boe.es/buscar/act.php?id=BOE-A-2006-7899</t>
        </is>
      </c>
      <c r="F110" s="49" t="n">
        <v>46319</v>
      </c>
      <c r="G110" s="29" t="inlineStr">
        <is>
          <t>sevilla:aile</t>
        </is>
      </c>
      <c r="H110" s="29" t="inlineStr">
        <is>
          <t>Kart 1: zorunlu temel eğitim 6-16 yaş (art. 4), okul türleri público/privado/concertado (art. 108), kayıt/admisión çerçevesi ve bölge idarelerinin düzenlemesi (art. 84). Takvim ve puanlama bölgeye göre değişir. Konsolide metin.</t>
        </is>
      </c>
      <c r="I110" s="29" t="inlineStr">
        <is>
          <t>Evet</t>
        </is>
      </c>
      <c r="J110" s="29" t="inlineStr">
        <is>
          <t>Lisans kanıtları/c065b637450d90a21699d3fb9253aff01ff1d26abb42e17158a9e688ed3c3d5d.html</t>
        </is>
      </c>
      <c r="K110" s="29" t="inlineStr">
        <is>
          <t>c065b637450d90a21699d3fb9253aff01ff1d26abb42e17158a9e688ed3c3d5d</t>
        </is>
      </c>
    </row>
    <row r="111" ht="54" customHeight="1">
      <c r="A111" s="29" t="inlineStr">
        <is>
          <t>sevilla:kaynak:104</t>
        </is>
      </c>
      <c r="B111" s="29" t="inlineStr">
        <is>
          <t>sevilla</t>
        </is>
      </c>
      <c r="C111" s="29" t="inlineStr">
        <is>
          <t>BOE-A-2024-11858 Real Decreto 534/2024, de 11 de junio, por el que se regulan los requisitos de acceso a las enseñanzas universitarias oficiales de Grado, las características básic</t>
        </is>
      </c>
      <c r="D111" s="29" t="inlineStr">
        <is>
          <t>BOE</t>
        </is>
      </c>
      <c r="E111" s="29" t="inlineStr">
        <is>
          <t>https://www.boe.es/buscar/act.php?id=BOE-A-2024-11858</t>
        </is>
      </c>
      <c r="F111" s="49" t="n">
        <v>46319</v>
      </c>
      <c r="G111" s="29" t="inlineStr">
        <is>
          <t>sevilla:aile</t>
        </is>
      </c>
      <c r="H111" s="29" t="inlineStr">
        <is>
          <t>Kart 2: yabancı liseliler için üniversiteye giriş (art. 6 prueba de acceso gerekmeyen sistemler, homologación gerekmez; DA 4a prueba zorunlu sistemler). Türkiye art. 6 listesinde yok (AB/anlaşmalı sistemler, AE okulları, IB). Konsolide metin.</t>
        </is>
      </c>
      <c r="I111" s="29" t="inlineStr">
        <is>
          <t>Evet</t>
        </is>
      </c>
      <c r="J111" s="29" t="inlineStr">
        <is>
          <t>Lisans kanıtları/d9306f1d6722c5704f223507b217d5a564aef18f64236f6f88df25c3ecb267ab.html</t>
        </is>
      </c>
      <c r="K111" s="29" t="inlineStr">
        <is>
          <t>d9306f1d6722c5704f223507b217d5a564aef18f64236f6f88df25c3ecb267ab</t>
        </is>
      </c>
    </row>
    <row r="112" ht="54" customHeight="1">
      <c r="A112" s="29" t="inlineStr">
        <is>
          <t>sevilla:kaynak:105</t>
        </is>
      </c>
      <c r="B112" s="29" t="inlineStr">
        <is>
          <t>sevilla</t>
        </is>
      </c>
      <c r="C112" s="29" t="inlineStr">
        <is>
          <t>Tipos de estudiantes internacionales</t>
        </is>
      </c>
      <c r="D112" s="29" t="inlineStr">
        <is>
          <t>UNED (universidad pública) - UNEDasiss</t>
        </is>
      </c>
      <c r="E112" s="29" t="inlineStr">
        <is>
          <t>https://unedasiss.uned.es/publico_destino</t>
        </is>
      </c>
      <c r="F112" s="49" t="n">
        <v>46319</v>
      </c>
      <c r="G112" s="29" t="inlineStr">
        <is>
          <t>sevilla:aile</t>
        </is>
      </c>
      <c r="H112" s="29" t="inlineStr">
        <is>
          <t>Kart 2: acreditación UNEDasiss, calificación de acceso, PCE. Sayfa 'Unión Europea, EEES, IB, Escuelas Europeas, China y Colombia' grubunu açıklıyor (Türkiye listede yok; ülke bazlı sayfa ayrıca bakılmalı). Kamu üniversitesi sitesi, .gob.es değil.</t>
        </is>
      </c>
      <c r="I112" s="29" t="inlineStr">
        <is>
          <t>Evet</t>
        </is>
      </c>
      <c r="J112" s="29" t="inlineStr">
        <is>
          <t>Lisans kanıtları/a3be9197d91cd4f7cabc6d85197e0d933cfb6c4859214812c09833e151014435.html</t>
        </is>
      </c>
      <c r="K112" s="29" t="inlineStr">
        <is>
          <t>a3be9197d91cd4f7cabc6d85197e0d933cfb6c4859214812c09833e151014435</t>
        </is>
      </c>
    </row>
    <row r="113" ht="54" customHeight="1">
      <c r="A113" s="29" t="inlineStr">
        <is>
          <t>sevilla:kaynak:106</t>
        </is>
      </c>
      <c r="B113" s="29" t="inlineStr">
        <is>
          <t>sevilla</t>
        </is>
      </c>
      <c r="C113" s="29" t="inlineStr">
        <is>
          <t>Seguridad Social: Prestaciones / Pensiones de Trabajadores</t>
        </is>
      </c>
      <c r="D113" s="29" t="inlineStr">
        <is>
          <t>Seguridad Social (INSS)</t>
        </is>
      </c>
      <c r="E113" s="29" t="inlineStr">
        <is>
          <t>https://www.seg-social.es/wps/portal/wss/internet/Trabajadores/PrestacionesPensionesTrabajadores/65850d68-8d06-4645-bde7-05374ee42ac7</t>
        </is>
      </c>
      <c r="F113" s="49" t="n">
        <v>46319</v>
      </c>
      <c r="G113" s="29" t="inlineStr">
        <is>
          <t>sevilla:aile</t>
        </is>
      </c>
      <c r="H113" s="29" t="inlineStr">
        <is>
          <t>Kart 4: IMV hak sahipleri, 1 yıl yasal ve fiili ikamet şartı, 2026 garantili gelir tablosu, complemento de ayuda para la infancia başvurusu; yabancı için residencia legal kanıtı (autorización de residencia). Seguridad Social © 2026.</t>
        </is>
      </c>
      <c r="I113" s="29" t="inlineStr">
        <is>
          <t>Evet</t>
        </is>
      </c>
      <c r="J113" s="29" t="inlineStr">
        <is>
          <t>Lisans kanıtları/549f5e9327e841c957212be272e6fb204af3c320665a4eac9dfc1eb16a0c7be2.html</t>
        </is>
      </c>
      <c r="K113" s="29" t="inlineStr">
        <is>
          <t>549f5e9327e841c957212be272e6fb204af3c320665a4eac9dfc1eb16a0c7be2</t>
        </is>
      </c>
    </row>
    <row r="114" ht="54" customHeight="1">
      <c r="A114" s="29" t="inlineStr">
        <is>
          <t>sevilla:kaynak:107</t>
        </is>
      </c>
      <c r="B114" s="29" t="inlineStr">
        <is>
          <t>sevilla</t>
        </is>
      </c>
      <c r="C114" s="29" t="inlineStr">
        <is>
          <t>BOE-A-2021-21007 Ley 19/2021, de 20 de diciembre, por la que se establece el ingreso mínimo vital.</t>
        </is>
      </c>
      <c r="D114" s="29" t="inlineStr">
        <is>
          <t>BOE</t>
        </is>
      </c>
      <c r="E114" s="29" t="inlineStr">
        <is>
          <t>https://www.boe.es/buscar/act.php?id=BOE-A-2021-21007</t>
        </is>
      </c>
      <c r="F114" s="49" t="n">
        <v>46319</v>
      </c>
      <c r="G114" s="29" t="inlineStr">
        <is>
          <t>sevilla:aile</t>
        </is>
      </c>
      <c r="H114" s="29" t="inlineStr">
        <is>
          <t>Kart 4: IMV ve complemento de ayuda para la infancia yasal dayanağı (preámbulo). Konsolide metin.</t>
        </is>
      </c>
      <c r="I114" s="29" t="inlineStr">
        <is>
          <t>Evet</t>
        </is>
      </c>
      <c r="J114" s="29" t="inlineStr">
        <is>
          <t>Lisans kanıtları/1d2f68a0ef0516a3b52e1111fe26f7c6e2dfdfab12fb07ea2148f02b21fc9807.html</t>
        </is>
      </c>
      <c r="K114" s="29" t="inlineStr">
        <is>
          <t>1d2f68a0ef0516a3b52e1111fe26f7c6e2dfdfab12fb07ea2148f02b21fc9807</t>
        </is>
      </c>
    </row>
    <row r="115" ht="54" customHeight="1">
      <c r="A115" s="29" t="inlineStr">
        <is>
          <t>sevilla:kaynak:108</t>
        </is>
      </c>
      <c r="B115" s="29" t="inlineStr">
        <is>
          <t>sevilla</t>
        </is>
      </c>
      <c r="C115" s="29" t="inlineStr">
        <is>
          <t>Qué necesitas - Becas y ayudas para estudiantes | Ministerio de Educación, Formación Profesional y Deportes</t>
        </is>
      </c>
      <c r="D115" s="29" t="inlineStr">
        <is>
          <t>Ministerio de Educación, Formación Profesional y Deportes - Becas y ayudas</t>
        </is>
      </c>
      <c r="E115" s="29" t="inlineStr">
        <is>
          <t>https://www.becaseducacion.gob.es/becas-y-ayudas/universidad-grado-master/que-necesitas.html</t>
        </is>
      </c>
      <c r="F115" s="49" t="n">
        <v>46319</v>
      </c>
      <c r="G115" s="29" t="inlineStr">
        <is>
          <t>sevilla:aile</t>
        </is>
      </c>
      <c r="H115" s="29" t="inlineStr">
        <is>
          <t>Kart 5: genel burs şartları, AB dışı yabancı için kural (18 yaş altı ya da 31/12/2025 itibarıyla ikamet izni; sadece estancia yetmez), 1.700 € renta / 2.700 € residencia / 50-125 € excelencia. Curso 2026/27.</t>
        </is>
      </c>
      <c r="I115" s="29" t="inlineStr">
        <is>
          <t>Evet</t>
        </is>
      </c>
      <c r="J115" s="29" t="inlineStr">
        <is>
          <t>Lisans kanıtları/dd26b7a4303fdf2c7db4ae564fda473a81ed0edd9edab2832f5b17bf1a53a548.html</t>
        </is>
      </c>
      <c r="K115" s="29" t="inlineStr">
        <is>
          <t>dd26b7a4303fdf2c7db4ae564fda473a81ed0edd9edab2832f5b17bf1a53a548</t>
        </is>
      </c>
    </row>
    <row r="116" ht="54" customHeight="1">
      <c r="A116" s="29" t="inlineStr">
        <is>
          <t>sevilla:kaynak:109</t>
        </is>
      </c>
      <c r="B116" s="29" t="inlineStr">
        <is>
          <t>sevilla</t>
        </is>
      </c>
      <c r="C116" s="29" t="inlineStr">
        <is>
          <t>Cómo solicitarla - Becas y ayudas para estudiantes | Ministerio de Educación, Formación Profesional y Deportes</t>
        </is>
      </c>
      <c r="D116" s="29" t="inlineStr">
        <is>
          <t>Ministerio de Educación, Formación Profesional y Deportes - Becas y ayudas</t>
        </is>
      </c>
      <c r="E116" s="29" t="inlineStr">
        <is>
          <t>https://www.becaseducacion.gob.es/becas-y-ayudas/fp-bachillerato-otros/como-solicitarla.html</t>
        </is>
      </c>
      <c r="F116" s="49" t="n">
        <v>46319</v>
      </c>
      <c r="G116" s="29" t="inlineStr">
        <is>
          <t>sevilla:aile</t>
        </is>
      </c>
      <c r="H116" s="29" t="inlineStr">
        <is>
          <t>Kart 5: başvuru dönemi 19 Mayıs'ta kapandı (2026/27); sede electrónica adımları. Bölge bursları ayrı.</t>
        </is>
      </c>
      <c r="I116" s="29" t="inlineStr">
        <is>
          <t>Evet</t>
        </is>
      </c>
      <c r="J116" s="29" t="inlineStr">
        <is>
          <t>Lisans kanıtları/f35f84d4d2face3d29be98c22cc25fe3ee27e575220bd55611d2ff1ff83cfb9e.html</t>
        </is>
      </c>
      <c r="K116" s="29" t="inlineStr">
        <is>
          <t>f35f84d4d2face3d29be98c22cc25fe3ee27e575220bd55611d2ff1ff83cfb9e</t>
        </is>
      </c>
    </row>
    <row r="117" ht="54" customHeight="1">
      <c r="A117" s="29" t="inlineStr">
        <is>
          <t>sevilla:kaynak:110</t>
        </is>
      </c>
      <c r="B117" s="29" t="inlineStr">
        <is>
          <t>sevilla</t>
        </is>
      </c>
      <c r="C117" s="29" t="inlineStr">
        <is>
          <t>Renfe ▷ Los mejores precios en Trenes Ave y Larga Distancia</t>
        </is>
      </c>
      <c r="D117" s="29" t="inlineStr">
        <is>
          <t>Renfe Viajeros</t>
        </is>
      </c>
      <c r="E117" s="29" t="inlineStr">
        <is>
          <t>https://www.renfe.com/es/es/viajar/prepara-tu-viaje/billetes-ave-y-largadistancia/todos-los-billetes</t>
        </is>
      </c>
      <c r="F117" s="49" t="n">
        <v>46319</v>
      </c>
      <c r="G117" s="29" t="inlineStr">
        <is>
          <t>sevilla:ulasim</t>
        </is>
      </c>
      <c r="H117" s="29" t="inlineStr">
        <is>
          <t>Kart 1: AVE/Larga Distancia tarife türleri (Básico, Elige Estándar/Confort, Prémium), değişiklik/iptal ekstraları, satın almadan sonra 2 saat içinde ücretsiz iptal, kimlik belgesi (Tarjeta de Residencia/Pasaporte). Tarih yok; tablo rakamları JSON içinde, düz metinde yalnız genel kurallar.</t>
        </is>
      </c>
      <c r="I117" s="29" t="inlineStr">
        <is>
          <t>Evet</t>
        </is>
      </c>
      <c r="J117" s="29" t="inlineStr">
        <is>
          <t>Lisans kanıtları/3483268d88f99708f715cb8a2d1f0c2e2f2a94374428c3b2928af01256e96601.html</t>
        </is>
      </c>
      <c r="K117" s="29" t="inlineStr">
        <is>
          <t>3483268d88f99708f715cb8a2d1f0c2e2f2a94374428c3b2928af01256e96601</t>
        </is>
      </c>
    </row>
    <row r="118" ht="54" customHeight="1">
      <c r="A118" s="29" t="inlineStr">
        <is>
          <t>sevilla:kaynak:111</t>
        </is>
      </c>
      <c r="B118" s="29" t="inlineStr">
        <is>
          <t>sevilla</t>
        </is>
      </c>
      <c r="C118" s="29" t="inlineStr">
        <is>
          <t>Descuentos hasta 30% en tren para jóvenes | Renfe</t>
        </is>
      </c>
      <c r="D118" s="29" t="inlineStr">
        <is>
          <t>Renfe Viajeros</t>
        </is>
      </c>
      <c r="E118" s="29" t="inlineStr">
        <is>
          <t>https://www.renfe.com/es/es/viajar/prepara-tu-viaje/descuentos/Jovenes.html</t>
        </is>
      </c>
      <c r="F118" s="49" t="n">
        <v>46319</v>
      </c>
      <c r="G118" s="29" t="inlineStr">
        <is>
          <t>sevilla:ulasim</t>
        </is>
      </c>
      <c r="H118" s="29" t="inlineStr">
        <is>
          <t>Kart 1: Más Renfe Joven (14-25 yaş, 50 EUR, AVE/LD %30, Avant/MD/Cercanías %25), Carné Joven (AVE/LD %5, Avant/MD %20), EYCA/ISIC kartları geçerli.</t>
        </is>
      </c>
      <c r="I118" s="29" t="inlineStr">
        <is>
          <t>Evet</t>
        </is>
      </c>
      <c r="J118" s="29" t="inlineStr">
        <is>
          <t>Lisans kanıtları/61df790960424b9b8568d65fe9205b1ae237310dcb11fcd9cd760975173e8fbc.html</t>
        </is>
      </c>
      <c r="K118" s="29" t="inlineStr">
        <is>
          <t>61df790960424b9b8568d65fe9205b1ae237310dcb11fcd9cd760975173e8fbc</t>
        </is>
      </c>
    </row>
    <row r="119" ht="54" customHeight="1">
      <c r="A119" s="29" t="inlineStr">
        <is>
          <t>sevilla:kaynak:112</t>
        </is>
      </c>
      <c r="B119" s="29" t="inlineStr">
        <is>
          <t>sevilla</t>
        </is>
      </c>
      <c r="C119" s="29" t="inlineStr">
        <is>
          <t>BOE.es - DOUE-L-2011-80347 Reglamento (UE) nº 181/2011 del Parlamento Europeo y del Consejo, de 16 de febrero de 2011, sobre los derechos de los viajeros de autobús y autocar y por</t>
        </is>
      </c>
      <c r="D119" s="29" t="inlineStr">
        <is>
          <t>BOE (DOUE)</t>
        </is>
      </c>
      <c r="E119" s="29" t="inlineStr">
        <is>
          <t>https://www.boe.es/buscar/doc.php?id=DOUE-L-2011-80347</t>
        </is>
      </c>
      <c r="F119" s="49" t="n">
        <v>46319</v>
      </c>
      <c r="G119" s="29" t="inlineStr">
        <is>
          <t>sevilla:ulasim</t>
        </is>
      </c>
      <c r="H119" s="29" t="inlineStr">
        <is>
          <t>Kart 2: otobüs yolcu hakları AB çerçevesi; 250 km ve üzeri düzenli hatlarda tam kapsam, daha kısa hatlarda sınırlı maddeler.</t>
        </is>
      </c>
      <c r="I119" s="29" t="inlineStr">
        <is>
          <t>Evet</t>
        </is>
      </c>
      <c r="J119" s="29" t="inlineStr">
        <is>
          <t>Lisans kanıtları/c897873a91954ea8eaac6c4bcd06298c6afde926e3d9bbb2e95f6bf757aecf79.html</t>
        </is>
      </c>
      <c r="K119" s="29" t="inlineStr">
        <is>
          <t>c897873a91954ea8eaac6c4bcd06298c6afde926e3d9bbb2e95f6bf757aecf79</t>
        </is>
      </c>
    </row>
    <row r="120" ht="54" customHeight="1">
      <c r="A120" s="29" t="inlineStr">
        <is>
          <t>sevilla:kaynak:113</t>
        </is>
      </c>
      <c r="B120" s="29" t="inlineStr">
        <is>
          <t>sevilla</t>
        </is>
      </c>
      <c r="C120" s="29" t="inlineStr">
        <is>
          <t>Road transport | Centro Europeo del Consumidor en España - Ministerio de Consumo</t>
        </is>
      </c>
      <c r="D120" s="29" t="inlineStr">
        <is>
          <t>Centro Europeo del Consumidor en España (Ministerio de Consumo)</t>
        </is>
      </c>
      <c r="E120" s="29" t="inlineStr">
        <is>
          <t>https://portal-cec.consumo.gob.es/en/informacion-general/viajes/transporte-por-carretera</t>
        </is>
      </c>
      <c r="F120" s="49" t="n">
        <v>46319</v>
      </c>
      <c r="G120" s="29" t="inlineStr">
        <is>
          <t>sevilla:ulasim</t>
        </is>
      </c>
      <c r="H120" s="29" t="inlineStr">
        <is>
          <t>Kart 2: otobüs yolcu hakları, İngilizce resmî sayfa (lang en). Alternatif/ikincil.</t>
        </is>
      </c>
      <c r="I120" s="29" t="inlineStr">
        <is>
          <t>Evet</t>
        </is>
      </c>
      <c r="J120" s="29" t="inlineStr">
        <is>
          <t>Lisans kanıtları/b68cd4d4a855259a65e34f65863d15d2dfd5c8cc437ddb5717f08e9fe21c8fb6.html</t>
        </is>
      </c>
      <c r="K120" s="29" t="inlineStr">
        <is>
          <t>b68cd4d4a855259a65e34f65863d15d2dfd5c8cc437ddb5717f08e9fe21c8fb6</t>
        </is>
      </c>
    </row>
    <row r="121" ht="54" customHeight="1">
      <c r="A121" s="29" t="inlineStr">
        <is>
          <t>sevilla:kaynak:114</t>
        </is>
      </c>
      <c r="B121" s="29" t="inlineStr">
        <is>
          <t>sevilla</t>
        </is>
      </c>
      <c r="C121" s="29" t="inlineStr">
        <is>
          <t>BOE-A-2003-23514 Real Decreto 1428/2003, de 21 de noviembre, por el que se aprueba el Reglamento General de Circulación para la aplicación y desarrollo del texto articulado de la L</t>
        </is>
      </c>
      <c r="D121" s="29" t="inlineStr">
        <is>
          <t>BOE</t>
        </is>
      </c>
      <c r="E121" s="29" t="inlineStr">
        <is>
          <t>https://www.boe.es/buscar/act.php?id=BOE-A-2003-23514</t>
        </is>
      </c>
      <c r="F121" s="49" t="n">
        <v>46319</v>
      </c>
      <c r="G121" s="29" t="inlineStr">
        <is>
          <t>sevilla:ulasim</t>
        </is>
      </c>
      <c r="H121" s="29" t="inlineStr">
        <is>
          <t>Kart 3: art.20 alkol (0,5 g/l kan, 0,25 mg/l hava; profesyonel/ağır vasıta 0,3 g/l), art.48 şehir dışı hız (otoyol/otovía turismo 120, konvansiyonel 90), art.50 şehir içi 20/30/50. Konsolide metin; art.50 değişikliği 01/10/2026 yürürlük notu var. Tarih: konsolide.</t>
        </is>
      </c>
      <c r="I121" s="29" t="inlineStr">
        <is>
          <t>Evet</t>
        </is>
      </c>
      <c r="J121" s="29" t="inlineStr">
        <is>
          <t>Lisans kanıtları/58ceead1c94be577495fee9f0a2227cc5c956523e16e93fcba2a2b578f4e3983.html</t>
        </is>
      </c>
      <c r="K121" s="29" t="inlineStr">
        <is>
          <t>58ceead1c94be577495fee9f0a2227cc5c956523e16e93fcba2a2b578f4e3983</t>
        </is>
      </c>
    </row>
    <row r="122" ht="54" customHeight="1">
      <c r="A122" s="29" t="inlineStr">
        <is>
          <t>sevilla:kaynak:115</t>
        </is>
      </c>
      <c r="B122" s="29" t="inlineStr">
        <is>
          <t>sevilla</t>
        </is>
      </c>
      <c r="C122" s="29" t="inlineStr">
        <is>
          <t>DGT - ¿Cómo funciona el permiso por puntos?</t>
        </is>
      </c>
      <c r="D122" s="29" t="inlineStr">
        <is>
          <t>Dirección General de Tráfico (DGT)</t>
        </is>
      </c>
      <c r="E122" s="29" t="inlineStr">
        <is>
          <t>https://www.dgt.es/nuestros-servicios/permisos-de-conducir/tus-puntos-y-tus-permisos/como-funciona-el-permiso-por-puntos/</t>
        </is>
      </c>
      <c r="F122" s="49" t="n">
        <v>46319</v>
      </c>
      <c r="G122" s="29" t="inlineStr">
        <is>
          <t>sevilla:ulasim</t>
        </is>
      </c>
      <c r="H122" s="29" t="inlineStr">
        <is>
          <t>Kart 3: ehliyet puan sistemi: 12 puan başlangıç, acemi/yeniden alan 8, 3 yılda ihlalsiz +2 (en çok 15), puan 0 olunca ehliyet kaybı.</t>
        </is>
      </c>
      <c r="I122" s="29" t="inlineStr">
        <is>
          <t>Evet</t>
        </is>
      </c>
      <c r="J122" s="29" t="inlineStr">
        <is>
          <t>Lisans kanıtları/b9ab11e9193e6cb0ad3d22179169fcb2d2eee9bedc742d2f505485fe2701b8b8.html</t>
        </is>
      </c>
      <c r="K122" s="29" t="inlineStr">
        <is>
          <t>b9ab11e9193e6cb0ad3d22179169fcb2d2eee9bedc742d2f505485fe2701b8b8</t>
        </is>
      </c>
    </row>
    <row r="123" ht="54" customHeight="1">
      <c r="A123" s="29" t="inlineStr">
        <is>
          <t>sevilla:kaynak:116</t>
        </is>
      </c>
      <c r="B123" s="29" t="inlineStr">
        <is>
          <t>sevilla</t>
        </is>
      </c>
      <c r="C123" s="29" t="inlineStr">
        <is>
          <t>BOE-A-2017-12841 Real Decreto 920/2017, de 23 de octubre, por el que se regula la inspección técnica de vehículos.</t>
        </is>
      </c>
      <c r="D123" s="29" t="inlineStr">
        <is>
          <t>BOE</t>
        </is>
      </c>
      <c r="E123" s="29" t="inlineStr">
        <is>
          <t>https://www.boe.es/buscar/act.php?id=BOE-A-2017-12841</t>
        </is>
      </c>
      <c r="F123" s="49" t="n">
        <v>46319</v>
      </c>
      <c r="G123" s="29" t="inlineStr">
        <is>
          <t>sevilla:ulasim</t>
        </is>
      </c>
      <c r="H123" s="29" t="inlineStr">
        <is>
          <t>Kart 4: ITV periyotları (art.6): otomobil (M1) 4 yıla kadar muaf, 4 yıldan sonra 2 yılda bir, 10 yıldan sonra yıllık; motosiklet/ağır vasıta/otobüs farklı. Son güncelleme 18/09/2024 (yürürlük 01/10/2024).</t>
        </is>
      </c>
      <c r="I123" s="29" t="inlineStr">
        <is>
          <t>Evet</t>
        </is>
      </c>
      <c r="J123" s="29" t="inlineStr">
        <is>
          <t>Lisans kanıtları/a214e6a2b5d61c94488ab8eac68290bc4f8c51f9c73d09ab51fe7aeea3de4eae.html</t>
        </is>
      </c>
      <c r="K123" s="29" t="inlineStr">
        <is>
          <t>a214e6a2b5d61c94488ab8eac68290bc4f8c51f9c73d09ab51fe7aeea3de4eae</t>
        </is>
      </c>
    </row>
    <row r="124" ht="54" customHeight="1">
      <c r="A124" s="29" t="inlineStr">
        <is>
          <t>sevilla:kaynak:117</t>
        </is>
      </c>
      <c r="B124" s="29" t="inlineStr">
        <is>
          <t>sevilla</t>
        </is>
      </c>
      <c r="C124" s="29" t="inlineStr">
        <is>
          <t>Reclamaciones por cancelaciones, retrasos, denegaciones de embarque y PMR en el transporte aéreo para vuelos posteriores al 02/06/2023 incluido (resolución alternativa de litigios)</t>
        </is>
      </c>
      <c r="D124" s="29" t="inlineStr">
        <is>
          <t>AESA - Sede electrónica</t>
        </is>
      </c>
      <c r="E124" s="29" t="inlineStr">
        <is>
          <t>https://sede.seguridadaerea.gob.es/sede-aesa/catalogo-de-procedimientos/reclamaciones-por-cancelaciones-retrasos-denegaciones-de-embarque-y-pmr</t>
        </is>
      </c>
      <c r="F124" s="49" t="n">
        <v>46319</v>
      </c>
      <c r="G124" s="29" t="inlineStr">
        <is>
          <t>sevilla:ulasim</t>
        </is>
      </c>
      <c r="H124" s="29" t="inlineStr">
        <is>
          <t>Kart 5: AESA şikayet süreci: önce havayolu (olaydan 5 yıl içinde), 1 ay yanıt yoksa AESA; işlem süreleri gecikmeli uyarısı.</t>
        </is>
      </c>
      <c r="I124" s="29" t="inlineStr">
        <is>
          <t>Evet</t>
        </is>
      </c>
      <c r="J124" s="29" t="inlineStr">
        <is>
          <t>Lisans kanıtları/5c20e1503a5e40bde1ba50647232e19cb64ffc9f4dcc0c40dc34caed9729fe41.html</t>
        </is>
      </c>
      <c r="K124" s="29" t="inlineStr">
        <is>
          <t>5c20e1503a5e40bde1ba50647232e19cb64ffc9f4dcc0c40dc34caed9729fe41</t>
        </is>
      </c>
    </row>
    <row r="125" ht="54" customHeight="1">
      <c r="A125" s="29" t="inlineStr">
        <is>
          <t>sevilla:kaynak:118</t>
        </is>
      </c>
      <c r="B125" s="29" t="inlineStr">
        <is>
          <t>sevilla</t>
        </is>
      </c>
      <c r="C125" s="29" t="inlineStr">
        <is>
          <t>Preguntas frecuentes sobre derechos de los pasajeros | AESA-Agencia Estatal de Seguridad Aérea - MTMS</t>
        </is>
      </c>
      <c r="D125" s="29" t="inlineStr">
        <is>
          <t>AESA - Agencia Estatal de Seguridad Aérea</t>
        </is>
      </c>
      <c r="E125" s="29" t="inlineStr">
        <is>
          <t>https://www.seguridadaerea.gob.es/es/preguntas-frecuentes-derechos-pasajeros</t>
        </is>
      </c>
      <c r="F125" s="49" t="n">
        <v>46319</v>
      </c>
      <c r="G125" s="29" t="inlineStr">
        <is>
          <t>sevilla:ulasim</t>
        </is>
      </c>
      <c r="H125" s="29" t="inlineStr">
        <is>
          <t>Kart 5: uçuş yolcu hakları SSS: 3+ saat gecikme tazminatı 250-600 EUR, olağanüstü durum, iptal/ret.</t>
        </is>
      </c>
      <c r="I125" s="29" t="inlineStr">
        <is>
          <t>Evet</t>
        </is>
      </c>
      <c r="J125" s="29" t="inlineStr">
        <is>
          <t>Lisans kanıtları/a4f6b03dd2edd08bf825d1ce3255894f8452d444f174066a312e88f5ec00c4a4.html</t>
        </is>
      </c>
      <c r="K125" s="29" t="inlineStr">
        <is>
          <t>a4f6b03dd2edd08bf825d1ce3255894f8452d444f174066a312e88f5ec00c4a4</t>
        </is>
      </c>
    </row>
    <row r="126" ht="54" customHeight="1">
      <c r="A126" s="29" t="inlineStr">
        <is>
          <t>sevilla:kaynak:119</t>
        </is>
      </c>
      <c r="B126" s="29" t="inlineStr">
        <is>
          <t>sevilla</t>
        </is>
      </c>
      <c r="C126" s="29" t="inlineStr">
        <is>
          <t>BOE-A-2018-10651 Real Decreto 949/2018, de 27 de julio, por el que se modifica la cuantía de la subvención al transporte regular, aéreo y marítimo, de los residentes en los territo</t>
        </is>
      </c>
      <c r="D126" s="29" t="inlineStr">
        <is>
          <t>BOE</t>
        </is>
      </c>
      <c r="E126" s="29" t="inlineStr">
        <is>
          <t>https://www.boe.es/buscar/doc.php?id=BOE-A-2018-10651</t>
        </is>
      </c>
      <c r="F126" s="49" t="n">
        <v>46319</v>
      </c>
      <c r="G126" s="29" t="inlineStr">
        <is>
          <t>sevilla:ulasim</t>
        </is>
      </c>
      <c r="H126" s="29" t="inlineStr">
        <is>
          <t>Kart 5: yerleşik indirimi %75 (adalar/Ceuta/Melilla - anakara doğrudan hatlar). Yalnız orada ikamet edenler; AB dışı için bkz. Ley 19/1994 art.6 kaynağı.</t>
        </is>
      </c>
      <c r="I126" s="29" t="inlineStr">
        <is>
          <t>Evet</t>
        </is>
      </c>
      <c r="J126" s="29" t="inlineStr">
        <is>
          <t>Lisans kanıtları/6e1cbafe566f8a4650c4b25fcea2fa1d298ea6179b77e535de6fcd1599599789.html</t>
        </is>
      </c>
      <c r="K126" s="29" t="inlineStr">
        <is>
          <t>6e1cbafe566f8a4650c4b25fcea2fa1d298ea6179b77e535de6fcd1599599789</t>
        </is>
      </c>
    </row>
    <row r="127" ht="54" customHeight="1">
      <c r="A127" s="29" t="inlineStr">
        <is>
          <t>sevilla:kaynak:120</t>
        </is>
      </c>
      <c r="B127" s="29" t="inlineStr">
        <is>
          <t>sevilla</t>
        </is>
      </c>
      <c r="C127" s="29" t="inlineStr">
        <is>
          <t>BOE-A-2012-15651 Ley 17/2012, de 27 de diciembre, de Presupuestos Generales del Estado para el año 2013.</t>
        </is>
      </c>
      <c r="D127" s="29" t="inlineStr">
        <is>
          <t>Boletín Oficial del Estado (BOE)</t>
        </is>
      </c>
      <c r="E127" s="29" t="inlineStr">
        <is>
          <t>https://www.boe.es/buscar/act.php?id=BOE-A-2012-15651</t>
        </is>
      </c>
      <c r="F127" s="49" t="n">
        <v>46319</v>
      </c>
      <c r="G127" s="29" t="inlineStr">
        <is>
          <t>sevilla:ulasim</t>
        </is>
      </c>
      <c r="H127" s="29" t="inlineStr">
        <is>
          <t>Ulaşım kart 6 (yerleşik indirimi): DA 13ª dört bölge (Canarias, Illes Balears, Ceuta, Melilla) için hak sahipleri (AB vatandaşının üçüncü ülke aile üyesi, uzun dönem oturumlu üçüncü ülke vatandaşı) ve %75 hava indirimi. G3 denetimi 6.1/6.2.</t>
        </is>
      </c>
      <c r="I127" s="29" t="inlineStr">
        <is>
          <t>Evet</t>
        </is>
      </c>
      <c r="J127" s="29" t="inlineStr">
        <is>
          <t>Lisans kanıtları/440d6b299c37f0d05c34b3a97acb37f5bc781259bb73701b79cb84dbc292b55d.html</t>
        </is>
      </c>
      <c r="K127" s="29" t="inlineStr">
        <is>
          <t>440d6b299c37f0d05c34b3a97acb37f5bc781259bb73701b79cb84dbc292b55d</t>
        </is>
      </c>
    </row>
    <row r="128" ht="54" customHeight="1">
      <c r="A128" s="29" t="inlineStr">
        <is>
          <t>sevilla:kaynak:121</t>
        </is>
      </c>
      <c r="B128" s="29" t="inlineStr">
        <is>
          <t>sevilla</t>
        </is>
      </c>
      <c r="C128" s="29" t="inlineStr">
        <is>
          <t>BOE-A-2026-21254 Resolución de 8 de octubre de 2026, de la Dirección General de Trabajo, por la que se publica relación de fiestas laborales para el año 2027.</t>
        </is>
      </c>
      <c r="D128" s="29" t="inlineStr">
        <is>
          <t>BOE / Dirección General de Trabajo</t>
        </is>
      </c>
      <c r="E128" s="29" t="inlineStr">
        <is>
          <t>https://www.boe.es/buscar/doc.php?id=BOE-A-2026-21254</t>
        </is>
      </c>
      <c r="F128" s="49" t="n">
        <v>46319</v>
      </c>
      <c r="G128" s="29" t="inlineStr">
        <is>
          <t>sevilla:gunluk</t>
        </is>
      </c>
      <c r="H128" s="29" t="inlineStr">
        <is>
          <t>Kart 1: 2027 ulusal + özerk bölge + Ceuta/Melilla tatil listesi (BOE núm. 254, 13/10/2026). Mevcut 2026 kartı (es:kaynak:077, Resolución 17/10/2025) ile çakışmaz; yeni açı = 2027. Madde 37.2 ET/RD 2001/1983: 14 gün tavanı, 12 ulusal/özerk + 2 yerel. Yerel tatiller (2 gün) belediye bazlı, bu sayfada yok. Sayfa doc.php biçiminde okunuyor (diario_boe/txt.php bu ortamda boş döndü).</t>
        </is>
      </c>
      <c r="I128" s="29" t="inlineStr">
        <is>
          <t>Evet</t>
        </is>
      </c>
      <c r="J128" s="29" t="inlineStr">
        <is>
          <t>Lisans kanıtları/89939ca0e21782e0aeba64bffef6da3891c93c5207bbc1c0fa1f06d133403be4.html</t>
        </is>
      </c>
      <c r="K128" s="29" t="inlineStr">
        <is>
          <t>89939ca0e21782e0aeba64bffef6da3891c93c5207bbc1c0fa1f06d133403be4</t>
        </is>
      </c>
    </row>
    <row r="129" ht="54" customHeight="1">
      <c r="A129" s="29" t="inlineStr">
        <is>
          <t>sevilla:kaynak:122</t>
        </is>
      </c>
      <c r="B129" s="29" t="inlineStr">
        <is>
          <t>sevilla</t>
        </is>
      </c>
      <c r="C129" s="29" t="inlineStr">
        <is>
          <t>BOE-A-2004-21421 Ley 1/2004, de 21 de diciembre, de Horarios Comerciales.</t>
        </is>
      </c>
      <c r="D129" s="29" t="inlineStr">
        <is>
          <t>BOE</t>
        </is>
      </c>
      <c r="E129" s="29" t="inlineStr">
        <is>
          <t>https://www.boe.es/buscar/act.php?id=BOE-A-2004-21421</t>
        </is>
      </c>
      <c r="F129" s="49" t="n">
        <v>46319</v>
      </c>
      <c r="G129" s="29" t="inlineStr">
        <is>
          <t>sevilla:gunluk</t>
        </is>
      </c>
      <c r="H129" s="29" t="inlineStr">
        <is>
          <t>Kart 2: ulusal çerçeve. Art. 1 serbest saat, art. 3 küresel saat (bölge en az 90 saat/hafta altına indiremez), art. 4 pazar/tatil (ulusal asgari 16, bölge değiştirebilir, 10'un altına inemez), art. 5 serbest rejim (bakkal-fırın-gazete-akaryakıt, istasyon, turistik bölge, 300 m2 altı küçük mağaza, tiendas de conveniencia). Rakamlar bölgeye göre değişir.</t>
        </is>
      </c>
      <c r="I129" s="29" t="inlineStr">
        <is>
          <t>Evet</t>
        </is>
      </c>
      <c r="J129" s="29" t="inlineStr">
        <is>
          <t>Lisans kanıtları/928585589dce9e7d71d6572fb50fdb5ab0bb3bb5bef77d70cf459cc4c2f89120.html</t>
        </is>
      </c>
      <c r="K129" s="29" t="inlineStr">
        <is>
          <t>928585589dce9e7d71d6572fb50fdb5ab0bb3bb5bef77d70cf459cc4c2f89120</t>
        </is>
      </c>
    </row>
    <row r="130" ht="54" customHeight="1">
      <c r="A130" s="29" t="inlineStr">
        <is>
          <t>sevilla:kaynak:123</t>
        </is>
      </c>
      <c r="B130" s="29" t="inlineStr">
        <is>
          <t>sevilla</t>
        </is>
      </c>
      <c r="C130" s="29" t="inlineStr">
        <is>
          <t>: Índice - Envíos por un valor de hasta 150 euros</t>
        </is>
      </c>
      <c r="D130" s="29" t="inlineStr">
        <is>
          <t>Agencia Tributaria (AEAT)</t>
        </is>
      </c>
      <c r="E130" s="29" t="inlineStr">
        <is>
          <t>https://sede.agenciatributaria.gob.es/Sede/aduanas/comercio-electronico-pipe-envios-particulares/compras-internet-envios-particulares/envios-valor-hasta-150-euros.html</t>
        </is>
      </c>
      <c r="F130" s="49" t="n">
        <v>46319</v>
      </c>
      <c r="G130" s="29" t="inlineStr">
        <is>
          <t>sevilla:gunluk</t>
        </is>
      </c>
      <c r="H130" s="29" t="inlineStr">
        <is>
          <t>Kart 3: AB dışından internet alışverişi: IVA %21 (IOSS ya da taşıyıcı tahsili), 1 Temmuz 2026'dan itibaren 150 euro altı için kategori başına sabit 3 euro gümrük vergisi. Sayfa 2026 değişikliğini içeriyor (güncel).</t>
        </is>
      </c>
      <c r="I130" s="29" t="inlineStr">
        <is>
          <t>Evet</t>
        </is>
      </c>
      <c r="J130" s="29" t="inlineStr">
        <is>
          <t>Lisans kanıtları/e986cc4745c35dd70613ae9781d5170b8adcebac709ada2230668da16ae3a702.html</t>
        </is>
      </c>
      <c r="K130" s="29" t="inlineStr">
        <is>
          <t>e986cc4745c35dd70613ae9781d5170b8adcebac709ada2230668da16ae3a702</t>
        </is>
      </c>
    </row>
    <row r="131" ht="54" customHeight="1">
      <c r="A131" s="29" t="inlineStr">
        <is>
          <t>sevilla:kaynak:124</t>
        </is>
      </c>
      <c r="B131" s="29" t="inlineStr">
        <is>
          <t>sevilla</t>
        </is>
      </c>
      <c r="C131" s="29" t="inlineStr">
        <is>
          <t>Información de aduanas DUA importación | Correos.es</t>
        </is>
      </c>
      <c r="D131" s="29" t="inlineStr">
        <is>
          <t>Correos (kamu şirketi)</t>
        </is>
      </c>
      <c r="E131" s="29" t="inlineStr">
        <is>
          <t>https://www.correos.es/es/es/atencion-al-cliente/informacion-aduanera</t>
        </is>
      </c>
      <c r="F131" s="49" t="n">
        <v>46319</v>
      </c>
      <c r="G131" s="29" t="inlineStr">
        <is>
          <t>sevilla:gunluk</t>
        </is>
      </c>
      <c r="H131" s="29" t="inlineStr">
        <is>
          <t>Kart 3: Correos'ta AB dışı/Canarias/Ceuta/Melilla'dan gelen paketin gümrük kontrolü, alıcı ödemeden paket teslim edilmez. Sayfa tarihi yok.</t>
        </is>
      </c>
      <c r="I131" s="29" t="inlineStr">
        <is>
          <t>Evet</t>
        </is>
      </c>
      <c r="J131" s="29" t="inlineStr">
        <is>
          <t>Lisans kanıtları/b6e24c216f07d28f88cc1fd1fa7b28839e7076ffd78d928db0a211300cf8d138.html</t>
        </is>
      </c>
      <c r="K131" s="29" t="inlineStr">
        <is>
          <t>b6e24c216f07d28f88cc1fd1fa7b28839e7076ffd78d928db0a211300cf8d138</t>
        </is>
      </c>
    </row>
    <row r="132" ht="54" customHeight="1">
      <c r="A132" s="29" t="inlineStr">
        <is>
          <t>sevilla:kaynak:125</t>
        </is>
      </c>
      <c r="B132" s="29" t="inlineStr">
        <is>
          <t>sevilla</t>
        </is>
      </c>
      <c r="C132" s="29" t="inlineStr">
        <is>
          <t>Accede a líneas telefónicas especializadas para atención, apoyo y protección en casos de violencia de género, LGTBIfobia o discriminación racial - Ministerio de Igualdad %</t>
        </is>
      </c>
      <c r="D132" s="29" t="inlineStr">
        <is>
          <t>Ministerio de Igualdad</t>
        </is>
      </c>
      <c r="E132" s="29" t="inlineStr">
        <is>
          <t>https://www.igualdad.gob.es/accede-a-lineas-telefonicas-especializadas-para-atencion-apoyo-y-proteccion-en-casos-de-violencia-de-genero-lgtbifobia-o-discriminacion-racial/</t>
        </is>
      </c>
      <c r="F132" s="49" t="n">
        <v>46319</v>
      </c>
      <c r="G132" s="29" t="inlineStr">
        <is>
          <t>sevilla:gunluk</t>
        </is>
      </c>
      <c r="H132" s="29" t="inlineStr">
        <is>
          <t>Kart 4 (diğer resmî hatlar): 016 (kadına şiddet, 600 000 016 WhatsApp, 24 saat bilgi, hukuki danışmanlık 8-22), 021 (ırkçılık/ayrımcılık), 028 (LGTBI), ATENPRO 900 22 22 92, 900 19 10 10 kadın hakları. Ayrıntılı 016 sayfası alternatif/ek: https://violenciagenero.igualdad.gob.es/informacion-3/recursos/telefono016/ (53 dil telefonda, ücretsiz, gizli; 'Atención en 53 idiomas por teléfono (24 horas)'). Tarih yok.</t>
        </is>
      </c>
      <c r="I132" s="29" t="inlineStr">
        <is>
          <t>Evet</t>
        </is>
      </c>
      <c r="J132" s="29" t="inlineStr">
        <is>
          <t>Lisans kanıtları/43e5d0bbb8ddf982036afc68820b57acadf6ad8404e0af86002e657d33829b6e.html</t>
        </is>
      </c>
      <c r="K132" s="29" t="inlineStr">
        <is>
          <t>43e5d0bbb8ddf982036afc68820b57acadf6ad8404e0af86002e657d33829b6e</t>
        </is>
      </c>
    </row>
    <row r="133" ht="54" customHeight="1">
      <c r="A133" s="29" t="inlineStr">
        <is>
          <t>sevilla:kaynak:126</t>
        </is>
      </c>
      <c r="B133" s="29" t="inlineStr">
        <is>
          <t>sevilla</t>
        </is>
      </c>
      <c r="C133" s="29" t="inlineStr">
        <is>
          <t>Ministerio de Sanidad - 024. Línea de atención a la conducta suicida</t>
        </is>
      </c>
      <c r="D133" s="29" t="inlineStr">
        <is>
          <t>Ministerio de Sanidad</t>
        </is>
      </c>
      <c r="E133" s="29" t="inlineStr">
        <is>
          <t>https://www.sanidad.gob.es/linea024/home.htm</t>
        </is>
      </c>
      <c r="F133" s="49" t="n">
        <v>46319</v>
      </c>
      <c r="G133" s="29" t="inlineStr">
        <is>
          <t>sevilla:gunluk</t>
        </is>
      </c>
      <c r="H133" s="29" t="inlineStr">
        <is>
          <t>Kart 4: 024 intihar önleme hattı; ulusal, ücretsiz, gizli, 7/24; acil durumda 112. Sayfada 2026 aylık raporlar listeli (güncel).</t>
        </is>
      </c>
      <c r="I133" s="29" t="inlineStr">
        <is>
          <t>Evet</t>
        </is>
      </c>
      <c r="J133" s="29" t="inlineStr">
        <is>
          <t>Lisans kanıtları/3cca233cba092e0274f0cb335bb4a1d07a4b6d1853777066d1b5696a80227d3a.html</t>
        </is>
      </c>
      <c r="K133" s="29" t="inlineStr">
        <is>
          <t>3cca233cba092e0274f0cb335bb4a1d07a4b6d1853777066d1b5696a80227d3a</t>
        </is>
      </c>
    </row>
    <row r="134" ht="54" customHeight="1">
      <c r="A134" s="29" t="inlineStr">
        <is>
          <t>sevilla:kaynak:127</t>
        </is>
      </c>
      <c r="B134" s="29" t="inlineStr">
        <is>
          <t>sevilla</t>
        </is>
      </c>
      <c r="C134" s="29" t="inlineStr">
        <is>
          <t>Moneda en España. Dónde cambiar y formas de pago | spain.info</t>
        </is>
      </c>
      <c r="D134" s="29" t="inlineStr">
        <is>
          <t>spain.info (Turespaña, portal oficial de turismo de España)</t>
        </is>
      </c>
      <c r="E134" s="29" t="inlineStr">
        <is>
          <t>https://www.spain.info/es/consejos-viaje/moneda-billetes/</t>
        </is>
      </c>
      <c r="F134" s="49" t="n">
        <v>46319</v>
      </c>
      <c r="G134" s="29" t="inlineStr">
        <is>
          <t>sevilla:gunluk</t>
        </is>
      </c>
      <c r="H134" s="29" t="inlineStr">
        <is>
          <t>Kart 5: bahşiş resmî turizm portalında var: zorunlu değil (servis fiyata dahil), bar/restoran/otel/taksi'de yaygın, %5-%10; kart ödemede ~10 euro asgari tutar olabilir; pazarlık kabul edilmez. Tarih yok. Genel görgü kuralları (selamlaşma, öğün saatleri) için resmî derin sayfa aranmadı.</t>
        </is>
      </c>
      <c r="I134" s="29" t="inlineStr">
        <is>
          <t>Evet</t>
        </is>
      </c>
      <c r="J134" s="29" t="inlineStr">
        <is>
          <t>Lisans kanıtları/65800930545c6f3e37ac9cbfc7a689e31819ceba1861bf422039ed275fe6b232.html</t>
        </is>
      </c>
      <c r="K134" s="29" t="inlineStr">
        <is>
          <t>65800930545c6f3e37ac9cbfc7a689e31819ceba1861bf422039ed275fe6b232</t>
        </is>
      </c>
    </row>
    <row r="135" ht="54" customHeight="1">
      <c r="A135" s="29" t="inlineStr">
        <is>
          <t>sevilla:kaynak:128</t>
        </is>
      </c>
      <c r="B135" s="29" t="inlineStr">
        <is>
          <t>sevilla</t>
        </is>
      </c>
      <c r="C135" s="29" t="inlineStr">
        <is>
          <t>Tarjeta sanitaria - Junta de Andalucía</t>
        </is>
      </c>
      <c r="D135" s="29" t="inlineStr">
        <is>
          <t>Junta de Andalucía</t>
        </is>
      </c>
      <c r="E135" s="29" t="inlineStr">
        <is>
          <t>https://www.juntadeandalucia.es/temas/salud/servicios/tarjeta.html</t>
        </is>
      </c>
      <c r="F135" s="49" t="n">
        <v>46319</v>
      </c>
      <c r="G135" s="29" t="inlineStr">
        <is>
          <t>sevilla:saglik</t>
        </is>
      </c>
      <c r="H135" s="29" t="inlineStr">
        <is>
          <t>Kart 1: ilk tarjeta sanitaria başvurusu merkezde yapılır; belgeler (başvuru formu, kimlik, INSS'ten sigortalı/yararlanıcı belgesi, empadronamiento); çevrim içi yalnız kayıp/hasar/ulaşmama yenilemesi; sanal kart 26.03.2026. Sayfada tarih yok, 2026 içeriği.</t>
        </is>
      </c>
      <c r="I135" s="29" t="inlineStr">
        <is>
          <t>Evet</t>
        </is>
      </c>
      <c r="J135" s="29" t="inlineStr">
        <is>
          <t>Lisans kanıtları/86c350f4dab3a8262f8b8ac2a86fc8c6c08dfa516486c0cfa0b8d9c2553fb151.html</t>
        </is>
      </c>
      <c r="K135" s="29" t="inlineStr">
        <is>
          <t>86c350f4dab3a8262f8b8ac2a86fc8c6c08dfa516486c0cfa0b8d9c2553fb151</t>
        </is>
      </c>
    </row>
    <row r="136" ht="54" customHeight="1">
      <c r="A136" s="29" t="inlineStr">
        <is>
          <t>sevilla:kaynak:129</t>
        </is>
      </c>
      <c r="B136" s="29" t="inlineStr">
        <is>
          <t>sevilla</t>
        </is>
      </c>
      <c r="C136" s="29" t="inlineStr">
        <is>
          <t>Libertad de elección - Junta de Andalucía</t>
        </is>
      </c>
      <c r="D136" s="29" t="inlineStr">
        <is>
          <t>Junta de Andalucía (Servicio Andaluz de Salud)</t>
        </is>
      </c>
      <c r="E136" s="29" t="inlineStr">
        <is>
          <t>https://www.juntadeandalucia.es/temas/salud/derechos/eleccion.html</t>
        </is>
      </c>
      <c r="F136" s="49" t="n">
        <v>46319</v>
      </c>
      <c r="G136" s="29" t="inlineStr">
        <is>
          <t>sevilla:saglik</t>
        </is>
      </c>
      <c r="H136" s="29" t="inlineStr">
        <is>
          <t>Kart 1: aile hekimi/merkez seçimi (ilçe sağlık bölgesi içinde, merkezde başvuru 45 gün, Cl@ve ile çevrim içi); sayfa tarihsiz.</t>
        </is>
      </c>
      <c r="I136" s="29" t="inlineStr">
        <is>
          <t>Evet</t>
        </is>
      </c>
      <c r="J136" s="29" t="inlineStr">
        <is>
          <t>Lisans kanıtları/cd2b4f8f4be159150a5e298afae576da71e8eb902e310b6858b9770fcc921dcb.html</t>
        </is>
      </c>
      <c r="K136" s="29" t="inlineStr">
        <is>
          <t>cd2b4f8f4be159150a5e298afae576da71e8eb902e310b6858b9770fcc921dcb</t>
        </is>
      </c>
    </row>
    <row r="137" ht="54" customHeight="1">
      <c r="A137" s="29" t="inlineStr">
        <is>
          <t>sevilla:kaynak:130</t>
        </is>
      </c>
      <c r="B137" s="29" t="inlineStr">
        <is>
          <t>sevilla</t>
        </is>
      </c>
      <c r="C137" s="29" t="inlineStr">
        <is>
          <t>BOE-A-2021-17915 Ley 5/2021, de 20 de octubre, de Tributos Cedidos de la Comunidad Autónoma de Andalucía.</t>
        </is>
      </c>
      <c r="D137" s="29" t="inlineStr">
        <is>
          <t>BOE / BOJA</t>
        </is>
      </c>
      <c r="E137" s="29" t="inlineStr">
        <is>
          <t>https://www.boe.es/buscar/act.php?id=BOE-A-2021-17915</t>
        </is>
      </c>
      <c r="F137" s="49" t="n">
        <v>46319</v>
      </c>
      <c r="G137" s="29" t="inlineStr">
        <is>
          <t>sevilla:para</t>
        </is>
      </c>
      <c r="H137" s="29" t="inlineStr">
        <is>
          <t>Kart 2: art. 23 Endülüs IRPF bölge dilim cetveli (%9,5/12/15/18,5/22,5; 60.000 euro üstü %22,5), Decreto-ley 7/2022 ile 01.01.2022'den itibaren; art. 23 bis bölge kişisel/aile asgarisi; konsolide metin son güncelleme 31/12/2025.</t>
        </is>
      </c>
      <c r="I137" s="29" t="inlineStr">
        <is>
          <t>Evet</t>
        </is>
      </c>
      <c r="J137" s="29" t="inlineStr">
        <is>
          <t>Lisans kanıtları/ab69026e85b5e47d39abbd605b811a19778b6554e8a8aeb40fd222482b560262.html</t>
        </is>
      </c>
      <c r="K137" s="29" t="inlineStr">
        <is>
          <t>ab69026e85b5e47d39abbd605b811a19778b6554e8a8aeb40fd222482b560262</t>
        </is>
      </c>
    </row>
    <row r="138" ht="54" customHeight="1">
      <c r="A138" s="29" t="inlineStr">
        <is>
          <t>sevilla:kaynak:131</t>
        </is>
      </c>
      <c r="B138" s="29" t="inlineStr">
        <is>
          <t>sevilla</t>
        </is>
      </c>
      <c r="C138" s="29" t="inlineStr">
        <is>
          <t>Medidas vigentes IRPF 2025 - Junta de Andalucía</t>
        </is>
      </c>
      <c r="D138" s="29" t="inlineStr">
        <is>
          <t>Junta de Andalucía (Consejería de Economía, Hacienda y Fondos Europeos)</t>
        </is>
      </c>
      <c r="E138" s="29" t="inlineStr">
        <is>
          <t>https://www.juntadeandalucia.es/organismos/economiahaciendayfondoseuropeos/areas/tributos-juego/tributos/paginas/medidasautirpf25.html</t>
        </is>
      </c>
      <c r="F138" s="49" t="n">
        <v>46319</v>
      </c>
      <c r="G138" s="29" t="inlineStr">
        <is>
          <t>sevilla:para</t>
        </is>
      </c>
      <c r="H138" s="29" t="inlineStr">
        <is>
          <t>Kart 2: 2025 gelir yılı (beyan 8 Nisan - 30 Haziran 2026) Endülüs bölgesel indirimleri listesi (kira, doğum/evlat edinme, aile, büyük aile, eğitim, engelli, ev yardımı, spor, veteriner vb.).</t>
        </is>
      </c>
      <c r="I138" s="29" t="inlineStr">
        <is>
          <t>Evet</t>
        </is>
      </c>
      <c r="J138" s="29" t="inlineStr">
        <is>
          <t>Lisans kanıtları/7107774255aef0d6d4f3d9396b95438c9a465bd67447afb1821d0bdc7af4a755.html</t>
        </is>
      </c>
      <c r="K138" s="29" t="inlineStr">
        <is>
          <t>7107774255aef0d6d4f3d9396b95438c9a465bd67447afb1821d0bdc7af4a755</t>
        </is>
      </c>
    </row>
    <row r="139" ht="54" customHeight="1">
      <c r="A139" s="29" t="inlineStr">
        <is>
          <t>sevilla:kaynak:132</t>
        </is>
      </c>
      <c r="B139" s="29" t="inlineStr">
        <is>
          <t>sevilla</t>
        </is>
      </c>
      <c r="C139" s="29" t="inlineStr">
        <is>
          <t>Tipo reducido para promover una política social de vivienda - Junta de Andalucía</t>
        </is>
      </c>
      <c r="D139" s="29" t="inlineStr">
        <is>
          <t>Junta de Andalucía (Consejería de Economía, Hacienda y Fondos Europeos)</t>
        </is>
      </c>
      <c r="E139" s="29" t="inlineStr">
        <is>
          <t>https://www.juntadeandalucia.es/organismos/economiahaciendayfondoseuropeos/areas/tributos-juego/tributos/paginas/polit-social.html</t>
        </is>
      </c>
      <c r="F139" s="49" t="n">
        <v>46319</v>
      </c>
      <c r="G139" s="29" t="inlineStr">
        <is>
          <t>sevilla:para</t>
        </is>
      </c>
      <c r="H139" s="29" t="inlineStr">
        <is>
          <t>Kart 3: ITP indirimli oranlar (%6 limit 150.000 euro; %3,5 35 yaş altı/engelli/büyük aile/mağdur/nüfus azalan belediye; limitler 150.000-250.000); sayfa tarihsiz, 2026 belediye listesine kadar güncel.</t>
        </is>
      </c>
      <c r="I139" s="29" t="inlineStr">
        <is>
          <t>Evet</t>
        </is>
      </c>
      <c r="J139" s="29" t="inlineStr">
        <is>
          <t>Lisans kanıtları/f5196985c6f78da19f5464917aa4b300475a7cef1f80c8720b2a3e9775ad50dc.html</t>
        </is>
      </c>
      <c r="K139" s="29" t="inlineStr">
        <is>
          <t>f5196985c6f78da19f5464917aa4b300475a7cef1f80c8720b2a3e9775ad50dc</t>
        </is>
      </c>
    </row>
    <row r="140" ht="54" customHeight="1">
      <c r="A140" s="29" t="inlineStr">
        <is>
          <t>sevilla:kaynak:133</t>
        </is>
      </c>
      <c r="B140" s="29" t="inlineStr">
        <is>
          <t>sevilla</t>
        </is>
      </c>
      <c r="C140" s="29" t="inlineStr">
        <is>
          <t>Novedades en las fianzas de arrendamiento - Junta de Andalucía</t>
        </is>
      </c>
      <c r="D140" s="29" t="inlineStr">
        <is>
          <t>AVRA - Junta de Andalucía</t>
        </is>
      </c>
      <c r="E140" s="29" t="inlineStr">
        <is>
          <t>https://www.juntadeandalucia.es/organismos/avra/areas/fianzas/notas-ley-vivienda-andalucia-2025.html</t>
        </is>
      </c>
      <c r="F140" s="49" t="n">
        <v>46319</v>
      </c>
      <c r="G140" s="29" t="inlineStr">
        <is>
          <t>sevilla:ev</t>
        </is>
      </c>
      <c r="H140" s="29" t="inlineStr">
        <is>
          <t>Kart 4: 24.01.2026'dan itibaren yeni kira sözleşmelerinde AVRA'ya depozito yatırma zorunluluğu kaldırıldı (Ley 5/2025 DA 6a); 23.01.2026 dahil öncesi sözleşmelerde zorunluluk sürer; eski depozitoların iadesi için 1 ay. Sayfa tarihsiz, yürürlük 24/01/2026.</t>
        </is>
      </c>
      <c r="I140" s="29" t="inlineStr">
        <is>
          <t>Evet</t>
        </is>
      </c>
      <c r="J140" s="29" t="inlineStr">
        <is>
          <t>Lisans kanıtları/5bb917717d38ec33112d2fa88693f028555498d0e0def283f1aebe1ef47aa70e.html</t>
        </is>
      </c>
      <c r="K140" s="29" t="inlineStr">
        <is>
          <t>5bb917717d38ec33112d2fa88693f028555498d0e0def283f1aebe1ef47aa70e</t>
        </is>
      </c>
    </row>
    <row r="141" ht="54" customHeight="1">
      <c r="A141" s="29" t="inlineStr">
        <is>
          <t>sevilla:kaynak:134</t>
        </is>
      </c>
      <c r="B141" s="29" t="inlineStr">
        <is>
          <t>sevilla</t>
        </is>
      </c>
      <c r="C141" s="29" t="inlineStr">
        <is>
          <t>Quiero inscribirme como demandante de servicios de empleo | Área de Gestión del SAE</t>
        </is>
      </c>
      <c r="D141" s="29" t="inlineStr">
        <is>
          <t>Servicio Andaluz de Empleo (SAE) - Junta de Andalucía</t>
        </is>
      </c>
      <c r="E141" s="29" t="inlineStr">
        <is>
          <t>https://ws054.juntadeandalucia.es/portalsae/quiero-trabajar/inscribirme-como-demandante-empleo</t>
        </is>
      </c>
      <c r="F141" s="49" t="n">
        <v>46319</v>
      </c>
      <c r="G141" s="29" t="inlineStr">
        <is>
          <t>sevilla:is</t>
        </is>
      </c>
      <c r="H141" s="29" t="inlineStr">
        <is>
          <t>Kart 5: SAE ilk kayıt şartları (16 yaş, uyruk/AB dışı için idari izin, Endülüs'te ikamet), formda NIE/pasaport, sertifika/Cl@ve ile anında, yoksa randevu; SEPE işsizlik maaşı için ön şart. Sayfa güncelleme tarihi 06/03/2025.</t>
        </is>
      </c>
      <c r="I141" s="29" t="inlineStr">
        <is>
          <t>Evet</t>
        </is>
      </c>
      <c r="J141" s="29" t="inlineStr">
        <is>
          <t>Lisans kanıtları/1fa8a57f2248a5357e948d780971f11393c683192d474ee1789330e916410d61.html</t>
        </is>
      </c>
      <c r="K141" s="29" t="inlineStr">
        <is>
          <t>1fa8a57f2248a5357e948d780971f11393c683192d474ee1789330e916410d61</t>
        </is>
      </c>
    </row>
    <row r="142" ht="54" customHeight="1">
      <c r="A142" s="29" t="inlineStr">
        <is>
          <t>sevilla:kaynak:135</t>
        </is>
      </c>
      <c r="B142" s="29" t="inlineStr">
        <is>
          <t>sevilla</t>
        </is>
      </c>
      <c r="C142" s="29" t="inlineStr">
        <is>
          <t>Soy de fuera de la UE y quiero trabajar en Andalucía | Área de Gestión del SAE</t>
        </is>
      </c>
      <c r="D142" s="29" t="inlineStr">
        <is>
          <t>Servicio Andaluz de Empleo (SAE) - Junta de Andalucía</t>
        </is>
      </c>
      <c r="E142" s="29" t="inlineStr">
        <is>
          <t>https://ws054.juntadeandalucia.es/portalsae/quiero-trabajar/trabajar-en-andalucia-extranjero-ue</t>
        </is>
      </c>
      <c r="F142" s="49" t="n">
        <v>46319</v>
      </c>
      <c r="G142" s="29" t="inlineStr">
        <is>
          <t>sevilla:is</t>
        </is>
      </c>
      <c r="H142" s="29" t="inlineStr">
        <is>
          <t>Kart 5: AB dışı yabancı için sıra: önce çalışma izni/vize, sonra SAE demanda; elektronik araç yoksa oficina randevusu. Güncelleme tarihi 24/03/2025.</t>
        </is>
      </c>
      <c r="I142" s="29" t="inlineStr">
        <is>
          <t>Evet</t>
        </is>
      </c>
      <c r="J142" s="29" t="inlineStr">
        <is>
          <t>Lisans kanıtları/1897d3a87d9e05310bd4befb851747d62990a4580d5df2be5a00f39fb74002e6.html</t>
        </is>
      </c>
      <c r="K142" s="29" t="inlineStr">
        <is>
          <t>1897d3a87d9e05310bd4befb851747d62990a4580d5df2be5a00f39fb74002e6</t>
        </is>
      </c>
    </row>
    <row r="143" ht="54" customHeight="1">
      <c r="A143" s="29" t="inlineStr">
        <is>
          <t>sevilla:kaynak:136</t>
        </is>
      </c>
      <c r="B143" s="29" t="inlineStr">
        <is>
          <t>sevilla</t>
        </is>
      </c>
      <c r="C143" s="29" t="inlineStr">
        <is>
          <t>FAQ: Infantil a Bachillerato - Escolarización 2026/2027 - Educación</t>
        </is>
      </c>
      <c r="D143" s="29" t="inlineStr">
        <is>
          <t>Junta de Andalucía - Consejería de Desarrollo Educativo y Formación Profesional</t>
        </is>
      </c>
      <c r="E143" s="29" t="inlineStr">
        <is>
          <t>https://www.juntadeandalucia.es/educacion/portales/web/escolarizacion/infantil-a-bachillerato/preguntas-frecuentes</t>
        </is>
      </c>
      <c r="F143" s="49" t="n">
        <v>46319</v>
      </c>
      <c r="G143" s="29" t="inlineStr">
        <is>
          <t>sevilla:aile</t>
        </is>
      </c>
      <c r="H143" s="29" t="inlineStr">
        <is>
          <t>Kart 6: başvuru dönemi (genel kural Mart) ve Secretaría Virtual. Not: 2026/27 için süre uzatıldı (keşif gaps.md).</t>
        </is>
      </c>
      <c r="I143" s="29" t="inlineStr">
        <is>
          <t>Evet</t>
        </is>
      </c>
      <c r="J143" s="29" t="inlineStr">
        <is>
          <t>Lisans kanıtları/a9b5e745cd84b940c39ee7d0f25ee1e1d26973a3d27df2f15ebd1b9c593642a5.html</t>
        </is>
      </c>
      <c r="K143" s="29" t="inlineStr">
        <is>
          <t>a9b5e745cd84b940c39ee7d0f25ee1e1d26973a3d27df2f15ebd1b9c593642a5</t>
        </is>
      </c>
    </row>
    <row r="144" ht="54" customHeight="1">
      <c r="A144" s="29" t="inlineStr">
        <is>
          <t>sevilla:kaynak:137</t>
        </is>
      </c>
      <c r="B144" s="29" t="inlineStr">
        <is>
          <t>sevilla</t>
        </is>
      </c>
      <c r="C144" s="29" t="inlineStr">
        <is>
          <t>Decreto 21/2020, de 17 de febrero, por el que se regulan los criterios y el procedimiento de admisión del alumnado en los centros docentes públicos y privados concertados para curs</t>
        </is>
      </c>
      <c r="D144" s="29" t="inlineStr">
        <is>
          <t>Boletín Oficial de la Junta de Andalucía (BOJA)</t>
        </is>
      </c>
      <c r="E144" s="29" t="inlineStr">
        <is>
          <t>https://www.juntadeandalucia.es/boja/2020/34/1</t>
        </is>
      </c>
      <c r="F144" s="49" t="n">
        <v>46319</v>
      </c>
      <c r="G144" s="29" t="inlineStr">
        <is>
          <t>sevilla:aile</t>
        </is>
      </c>
      <c r="H144" s="29" t="inlineStr">
        <is>
          <t>Kart 6: yıl ortasında gelen (incorporación tardía) öğrencinin kaydı, md. 51 olağanüstü usul. PDF yerine BOJA HTML sürümü.</t>
        </is>
      </c>
      <c r="I144" s="29" t="inlineStr">
        <is>
          <t>Evet</t>
        </is>
      </c>
      <c r="J144" s="29" t="inlineStr">
        <is>
          <t>Lisans kanıtları/1d143b4673410ee320880be54dda1f13e43fcfaccb6646c276c510c0697450f0.html</t>
        </is>
      </c>
      <c r="K144" s="29" t="inlineStr">
        <is>
          <t>1d143b4673410ee320880be54dda1f13e43fcfaccb6646c276c510c0697450f0</t>
        </is>
      </c>
    </row>
    <row r="145" ht="54" customHeight="1">
      <c r="A145" s="29" t="inlineStr">
        <is>
          <t>sevilla:kaynak:138</t>
        </is>
      </c>
      <c r="B145" s="29" t="inlineStr">
        <is>
          <t>sevilla</t>
        </is>
      </c>
      <c r="C145" s="29" t="inlineStr">
        <is>
          <t>Interoperatividad – Consorcio de Transporte Metropolitano. Área de Granada</t>
        </is>
      </c>
      <c r="D145" s="29" t="inlineStr">
        <is>
          <t>Consorcio de Transporte Metropolitano del Área de Granada (Junta de Andalucía)</t>
        </is>
      </c>
      <c r="E145" s="29" t="inlineStr">
        <is>
          <t>https://ctagr.es/sistema-tarifario/interoperatividad</t>
        </is>
      </c>
      <c r="F145" s="49" t="n">
        <v>46319</v>
      </c>
      <c r="G145" s="29" t="inlineStr">
        <is>
          <t>sevilla:ulasim</t>
        </is>
      </c>
      <c r="H145" s="29" t="inlineStr">
        <is>
          <t>Kart 8: tek Consorcio kartının diğer metropol alanlarında (Málaga, Cádiz, Sevilla, Almería, Jaén, Córdoba, Huelva, Campo de Gibraltar) geçerliliği; tarife kuralı (varış sorulur; Granada'da sabit 2 salto), her satış noktasında yükleme (min. 5 euro). Sayfa tarihi yok; Granada konsorsiyumu sitesi.</t>
        </is>
      </c>
      <c r="I145" s="29" t="inlineStr">
        <is>
          <t>Evet</t>
        </is>
      </c>
      <c r="J145" s="29" t="inlineStr">
        <is>
          <t>Lisans kanıtları/5eff10ef48caa6e132fd8dc2afd8e4d01ac4cafe54ab6e3e408086c528e10057.html</t>
        </is>
      </c>
      <c r="K145" s="29" t="inlineStr">
        <is>
          <t>5eff10ef48caa6e132fd8dc2afd8e4d01ac4cafe54ab6e3e408086c528e10057</t>
        </is>
      </c>
    </row>
    <row r="146" ht="54" customHeight="1">
      <c r="A146" s="29" t="inlineStr">
        <is>
          <t>sevilla:kaynak:139</t>
        </is>
      </c>
      <c r="B146" s="29" t="inlineStr">
        <is>
          <t>sevilla</t>
        </is>
      </c>
      <c r="C146" s="29" t="inlineStr">
        <is>
          <t>Tarjeta de transporte - Consorcio de Transporte Metropolitano del Área de Málaga</t>
        </is>
      </c>
      <c r="D146" s="29" t="inlineStr">
        <is>
          <t>Consorcio de Transporte Metropolitano del Área de Málaga (Junta de Andalucía)</t>
        </is>
      </c>
      <c r="E146" s="29" t="inlineStr">
        <is>
          <t>https://ctmam.es/titulos-de-transporte/tarjeta-de-transporte/</t>
        </is>
      </c>
      <c r="F146" s="49" t="n">
        <v>46319</v>
      </c>
      <c r="G146" s="29" t="inlineStr">
        <is>
          <t>sevilla:ulasim</t>
        </is>
      </c>
      <c r="H146" s="29" t="inlineStr">
        <is>
          <t>Kart 8: kart nereden alınır (puntos de venta, 1,50 euro düzenleme ücreti), min. 5 euro yükleme, 500 euro tavan, diğer konsorsiyumlarda interoperabilite. Sayfa 21/04/2026 güncelleme. Fiyat/ücretler Málaga'ya özgü, konsorsiyuma göre değişir.</t>
        </is>
      </c>
      <c r="I146" s="29" t="inlineStr">
        <is>
          <t>Evet</t>
        </is>
      </c>
      <c r="J146" s="29" t="inlineStr">
        <is>
          <t>Lisans kanıtları/bcbd7b8acf02a8bfe5ce3a84e2d111dd5362b93b16bfd39d2fa684b1b4934db3.html</t>
        </is>
      </c>
      <c r="K146" s="29" t="inlineStr">
        <is>
          <t>bcbd7b8acf02a8bfe5ce3a84e2d111dd5362b93b16bfd39d2fa684b1b4934db3</t>
        </is>
      </c>
    </row>
    <row r="147" ht="54" customHeight="1">
      <c r="A147" s="29" t="inlineStr">
        <is>
          <t>sevilla:kaynak:140</t>
        </is>
      </c>
      <c r="B147" s="29" t="inlineStr">
        <is>
          <t>sevilla</t>
        </is>
      </c>
      <c r="C147" s="29" t="inlineStr">
        <is>
          <t>Decreto 84/2026, de 29 de abril, por el que se determina el calendario de fiestas laborales de la Comunidad Autónoma de Andalucía para el año 2027.</t>
        </is>
      </c>
      <c r="D147" s="29" t="inlineStr">
        <is>
          <t>Boletín Oficial de la Junta de Andalucía (BOJA)</t>
        </is>
      </c>
      <c r="E147" s="29" t="inlineStr">
        <is>
          <t>https://www.juntadeandalucia.es/boja/2026/84/1</t>
        </is>
      </c>
      <c r="F147" s="49" t="n">
        <v>46319</v>
      </c>
      <c r="G147" s="29" t="inlineStr">
        <is>
          <t>sevilla:gunluk</t>
        </is>
      </c>
      <c r="H147" s="29" t="inlineStr">
        <is>
          <t>Kart 9: Endülüs 2027 bölge tatilleri; Día de Andalucía 1 Mart'a, 15 Ağustos 16 Ağustos'a kayar; 2 yerel tatil. PDF yerine BOJA HTML.</t>
        </is>
      </c>
      <c r="I147" s="29" t="inlineStr">
        <is>
          <t>Evet</t>
        </is>
      </c>
      <c r="J147" s="29" t="inlineStr">
        <is>
          <t>Lisans kanıtları/9fcdea09e6b69f596bf99b9ec708e56d32c94fcf0d327995ed372775dc213e59.html</t>
        </is>
      </c>
      <c r="K147" s="29" t="inlineStr">
        <is>
          <t>9fcdea09e6b69f596bf99b9ec708e56d32c94fcf0d327995ed372775dc213e59</t>
        </is>
      </c>
    </row>
    <row r="148" ht="54" customHeight="1">
      <c r="A148" s="29" t="inlineStr">
        <is>
          <t>sevilla:kaynak:141</t>
        </is>
      </c>
      <c r="B148" s="29" t="inlineStr">
        <is>
          <t>sevilla</t>
        </is>
      </c>
      <c r="C148" s="29" t="inlineStr">
        <is>
          <t>Carpeta ciudadana - Junta de Andalucía</t>
        </is>
      </c>
      <c r="D148" s="29" t="inlineStr">
        <is>
          <t>Junta de Andalucía</t>
        </is>
      </c>
      <c r="E148" s="29" t="inlineStr">
        <is>
          <t>https://www.juntadeandalucia.es/servicios/carpeta-ciudadana.html</t>
        </is>
      </c>
      <c r="F148" s="49" t="n">
        <v>46319</v>
      </c>
      <c r="G148" s="29" t="inlineStr">
        <is>
          <t>sevilla:resmi</t>
        </is>
      </c>
      <c r="H148" s="29" t="inlineStr">
        <is>
          <t>Kart 10: Carpeta Ciudadana (uygulama/web): belgeler, randevular, bildirimler, kartlar (familia numerosa, carné joven, tarjeta sanitaria), expedientes; Cl@ve veya dijital sertifika ile giriş. Sayfa tarihi yok.</t>
        </is>
      </c>
      <c r="I148" s="29" t="inlineStr">
        <is>
          <t>Evet</t>
        </is>
      </c>
      <c r="J148" s="29" t="inlineStr">
        <is>
          <t>Lisans kanıtları/abf287c64186e76a18335c74ab315db685f0a099991f01e710f555203b42f763.html</t>
        </is>
      </c>
      <c r="K148" s="29" t="inlineStr">
        <is>
          <t>abf287c64186e76a18335c74ab315db685f0a099991f01e710f555203b42f763</t>
        </is>
      </c>
    </row>
    <row r="149" ht="54" customHeight="1">
      <c r="A149" s="29" t="inlineStr">
        <is>
          <t>sevilla:kaynak:142</t>
        </is>
      </c>
      <c r="B149" s="29" t="inlineStr">
        <is>
          <t>sevilla</t>
        </is>
      </c>
      <c r="C149" s="29" t="inlineStr">
        <is>
          <t>BOE-A-2022-21739 Ley 28/2022, de 21 de diciembre, de fomento del ecosistema de las empresas emergentes.</t>
        </is>
      </c>
      <c r="D149" s="29" t="inlineStr">
        <is>
          <t>Agencia Estatal Boletín Oficial del Estado (BOE)</t>
        </is>
      </c>
      <c r="E149" s="29" t="inlineStr">
        <is>
          <t>https://www.boe.es/buscar/act.php?id=BOE-A-2022-21739</t>
        </is>
      </c>
      <c r="F149" s="49" t="n">
        <v>46319</v>
      </c>
      <c r="G149" s="29" t="inlineStr">
        <is>
          <t>sevilla:oturum</t>
        </is>
      </c>
      <c r="H149" s="29" t="inlineStr">
        <is>
          <t>Kart 10: dijital göçebe vizesinin yasal dayanağı, azami 1 yıl vize, art. 74 bis-ter şartları</t>
        </is>
      </c>
      <c r="I149" s="29" t="inlineStr">
        <is>
          <t>Evet</t>
        </is>
      </c>
      <c r="J149" s="29" t="inlineStr">
        <is>
          <t>Lisans kanıtları/2a74c28f28fffb00ff54a2c3e501fe9f4c7eb7871bf8ced7ced2ba69a38d8b07.html</t>
        </is>
      </c>
      <c r="K149" s="29" t="inlineStr">
        <is>
          <t>2a74c28f28fffb00ff54a2c3e501fe9f4c7eb7871bf8ced7ced2ba69a38d8b07</t>
        </is>
      </c>
    </row>
    <row r="150" ht="54" customHeight="1">
      <c r="A150" s="29" t="inlineStr">
        <is>
          <t>sevilla:kaynak:143</t>
        </is>
      </c>
      <c r="B150" s="29" t="inlineStr">
        <is>
          <t>sevilla</t>
        </is>
      </c>
      <c r="C150" s="29" t="inlineStr">
        <is>
          <t>Sede Electrónica DGT - Canje de permisos extranjeros</t>
        </is>
      </c>
      <c r="D150" s="29" t="inlineStr">
        <is>
          <t>Dirección General de Tráfico (DGT) - Sede electrónica</t>
        </is>
      </c>
      <c r="E150" s="29" t="inlineStr">
        <is>
          <t>https://sede.dgt.gob.es/es/permisos-de-conducir/canjes-de-permisos/canjes-de-permisos-extranjeros/</t>
        </is>
      </c>
      <c r="F150" s="49" t="n">
        <v>46319</v>
      </c>
      <c r="G150" s="29" t="inlineStr">
        <is>
          <t>sevilla:resmi</t>
        </is>
      </c>
      <c r="H150" s="29" t="inlineStr">
        <is>
          <t>Kart 12: ehliyet değişimi yalnız anlaşmalı ülkeler, 6 ay kuralı</t>
        </is>
      </c>
      <c r="I150" s="29" t="inlineStr">
        <is>
          <t>Evet</t>
        </is>
      </c>
      <c r="J150" s="29" t="inlineStr">
        <is>
          <t>Lisans kanıtları/243acd8f019403a105d0d72472f75ee9d0880f76d1491327aef155e03df925d6.html</t>
        </is>
      </c>
      <c r="K150" s="29" t="inlineStr">
        <is>
          <t>243acd8f019403a105d0d72472f75ee9d0880f76d1491327aef155e03df925d6</t>
        </is>
      </c>
    </row>
    <row r="151" ht="54" customHeight="1">
      <c r="A151" s="29" t="inlineStr">
        <is>
          <t>sevilla:kaynak:144</t>
        </is>
      </c>
      <c r="B151" s="29" t="inlineStr">
        <is>
          <t>sevilla</t>
        </is>
      </c>
      <c r="C151" s="29" t="inlineStr">
        <is>
          <t>Requisitos de inscripción en el Registro de Demandantes | EMVISESA</t>
        </is>
      </c>
      <c r="D151" s="29" t="inlineStr">
        <is>
          <t>EMVISESA (Sevilla Belediyesi konut şirketi)</t>
        </is>
      </c>
      <c r="E151" s="29" t="inlineStr">
        <is>
          <t>https://www.emvisesa.org/viviendas/registro-publico-municipal-de-demandantes-de-vivienda-protegida-de-sevilla/requisitos-de-inscripcion-en-el-registro-de-demandantes/</t>
        </is>
      </c>
      <c r="F151" s="49" t="n">
        <v>46319</v>
      </c>
      <c r="G151" s="29" t="inlineStr">
        <is>
          <t>sevilla:ev</t>
        </is>
      </c>
      <c r="H151" s="29" t="inlineStr">
        <is>
          <t>Sosyal konut başvurusu: kayıt şartları</t>
        </is>
      </c>
      <c r="I151" s="29" t="inlineStr">
        <is>
          <t>Evet</t>
        </is>
      </c>
      <c r="J151" s="29" t="inlineStr">
        <is>
          <t>Lisans kanıtları/89e92a8d6e29ac961f4561a9ac6a79cf766e9de7d59c0147e9cdd98fe5fb0410.html</t>
        </is>
      </c>
      <c r="K151" s="29" t="inlineStr">
        <is>
          <t>89e92a8d6e29ac961f4561a9ac6a79cf766e9de7d59c0147e9cdd98fe5fb0410</t>
        </is>
      </c>
    </row>
    <row r="152" ht="54" customHeight="1">
      <c r="A152" s="29" t="inlineStr">
        <is>
          <t>sevilla:kaynak:145</t>
        </is>
      </c>
      <c r="B152" s="29" t="inlineStr">
        <is>
          <t>sevilla</t>
        </is>
      </c>
      <c r="C152" s="29" t="inlineStr">
        <is>
          <t>Registro Público Municipal de Demandantes de Vivienda Protegida de Sevilla. | EMVISESA</t>
        </is>
      </c>
      <c r="D152" s="29" t="inlineStr">
        <is>
          <t>EMVISESA (Sevilla Belediyesi konut şirketi)</t>
        </is>
      </c>
      <c r="E152" s="29" t="inlineStr">
        <is>
          <t>https://www.emvisesa.org/viviendas/registro-publico-municipal-de-demandantes-de-vivienda-protegida-de-sevilla/</t>
        </is>
      </c>
      <c r="F152" s="49" t="n">
        <v>46319</v>
      </c>
      <c r="G152" s="29" t="inlineStr">
        <is>
          <t>sevilla:ev</t>
        </is>
      </c>
      <c r="H152" s="29" t="inlineStr">
        <is>
          <t>Sosyal konut başvurusu: kayıt defteri nedir</t>
        </is>
      </c>
      <c r="I152" s="29" t="inlineStr">
        <is>
          <t>Evet</t>
        </is>
      </c>
      <c r="J152" s="29" t="inlineStr">
        <is>
          <t>Lisans kanıtları/b42eac2072e255d3e2d67f87755f7f9193f48a18d431cdc78b44798d0a60ea36.html</t>
        </is>
      </c>
      <c r="K152" s="29" t="inlineStr">
        <is>
          <t>b42eac2072e255d3e2d67f87755f7f9193f48a18d431cdc78b44798d0a60ea36</t>
        </is>
      </c>
    </row>
    <row r="153" ht="54" customHeight="1">
      <c r="A153" s="29" t="inlineStr">
        <is>
          <t>sevilla:kaynak:146</t>
        </is>
      </c>
      <c r="B153" s="29" t="inlineStr">
        <is>
          <t>sevilla</t>
        </is>
      </c>
      <c r="C153" s="29" t="inlineStr">
        <is>
          <t>Respuestas a Preguntas Frecuentes del Registro de Demandantes | EMVISESA</t>
        </is>
      </c>
      <c r="D153" s="29" t="inlineStr">
        <is>
          <t>EMVISESA (Sevilla Belediyesi konut şirketi)</t>
        </is>
      </c>
      <c r="E153" s="29" t="inlineStr">
        <is>
          <t>https://www.emvisesa.org/viviendas/registro-publico-municipal-de-demandantes-de-vivienda-protegida-de-sevilla/faq-registro-de-demandantes/</t>
        </is>
      </c>
      <c r="F153" s="49" t="n">
        <v>46319</v>
      </c>
      <c r="G153" s="29" t="inlineStr">
        <is>
          <t>sevilla:ev</t>
        </is>
      </c>
      <c r="H153" s="29" t="inlineStr">
        <is>
          <t>Sosyal konut: kayıt nasıl yapılır, geçerlilik süresi</t>
        </is>
      </c>
      <c r="I153" s="29" t="inlineStr">
        <is>
          <t>Evet</t>
        </is>
      </c>
      <c r="J153" s="29" t="inlineStr">
        <is>
          <t>Lisans kanıtları/c5b3f82fb9a8b4ef474c17c5aa10c596e918bf72b5206261ab8be6f89651e2d7.html</t>
        </is>
      </c>
      <c r="K153" s="29" t="inlineStr">
        <is>
          <t>c5b3f82fb9a8b4ef474c17c5aa10c596e918bf72b5206261ab8be6f89651e2d7</t>
        </is>
      </c>
    </row>
    <row r="154" ht="54" customHeight="1">
      <c r="A154" s="29" t="inlineStr">
        <is>
          <t>sevilla:kaynak:147</t>
        </is>
      </c>
      <c r="B154" s="29" t="inlineStr">
        <is>
          <t>sevilla</t>
        </is>
      </c>
      <c r="C154" s="29" t="inlineStr">
        <is>
          <t>Solicitud de inscripción en el Registro Público Municipal de Demandantes de Vivienda Protegida de Sevilla. | EMVISESA</t>
        </is>
      </c>
      <c r="D154" s="29" t="inlineStr">
        <is>
          <t>EMVISESA (Sevilla Belediyesi konut şirketi)</t>
        </is>
      </c>
      <c r="E154" s="29" t="inlineStr">
        <is>
          <t>https://www.emvisesa.org/viviendas/registro-publico-municipal-de-demandantes-de-vivienda-protegida-de-sevilla/solicitud-de-inscripcion-en-el-registro-de-demandantes/</t>
        </is>
      </c>
      <c r="F154" s="49" t="n">
        <v>46319</v>
      </c>
      <c r="G154" s="29" t="inlineStr">
        <is>
          <t>sevilla:ev</t>
        </is>
      </c>
      <c r="H154" s="29" t="inlineStr">
        <is>
          <t>Sosyal konut: randevu 010 ve elektronik başvuru yolu</t>
        </is>
      </c>
      <c r="I154" s="29" t="inlineStr">
        <is>
          <t>Evet</t>
        </is>
      </c>
      <c r="J154" s="29" t="inlineStr">
        <is>
          <t>Lisans kanıtları/2acef6a91ea0b0ff62af64c3fe50d6b8a2b00c6d57b9454a5b164a4a314232f5.html</t>
        </is>
      </c>
      <c r="K154" s="29" t="inlineStr">
        <is>
          <t>2acef6a91ea0b0ff62af64c3fe50d6b8a2b00c6d57b9454a5b164a4a314232f5</t>
        </is>
      </c>
    </row>
    <row r="155" ht="54" customHeight="1">
      <c r="A155" s="29" t="inlineStr">
        <is>
          <t>sevilla:kaynak:148</t>
        </is>
      </c>
      <c r="B155" s="29" t="inlineStr">
        <is>
          <t>sevilla</t>
        </is>
      </c>
      <c r="C155" s="29" t="inlineStr">
        <is>
          <t>Solicitar una vivienda de EMVISESA. | EMVISESA</t>
        </is>
      </c>
      <c r="D155" s="29" t="inlineStr">
        <is>
          <t>EMVISESA (Sevilla Belediyesi konut şirketi)</t>
        </is>
      </c>
      <c r="E155" s="29" t="inlineStr">
        <is>
          <t>https://www.emvisesa.org/viviendas/solicitar-una-vivienda/</t>
        </is>
      </c>
      <c r="F155" s="49" t="n">
        <v>46319</v>
      </c>
      <c r="G155" s="29" t="inlineStr">
        <is>
          <t>sevilla:ev</t>
        </is>
      </c>
      <c r="H155" s="29" t="inlineStr">
        <is>
          <t>Sosyal konut: randevu telefonu ve çevrimiçi ofis</t>
        </is>
      </c>
      <c r="I155" s="29" t="inlineStr">
        <is>
          <t>Evet</t>
        </is>
      </c>
      <c r="J155" s="29" t="inlineStr">
        <is>
          <t>Lisans kanıtları/4c2e89310d14c76d602fdaf2ecc13cf7c884f1aa4451cb4d68ed6ea8830e7c1e.html</t>
        </is>
      </c>
      <c r="K155" s="29" t="inlineStr">
        <is>
          <t>4c2e89310d14c76d602fdaf2ecc13cf7c884f1aa4451cb4d68ed6ea8830e7c1e</t>
        </is>
      </c>
    </row>
    <row r="156" ht="54" customHeight="1">
      <c r="A156" s="29" t="inlineStr">
        <is>
          <t>sevilla:kaynak:149</t>
        </is>
      </c>
      <c r="B156" s="29" t="inlineStr">
        <is>
          <t>sevilla</t>
        </is>
      </c>
      <c r="C156" s="29" t="inlineStr">
        <is>
          <t>ayudas al alquiler | EMVISESA</t>
        </is>
      </c>
      <c r="D156" s="29" t="inlineStr">
        <is>
          <t>EMVISESA (Sevilla Belediyesi konut şirketi)</t>
        </is>
      </c>
      <c r="E156" s="29" t="inlineStr">
        <is>
          <t>https://www.emvisesa.org/tag/ayudas-al-alquiler/</t>
        </is>
      </c>
      <c r="F156" s="49" t="n">
        <v>46319</v>
      </c>
      <c r="G156" s="29" t="inlineStr">
        <is>
          <t>sevilla:ev</t>
        </is>
      </c>
      <c r="H156" s="29" t="inlineStr">
        <is>
          <t>Düşük gelirliye kira yardımı: OMDV ofis adresi (EMVISESA kiracıları, PPR)</t>
        </is>
      </c>
      <c r="I156" s="29" t="inlineStr">
        <is>
          <t>Evet</t>
        </is>
      </c>
      <c r="J156" s="29" t="inlineStr">
        <is>
          <t>Lisans kanıtları/9780bec3cbe500d9a585e2c3f953dedcee3fc45f4be102dba3f9a0efa2f44d8f.html</t>
        </is>
      </c>
      <c r="K156" s="29" t="inlineStr">
        <is>
          <t>9780bec3cbe500d9a585e2c3f953dedcee3fc45f4be102dba3f9a0efa2f44d8f</t>
        </is>
      </c>
    </row>
    <row r="157" ht="54" customHeight="1">
      <c r="A157" s="29" t="inlineStr">
        <is>
          <t>sevilla:kaynak:150</t>
        </is>
      </c>
      <c r="B157" s="29" t="inlineStr">
        <is>
          <t>sevilla</t>
        </is>
      </c>
      <c r="C157" s="29" t="inlineStr">
        <is>
          <t>Aprobación definitiva de la actualización del IPRA | EMVISESA</t>
        </is>
      </c>
      <c r="D157" s="29" t="inlineStr">
        <is>
          <t>EMVISESA (Sevilla Belediyesi konut şirketi)</t>
        </is>
      </c>
      <c r="E157" s="29" t="inlineStr">
        <is>
          <t>https://www.emvisesa.org/aprobacion-definitiva-de-la-actualizacion-del-ipra/</t>
        </is>
      </c>
      <c r="F157" s="49" t="n">
        <v>46319</v>
      </c>
      <c r="G157" s="29" t="inlineStr">
        <is>
          <t>sevilla:ev</t>
        </is>
      </c>
      <c r="H157" s="29" t="inlineStr">
        <is>
          <t>Kira fiyatları mahalleye göre: resmî IPRA endeksi</t>
        </is>
      </c>
      <c r="I157" s="29" t="inlineStr">
        <is>
          <t>Evet</t>
        </is>
      </c>
      <c r="J157" s="29" t="inlineStr">
        <is>
          <t>Lisans kanıtları/dc8e79b889af1bc1d6f5699b88c31866ad98b803265185a35acc93ad3dd2812c.html</t>
        </is>
      </c>
      <c r="K157" s="29" t="inlineStr">
        <is>
          <t>dc8e79b889af1bc1d6f5699b88c31866ad98b803265185a35acc93ad3dd2812c</t>
        </is>
      </c>
    </row>
    <row r="158" ht="54" customHeight="1">
      <c r="A158" s="29" t="inlineStr">
        <is>
          <t>sevilla:kaynak:152</t>
        </is>
      </c>
      <c r="B158" s="29" t="inlineStr">
        <is>
          <t>sevilla</t>
        </is>
      </c>
      <c r="C158" s="29" t="inlineStr">
        <is>
          <t>Recupera la fianza - Junta de Andalucía</t>
        </is>
      </c>
      <c r="D158" s="29" t="inlineStr">
        <is>
          <t>Junta de Andalucía (AVRA)</t>
        </is>
      </c>
      <c r="E158" s="29" t="inlineStr">
        <is>
          <t>https://www.juntadeandalucia.es/organismos/avra/areas/fianzas/recupera.html</t>
        </is>
      </c>
      <c r="F158" s="49" t="n">
        <v>46319</v>
      </c>
      <c r="G158" s="29" t="inlineStr">
        <is>
          <t>sevilla:ev</t>
        </is>
      </c>
      <c r="H158" s="29" t="inlineStr">
        <is>
          <t>Kiracı sorunu: depozito iadesi süresi</t>
        </is>
      </c>
      <c r="I158" s="29" t="inlineStr">
        <is>
          <t>Evet</t>
        </is>
      </c>
      <c r="J158" s="29" t="inlineStr">
        <is>
          <t>Lisans kanıtları/caf9fa89f3b7b48a9710fee3e901d8e2c8102d01a2037b076a672059d6b7e6b2.html</t>
        </is>
      </c>
      <c r="K158" s="29" t="inlineStr">
        <is>
          <t>caf9fa89f3b7b48a9710fee3e901d8e2c8102d01a2037b076a672059d6b7e6b2</t>
        </is>
      </c>
    </row>
    <row r="159" ht="54" customHeight="1">
      <c r="A159" s="29" t="inlineStr">
        <is>
          <t>sevilla:kaynak:153</t>
        </is>
      </c>
      <c r="B159" s="29" t="inlineStr">
        <is>
          <t>sevilla</t>
        </is>
      </c>
      <c r="C159" s="29" t="inlineStr">
        <is>
          <t>Derechos y obligaciones de las partes de un contrato de alquiler - Junta de Andalucía</t>
        </is>
      </c>
      <c r="D159" s="29" t="inlineStr">
        <is>
          <t>Junta de Andalucía</t>
        </is>
      </c>
      <c r="E159" s="29" t="inlineStr">
        <is>
          <t>https://www.juntadeandalucia.es/temas/vivienda-consumo/alquiler/informacion/paginas/derechos-obligaciones.html</t>
        </is>
      </c>
      <c r="F159" s="49" t="n">
        <v>46319</v>
      </c>
      <c r="G159" s="29" t="inlineStr">
        <is>
          <t>sevilla:ev</t>
        </is>
      </c>
      <c r="H159" s="29" t="inlineStr">
        <is>
          <t>Kiracı olarak haklar ve yükümlülükler</t>
        </is>
      </c>
      <c r="I159" s="29" t="inlineStr">
        <is>
          <t>Evet</t>
        </is>
      </c>
      <c r="J159" s="29" t="inlineStr">
        <is>
          <t>Lisans kanıtları/57047eb5d3f76985f1aed6568bdd68dfb8a2904f64da4a1d7c27516a51087db2.html</t>
        </is>
      </c>
      <c r="K159" s="29" t="inlineStr">
        <is>
          <t>57047eb5d3f76985f1aed6568bdd68dfb8a2904f64da4a1d7c27516a51087db2</t>
        </is>
      </c>
    </row>
    <row r="160" ht="54" customHeight="1">
      <c r="A160" s="29" t="inlineStr">
        <is>
          <t>sevilla:kaynak:154</t>
        </is>
      </c>
      <c r="B160" s="29" t="inlineStr">
        <is>
          <t>sevilla</t>
        </is>
      </c>
      <c r="C160" s="29" t="inlineStr">
        <is>
          <t>Bono Alquiler Joven en Andalucía 2026 - Junta de Andalucía</t>
        </is>
      </c>
      <c r="D160" s="29" t="inlineStr">
        <is>
          <t>Junta de Andalucía</t>
        </is>
      </c>
      <c r="E160" s="29" t="inlineStr">
        <is>
          <t>https://www.juntadeandalucia.es/organismos/fomentoarticulaciondelterritorioyvivienda/areas/vivienda-rehabilitacion/fomento-alquiler/bono-alquiler-joven/paginas/convocatoria-2025.html</t>
        </is>
      </c>
      <c r="F160" s="49" t="n">
        <v>46319</v>
      </c>
      <c r="G160" s="29" t="inlineStr">
        <is>
          <t>sevilla:ev</t>
        </is>
      </c>
      <c r="H160" s="29" t="inlineStr">
        <is>
          <t>Gençlere kira yardımı: tutar ve başvuru yolu</t>
        </is>
      </c>
      <c r="I160" s="29" t="inlineStr">
        <is>
          <t>Evet</t>
        </is>
      </c>
      <c r="J160" s="29" t="inlineStr">
        <is>
          <t>Lisans kanıtları/6b9d8f09314d54a8ce15d3ee899cbc60ca2028d3e5bdea6be7ff352ca5345dd7.html</t>
        </is>
      </c>
      <c r="K160" s="29" t="inlineStr">
        <is>
          <t>6b9d8f09314d54a8ce15d3ee899cbc60ca2028d3e5bdea6be7ff352ca5345dd7</t>
        </is>
      </c>
    </row>
    <row r="161" ht="54" customHeight="1">
      <c r="A161" s="29" t="inlineStr">
        <is>
          <t>sevilla:kaynak:155</t>
        </is>
      </c>
      <c r="B161" s="29" t="inlineStr">
        <is>
          <t>sevilla</t>
        </is>
      </c>
      <c r="C161" s="29" t="inlineStr">
        <is>
          <t>Reclamaciones - Junta de Andalucía</t>
        </is>
      </c>
      <c r="D161" s="29" t="inlineStr">
        <is>
          <t>Junta de Andalucía</t>
        </is>
      </c>
      <c r="E161" s="29" t="inlineStr">
        <is>
          <t>https://www.juntadeandalucia.es/temas/vivienda-consumo/consumo/reclamaciones.html</t>
        </is>
      </c>
      <c r="F161" s="49" t="n">
        <v>46319</v>
      </c>
      <c r="G161" s="29" t="inlineStr">
        <is>
          <t>sevilla:ev</t>
        </is>
      </c>
      <c r="H161" s="29" t="inlineStr">
        <is>
          <t>Kiracı/tüketici şikayeti: reklamasyon formu yolu</t>
        </is>
      </c>
      <c r="I161" s="29" t="inlineStr">
        <is>
          <t>Evet</t>
        </is>
      </c>
      <c r="J161" s="29" t="inlineStr">
        <is>
          <t>Lisans kanıtları/ddf0757e39a40159b827718269e6fec8fe840b9e2c676012cec075587f234354.html</t>
        </is>
      </c>
      <c r="K161" s="29" t="inlineStr">
        <is>
          <t>ddf0757e39a40159b827718269e6fec8fe840b9e2c676012cec075587f234354</t>
        </is>
      </c>
    </row>
    <row r="162" ht="54" customHeight="1">
      <c r="A162" s="29" t="inlineStr">
        <is>
          <t>sevilla:kaynak:156</t>
        </is>
      </c>
      <c r="B162" s="29" t="inlineStr">
        <is>
          <t>sevilla</t>
        </is>
      </c>
      <c r="C162" s="29" t="inlineStr">
        <is>
          <t>Contratar agua - Emasesa</t>
        </is>
      </c>
      <c r="D162" s="29" t="inlineStr">
        <is>
          <t>EMASESA (Sevilla su şirketi)</t>
        </is>
      </c>
      <c r="E162" s="29" t="inlineStr">
        <is>
          <t>https://www.emasesa.com/usuarios/contratar/contratar-agua/</t>
        </is>
      </c>
      <c r="F162" s="49" t="n">
        <v>46319</v>
      </c>
      <c r="G162" s="29" t="inlineStr">
        <is>
          <t>sevilla:fatura</t>
        </is>
      </c>
      <c r="H162" s="29" t="inlineStr">
        <is>
          <t>Su aboneliği: gerekli belgeler</t>
        </is>
      </c>
      <c r="I162" s="29" t="inlineStr">
        <is>
          <t>Evet</t>
        </is>
      </c>
      <c r="J162" s="29" t="inlineStr">
        <is>
          <t>Lisans kanıtları/13bf2b04117aba9e1c8085ac4f92caf7ad5238d3d17817897bfd88f7b6616ca4.html</t>
        </is>
      </c>
      <c r="K162" s="29" t="inlineStr">
        <is>
          <t>13bf2b04117aba9e1c8085ac4f92caf7ad5238d3d17817897bfd88f7b6616ca4</t>
        </is>
      </c>
    </row>
    <row r="163" ht="54" customHeight="1">
      <c r="A163" s="29" t="inlineStr">
        <is>
          <t>sevilla:kaynak:157</t>
        </is>
      </c>
      <c r="B163" s="29" t="inlineStr">
        <is>
          <t>sevilla</t>
        </is>
      </c>
      <c r="C163" s="29" t="inlineStr">
        <is>
          <t>Cambiar titularidad de un contrato - Emasesa</t>
        </is>
      </c>
      <c r="D163" s="29" t="inlineStr">
        <is>
          <t>EMASESA (Sevilla su şirketi)</t>
        </is>
      </c>
      <c r="E163" s="29" t="inlineStr">
        <is>
          <t>https://www.emasesa.com/usuarios/contratar/cambiar-titularidad-de-un-contrato/</t>
        </is>
      </c>
      <c r="F163" s="49" t="n">
        <v>46319</v>
      </c>
      <c r="G163" s="29" t="inlineStr">
        <is>
          <t>sevilla:fatura</t>
        </is>
      </c>
      <c r="H163" s="29" t="inlineStr">
        <is>
          <t>Taşınınca su sözleşmesi devri</t>
        </is>
      </c>
      <c r="I163" s="29" t="inlineStr">
        <is>
          <t>Evet</t>
        </is>
      </c>
      <c r="J163" s="29" t="inlineStr">
        <is>
          <t>Lisans kanıtları/640d0ef38177d159770fedc7f8f221174724c0b91cbfcb1e3ef4e8c3b8592751.html</t>
        </is>
      </c>
      <c r="K163" s="29" t="inlineStr">
        <is>
          <t>640d0ef38177d159770fedc7f8f221174724c0b91cbfcb1e3ef4e8c3b8592751</t>
        </is>
      </c>
    </row>
    <row r="164" ht="54" customHeight="1">
      <c r="A164" s="29" t="inlineStr">
        <is>
          <t>sevilla:kaynak:158</t>
        </is>
      </c>
      <c r="B164" s="29" t="inlineStr">
        <is>
          <t>sevilla</t>
        </is>
      </c>
      <c r="C164" s="29" t="inlineStr">
        <is>
          <t>Preguntas frecuentes - Emasesa</t>
        </is>
      </c>
      <c r="D164" s="29" t="inlineStr">
        <is>
          <t>EMASESA (Sevilla su şirketi)</t>
        </is>
      </c>
      <c r="E164" s="29" t="inlineStr">
        <is>
          <t>https://www.emasesa.com/usuarios/informacion-practica/preguntas-frecuentes/</t>
        </is>
      </c>
      <c r="F164" s="49" t="n">
        <v>46319</v>
      </c>
      <c r="G164" s="29" t="inlineStr">
        <is>
          <t>sevilla:fatura</t>
        </is>
      </c>
      <c r="H164" s="29" t="inlineStr">
        <is>
          <t>Su aboneliği: belgeler ve süre</t>
        </is>
      </c>
      <c r="I164" s="29" t="inlineStr">
        <is>
          <t>Evet</t>
        </is>
      </c>
      <c r="J164" s="29" t="inlineStr">
        <is>
          <t>Lisans kanıtları/692b2e8f32d986450b3c57ee7bad80837789c7b6111a66dc84bab5d09337f09f.html</t>
        </is>
      </c>
      <c r="K164" s="29" t="inlineStr">
        <is>
          <t>692b2e8f32d986450b3c57ee7bad80837789c7b6111a66dc84bab5d09337f09f</t>
        </is>
      </c>
    </row>
    <row r="165" ht="54" customHeight="1">
      <c r="A165" s="29" t="inlineStr">
        <is>
          <t>sevilla:kaynak:159</t>
        </is>
      </c>
      <c r="B165" s="29" t="inlineStr">
        <is>
          <t>sevilla</t>
        </is>
      </c>
      <c r="C165" s="29" t="inlineStr">
        <is>
          <t>Tarifa social - Emasesa</t>
        </is>
      </c>
      <c r="D165" s="29" t="inlineStr">
        <is>
          <t>EMASESA (Sevilla su şirketi)</t>
        </is>
      </c>
      <c r="E165" s="29" t="inlineStr">
        <is>
          <t>https://www.emasesa.com/usuarios/tarifa-social-y-ayudas/tarifa-social/</t>
        </is>
      </c>
      <c r="F165" s="49" t="n">
        <v>46319</v>
      </c>
      <c r="G165" s="29" t="inlineStr">
        <is>
          <t>sevilla:fatura</t>
        </is>
      </c>
      <c r="H165" s="29" t="inlineStr">
        <is>
          <t>Su faturası indirimi / sosyal tarife</t>
        </is>
      </c>
      <c r="I165" s="29" t="inlineStr">
        <is>
          <t>Evet</t>
        </is>
      </c>
      <c r="J165" s="29" t="inlineStr">
        <is>
          <t>Lisans kanıtları/b600f9ea1f468b1bc99997019f174223f111920ccfda58cd566931759a1926b2.html</t>
        </is>
      </c>
      <c r="K165" s="29" t="inlineStr">
        <is>
          <t>b600f9ea1f468b1bc99997019f174223f111920ccfda58cd566931759a1926b2</t>
        </is>
      </c>
    </row>
    <row r="166" ht="54" customHeight="1">
      <c r="A166" s="29" t="inlineStr">
        <is>
          <t>sevilla:kaynak:160</t>
        </is>
      </c>
      <c r="B166" s="29" t="inlineStr">
        <is>
          <t>sevilla</t>
        </is>
      </c>
      <c r="C166" s="29" t="inlineStr">
        <is>
          <t>Tarifas - Emasesa</t>
        </is>
      </c>
      <c r="D166" s="29" t="inlineStr">
        <is>
          <t>EMASESA (Sevilla su şirketi)</t>
        </is>
      </c>
      <c r="E166" s="29" t="inlineStr">
        <is>
          <t>https://www.emasesa.com/usuarios/tu-factura/tarifas/</t>
        </is>
      </c>
      <c r="F166" s="49" t="n">
        <v>46319</v>
      </c>
      <c r="G166" s="29" t="inlineStr">
        <is>
          <t>sevilla:fatura</t>
        </is>
      </c>
      <c r="H166" s="29" t="inlineStr">
        <is>
          <t>Su tarifeleri (nüfusa kayıtlı kişi başına bloklar)</t>
        </is>
      </c>
      <c r="I166" s="29" t="inlineStr">
        <is>
          <t>Evet</t>
        </is>
      </c>
      <c r="J166" s="29" t="inlineStr">
        <is>
          <t>Lisans kanıtları/2778ed0ea1acf29ac424abcdf62483df3d60570402f37d99feb6f665128f65a2.html</t>
        </is>
      </c>
      <c r="K166" s="29" t="inlineStr">
        <is>
          <t>2778ed0ea1acf29ac424abcdf62483df3d60570402f37d99feb6f665128f65a2</t>
        </is>
      </c>
    </row>
    <row r="167" ht="54" customHeight="1">
      <c r="A167" s="29" t="inlineStr">
        <is>
          <t>sevilla:kaynak:161</t>
        </is>
      </c>
      <c r="B167" s="29" t="inlineStr">
        <is>
          <t>sevilla</t>
        </is>
      </c>
      <c r="C167" s="29" t="inlineStr">
        <is>
          <t>Entender tu factura - Emasesa</t>
        </is>
      </c>
      <c r="D167" s="29" t="inlineStr">
        <is>
          <t>EMASESA (Sevilla su şirketi)</t>
        </is>
      </c>
      <c r="E167" s="29" t="inlineStr">
        <is>
          <t>https://www.emasesa.com/usuarios/tu-factura/entender-tu-factura/</t>
        </is>
      </c>
      <c r="F167" s="49" t="n">
        <v>46319</v>
      </c>
      <c r="G167" s="29" t="inlineStr">
        <is>
          <t>sevilla:fatura</t>
        </is>
      </c>
      <c r="H167" s="29" t="inlineStr">
        <is>
          <t>Su faturasını anlama</t>
        </is>
      </c>
      <c r="I167" s="29" t="inlineStr">
        <is>
          <t>Evet</t>
        </is>
      </c>
      <c r="J167" s="29" t="inlineStr">
        <is>
          <t>Lisans kanıtları/0d0e315505e1020c0b81ca2006c02ced74a8819659ad3665e745dc05ed0be980.html</t>
        </is>
      </c>
      <c r="K167" s="29" t="inlineStr">
        <is>
          <t>0d0e315505e1020c0b81ca2006c02ced74a8819659ad3665e745dc05ed0be980</t>
        </is>
      </c>
    </row>
    <row r="168" ht="54" customHeight="1">
      <c r="A168" s="29" t="inlineStr">
        <is>
          <t>sevilla:kaynak:162</t>
        </is>
      </c>
      <c r="B168" s="29" t="inlineStr">
        <is>
          <t>sevilla</t>
        </is>
      </c>
      <c r="C168" s="29" t="inlineStr">
        <is>
          <t>Pagar tu factura - Emasesa</t>
        </is>
      </c>
      <c r="D168" s="29" t="inlineStr">
        <is>
          <t>EMASESA (Sevilla su şirketi)</t>
        </is>
      </c>
      <c r="E168" s="29" t="inlineStr">
        <is>
          <t>https://www.emasesa.com/usuarios/tu-factura/pagar-tu-factura/</t>
        </is>
      </c>
      <c r="F168" s="49" t="n">
        <v>46319</v>
      </c>
      <c r="G168" s="29" t="inlineStr">
        <is>
          <t>sevilla:fatura</t>
        </is>
      </c>
      <c r="H168" s="29" t="inlineStr">
        <is>
          <t>Su faturası ödeme / otomatik ödeme</t>
        </is>
      </c>
      <c r="I168" s="29" t="inlineStr">
        <is>
          <t>Evet</t>
        </is>
      </c>
      <c r="J168" s="29" t="inlineStr">
        <is>
          <t>Lisans kanıtları/9429ad4f6381ed2258d06d6f57d00fa0b324e084977a7998ce5141b403f4d17c.html</t>
        </is>
      </c>
      <c r="K168" s="29" t="inlineStr">
        <is>
          <t>9429ad4f6381ed2258d06d6f57d00fa0b324e084977a7998ce5141b403f4d17c</t>
        </is>
      </c>
    </row>
    <row r="169" ht="54" customHeight="1">
      <c r="A169" s="29" t="inlineStr">
        <is>
          <t>sevilla:kaynak:164</t>
        </is>
      </c>
      <c r="B169" s="29" t="inlineStr">
        <is>
          <t>sevilla</t>
        </is>
      </c>
      <c r="C169" s="29" t="inlineStr">
        <is>
          <t>DISTRITO SUR - Emasesa</t>
        </is>
      </c>
      <c r="D169" s="29" t="inlineStr">
        <is>
          <t>EMASESA (Sevilla su şirketi)</t>
        </is>
      </c>
      <c r="E169" s="29" t="inlineStr">
        <is>
          <t>https://www.emasesa.com/oficinas/punto-de-atencion-al-ciudadano-distrito-sur/</t>
        </is>
      </c>
      <c r="F169" s="49" t="n">
        <v>46319</v>
      </c>
      <c r="G169" s="29" t="inlineStr">
        <is>
          <t>sevilla:fatura</t>
        </is>
      </c>
      <c r="H169" s="29" t="inlineStr">
        <is>
          <t>EMASESA ofisi adresi (Distrito Sur)</t>
        </is>
      </c>
      <c r="I169" s="29" t="inlineStr">
        <is>
          <t>Evet</t>
        </is>
      </c>
      <c r="J169" s="29" t="inlineStr">
        <is>
          <t>Lisans kanıtları/bfd15a4b1e6a25cd67c83bf39d0ea4ff3d652d253d8d950747023c48954349a2.html</t>
        </is>
      </c>
      <c r="K169" s="29" t="inlineStr">
        <is>
          <t>bfd15a4b1e6a25cd67c83bf39d0ea4ff3d652d253d8d950747023c48954349a2</t>
        </is>
      </c>
    </row>
    <row r="170" ht="54" customHeight="1">
      <c r="A170" s="29" t="inlineStr">
        <is>
          <t>sevilla:kaynak:165</t>
        </is>
      </c>
      <c r="B170" s="29" t="inlineStr">
        <is>
          <t>sevilla</t>
        </is>
      </c>
      <c r="C170" s="29" t="inlineStr">
        <is>
          <t>DISTRITO ESTE - Emasesa</t>
        </is>
      </c>
      <c r="D170" s="29" t="inlineStr">
        <is>
          <t>EMASESA (Sevilla su şirketi)</t>
        </is>
      </c>
      <c r="E170" s="29" t="inlineStr">
        <is>
          <t>https://www.emasesa.com/oficinas/punto-de-atencion-al-ciudadano-distrito-este/</t>
        </is>
      </c>
      <c r="F170" s="49" t="n">
        <v>46319</v>
      </c>
      <c r="G170" s="29" t="inlineStr">
        <is>
          <t>sevilla:fatura</t>
        </is>
      </c>
      <c r="H170" s="29" t="inlineStr">
        <is>
          <t>EMASESA ofisi adresi (Distrito Este)</t>
        </is>
      </c>
      <c r="I170" s="29" t="inlineStr">
        <is>
          <t>Evet</t>
        </is>
      </c>
      <c r="J170" s="29" t="inlineStr">
        <is>
          <t>Lisans kanıtları/6fe24cd01839db16dc2abb89ec39cd74ca68359cde86c9d8a5c0dfab83a1c992.html</t>
        </is>
      </c>
      <c r="K170" s="29" t="inlineStr">
        <is>
          <t>6fe24cd01839db16dc2abb89ec39cd74ca68359cde86c9d8a5c0dfab83a1c992</t>
        </is>
      </c>
    </row>
    <row r="171" ht="54" customHeight="1">
      <c r="A171" s="29" t="inlineStr">
        <is>
          <t>sevilla:kaynak:167</t>
        </is>
      </c>
      <c r="B171" s="29" t="inlineStr">
        <is>
          <t>sevilla</t>
        </is>
      </c>
      <c r="C171" s="29" t="inlineStr">
        <is>
          <t>Derechos de las personas usuarias - Emasesa</t>
        </is>
      </c>
      <c r="D171" s="29" t="inlineStr">
        <is>
          <t>EMASESA (Sevilla su şirketi)</t>
        </is>
      </c>
      <c r="E171" s="29" t="inlineStr">
        <is>
          <t>https://www.emasesa.com/usuarios/informacion-practica/derechos-de-los-usuarios/</t>
        </is>
      </c>
      <c r="F171" s="49" t="n">
        <v>46319</v>
      </c>
      <c r="G171" s="29" t="inlineStr">
        <is>
          <t>sevilla:fatura</t>
        </is>
      </c>
      <c r="H171" s="29" t="inlineStr">
        <is>
          <t>Su: kullanıcı hakları ve şikayet</t>
        </is>
      </c>
      <c r="I171" s="29" t="inlineStr">
        <is>
          <t>Evet</t>
        </is>
      </c>
      <c r="J171" s="29" t="inlineStr">
        <is>
          <t>Lisans kanıtları/745a9663da61d9140b54294c56318489fb366b4e86c3c7e9968e61335d76cf83.html</t>
        </is>
      </c>
      <c r="K171" s="29" t="inlineStr">
        <is>
          <t>745a9663da61d9140b54294c56318489fb366b4e86c3c7e9968e61335d76cf83</t>
        </is>
      </c>
    </row>
    <row r="172" ht="54" customHeight="1">
      <c r="A172" s="29" t="inlineStr">
        <is>
          <t>sevilla:kaynak:168</t>
        </is>
      </c>
      <c r="B172" s="29" t="inlineStr">
        <is>
          <t>sevilla</t>
        </is>
      </c>
      <c r="C172" s="29" t="inlineStr">
        <is>
          <t>Agencia Tributaria: Sevilla</t>
        </is>
      </c>
      <c r="D172" s="29" t="inlineStr">
        <is>
          <t>Agencia Tributaria (AEAT)</t>
        </is>
      </c>
      <c r="E172" s="29" t="inlineStr">
        <is>
          <t>https://sede.agenciatributaria.gob.es/Sede/buscador-oficinas/sevilla.html</t>
        </is>
      </c>
      <c r="F172" s="49" t="n">
        <v>46319</v>
      </c>
      <c r="G172" s="29" t="inlineStr">
        <is>
          <t>sevilla:para</t>
        </is>
      </c>
      <c r="H172" s="29" t="inlineStr">
        <is>
          <t>Vergi dairesi ofisleri Sevilla</t>
        </is>
      </c>
      <c r="I172" s="29" t="inlineStr">
        <is>
          <t>Evet</t>
        </is>
      </c>
      <c r="J172" s="29" t="inlineStr">
        <is>
          <t>Lisans kanıtları/80f33476131f6b16a32300d96eb4be168e5f9230ef539af7e4ccccf56bd16f50.html</t>
        </is>
      </c>
      <c r="K172" s="29" t="inlineStr">
        <is>
          <t>80f33476131f6b16a32300d96eb4be168e5f9230ef539af7e4ccccf56bd16f50</t>
        </is>
      </c>
    </row>
    <row r="173" ht="54" customHeight="1">
      <c r="A173" s="29" t="inlineStr">
        <is>
          <t>sevilla:kaynak:169</t>
        </is>
      </c>
      <c r="B173" s="29" t="inlineStr">
        <is>
          <t>sevilla</t>
        </is>
      </c>
      <c r="C173" s="29" t="inlineStr">
        <is>
          <t>Agencia Tributaria: Asistencia y Cita</t>
        </is>
      </c>
      <c r="D173" s="29" t="inlineStr">
        <is>
          <t>Agencia Tributaria (AEAT)</t>
        </is>
      </c>
      <c r="E173" s="29" t="inlineStr">
        <is>
          <t>https://sede.agenciatributaria.gob.es/Sede/procedimientoini/GC29.shtml</t>
        </is>
      </c>
      <c r="F173" s="49" t="n">
        <v>46319</v>
      </c>
      <c r="G173" s="29" t="inlineStr">
        <is>
          <t>sevilla:para</t>
        </is>
      </c>
      <c r="H173" s="29" t="inlineStr">
        <is>
          <t>Vergi dairesi randevusu</t>
        </is>
      </c>
      <c r="I173" s="29" t="inlineStr">
        <is>
          <t>Evet</t>
        </is>
      </c>
      <c r="J173" s="29" t="inlineStr">
        <is>
          <t>Lisans kanıtları/765d68ca664861a0e96e698e240d43f7fccc5288c91b8466e5381df5ca37396b.html</t>
        </is>
      </c>
      <c r="K173" s="29" t="inlineStr">
        <is>
          <t>765d68ca664861a0e96e698e240d43f7fccc5288c91b8466e5381df5ca37396b</t>
        </is>
      </c>
    </row>
    <row r="174" ht="54" customHeight="1">
      <c r="A174" s="29" t="inlineStr">
        <is>
          <t>sevilla:kaynak:170</t>
        </is>
      </c>
      <c r="B174" s="29" t="inlineStr">
        <is>
          <t>sevilla</t>
        </is>
      </c>
      <c r="C174" s="29" t="inlineStr">
        <is>
          <t>Renta Mínima de Inserción Social en Andalucía - Junta de Andalucía</t>
        </is>
      </c>
      <c r="D174" s="29" t="inlineStr">
        <is>
          <t>Junta de Andalucía</t>
        </is>
      </c>
      <c r="E174" s="29" t="inlineStr">
        <is>
          <t>https://www.juntadeandalucia.es/organismos/inclusionsocialjuventudfamiliaseigualdad/areas/inclusion/rmi.html</t>
        </is>
      </c>
      <c r="F174" s="49" t="n">
        <v>46319</v>
      </c>
      <c r="G174" s="29" t="inlineStr">
        <is>
          <t>sevilla:para</t>
        </is>
      </c>
      <c r="H174" s="29" t="inlineStr">
        <is>
          <t>Endülüs asgari gelir desteği (eski adı Ingreso Mínimo de Solidaridad) başvuru yolu</t>
        </is>
      </c>
      <c r="I174" s="29" t="inlineStr">
        <is>
          <t>Evet</t>
        </is>
      </c>
      <c r="J174" s="29" t="inlineStr">
        <is>
          <t>Lisans kanıtları/b28370fba06d30eabf3ff8155c5095792be3c8bbdcca4740ed005a05800d00e3.html</t>
        </is>
      </c>
      <c r="K174" s="29" t="inlineStr">
        <is>
          <t>b28370fba06d30eabf3ff8155c5095792be3c8bbdcca4740ed005a05800d00e3</t>
        </is>
      </c>
    </row>
    <row r="175" ht="54" customHeight="1">
      <c r="A175" s="29" t="inlineStr">
        <is>
          <t>sevilla:kaynak:171</t>
        </is>
      </c>
      <c r="B175" s="29" t="inlineStr">
        <is>
          <t>sevilla</t>
        </is>
      </c>
      <c r="C175" s="29" t="inlineStr">
        <is>
          <t>Medidas contra la exclusión social - Junta de Andalucía</t>
        </is>
      </c>
      <c r="D175" s="29" t="inlineStr">
        <is>
          <t>Junta de Andalucía</t>
        </is>
      </c>
      <c r="E175" s="29" t="inlineStr">
        <is>
          <t>https://www.juntadeandalucia.es/temas/familias-igualdad/minorias/medidas-exclusion-social.html</t>
        </is>
      </c>
      <c r="F175" s="49" t="n">
        <v>46319</v>
      </c>
      <c r="G175" s="29" t="inlineStr">
        <is>
          <t>sevilla:para</t>
        </is>
      </c>
      <c r="H175" s="29" t="inlineStr">
        <is>
          <t>Endülüs asgari gelir desteği: kimlere</t>
        </is>
      </c>
      <c r="I175" s="29" t="inlineStr">
        <is>
          <t>Evet</t>
        </is>
      </c>
      <c r="J175" s="29" t="inlineStr">
        <is>
          <t>Lisans kanıtları/fed56f9c7b70669f730cf2a25c8b3d75ba780e92d5fa7f4b69678c0dd3e321ec.html</t>
        </is>
      </c>
      <c r="K175" s="29" t="inlineStr">
        <is>
          <t>fed56f9c7b70669f730cf2a25c8b3d75ba780e92d5fa7f4b69678c0dd3e321ec</t>
        </is>
      </c>
    </row>
    <row r="176" ht="54" customHeight="1">
      <c r="A176" s="29" t="inlineStr">
        <is>
          <t>sevilla:kaynak:172</t>
        </is>
      </c>
      <c r="B176" s="29" t="inlineStr">
        <is>
          <t>sevilla</t>
        </is>
      </c>
      <c r="C176" s="29" t="inlineStr">
        <is>
          <t>Servicio de prestaciones complementarias - Junta de Andalucía</t>
        </is>
      </c>
      <c r="D176" s="29" t="inlineStr">
        <is>
          <t>Junta de Andalucía</t>
        </is>
      </c>
      <c r="E176" s="29" t="inlineStr">
        <is>
          <t>https://www.juntadeandalucia.es/organismos/inclusionsocialjuventudfamiliaseigualdad/areas/inclusion/servicios-comunitarios/paginas/servicio-prestaciones.html</t>
        </is>
      </c>
      <c r="F176" s="49" t="n">
        <v>46319</v>
      </c>
      <c r="G176" s="29" t="inlineStr">
        <is>
          <t>sevilla:para</t>
        </is>
      </c>
      <c r="H176" s="29" t="inlineStr">
        <is>
          <t>Acil sosyal yardım</t>
        </is>
      </c>
      <c r="I176" s="29" t="inlineStr">
        <is>
          <t>Evet</t>
        </is>
      </c>
      <c r="J176" s="29" t="inlineStr">
        <is>
          <t>Lisans kanıtları/312a5926959189d667962dfbb3c17ef9eff3311c5357d44498da79d738caad70.html</t>
        </is>
      </c>
      <c r="K176" s="29" t="inlineStr">
        <is>
          <t>312a5926959189d667962dfbb3c17ef9eff3311c5357d44498da79d738caad70</t>
        </is>
      </c>
    </row>
    <row r="177" ht="54" customHeight="1">
      <c r="A177" s="29" t="inlineStr">
        <is>
          <t>sevilla:kaynak:173</t>
        </is>
      </c>
      <c r="B177" s="29" t="inlineStr">
        <is>
          <t>sevilla</t>
        </is>
      </c>
      <c r="C177" s="29" t="inlineStr">
        <is>
          <t>Servicios Sociales Comunitarios - Junta de Andalucía</t>
        </is>
      </c>
      <c r="D177" s="29" t="inlineStr">
        <is>
          <t>Junta de Andalucía</t>
        </is>
      </c>
      <c r="E177" s="29" t="inlineStr">
        <is>
          <t>https://www.juntadeandalucia.es/organismos/inclusionsocialjuventudfamiliaseigualdad/areas/inclusion/servicios-comunitarios/paginas/presentacion-servicios-sociales.html</t>
        </is>
      </c>
      <c r="F177" s="49" t="n">
        <v>46319</v>
      </c>
      <c r="G177" s="29" t="inlineStr">
        <is>
          <t>sevilla:para</t>
        </is>
      </c>
      <c r="H177" s="29" t="inlineStr">
        <is>
          <t>Sosyal hizmetler: belediye yönetir, acil yardım yolu</t>
        </is>
      </c>
      <c r="I177" s="29" t="inlineStr">
        <is>
          <t>Evet</t>
        </is>
      </c>
      <c r="J177" s="29" t="inlineStr">
        <is>
          <t>Lisans kanıtları/5ebca647ac583882e99f915dbdd5af3276632df766b0cc7c8154522437e5db51.html</t>
        </is>
      </c>
      <c r="K177" s="29" t="inlineStr">
        <is>
          <t>5ebca647ac583882e99f915dbdd5af3276632df766b0cc7c8154522437e5db51</t>
        </is>
      </c>
    </row>
    <row r="178" ht="54" customHeight="1">
      <c r="A178" s="29" t="inlineStr">
        <is>
          <t>sevilla:kaynak:174</t>
        </is>
      </c>
      <c r="B178" s="29" t="inlineStr">
        <is>
          <t>sevilla</t>
        </is>
      </c>
      <c r="C178" s="29" t="inlineStr">
        <is>
          <t>Impuesto sobre vehículos de tracción mecánica</t>
        </is>
      </c>
      <c r="D178" s="29" t="inlineStr">
        <is>
          <t>OPAEF (Diputación de Sevilla)</t>
        </is>
      </c>
      <c r="E178" s="29" t="inlineStr">
        <is>
          <t>https://sede.opaef.es/sede/servicios/consultas-frecuentes/impuesto-sobre-vehiculos-de-traccion-mecanica/</t>
        </is>
      </c>
      <c r="F178" s="49" t="n">
        <v>46319</v>
      </c>
      <c r="G178" s="29" t="inlineStr">
        <is>
          <t>sevilla:para</t>
        </is>
      </c>
      <c r="H178" s="29" t="inlineStr">
        <is>
          <t>Araç vergisi hangi belediyeye ödenir (genel kural; Sevilla il genelinde OPAEF)</t>
        </is>
      </c>
      <c r="I178" s="29" t="inlineStr">
        <is>
          <t>Evet</t>
        </is>
      </c>
      <c r="J178" s="29" t="inlineStr">
        <is>
          <t>Lisans kanıtları/f3a8d3de3b2fd8a8e171d4aa35017f4ae5e5a9a2714b16d7f13dc7b0375fe60c.html</t>
        </is>
      </c>
      <c r="K178" s="29" t="inlineStr">
        <is>
          <t>f3a8d3de3b2fd8a8e171d4aa35017f4ae5e5a9a2714b16d7f13dc7b0375fe60c</t>
        </is>
      </c>
    </row>
    <row r="179" ht="54" customHeight="1">
      <c r="A179" s="29" t="inlineStr">
        <is>
          <t>sevilla:kaynak:175</t>
        </is>
      </c>
      <c r="B179" s="29" t="inlineStr">
        <is>
          <t>sevilla</t>
        </is>
      </c>
      <c r="C179" s="29" t="inlineStr">
        <is>
          <t>Domiciliación Bancaria de Pago de Tributos</t>
        </is>
      </c>
      <c r="D179" s="29" t="inlineStr">
        <is>
          <t>OPAEF (Diputación de Sevilla)</t>
        </is>
      </c>
      <c r="E179" s="29" t="inlineStr">
        <is>
          <t>https://sede.opaef.es/sede/tributos/vehiculos/servicio/Domiciliacion-Bancaria-de-Pago-de-Tributos/</t>
        </is>
      </c>
      <c r="F179" s="49" t="n">
        <v>46319</v>
      </c>
      <c r="G179" s="29" t="inlineStr">
        <is>
          <t>sevilla:para</t>
        </is>
      </c>
      <c r="H179" s="29" t="inlineStr">
        <is>
          <t>Vergi otomatik ödeme (OPAEF il genelinde)</t>
        </is>
      </c>
      <c r="I179" s="29" t="inlineStr">
        <is>
          <t>Evet</t>
        </is>
      </c>
      <c r="J179" s="29" t="inlineStr">
        <is>
          <t>Lisans kanıtları/cad79839302ea29474cce331b7248a5f7e3db3ef425495710bc9be36ae0be7ed.html</t>
        </is>
      </c>
      <c r="K179" s="29" t="inlineStr">
        <is>
          <t>cad79839302ea29474cce331b7248a5f7e3db3ef425495710bc9be36ae0be7ed</t>
        </is>
      </c>
    </row>
    <row r="180" ht="54" customHeight="1">
      <c r="A180" s="29" t="inlineStr">
        <is>
          <t>sevilla:kaynak:176</t>
        </is>
      </c>
      <c r="B180" s="29" t="inlineStr">
        <is>
          <t>sevilla</t>
        </is>
      </c>
      <c r="C180" s="29" t="inlineStr">
        <is>
          <t>Consulta y Pago de Tributos y Multas</t>
        </is>
      </c>
      <c r="D180" s="29" t="inlineStr">
        <is>
          <t>OPAEF (Diputación de Sevilla)</t>
        </is>
      </c>
      <c r="E180" s="29" t="inlineStr">
        <is>
          <t>https://sede.opaef.es/sede/tributos/consulta-y-pago-de-tributos-y-multas/</t>
        </is>
      </c>
      <c r="F180" s="49" t="n">
        <v>46319</v>
      </c>
      <c r="G180" s="29" t="inlineStr">
        <is>
          <t>sevilla:para</t>
        </is>
      </c>
      <c r="H180" s="29" t="inlineStr">
        <is>
          <t>Vergi ödeme yolları (OPAEF il genelinde)</t>
        </is>
      </c>
      <c r="I180" s="29" t="inlineStr">
        <is>
          <t>Evet</t>
        </is>
      </c>
      <c r="J180" s="29" t="inlineStr">
        <is>
          <t>Lisans kanıtları/073ee98a2e4c166fa26747a9f21facab81cda9f243868bb19a05ebf954d0709f.html</t>
        </is>
      </c>
      <c r="K180" s="29" t="inlineStr">
        <is>
          <t>073ee98a2e4c166fa26747a9f21facab81cda9f243868bb19a05ebf954d0709f</t>
        </is>
      </c>
    </row>
    <row r="181" ht="54" customHeight="1">
      <c r="A181" s="29" t="inlineStr">
        <is>
          <t>sevilla:kaynak:177</t>
        </is>
      </c>
      <c r="B181" s="29" t="inlineStr">
        <is>
          <t>sevilla</t>
        </is>
      </c>
      <c r="C181" s="29" t="inlineStr">
        <is>
          <t>Metro de Sevilla</t>
        </is>
      </c>
      <c r="D181" s="29" t="inlineStr">
        <is>
          <t>Metro de Sevilla</t>
        </is>
      </c>
      <c r="E181" s="29" t="inlineStr">
        <is>
          <t>https://www.metro-sevilla.es/horarios-y-tarifas?section=titulosMetro</t>
        </is>
      </c>
      <c r="F181" s="49" t="n">
        <v>46319</v>
      </c>
      <c r="G181" s="29" t="inlineStr">
        <is>
          <t>sevilla:ulasim</t>
        </is>
      </c>
      <c r="H181" s="29" t="inlineStr">
        <is>
          <t>Q1: metro bileti türleri, fiyat, nereden alınır; Q2: kart</t>
        </is>
      </c>
      <c r="I181" s="29" t="inlineStr">
        <is>
          <t>Evet</t>
        </is>
      </c>
      <c r="J181" s="29" t="inlineStr">
        <is>
          <t>Lisans kanıtları/20b97c9051bd11dba21cad72ee3ad48c86631ce13d3b43f558b5683e5d1c9acf.html</t>
        </is>
      </c>
      <c r="K181" s="29" t="inlineStr">
        <is>
          <t>20b97c9051bd11dba21cad72ee3ad48c86631ce13d3b43f558b5683e5d1c9acf</t>
        </is>
      </c>
    </row>
    <row r="182" ht="54" customHeight="1">
      <c r="A182" s="29" t="inlineStr">
        <is>
          <t>sevilla:kaynak:178</t>
        </is>
      </c>
      <c r="B182" s="29" t="inlineStr">
        <is>
          <t>sevilla</t>
        </is>
      </c>
      <c r="C182" s="29" t="inlineStr">
        <is>
          <t>Tarjeta de transporte - Junta de Andalucía</t>
        </is>
      </c>
      <c r="D182" s="29" t="inlineStr">
        <is>
          <t>Junta de Andalucía - Consejería de Fomento</t>
        </is>
      </c>
      <c r="E182" s="29" t="inlineStr">
        <is>
          <t>https://www.juntadeandalucia.es/organismos/fomentoymovilidad/areas/servicios-transporte/transporte-publico/paginas/tarjeta-transporte.html</t>
        </is>
      </c>
      <c r="F182" s="49" t="n">
        <v>46319</v>
      </c>
      <c r="G182" s="29" t="inlineStr">
        <is>
          <t>sevilla:ulasim</t>
        </is>
      </c>
      <c r="H182" s="29" t="inlineStr">
        <is>
          <t>Q2: Consorcio kartı nasıl çıkar, ilk ücret</t>
        </is>
      </c>
      <c r="I182" s="29" t="inlineStr">
        <is>
          <t>Evet</t>
        </is>
      </c>
      <c r="J182" s="29" t="inlineStr">
        <is>
          <t>Lisans kanıtları/9e448a38914f492401cb9d9f8a25102d713c8202ee2228ca0e0118f59de32246.html</t>
        </is>
      </c>
      <c r="K182" s="29" t="inlineStr">
        <is>
          <t>9e448a38914f492401cb9d9f8a25102d713c8202ee2228ca0e0118f59de32246</t>
        </is>
      </c>
    </row>
    <row r="183" ht="54" customHeight="1">
      <c r="A183" s="29" t="inlineStr">
        <is>
          <t>sevilla:kaynak:179</t>
        </is>
      </c>
      <c r="B183" s="29" t="inlineStr">
        <is>
          <t>sevilla</t>
        </is>
      </c>
      <c r="C183" s="29" t="inlineStr">
        <is>
          <t>Tarjeta Joven de Transporte en Andalucía - Junta de Andalucía</t>
        </is>
      </c>
      <c r="D183" s="29" t="inlineStr">
        <is>
          <t>Junta de Andalucía</t>
        </is>
      </c>
      <c r="E183" s="29" t="inlineStr">
        <is>
          <t>https://www.juntadeandalucia.es/organismos/fomentoymovilidad/areas/servicios-transporte/transporte-publico/paginas/tarjeta-joven-transporte.html</t>
        </is>
      </c>
      <c r="F183" s="49" t="n">
        <v>46319</v>
      </c>
      <c r="G183" s="29" t="inlineStr">
        <is>
          <t>sevilla:ulasim</t>
        </is>
      </c>
      <c r="H183" s="29" t="inlineStr">
        <is>
          <t>Q2: 30 yaş altı genç ulaşım kartı</t>
        </is>
      </c>
      <c r="I183" s="29" t="inlineStr">
        <is>
          <t>Evet</t>
        </is>
      </c>
      <c r="J183" s="29" t="inlineStr">
        <is>
          <t>Lisans kanıtları/b7a52ba237930aeef14370bda00cb897039c06cc40ff103a7d65dc8ccb612613.html</t>
        </is>
      </c>
      <c r="K183" s="29" t="inlineStr">
        <is>
          <t>b7a52ba237930aeef14370bda00cb897039c06cc40ff103a7d65dc8ccb612613</t>
        </is>
      </c>
    </row>
    <row r="184" ht="54" customHeight="1">
      <c r="A184" s="29" t="inlineStr">
        <is>
          <t>sevilla:kaynak:180</t>
        </is>
      </c>
      <c r="B184" s="29" t="inlineStr">
        <is>
          <t>sevilla</t>
        </is>
      </c>
      <c r="C184" s="29" t="inlineStr">
        <is>
          <t>Tarjeta Joven de Transporte: Solicitud, recogida y documentación necesaria - Junta de Andalucía</t>
        </is>
      </c>
      <c r="D184" s="29" t="inlineStr">
        <is>
          <t>Junta de Andalucía</t>
        </is>
      </c>
      <c r="E184" s="29" t="inlineStr">
        <is>
          <t>https://www.juntadeandalucia.es/organismos/fomentoarticulaciondelterritorioyvivienda/areas/servicios-transporte/transporte-publico/paginas/solicitud-tarjeta-joven-transporte.html</t>
        </is>
      </c>
      <c r="F184" s="49" t="n">
        <v>46319</v>
      </c>
      <c r="G184" s="29" t="inlineStr">
        <is>
          <t>sevilla:ulasim</t>
        </is>
      </c>
      <c r="H184" s="29" t="inlineStr">
        <is>
          <t>Q2: genç kart başvurusu, NIE ile belge</t>
        </is>
      </c>
      <c r="I184" s="29" t="inlineStr">
        <is>
          <t>Evet</t>
        </is>
      </c>
      <c r="J184" s="29" t="inlineStr">
        <is>
          <t>Lisans kanıtları/6f2df44bf8141c14283e8d1d5f66cda939e97889262c785305dc6a310764ff03.html</t>
        </is>
      </c>
      <c r="K184" s="29" t="inlineStr">
        <is>
          <t>6f2df44bf8141c14283e8d1d5f66cda939e97889262c785305dc6a310764ff03</t>
        </is>
      </c>
    </row>
    <row r="185" ht="54" customHeight="1">
      <c r="A185" s="29" t="inlineStr">
        <is>
          <t>sevilla:kaynak:181</t>
        </is>
      </c>
      <c r="B185" s="29" t="inlineStr">
        <is>
          <t>sevilla</t>
        </is>
      </c>
      <c r="C185" s="29" t="inlineStr">
        <is>
          <t>Junta y Renfe acuerdan la integración tarifaria del Cercanías de Sevilla en la tarjeta del Consorcio - Portavoz del Gobierno Andaluz</t>
        </is>
      </c>
      <c r="D185" s="29" t="inlineStr">
        <is>
          <t>Junta de Andalucía</t>
        </is>
      </c>
      <c r="E185" s="29" t="inlineStr">
        <is>
          <t>https://www.juntadeandalucia.es/presidencia/portavoz/infraestructuras/197165/TarjetadelConsorciodeTransporteMetropolitano/CercaniasdeSevilla/integraciontarifaria/descuentos/Renfe/ConsejeriadeFomento/ArticulaciondelTerritorioyVivienda</t>
        </is>
      </c>
      <c r="F185" s="49" t="n">
        <v>46319</v>
      </c>
      <c r="G185" s="29" t="inlineStr">
        <is>
          <t>sevilla:ulasim</t>
        </is>
      </c>
      <c r="H185" s="29" t="inlineStr">
        <is>
          <t>Q1/Q2: Cercanías (Renfe) Consorcio kartıyla</t>
        </is>
      </c>
      <c r="I185" s="29" t="inlineStr">
        <is>
          <t>Evet</t>
        </is>
      </c>
      <c r="J185" s="29" t="inlineStr">
        <is>
          <t>Lisans kanıtları/e4f820f5b0da11f662c3312395a44e2e4c0b0c91893bcb247e76d590a00d2105.html</t>
        </is>
      </c>
      <c r="K185" s="29" t="inlineStr">
        <is>
          <t>e4f820f5b0da11f662c3312395a44e2e4c0b0c91893bcb247e76d590a00d2105</t>
        </is>
      </c>
    </row>
    <row r="186" ht="54" customHeight="1">
      <c r="A186" s="29" t="inlineStr">
        <is>
          <t>sevilla:kaynak:184</t>
        </is>
      </c>
      <c r="B186" s="29" t="inlineStr">
        <is>
          <t>sevilla</t>
        </is>
      </c>
      <c r="C186" s="29" t="inlineStr">
        <is>
          <t>Prepara tu viaje - Visita Sevilla</t>
        </is>
      </c>
      <c r="D186" s="29" t="inlineStr">
        <is>
          <t>Turismo de Sevilla (Visita Sevilla)</t>
        </is>
      </c>
      <c r="E186" s="29" t="inlineStr">
        <is>
          <t>https://visitasevilla.es/prepara-tu-viaje/</t>
        </is>
      </c>
      <c r="F186" s="49" t="n">
        <v>46319</v>
      </c>
      <c r="G186" s="29" t="inlineStr">
        <is>
          <t>sevilla:ulasim</t>
        </is>
      </c>
      <c r="H186" s="29" t="inlineStr">
        <is>
          <t>Q3: havalimanından merkeze EA otobüsü, taksi, süre; tren istasyonları</t>
        </is>
      </c>
      <c r="I186" s="29" t="inlineStr">
        <is>
          <t>Evet</t>
        </is>
      </c>
      <c r="J186" s="29" t="inlineStr">
        <is>
          <t>Lisans kanıtları/c766f2631facea0794bdde6852136c0a63cda42b3bf2825d0fe4470126bde80a.html</t>
        </is>
      </c>
      <c r="K186" s="29" t="inlineStr">
        <is>
          <t>c766f2631facea0794bdde6852136c0a63cda42b3bf2825d0fe4470126bde80a</t>
        </is>
      </c>
    </row>
    <row r="187" ht="54" customHeight="1">
      <c r="A187" s="29" t="inlineStr">
        <is>
          <t>sevilla:kaynak:185</t>
        </is>
      </c>
      <c r="B187" s="29" t="inlineStr">
        <is>
          <t>sevilla</t>
        </is>
      </c>
      <c r="C187" s="29" t="inlineStr">
        <is>
          <t>Una ciudad para las bicis - Visita Sevilla</t>
        </is>
      </c>
      <c r="D187" s="29" t="inlineStr">
        <is>
          <t>Turismo de Sevilla (Visita Sevilla)</t>
        </is>
      </c>
      <c r="E187" s="29" t="inlineStr">
        <is>
          <t>https://visitasevilla.es/una-ciudad-para-las-bicis/</t>
        </is>
      </c>
      <c r="F187" s="49" t="n">
        <v>46319</v>
      </c>
      <c r="G187" s="29" t="inlineStr">
        <is>
          <t>sevilla:ulasim</t>
        </is>
      </c>
      <c r="H187" s="29" t="inlineStr">
        <is>
          <t>Q4: bisiklet yolları ve Sevici</t>
        </is>
      </c>
      <c r="I187" s="29" t="inlineStr">
        <is>
          <t>Evet</t>
        </is>
      </c>
      <c r="J187" s="29" t="inlineStr">
        <is>
          <t>Lisans kanıtları/e16c49f9e7e62fd8724fc4cbeb2af635bd3682b4d963aaa8e9bff60a8a1a9341.html</t>
        </is>
      </c>
      <c r="K187" s="29" t="inlineStr">
        <is>
          <t>e16c49f9e7e62fd8724fc4cbeb2af635bd3682b4d963aaa8e9bff60a8a1a9341</t>
        </is>
      </c>
    </row>
    <row r="188" ht="54" customHeight="1">
      <c r="A188" s="29" t="inlineStr">
        <is>
          <t>sevilla:kaynak:186</t>
        </is>
      </c>
      <c r="B188" s="29" t="inlineStr">
        <is>
          <t>sevilla</t>
        </is>
      </c>
      <c r="C188" s="29" t="inlineStr">
        <is>
          <t>BOP - 03/04/2024</t>
        </is>
      </c>
      <c r="D188" s="29" t="inlineStr">
        <is>
          <t>Diputación de Sevilla (BOP)</t>
        </is>
      </c>
      <c r="E188" s="29" t="inlineStr">
        <is>
          <t>https://bopsevilla.dipusevilla.es/publica/consulta-de-bops/buscador/BOP-03-04-2024/</t>
        </is>
      </c>
      <c r="F188" s="49" t="n">
        <v>46319</v>
      </c>
      <c r="G188" s="29" t="inlineStr">
        <is>
          <t>sevilla:ulasim</t>
        </is>
      </c>
      <c r="H188" s="29" t="inlineStr">
        <is>
          <t>Q5: Cartuja düşük emisyon bölgesi</t>
        </is>
      </c>
      <c r="I188" s="29" t="inlineStr">
        <is>
          <t>Evet</t>
        </is>
      </c>
      <c r="J188" s="29" t="inlineStr">
        <is>
          <t>Lisans kanıtları/fce4870a592d94f9c38a9bed70e866fcd96b462fa9ee9ede59ed5d189815022f.html</t>
        </is>
      </c>
      <c r="K188" s="29" t="inlineStr">
        <is>
          <t>fce4870a592d94f9c38a9bed70e866fcd96b462fa9ee9ede59ed5d189815022f</t>
        </is>
      </c>
    </row>
    <row r="189" ht="54" customHeight="1">
      <c r="A189" s="29" t="inlineStr">
        <is>
          <t>sevilla:kaynak:188</t>
        </is>
      </c>
      <c r="B189" s="29" t="inlineStr">
        <is>
          <t>sevilla</t>
        </is>
      </c>
      <c r="C189" s="29" t="inlineStr">
        <is>
          <t>Zonas de Bajas Emisiones (ZBE) - ZBE Sevilla-Cartuja | Punto de Acceso Nacional de Tráfico y Movilidad</t>
        </is>
      </c>
      <c r="D189" s="29" t="inlineStr">
        <is>
          <t>DGT</t>
        </is>
      </c>
      <c r="E189" s="29" t="inlineStr">
        <is>
          <t>https://nap.dgt.es/dataset/zonas-de-bajas-emisiones/resource/c26ee84c-cff3-4da6-97e2-076b0369f4ad</t>
        </is>
      </c>
      <c r="F189" s="49" t="n">
        <v>46319</v>
      </c>
      <c r="G189" s="29" t="inlineStr">
        <is>
          <t>sevilla:ulasim</t>
        </is>
      </c>
      <c r="H189" s="29" t="inlineStr">
        <is>
          <t>Q5: ZBE Cartuja verisi</t>
        </is>
      </c>
      <c r="I189" s="29" t="inlineStr">
        <is>
          <t>Evet</t>
        </is>
      </c>
      <c r="J189" s="29" t="inlineStr">
        <is>
          <t>Lisans kanıtları/87f6fa632038ab54ca3fb43f77359bf88ee9f90c5d6b99c0b5ccb5cf0e5fb6c3.html</t>
        </is>
      </c>
      <c r="K189" s="29" t="inlineStr">
        <is>
          <t>87f6fa632038ab54ca3fb43f77359bf88ee9f90c5d6b99c0b5ccb5cf0e5fb6c3</t>
        </is>
      </c>
    </row>
    <row r="190" ht="54" customHeight="1">
      <c r="A190" s="29" t="inlineStr">
        <is>
          <t>sevilla:kaynak:189</t>
        </is>
      </c>
      <c r="B190" s="29" t="inlineStr">
        <is>
          <t>sevilla</t>
        </is>
      </c>
      <c r="C190" s="29" t="inlineStr">
        <is>
          <t>DGT - En ciudad</t>
        </is>
      </c>
      <c r="D190" s="29" t="inlineStr">
        <is>
          <t>DGT</t>
        </is>
      </c>
      <c r="E190" s="29" t="inlineStr">
        <is>
          <t>https://www.dgt.es/muevete-con-seguridad/viaja-seguro/consejos-extranjeros/en-ciudad/</t>
        </is>
      </c>
      <c r="F190" s="49" t="n">
        <v>46319</v>
      </c>
      <c r="G190" s="29" t="inlineStr">
        <is>
          <t>sevilla:ulasim</t>
        </is>
      </c>
      <c r="H190" s="29" t="inlineStr">
        <is>
          <t>Q5: şehirde çevre etiketi kısıtlaması</t>
        </is>
      </c>
      <c r="I190" s="29" t="inlineStr">
        <is>
          <t>Evet</t>
        </is>
      </c>
      <c r="J190" s="29" t="inlineStr">
        <is>
          <t>Lisans kanıtları/c62f3d90232b9d919e24f8485918e09752e8f3ab58f3ab509794e106a523edb3.html</t>
        </is>
      </c>
      <c r="K190" s="29" t="inlineStr">
        <is>
          <t>c62f3d90232b9d919e24f8485918e09752e8f3ab58f3ab509794e106a523edb3</t>
        </is>
      </c>
    </row>
    <row r="191" ht="54" customHeight="1">
      <c r="A191" s="29" t="inlineStr">
        <is>
          <t>sevilla:kaynak:190</t>
        </is>
      </c>
      <c r="B191" s="29" t="inlineStr">
        <is>
          <t>sevilla</t>
        </is>
      </c>
      <c r="C191" s="29" t="inlineStr">
        <is>
          <t>AUSSA</t>
        </is>
      </c>
      <c r="D191" s="29" t="inlineStr">
        <is>
          <t>AUSSA (Aparcamientos Urbanos de Sevilla)</t>
        </is>
      </c>
      <c r="E191" s="29" t="inlineStr">
        <is>
          <t>https://www.aussa.es/</t>
        </is>
      </c>
      <c r="F191" s="49" t="n">
        <v>46319</v>
      </c>
      <c r="G191" s="29" t="inlineStr">
        <is>
          <t>sevilla:ulasim</t>
        </is>
      </c>
      <c r="H191" s="29" t="inlineStr">
        <is>
          <t>Q5: zona azul / park kuralları</t>
        </is>
      </c>
      <c r="I191" s="29" t="inlineStr">
        <is>
          <t>Evet</t>
        </is>
      </c>
      <c r="J191" s="29" t="inlineStr">
        <is>
          <t>Lisans kanıtları/6e3fabe275716db893f4e45f8ec71c5398a0e5f9dd33af439963d8096d25372f.html</t>
        </is>
      </c>
      <c r="K191" s="29" t="inlineStr">
        <is>
          <t>6e3fabe275716db893f4e45f8ec71c5398a0e5f9dd33af439963d8096d25372f</t>
        </is>
      </c>
    </row>
    <row r="192" ht="54" customHeight="1">
      <c r="A192" s="29" t="inlineStr">
        <is>
          <t>sevilla:kaynak:191</t>
        </is>
      </c>
      <c r="B192" s="29" t="inlineStr">
        <is>
          <t>sevilla</t>
        </is>
      </c>
      <c r="C192" s="29" t="inlineStr">
        <is>
          <t>Urgencias - Junta de Andalucía</t>
        </is>
      </c>
      <c r="D192" s="29" t="inlineStr">
        <is>
          <t>Junta de Andalucía</t>
        </is>
      </c>
      <c r="E192" s="29" t="inlineStr">
        <is>
          <t>https://www.juntadeandalucia.es/temas/salud/urgencias/urgencias.html</t>
        </is>
      </c>
      <c r="F192" s="49" t="n">
        <v>46319</v>
      </c>
      <c r="G192" s="29" t="inlineStr">
        <is>
          <t>sevilla:gunluk</t>
        </is>
      </c>
      <c r="H192" s="29" t="inlineStr">
        <is>
          <t>Q1: 061 ne zaman aranır</t>
        </is>
      </c>
      <c r="I192" s="29" t="inlineStr">
        <is>
          <t>Evet</t>
        </is>
      </c>
      <c r="J192" s="29" t="inlineStr">
        <is>
          <t>Lisans kanıtları/10a87294a97db6629a66c451aa4a6e0e7ee59fd3ccd8af9da010714b94b3b6ef.html</t>
        </is>
      </c>
      <c r="K192" s="29" t="inlineStr">
        <is>
          <t>10a87294a97db6629a66c451aa4a6e0e7ee59fd3ccd8af9da010714b94b3b6ef</t>
        </is>
      </c>
    </row>
    <row r="193" ht="54" customHeight="1">
      <c r="A193" s="29" t="inlineStr">
        <is>
          <t>sevilla:kaynak:192</t>
        </is>
      </c>
      <c r="B193" s="29" t="inlineStr">
        <is>
          <t>sevilla</t>
        </is>
      </c>
      <c r="C193" s="29" t="inlineStr">
        <is>
          <t>Teléfonos de Interés - Junta de Andalucía</t>
        </is>
      </c>
      <c r="D193" s="29" t="inlineStr">
        <is>
          <t>Junta de Andalucía</t>
        </is>
      </c>
      <c r="E193" s="29" t="inlineStr">
        <is>
          <t>https://www.juntadeandalucia.es/organismos/sanidadpresidenciayemergencias/servicios/telefonos.html</t>
        </is>
      </c>
      <c r="F193" s="49" t="n">
        <v>46319</v>
      </c>
      <c r="G193" s="29" t="inlineStr">
        <is>
          <t>sevilla:gunluk</t>
        </is>
      </c>
      <c r="H193" s="29" t="inlineStr">
        <is>
          <t>Q1: acil numaralar</t>
        </is>
      </c>
      <c r="I193" s="29" t="inlineStr">
        <is>
          <t>Evet</t>
        </is>
      </c>
      <c r="J193" s="29" t="inlineStr">
        <is>
          <t>Lisans kanıtları/c350b43a84988054f1f7698eb94c3a1aa7451cdff534e09a0629f789813280ca.html</t>
        </is>
      </c>
      <c r="K193" s="29" t="inlineStr">
        <is>
          <t>c350b43a84988054f1f7698eb94c3a1aa7451cdff534e09a0629f789813280ca</t>
        </is>
      </c>
    </row>
    <row r="194" ht="54" customHeight="1">
      <c r="A194" s="29" t="inlineStr">
        <is>
          <t>sevilla:kaynak:193</t>
        </is>
      </c>
      <c r="B194" s="29" t="inlineStr">
        <is>
          <t>sevilla</t>
        </is>
      </c>
      <c r="C194" s="29" t="inlineStr">
        <is>
          <t>Qué hacer en situaciones de emergencia - Junta de Andalucía</t>
        </is>
      </c>
      <c r="D194" s="29" t="inlineStr">
        <is>
          <t>Junta de Andalucía</t>
        </is>
      </c>
      <c r="E194" s="29" t="inlineStr">
        <is>
          <t>https://www.juntadeandalucia.es/temas/seguridad/emergencias/que-hacer.html</t>
        </is>
      </c>
      <c r="F194" s="49" t="n">
        <v>46319</v>
      </c>
      <c r="G194" s="29" t="inlineStr">
        <is>
          <t>sevilla:gunluk</t>
        </is>
      </c>
      <c r="H194" s="29" t="inlineStr">
        <is>
          <t>Q1: acil durumda ne yapılır</t>
        </is>
      </c>
      <c r="I194" s="29" t="inlineStr">
        <is>
          <t>Evet</t>
        </is>
      </c>
      <c r="J194" s="29" t="inlineStr">
        <is>
          <t>Lisans kanıtları/bef3929cb946735b776fda3f80a49d89f3eb5fddac7aea77db9d55b39e39d3db.html</t>
        </is>
      </c>
      <c r="K194" s="29" t="inlineStr">
        <is>
          <t>bef3929cb946735b776fda3f80a49d89f3eb5fddac7aea77db9d55b39e39d3db</t>
        </is>
      </c>
    </row>
    <row r="195" ht="54" customHeight="1">
      <c r="A195" s="29" t="inlineStr">
        <is>
          <t>sevilla:kaynak:195</t>
        </is>
      </c>
      <c r="B195" s="29" t="inlineStr">
        <is>
          <t>sevilla</t>
        </is>
      </c>
      <c r="C195" s="29" t="inlineStr">
        <is>
          <t>Residuos y reciclaje, Recapacicla - Portal Ambiental de Andalucía</t>
        </is>
      </c>
      <c r="D195" s="29" t="inlineStr">
        <is>
          <t>Junta de Andalucía</t>
        </is>
      </c>
      <c r="E195" s="29" t="inlineStr">
        <is>
          <t>https://www.juntadeandalucia.es/medioambiente/portal/areas-tematicas/sensibilizacion-formacion/sensibilizacion-educacion-para-la-sostenibilidad/recapacicla/residuos-reciclaje</t>
        </is>
      </c>
      <c r="F195" s="49" t="n">
        <v>46319</v>
      </c>
      <c r="G195" s="29" t="inlineStr">
        <is>
          <t>sevilla:gunluk</t>
        </is>
      </c>
      <c r="H195" s="29" t="inlineStr">
        <is>
          <t>Q2: konteyner renkleri</t>
        </is>
      </c>
      <c r="I195" s="29" t="inlineStr">
        <is>
          <t>Evet</t>
        </is>
      </c>
      <c r="J195" s="29" t="inlineStr">
        <is>
          <t>Lisans kanıtları/9505ddf71d6c51d203a86dd453f99a629d03ed31865d6880836e4c1ddda943f3.html</t>
        </is>
      </c>
      <c r="K195" s="29" t="inlineStr">
        <is>
          <t>9505ddf71d6c51d203a86dd453f99a629d03ed31865d6880836e4c1ddda943f3</t>
        </is>
      </c>
    </row>
    <row r="196" ht="54" customHeight="1">
      <c r="A196" s="29" t="inlineStr">
        <is>
          <t>sevilla:kaynak:196</t>
        </is>
      </c>
      <c r="B196" s="29" t="inlineStr">
        <is>
          <t>sevilla</t>
        </is>
      </c>
      <c r="C196" s="29" t="inlineStr">
        <is>
          <t>Reciclaje de envases de vidrio - Portal Ambiental de Andalucía</t>
        </is>
      </c>
      <c r="D196" s="29" t="inlineStr">
        <is>
          <t>Junta de Andalucía</t>
        </is>
      </c>
      <c r="E196" s="29" t="inlineStr">
        <is>
          <t>https://www.juntadeandalucia.es/medioambiente/portal/web/guest/areas-tematicas/sensibilizacion-formacion/sensibilizacion-educacion-para-la-sostenibilidad/recapacicla/residuos-reciclaje/reciclaje-envases-vidrio</t>
        </is>
      </c>
      <c r="F196" s="49" t="n">
        <v>46319</v>
      </c>
      <c r="G196" s="29" t="inlineStr">
        <is>
          <t>sevilla:gunluk</t>
        </is>
      </c>
      <c r="H196" s="29" t="inlineStr">
        <is>
          <t>Q2: cam geri dönüşümü</t>
        </is>
      </c>
      <c r="I196" s="29" t="inlineStr">
        <is>
          <t>Evet</t>
        </is>
      </c>
      <c r="J196" s="29" t="inlineStr">
        <is>
          <t>Lisans kanıtları/70ebe4f51ab7d403c829fee6be1bfe576ab54c4de9c9aa92392402072102f97f.html</t>
        </is>
      </c>
      <c r="K196" s="29" t="inlineStr">
        <is>
          <t>70ebe4f51ab7d403c829fee6be1bfe576ab54c4de9c9aa92392402072102f97f</t>
        </is>
      </c>
    </row>
    <row r="197" ht="54" customHeight="1">
      <c r="A197" s="29" t="inlineStr">
        <is>
          <t>sevilla:kaynak:197</t>
        </is>
      </c>
      <c r="B197" s="29" t="inlineStr">
        <is>
          <t>sevilla</t>
        </is>
      </c>
      <c r="C197" s="29" t="inlineStr">
        <is>
          <t>Biorresiduos</t>
        </is>
      </c>
      <c r="D197" s="29" t="inlineStr">
        <is>
          <t>MITECO</t>
        </is>
      </c>
      <c r="E197" s="29" t="inlineStr">
        <is>
          <t>https://www.miteco.gob.es/es/calidad-y-evaluacion-ambiental/temas/prevencion-y-gestion-residuos/flujos/biorresiduos/biorresiduos-como-se-recogen.html</t>
        </is>
      </c>
      <c r="F197" s="49" t="n">
        <v>46319</v>
      </c>
      <c r="G197" s="29" t="inlineStr">
        <is>
          <t>sevilla:gunluk</t>
        </is>
      </c>
      <c r="H197" s="29" t="inlineStr">
        <is>
          <t>Q2: organik atık kahverengi konteyner</t>
        </is>
      </c>
      <c r="I197" s="29" t="inlineStr">
        <is>
          <t>Evet</t>
        </is>
      </c>
      <c r="J197" s="29" t="inlineStr">
        <is>
          <t>Lisans kanıtları/aada755bade0b3f15d10314141a1b3030a66a7d1db1fba038f0db5acb9e64e9d.html</t>
        </is>
      </c>
      <c r="K197" s="29" t="inlineStr">
        <is>
          <t>aada755bade0b3f15d10314141a1b3030a66a7d1db1fba038f0db5acb9e64e9d</t>
        </is>
      </c>
    </row>
    <row r="198" ht="54" customHeight="1">
      <c r="A198" s="29" t="inlineStr">
        <is>
          <t>sevilla:kaynak:198</t>
        </is>
      </c>
      <c r="B198" s="29" t="inlineStr">
        <is>
          <t>sevilla</t>
        </is>
      </c>
      <c r="C198" s="29" t="inlineStr">
        <is>
          <t>Estudia español en Sevilla con el IDI | Instituto de Idiomas</t>
        </is>
      </c>
      <c r="D198" s="29" t="inlineStr">
        <is>
          <t>Universidad de Sevilla - Instituto de Idiomas</t>
        </is>
      </c>
      <c r="E198" s="29" t="inlineStr">
        <is>
          <t>https://institutodeidiomas.us.es/cursos/idiomas/estudia-espanol-en-sevilla-con-el-idi</t>
        </is>
      </c>
      <c r="F198" s="49" t="n">
        <v>46319</v>
      </c>
      <c r="G198" s="29" t="inlineStr">
        <is>
          <t>sevilla:gunluk</t>
        </is>
      </c>
      <c r="H198" s="29" t="inlineStr">
        <is>
          <t>Q3: İspanyolca kursu (üniversite)</t>
        </is>
      </c>
      <c r="I198" s="29" t="inlineStr">
        <is>
          <t>Evet</t>
        </is>
      </c>
      <c r="J198" s="29" t="inlineStr">
        <is>
          <t>Lisans kanıtları/95a4f960222d0a306f902022400c87d890b69e718d3b22dadab6ffb5f34357e0.html</t>
        </is>
      </c>
      <c r="K198" s="29" t="inlineStr">
        <is>
          <t>95a4f960222d0a306f902022400c87d890b69e718d3b22dadab6ffb5f34357e0</t>
        </is>
      </c>
    </row>
    <row r="199" ht="54" customHeight="1">
      <c r="A199" s="29" t="inlineStr">
        <is>
          <t>sevilla:kaynak:199</t>
        </is>
      </c>
      <c r="B199" s="29" t="inlineStr">
        <is>
          <t>sevilla</t>
        </is>
      </c>
      <c r="C199" s="29" t="inlineStr">
        <is>
          <t>Idiomas - Junta de Andalucía</t>
        </is>
      </c>
      <c r="D199" s="29" t="inlineStr">
        <is>
          <t>Junta de Andalucía</t>
        </is>
      </c>
      <c r="E199" s="29" t="inlineStr">
        <is>
          <t>https://www.juntadeandalucia.es/temas/estudiar/otras/idiomas.html</t>
        </is>
      </c>
      <c r="F199" s="49" t="n">
        <v>46319</v>
      </c>
      <c r="G199" s="29" t="inlineStr">
        <is>
          <t>sevilla:gunluk</t>
        </is>
      </c>
      <c r="H199" s="29" t="inlineStr">
        <is>
          <t>Q3: EOI kamu dil okulları</t>
        </is>
      </c>
      <c r="I199" s="29" t="inlineStr">
        <is>
          <t>Evet</t>
        </is>
      </c>
      <c r="J199" s="29" t="inlineStr">
        <is>
          <t>Lisans kanıtları/cc2e82a7ebe75eacc987b3a220c8ba6efd14a5fd9b1059d32bfe24d4b50f2176.html</t>
        </is>
      </c>
      <c r="K199" s="29" t="inlineStr">
        <is>
          <t>cc2e82a7ebe75eacc987b3a220c8ba6efd14a5fd9b1059d32bfe24d4b50f2176</t>
        </is>
      </c>
    </row>
    <row r="200" ht="54" customHeight="1">
      <c r="A200" s="29" t="inlineStr">
        <is>
          <t>sevilla:kaynak:200</t>
        </is>
      </c>
      <c r="B200" s="29" t="inlineStr">
        <is>
          <t>sevilla</t>
        </is>
      </c>
      <c r="C200" s="29" t="inlineStr">
        <is>
          <t>Tarjeta de usuario/a - Junta de Andalucía</t>
        </is>
      </c>
      <c r="D200" s="29" t="inlineStr">
        <is>
          <t>Junta de Andalucía</t>
        </is>
      </c>
      <c r="E200" s="29" t="inlineStr">
        <is>
          <t>https://www.juntadeandalucia.es/organismos/culturaydeporte/areas/cultura/bibliotecas-documentacion/red-publicas/paginas/tarjetausuario-bpja.html</t>
        </is>
      </c>
      <c r="F200" s="49" t="n">
        <v>46319</v>
      </c>
      <c r="G200" s="29" t="inlineStr">
        <is>
          <t>sevilla:gunluk</t>
        </is>
      </c>
      <c r="H200" s="29" t="inlineStr">
        <is>
          <t>Q5: kütüphane kartı, ücretsiz</t>
        </is>
      </c>
      <c r="I200" s="29" t="inlineStr">
        <is>
          <t>Evet</t>
        </is>
      </c>
      <c r="J200" s="29" t="inlineStr">
        <is>
          <t>Lisans kanıtları/9dad69b03414b74c055d2a00c3d430dd142841308a6cddaab074c31beef36909.html</t>
        </is>
      </c>
      <c r="K200" s="29" t="inlineStr">
        <is>
          <t>9dad69b03414b74c055d2a00c3d430dd142841308a6cddaab074c31beef36909</t>
        </is>
      </c>
    </row>
    <row r="201" ht="54" customHeight="1">
      <c r="A201" s="29" t="inlineStr">
        <is>
          <t>sevilla:kaynak:201</t>
        </is>
      </c>
      <c r="B201" s="29" t="inlineStr">
        <is>
          <t>sevilla</t>
        </is>
      </c>
      <c r="C201" s="29" t="inlineStr">
        <is>
          <t>Datos prácticos - Junta de Andalucía</t>
        </is>
      </c>
      <c r="D201" s="29" t="inlineStr">
        <is>
          <t>Junta de Andalucía</t>
        </is>
      </c>
      <c r="E201" s="29" t="inlineStr">
        <is>
          <t>https://www.juntadeandalucia.es/organismos/culturaydeporte/areas/cultura/bibliotecas-documentacion/red-publicas/paginas/datospracticosbpse.html</t>
        </is>
      </c>
      <c r="F201" s="49" t="n">
        <v>46319</v>
      </c>
      <c r="G201" s="29" t="inlineStr">
        <is>
          <t>sevilla:gunluk</t>
        </is>
      </c>
      <c r="H201" s="29" t="inlineStr">
        <is>
          <t>Q5: Sevilla il kütüphanesi adres/saat</t>
        </is>
      </c>
      <c r="I201" s="29" t="inlineStr">
        <is>
          <t>Evet</t>
        </is>
      </c>
      <c r="J201" s="29" t="inlineStr">
        <is>
          <t>Lisans kanıtları/3976a137d838f221f6f90fc5b39e9acb77f99c1674570b7c6152c88913fe2352.html</t>
        </is>
      </c>
      <c r="K201" s="29" t="inlineStr">
        <is>
          <t>3976a137d838f221f6f90fc5b39e9acb77f99c1674570b7c6152c88913fe2352</t>
        </is>
      </c>
    </row>
    <row r="202" ht="54" customHeight="1">
      <c r="A202" s="29" t="inlineStr">
        <is>
          <t>sevilla:kaynak:202</t>
        </is>
      </c>
      <c r="B202" s="29" t="inlineStr">
        <is>
          <t>sevilla</t>
        </is>
      </c>
      <c r="C202" s="29" t="inlineStr">
        <is>
          <t>Holy Week in Seville - Visita Sevilla - EN</t>
        </is>
      </c>
      <c r="D202" s="29" t="inlineStr">
        <is>
          <t>Turismo de Sevilla (Visita Sevilla)</t>
        </is>
      </c>
      <c r="E202" s="29" t="inlineStr">
        <is>
          <t>https://visitasevilla.es/en/holy-week-in-seville/</t>
        </is>
      </c>
      <c r="F202" s="49" t="n">
        <v>46319</v>
      </c>
      <c r="G202" s="29" t="inlineStr">
        <is>
          <t>sevilla:gunluk</t>
        </is>
      </c>
      <c r="H202" s="29" t="inlineStr">
        <is>
          <t>Q4: Semana Santa Carrera Oficial</t>
        </is>
      </c>
      <c r="I202" s="29" t="inlineStr">
        <is>
          <t>Evet</t>
        </is>
      </c>
      <c r="J202" s="29" t="inlineStr">
        <is>
          <t>Lisans kanıtları/847ff15181d9f281882688c6f94a482734100ac184bda845002c9dbb2c896109.html</t>
        </is>
      </c>
      <c r="K202" s="29" t="inlineStr">
        <is>
          <t>847ff15181d9f281882688c6f94a482734100ac184bda845002c9dbb2c896109</t>
        </is>
      </c>
    </row>
    <row r="203" ht="54" customHeight="1">
      <c r="A203" s="29" t="inlineStr">
        <is>
          <t>sevilla:kaynak:203</t>
        </is>
      </c>
      <c r="B203" s="29" t="inlineStr">
        <is>
          <t>sevilla</t>
        </is>
      </c>
      <c r="C203" s="29" t="inlineStr">
        <is>
          <t>SEMANA SANTA EN SEVILLA</t>
        </is>
      </c>
      <c r="D203" s="29" t="inlineStr">
        <is>
          <t>Junta de Andalucía</t>
        </is>
      </c>
      <c r="E203" s="29" t="inlineStr">
        <is>
          <t>https://www.juntadeandalucia.es/cultura/agendaculturaldeandalucia/planes-de-ocio/semana-santa-en-sevilla</t>
        </is>
      </c>
      <c r="F203" s="49" t="n">
        <v>46319</v>
      </c>
      <c r="G203" s="29" t="inlineStr">
        <is>
          <t>sevilla:gunluk</t>
        </is>
      </c>
      <c r="H203" s="29" t="inlineStr">
        <is>
          <t>Q4: Semana Santa programı</t>
        </is>
      </c>
      <c r="I203" s="29" t="inlineStr">
        <is>
          <t>Evet</t>
        </is>
      </c>
      <c r="J203" s="29" t="inlineStr">
        <is>
          <t>Lisans kanıtları/711c491da16904301f79f48f060ba76a299194097043566a66de7c26a7621f2d.html</t>
        </is>
      </c>
      <c r="K203" s="29" t="inlineStr">
        <is>
          <t>711c491da16904301f79f48f060ba76a299194097043566a66de7c26a7621f2d</t>
        </is>
      </c>
    </row>
    <row r="204" ht="54" customHeight="1">
      <c r="A204" s="29" t="inlineStr">
        <is>
          <t>sevilla:kaynak:204</t>
        </is>
      </c>
      <c r="B204" s="29" t="inlineStr">
        <is>
          <t>sevilla</t>
        </is>
      </c>
      <c r="C204" s="29" t="inlineStr">
        <is>
          <t>Guía de convivencia en la ciudad - Visita Sevilla</t>
        </is>
      </c>
      <c r="D204" s="29" t="inlineStr">
        <is>
          <t>Turismo de Sevilla (Visita Sevilla)</t>
        </is>
      </c>
      <c r="E204" s="29" t="inlineStr">
        <is>
          <t>https://visitasevilla.es/guia-de-convivencia-en-la-ciudad/</t>
        </is>
      </c>
      <c r="F204" s="49" t="n">
        <v>46319</v>
      </c>
      <c r="G204" s="29" t="inlineStr">
        <is>
          <t>sevilla:gunluk</t>
        </is>
      </c>
      <c r="H204" s="29" t="inlineStr">
        <is>
          <t>Q4/gündelik: komşuluk ve şehir kuralları</t>
        </is>
      </c>
      <c r="I204" s="29" t="inlineStr">
        <is>
          <t>Evet</t>
        </is>
      </c>
      <c r="J204" s="29" t="inlineStr">
        <is>
          <t>Lisans kanıtları/bef6d998c9818c3609651b1a70f7f0f08bf64254b17d404a648b8f36263abcc0.html</t>
        </is>
      </c>
      <c r="K204" s="29" t="inlineStr">
        <is>
          <t>bef6d998c9818c3609651b1a70f7f0f08bf64254b17d404a648b8f36263abcc0</t>
        </is>
      </c>
    </row>
    <row r="205" ht="54" customHeight="1">
      <c r="A205" s="29" t="inlineStr">
        <is>
          <t>sevilla:kaynak:205</t>
        </is>
      </c>
      <c r="B205" s="29" t="inlineStr">
        <is>
          <t>sevilla</t>
        </is>
      </c>
      <c r="C205" s="29" t="inlineStr">
        <is>
          <t>Prepara la visita - Real Alcázar de Sevilla - Official Web of The Real Alcázar of Seville</t>
        </is>
      </c>
      <c r="D205" s="29" t="inlineStr">
        <is>
          <t>Real Alcázar de Sevilla</t>
        </is>
      </c>
      <c r="E205" s="29" t="inlineStr">
        <is>
          <t>https://alcazarsevilla.org/prepara-la-visita/</t>
        </is>
      </c>
      <c r="F205" s="49" t="n">
        <v>46319</v>
      </c>
      <c r="G205" s="29" t="inlineStr">
        <is>
          <t>sevilla:kesif</t>
        </is>
      </c>
      <c r="H205" s="29" t="inlineStr">
        <is>
          <t>Q1/Q2: saatler, ücretsiz giriş kategorileri</t>
        </is>
      </c>
      <c r="I205" s="29" t="inlineStr">
        <is>
          <t>Evet</t>
        </is>
      </c>
      <c r="J205" s="29" t="inlineStr">
        <is>
          <t>Lisans kanıtları/80381c4dcf4578ffd3e9e00ffc757ccea9a3c74347878bd205ee38e498da8103.html</t>
        </is>
      </c>
      <c r="K205" s="29" t="inlineStr">
        <is>
          <t>80381c4dcf4578ffd3e9e00ffc757ccea9a3c74347878bd205ee38e498da8103</t>
        </is>
      </c>
    </row>
    <row r="206" ht="54" customHeight="1">
      <c r="A206" s="29" t="inlineStr">
        <is>
          <t>sevilla:kaynak:206</t>
        </is>
      </c>
      <c r="B206" s="29" t="inlineStr">
        <is>
          <t>sevilla</t>
        </is>
      </c>
      <c r="C206" s="29" t="inlineStr">
        <is>
          <t>Horarios y tarifas | Web Oficial Catedral de Sevilla</t>
        </is>
      </c>
      <c r="D206" s="29" t="inlineStr">
        <is>
          <t>Catedral de Sevilla</t>
        </is>
      </c>
      <c r="E206" s="29" t="inlineStr">
        <is>
          <t>https://www.catedraldesevilla.es/visita-cultural/horarios-y-tarifas/</t>
        </is>
      </c>
      <c r="F206" s="49" t="n">
        <v>46319</v>
      </c>
      <c r="G206" s="29" t="inlineStr">
        <is>
          <t>sevilla:kesif</t>
        </is>
      </c>
      <c r="H206" s="29" t="inlineStr">
        <is>
          <t>Q1: Katedral ve Giralda saat/fiyat</t>
        </is>
      </c>
      <c r="I206" s="29" t="inlineStr">
        <is>
          <t>Evet</t>
        </is>
      </c>
      <c r="J206" s="29" t="inlineStr">
        <is>
          <t>Lisans kanıtları/16c5083c222ed1f8ec4bb51886edc143a519acd6f025136fa8e0cb029c7781a0.html</t>
        </is>
      </c>
      <c r="K206" s="29" t="inlineStr">
        <is>
          <t>16c5083c222ed1f8ec4bb51886edc143a519acd6f025136fa8e0cb029c7781a0</t>
        </is>
      </c>
    </row>
    <row r="207" ht="54" customHeight="1">
      <c r="A207" s="29" t="inlineStr">
        <is>
          <t>sevilla:kaynak:207</t>
        </is>
      </c>
      <c r="B207" s="29" t="inlineStr">
        <is>
          <t>sevilla</t>
        </is>
      </c>
      <c r="C207" s="29" t="inlineStr">
        <is>
          <t>Junta de Andalucía - Museo de Bellas Artes de Sevilla</t>
        </is>
      </c>
      <c r="D207" s="29" t="inlineStr">
        <is>
          <t>Junta de Andalucía</t>
        </is>
      </c>
      <c r="E207" s="29" t="inlineStr">
        <is>
          <t>https://www.juntadeandalucia.es/organismos/culturaydeporte/areas/cultura/museos-arte/directorio-museos/detalle/2631.html</t>
        </is>
      </c>
      <c r="F207" s="49" t="n">
        <v>46319</v>
      </c>
      <c r="G207" s="29" t="inlineStr">
        <is>
          <t>sevilla:kesif</t>
        </is>
      </c>
      <c r="H207" s="29" t="inlineStr">
        <is>
          <t>Q1/Q2: müze saatleri</t>
        </is>
      </c>
      <c r="I207" s="29" t="inlineStr">
        <is>
          <t>Evet</t>
        </is>
      </c>
      <c r="J207" s="29" t="inlineStr">
        <is>
          <t>Lisans kanıtları/f824bd5814034f8efe23f00d6259df8f975defc345b5be19e8a7d1be86310404.html</t>
        </is>
      </c>
      <c r="K207" s="29" t="inlineStr">
        <is>
          <t>f824bd5814034f8efe23f00d6259df8f975defc345b5be19e8a7d1be86310404</t>
        </is>
      </c>
    </row>
    <row r="208" ht="54" customHeight="1">
      <c r="A208" s="29" t="inlineStr">
        <is>
          <t>sevilla:kaynak:209</t>
        </is>
      </c>
      <c r="B208" s="29" t="inlineStr">
        <is>
          <t>sevilla</t>
        </is>
      </c>
      <c r="C208" s="29" t="inlineStr">
        <is>
          <t>Conjunto Arqueológico de Itálica</t>
        </is>
      </c>
      <c r="D208" s="29" t="inlineStr">
        <is>
          <t>Junta de Andalucía</t>
        </is>
      </c>
      <c r="E208" s="29" t="inlineStr">
        <is>
          <t>https://www.juntadeandalucia.es/cultura/agendaculturaldeandalucia/espacios/conjunto-arqueologico-de-italica</t>
        </is>
      </c>
      <c r="F208" s="49" t="n">
        <v>46319</v>
      </c>
      <c r="G208" s="29" t="inlineStr">
        <is>
          <t>sevilla:kesif</t>
        </is>
      </c>
      <c r="H208" s="29" t="inlineStr">
        <is>
          <t>Q1: Itálica</t>
        </is>
      </c>
      <c r="I208" s="29" t="inlineStr">
        <is>
          <t>Evet</t>
        </is>
      </c>
      <c r="J208" s="29" t="inlineStr">
        <is>
          <t>Lisans kanıtları/c4c21f21e48b7b58a38284b1dc8429d9e3d1eb3635130203e2e714ca1b67be49.html</t>
        </is>
      </c>
      <c r="K208" s="29" t="inlineStr">
        <is>
          <t>c4c21f21e48b7b58a38284b1dc8429d9e3d1eb3635130203e2e714ca1b67be49</t>
        </is>
      </c>
    </row>
    <row r="209" ht="54" customHeight="1">
      <c r="A209" s="29" t="inlineStr">
        <is>
          <t>sevilla:kaynak:210</t>
        </is>
      </c>
      <c r="B209" s="29" t="inlineStr">
        <is>
          <t>sevilla</t>
        </is>
      </c>
      <c r="C209" s="29" t="inlineStr">
        <is>
          <t>Programación de actividades culturales 28-F. Día de Andalucía 2025 - Junta de Andalucía</t>
        </is>
      </c>
      <c r="D209" s="29" t="inlineStr">
        <is>
          <t>Junta de Andalucía</t>
        </is>
      </c>
      <c r="E209" s="29" t="inlineStr">
        <is>
          <t>https://www.juntadeandalucia.es/organismos/culturaydeporte/areas/cultura/museos-arte/programacion-actividades/paginas/actividades-culturales-28f-2025.html</t>
        </is>
      </c>
      <c r="F209" s="49" t="n">
        <v>46319</v>
      </c>
      <c r="G209" s="29" t="inlineStr">
        <is>
          <t>sevilla:kesif</t>
        </is>
      </c>
      <c r="H209" s="29" t="inlineStr">
        <is>
          <t>Q2: 28F ücretsiz müze günü</t>
        </is>
      </c>
      <c r="I209" s="29" t="inlineStr">
        <is>
          <t>Evet</t>
        </is>
      </c>
      <c r="J209" s="29" t="inlineStr">
        <is>
          <t>Lisans kanıtları/85bb4fdba96ed50b35b633e80e5df4bbee5a421a6b8c9e33d11abfd8e1b5ac56.html</t>
        </is>
      </c>
      <c r="K209" s="29" t="inlineStr">
        <is>
          <t>85bb4fdba96ed50b35b633e80e5df4bbee5a421a6b8c9e33d11abfd8e1b5ac56</t>
        </is>
      </c>
    </row>
    <row r="210" ht="54" customHeight="1">
      <c r="A210" s="29" t="inlineStr">
        <is>
          <t>sevilla:kaynak:211</t>
        </is>
      </c>
      <c r="B210" s="29" t="inlineStr">
        <is>
          <t>sevilla</t>
        </is>
      </c>
      <c r="C210" s="29" t="inlineStr">
        <is>
          <t>Día Internacional de los Museos en Sevilla</t>
        </is>
      </c>
      <c r="D210" s="29" t="inlineStr">
        <is>
          <t>Junta de Andalucía</t>
        </is>
      </c>
      <c r="E210" s="29" t="inlineStr">
        <is>
          <t>https://www.juntadeandalucia.es/cultura/agendaculturaldeandalucia/evento/dia-internacional-de-los-museos-en-sevilla</t>
        </is>
      </c>
      <c r="F210" s="49" t="n">
        <v>46319</v>
      </c>
      <c r="G210" s="29" t="inlineStr">
        <is>
          <t>sevilla:kesif</t>
        </is>
      </c>
      <c r="H210" s="29" t="inlineStr">
        <is>
          <t>Q2: Uluslararası Müzeler Günü ücretsiz</t>
        </is>
      </c>
      <c r="I210" s="29" t="inlineStr">
        <is>
          <t>Evet</t>
        </is>
      </c>
      <c r="J210" s="29" t="inlineStr">
        <is>
          <t>Lisans kanıtları/5258feb9321256c398d7603f36bc1f1086e07c68324af1a09372747d154e3ece.html</t>
        </is>
      </c>
      <c r="K210" s="29" t="inlineStr">
        <is>
          <t>5258feb9321256c398d7603f36bc1f1086e07c68324af1a09372747d154e3ece</t>
        </is>
      </c>
    </row>
    <row r="211" ht="54" customHeight="1">
      <c r="A211" s="29" t="inlineStr">
        <is>
          <t>sevilla:kaynak:212</t>
        </is>
      </c>
      <c r="B211" s="29" t="inlineStr">
        <is>
          <t>sevilla</t>
        </is>
      </c>
      <c r="C211" s="29" t="inlineStr">
        <is>
          <t>El Flamenco - Visita Sevilla</t>
        </is>
      </c>
      <c r="D211" s="29" t="inlineStr">
        <is>
          <t>Turismo de Sevilla (Visita Sevilla)</t>
        </is>
      </c>
      <c r="E211" s="29" t="inlineStr">
        <is>
          <t>https://visitasevilla.es/el-flamenco/</t>
        </is>
      </c>
      <c r="F211" s="49" t="n">
        <v>46319</v>
      </c>
      <c r="G211" s="29" t="inlineStr">
        <is>
          <t>sevilla:kesif</t>
        </is>
      </c>
      <c r="H211" s="29" t="inlineStr">
        <is>
          <t>Q3: flamenko nerede izlenir</t>
        </is>
      </c>
      <c r="I211" s="29" t="inlineStr">
        <is>
          <t>Evet</t>
        </is>
      </c>
      <c r="J211" s="29" t="inlineStr">
        <is>
          <t>Lisans kanıtları/a32af4d69150bc36efdc1b08ac3297a74e0687166a39ad056d004212018b5e92.html</t>
        </is>
      </c>
      <c r="K211" s="29" t="inlineStr">
        <is>
          <t>a32af4d69150bc36efdc1b08ac3297a74e0687166a39ad056d004212018b5e92</t>
        </is>
      </c>
    </row>
    <row r="212" ht="54" customHeight="1">
      <c r="A212" s="29" t="inlineStr">
        <is>
          <t>sevilla:kaynak:213</t>
        </is>
      </c>
      <c r="B212" s="29" t="inlineStr">
        <is>
          <t>sevilla</t>
        </is>
      </c>
      <c r="C212" s="29" t="inlineStr">
        <is>
          <t>Programación Andalucía·Flamenco. Teatros propios. | Instituto Andaluz del Flamenco</t>
        </is>
      </c>
      <c r="D212" s="29" t="inlineStr">
        <is>
          <t>Instituto Andaluz del Flamenco</t>
        </is>
      </c>
      <c r="E212" s="29" t="inlineStr">
        <is>
          <t>https://www.juntadeandalucia.es/cultura/flamenco/content/programaci%C3%B3n-andaluc%C3%ADa%C2%B7flamenco-teatros-propios</t>
        </is>
      </c>
      <c r="F212" s="49" t="n">
        <v>46319</v>
      </c>
      <c r="G212" s="29" t="inlineStr">
        <is>
          <t>sevilla:kesif</t>
        </is>
      </c>
      <c r="H212" s="29" t="inlineStr">
        <is>
          <t>Q3: Teatro Central flamenko programı</t>
        </is>
      </c>
      <c r="I212" s="29" t="inlineStr">
        <is>
          <t>Evet</t>
        </is>
      </c>
      <c r="J212" s="29" t="inlineStr">
        <is>
          <t>Lisans kanıtları/421febe97ae61a6a80fecdf2f6a7b5c9b5adeecece4573805d5b94c6cd586e0b.html</t>
        </is>
      </c>
      <c r="K212" s="29" t="inlineStr">
        <is>
          <t>421febe97ae61a6a80fecdf2f6a7b5c9b5adeecece4573805d5b94c6cd586e0b</t>
        </is>
      </c>
    </row>
    <row r="213" ht="54" customHeight="1">
      <c r="A213" s="29" t="inlineStr">
        <is>
          <t>sevilla:kaynak:214</t>
        </is>
      </c>
      <c r="B213" s="29" t="inlineStr">
        <is>
          <t>sevilla</t>
        </is>
      </c>
      <c r="C213" s="29" t="inlineStr">
        <is>
          <t>Bienal de Flamenco de Sevilla en el Teatro Central</t>
        </is>
      </c>
      <c r="D213" s="29" t="inlineStr">
        <is>
          <t>Junta de Andalucía</t>
        </is>
      </c>
      <c r="E213" s="29" t="inlineStr">
        <is>
          <t>https://www.juntadeandalucia.es/cultura/agendaculturaldeandalucia/evento/bienal-de-flamenco-de-sevilla-en-el-teatro-central</t>
        </is>
      </c>
      <c r="F213" s="49" t="n">
        <v>46319</v>
      </c>
      <c r="G213" s="29" t="inlineStr">
        <is>
          <t>sevilla:kesif</t>
        </is>
      </c>
      <c r="H213" s="29" t="inlineStr">
        <is>
          <t>Q3: Bienal</t>
        </is>
      </c>
      <c r="I213" s="29" t="inlineStr">
        <is>
          <t>Evet</t>
        </is>
      </c>
      <c r="J213" s="29" t="inlineStr">
        <is>
          <t>Lisans kanıtları/96c313669145b66ffdd7ecd6a9ed72adb9fdbc004e5f4cafbd2f5de7c6706acb.html</t>
        </is>
      </c>
      <c r="K213" s="29" t="inlineStr">
        <is>
          <t>96c313669145b66ffdd7ecd6a9ed72adb9fdbc004e5f4cafbd2f5de7c6706acb</t>
        </is>
      </c>
    </row>
    <row r="214" ht="54" customHeight="1">
      <c r="A214" s="29" t="inlineStr">
        <is>
          <t>sevilla:kaynak:215</t>
        </is>
      </c>
      <c r="B214" s="29" t="inlineStr">
        <is>
          <t>sevilla</t>
        </is>
      </c>
      <c r="C214" s="29" t="inlineStr">
        <is>
          <t>Sevilla se vive en familia - Visita Sevilla</t>
        </is>
      </c>
      <c r="D214" s="29" t="inlineStr">
        <is>
          <t>Turismo de Sevilla (Visita Sevilla)</t>
        </is>
      </c>
      <c r="E214" s="29" t="inlineStr">
        <is>
          <t>https://visitasevilla.es/sevilla-se-vive-en-familia/</t>
        </is>
      </c>
      <c r="F214" s="49" t="n">
        <v>46319</v>
      </c>
      <c r="G214" s="29" t="inlineStr">
        <is>
          <t>sevilla:kesif</t>
        </is>
      </c>
      <c r="H214" s="29" t="inlineStr">
        <is>
          <t>Q4: çocuklarla gidilecek yerler</t>
        </is>
      </c>
      <c r="I214" s="29" t="inlineStr">
        <is>
          <t>Evet</t>
        </is>
      </c>
      <c r="J214" s="29" t="inlineStr">
        <is>
          <t>Lisans kanıtları/62bef92cc02f94323afa782ac68016f180f68e2194a0ccbdf231fd914c3e6ec4.html</t>
        </is>
      </c>
      <c r="K214" s="29" t="inlineStr">
        <is>
          <t>62bef92cc02f94323afa782ac68016f180f68e2194a0ccbdf231fd914c3e6ec4</t>
        </is>
      </c>
    </row>
    <row r="215" ht="54" customHeight="1">
      <c r="A215" s="29" t="inlineStr">
        <is>
          <t>sevilla:kaynak:216</t>
        </is>
      </c>
      <c r="B215" s="29" t="inlineStr">
        <is>
          <t>sevilla</t>
        </is>
      </c>
      <c r="C215" s="29" t="inlineStr">
        <is>
          <t>Sevilla a través de sus parques - Visita Sevilla</t>
        </is>
      </c>
      <c r="D215" s="29" t="inlineStr">
        <is>
          <t>Turismo de Sevilla (Visita Sevilla)</t>
        </is>
      </c>
      <c r="E215" s="29" t="inlineStr">
        <is>
          <t>https://visitasevilla.es/sevilla-a-traves-de-sus-parques/</t>
        </is>
      </c>
      <c r="F215" s="49" t="n">
        <v>46319</v>
      </c>
      <c r="G215" s="29" t="inlineStr">
        <is>
          <t>sevilla:kesif</t>
        </is>
      </c>
      <c r="H215" s="29" t="inlineStr">
        <is>
          <t>Q5: parklar</t>
        </is>
      </c>
      <c r="I215" s="29" t="inlineStr">
        <is>
          <t>Evet</t>
        </is>
      </c>
      <c r="J215" s="29" t="inlineStr">
        <is>
          <t>Lisans kanıtları/42ae83011c9e710196da27afccfea461e0e60a6c6996c8154a5b104de501c5c1.html</t>
        </is>
      </c>
      <c r="K215" s="29" t="inlineStr">
        <is>
          <t>42ae83011c9e710196da27afccfea461e0e60a6c6996c8154a5b104de501c5c1</t>
        </is>
      </c>
    </row>
    <row r="216" ht="54" customHeight="1">
      <c r="A216" s="29" t="inlineStr">
        <is>
          <t>sevilla:kaynak:217</t>
        </is>
      </c>
      <c r="B216" s="29" t="inlineStr">
        <is>
          <t>sevilla</t>
        </is>
      </c>
      <c r="C216" s="29" t="inlineStr">
        <is>
          <t>El Parque de María Luisa y otros jardines - Visita Sevilla</t>
        </is>
      </c>
      <c r="D216" s="29" t="inlineStr">
        <is>
          <t>Turismo de Sevilla (Visita Sevilla)</t>
        </is>
      </c>
      <c r="E216" s="29" t="inlineStr">
        <is>
          <t>https://visitasevilla.es/el-parque-de-maria-luisa-y-otros-jardines/</t>
        </is>
      </c>
      <c r="F216" s="49" t="n">
        <v>46319</v>
      </c>
      <c r="G216" s="29" t="inlineStr">
        <is>
          <t>sevilla:kesif</t>
        </is>
      </c>
      <c r="H216" s="29" t="inlineStr">
        <is>
          <t>Q5: parklar/bahçeler</t>
        </is>
      </c>
      <c r="I216" s="29" t="inlineStr">
        <is>
          <t>Evet</t>
        </is>
      </c>
      <c r="J216" s="29" t="inlineStr">
        <is>
          <t>Lisans kanıtları/967c53fbf27ba876b0662e87242fe463c47899f60c8d56b323711ebf4df8d0e0.html</t>
        </is>
      </c>
      <c r="K216" s="29" t="inlineStr">
        <is>
          <t>967c53fbf27ba876b0662e87242fe463c47899f60c8d56b323711ebf4df8d0e0</t>
        </is>
      </c>
    </row>
    <row r="217" ht="54" customHeight="1">
      <c r="A217" s="29" t="inlineStr">
        <is>
          <t>sevilla:kaynak:218</t>
        </is>
      </c>
      <c r="B217" s="29" t="inlineStr">
        <is>
          <t>sevilla</t>
        </is>
      </c>
      <c r="C217" s="29" t="inlineStr">
        <is>
          <t>Sevilla entre aguas: Un paseo histórico a través del Guadalquivir - Visita Sevilla</t>
        </is>
      </c>
      <c r="D217" s="29" t="inlineStr">
        <is>
          <t>Turismo de Sevilla (Visita Sevilla)</t>
        </is>
      </c>
      <c r="E217" s="29" t="inlineStr">
        <is>
          <t>https://visitasevilla.es/sevilla-entre-aguas-un-paseo-historico-a-traves-del-guadalquivir/</t>
        </is>
      </c>
      <c r="F217" s="49" t="n">
        <v>46319</v>
      </c>
      <c r="G217" s="29" t="inlineStr">
        <is>
          <t>sevilla:kesif</t>
        </is>
      </c>
      <c r="H217" s="29" t="inlineStr">
        <is>
          <t>Q5: nehir kıyısı</t>
        </is>
      </c>
      <c r="I217" s="29" t="inlineStr">
        <is>
          <t>Evet</t>
        </is>
      </c>
      <c r="J217" s="29" t="inlineStr">
        <is>
          <t>Lisans kanıtları/074bd00cadcf5db963ebaca2a08b065d73be478d50ff950bf0ab5a2518f8d21e.html</t>
        </is>
      </c>
      <c r="K217" s="29" t="inlineStr">
        <is>
          <t>074bd00cadcf5db963ebaca2a08b065d73be478d50ff950bf0ab5a2518f8d21e</t>
        </is>
      </c>
    </row>
    <row r="218" ht="54" customHeight="1">
      <c r="A218" s="29" t="inlineStr">
        <is>
          <t>sevilla:kaynak:220</t>
        </is>
      </c>
      <c r="B218" s="29" t="inlineStr">
        <is>
          <t>sevilla</t>
        </is>
      </c>
      <c r="C218" s="29" t="inlineStr">
        <is>
          <t>Puntos de información turística - Visita Sevilla</t>
        </is>
      </c>
      <c r="D218" s="29" t="inlineStr">
        <is>
          <t>Turismo de Sevilla (Visita Sevilla)</t>
        </is>
      </c>
      <c r="E218" s="29" t="inlineStr">
        <is>
          <t>https://visitasevilla.es/puntos-de-informacion-turistica/</t>
        </is>
      </c>
      <c r="F218" s="49" t="n">
        <v>46319</v>
      </c>
      <c r="G218" s="29" t="inlineStr">
        <is>
          <t>sevilla:kesif</t>
        </is>
      </c>
      <c r="H218" s="29" t="inlineStr">
        <is>
          <t>Q1: turizm ofisleri, saat</t>
        </is>
      </c>
      <c r="I218" s="29" t="inlineStr">
        <is>
          <t>Evet</t>
        </is>
      </c>
      <c r="J218" s="29" t="inlineStr">
        <is>
          <t>Lisans kanıtları/861c2c85bddabcc1fcad8b7f295cc9cbc2b6d1fc6545e2c79d4b3e8d9d40e8ba.html</t>
        </is>
      </c>
      <c r="K218" s="29" t="inlineStr">
        <is>
          <t>861c2c85bddabcc1fcad8b7f295cc9cbc2b6d1fc6545e2c79d4b3e8d9d40e8ba</t>
        </is>
      </c>
    </row>
    <row r="219" ht="54" customHeight="1">
      <c r="A219" s="29" t="inlineStr">
        <is>
          <t>sevilla:kaynak:221</t>
        </is>
      </c>
      <c r="B219" s="29" t="inlineStr">
        <is>
          <t>sevilla</t>
        </is>
      </c>
      <c r="C219" s="29" t="inlineStr">
        <is>
          <t>Distrito Sevilla | Servicio Andaluz de Salud</t>
        </is>
      </c>
      <c r="D219" s="29" t="inlineStr">
        <is>
          <t>Servicio Andaluz de Salud (Junta de Andalucía)</t>
        </is>
      </c>
      <c r="E219" s="29" t="inlineStr">
        <is>
          <t>https://www.sspa.juntadeandalucia.es/servicioandaluzdesalud/el-sas/servicios-y-centros/informacion-por-centros/23603</t>
        </is>
      </c>
      <c r="F219" s="49" t="n">
        <v>46319</v>
      </c>
      <c r="G219" s="29" t="inlineStr">
        <is>
          <t>sevilla:saglik</t>
        </is>
      </c>
      <c r="H219" s="29" t="inlineStr">
        <is>
          <t>ilk5-1: Sevilla şehir merkezi sağlık ocakları (centro de salud) listesi ve distrito adresi</t>
        </is>
      </c>
      <c r="I219" s="29" t="inlineStr">
        <is>
          <t>Evet</t>
        </is>
      </c>
      <c r="J219" s="29" t="inlineStr">
        <is>
          <t>Lisans kanıtları/b0ba1798af884641b0956e673d826a6c9a0c292e8c1233a532420135fe9b3179.html</t>
        </is>
      </c>
      <c r="K219" s="29" t="inlineStr">
        <is>
          <t>b0ba1798af884641b0956e673d826a6c9a0c292e8c1233a532420135fe9b3179</t>
        </is>
      </c>
    </row>
    <row r="220" ht="54" customHeight="1">
      <c r="A220" s="29" t="inlineStr">
        <is>
          <t>sevilla:kaynak:222</t>
        </is>
      </c>
      <c r="B220" s="29" t="inlineStr">
        <is>
          <t>sevilla</t>
        </is>
      </c>
      <c r="C220" s="29" t="inlineStr">
        <is>
          <t>Distrito Sevilla Norte | Servicio Andaluz de Salud</t>
        </is>
      </c>
      <c r="D220" s="29" t="inlineStr">
        <is>
          <t>Servicio Andaluz de Salud (Junta de Andalucía)</t>
        </is>
      </c>
      <c r="E220" s="29" t="inlineStr">
        <is>
          <t>https://www.sspa.juntadeandalucia.es/servicioandaluzdesalud/el-sas/servicios-y-centros/informacion-por-centros/23612</t>
        </is>
      </c>
      <c r="F220" s="49" t="n">
        <v>46319</v>
      </c>
      <c r="G220" s="29" t="inlineStr">
        <is>
          <t>sevilla:saglik</t>
        </is>
      </c>
      <c r="H220" s="29" t="inlineStr">
        <is>
          <t>ilk5-1: kuzey ilçe/yerleşimler için sağlık bölgesi ve centro de salud listesi</t>
        </is>
      </c>
      <c r="I220" s="29" t="inlineStr">
        <is>
          <t>Evet</t>
        </is>
      </c>
      <c r="J220" s="29" t="inlineStr">
        <is>
          <t>Lisans kanıtları/61eeedcd22d4b4bca5961cd7fedf0644073639990cbc079334638dfa71a0f5f4.html</t>
        </is>
      </c>
      <c r="K220" s="29" t="inlineStr">
        <is>
          <t>61eeedcd22d4b4bca5961cd7fedf0644073639990cbc079334638dfa71a0f5f4</t>
        </is>
      </c>
    </row>
    <row r="221" ht="54" customHeight="1">
      <c r="A221" s="29" t="inlineStr">
        <is>
          <t>sevilla:kaynak:223</t>
        </is>
      </c>
      <c r="B221" s="29" t="inlineStr">
        <is>
          <t>sevilla</t>
        </is>
      </c>
      <c r="C221" s="29" t="inlineStr">
        <is>
          <t>Área de Gestión Sanitaria Sur de Sevilla | Servicio Andaluz de Salud</t>
        </is>
      </c>
      <c r="D221" s="29" t="inlineStr">
        <is>
          <t>Servicio Andaluz de Salud (Junta de Andalucía)</t>
        </is>
      </c>
      <c r="E221" s="29" t="inlineStr">
        <is>
          <t>https://www.sspa.juntadeandalucia.es/servicioandaluzdesalud/el-sas/servicios-y-centros/informacion-por-centros/1842</t>
        </is>
      </c>
      <c r="F221" s="49" t="n">
        <v>46319</v>
      </c>
      <c r="G221" s="29" t="inlineStr">
        <is>
          <t>sevilla:saglik</t>
        </is>
      </c>
      <c r="H221" s="29" t="inlineStr">
        <is>
          <t>ilk5-2: güney sağlık alanı, Valme hastanesi adresi</t>
        </is>
      </c>
      <c r="I221" s="29" t="inlineStr">
        <is>
          <t>Evet</t>
        </is>
      </c>
      <c r="J221" s="29" t="inlineStr">
        <is>
          <t>Lisans kanıtları/35eea38ca6545e1caad23b6481da87e33f3e2fddbb4db8f11bcfb65768dcf471.html</t>
        </is>
      </c>
      <c r="K221" s="29" t="inlineStr">
        <is>
          <t>35eea38ca6545e1caad23b6481da87e33f3e2fddbb4db8f11bcfb65768dcf471</t>
        </is>
      </c>
    </row>
    <row r="222" ht="54" customHeight="1">
      <c r="A222" s="29" t="inlineStr">
        <is>
          <t>sevilla:kaynak:225</t>
        </is>
      </c>
      <c r="B222" s="29" t="inlineStr">
        <is>
          <t>sevilla</t>
        </is>
      </c>
      <c r="C222" s="29" t="inlineStr">
        <is>
          <t>Hospital Universitario Virgen del Rocío | Servicio Andaluz de Salud</t>
        </is>
      </c>
      <c r="D222" s="29" t="inlineStr">
        <is>
          <t>Servicio Andaluz de Salud (Junta de Andalucía)</t>
        </is>
      </c>
      <c r="E222" s="29" t="inlineStr">
        <is>
          <t>https://www.sspa.juntadeandalucia.es/servicioandaluzdesalud/el-sas/servicios-y-centros/informacion-por-centros/16477</t>
        </is>
      </c>
      <c r="F222" s="49" t="n">
        <v>46319</v>
      </c>
      <c r="G222" s="29" t="inlineStr">
        <is>
          <t>sevilla:saglik</t>
        </is>
      </c>
      <c r="H222" s="29" t="inlineStr">
        <is>
          <t>ilk5-2: Rocío kampüsü adresi ve alt hastaneler (genel, çocuk, kadın)</t>
        </is>
      </c>
      <c r="I222" s="29" t="inlineStr">
        <is>
          <t>Evet</t>
        </is>
      </c>
      <c r="J222" s="29" t="inlineStr">
        <is>
          <t>Lisans kanıtları/440ddc7feba827bf4c0cb62c7b8f69c2dcb2ef0d4d884fc72ba8a1694c020b9f.html</t>
        </is>
      </c>
      <c r="K222" s="29" t="inlineStr">
        <is>
          <t>440ddc7feba827bf4c0cb62c7b8f69c2dcb2ef0d4d884fc72ba8a1694c020b9f</t>
        </is>
      </c>
    </row>
    <row r="223" ht="54" customHeight="1">
      <c r="A223" s="29" t="inlineStr">
        <is>
          <t>sevilla:kaynak:227</t>
        </is>
      </c>
      <c r="B223" s="29" t="inlineStr">
        <is>
          <t>sevilla</t>
        </is>
      </c>
      <c r="C223" s="29" t="inlineStr">
        <is>
          <t>Hospital Universitario Virgen del Rocio</t>
        </is>
      </c>
      <c r="D223" s="29" t="inlineStr">
        <is>
          <t>Hospital Universitario Virgen del Rocío (SAS)</t>
        </is>
      </c>
      <c r="E223" s="29" t="inlineStr">
        <is>
          <t>https://hospitaluvrocio.es/entrada-blog/hospital-infantil/</t>
        </is>
      </c>
      <c r="F223" s="49" t="n">
        <v>46319</v>
      </c>
      <c r="G223" s="29" t="inlineStr">
        <is>
          <t>sevilla:saglik</t>
        </is>
      </c>
      <c r="H223" s="29" t="inlineStr">
        <is>
          <t>ilk5-2: çocuk acili girişi, telefonlar</t>
        </is>
      </c>
      <c r="I223" s="29" t="inlineStr">
        <is>
          <t>Evet</t>
        </is>
      </c>
      <c r="J223" s="29" t="inlineStr">
        <is>
          <t>Lisans kanıtları/9bbe87c935011b0ac501373d0a918e397ae52c4d9d4779d0de6fc37c3a1235f5.html</t>
        </is>
      </c>
      <c r="K223" s="29" t="inlineStr">
        <is>
          <t>9bbe87c935011b0ac501373d0a918e397ae52c4d9d4779d0de6fc37c3a1235f5</t>
        </is>
      </c>
    </row>
    <row r="224" ht="54" customHeight="1">
      <c r="A224" s="29" t="inlineStr">
        <is>
          <t>sevilla:kaynak:228</t>
        </is>
      </c>
      <c r="B224" s="29" t="inlineStr">
        <is>
          <t>sevilla</t>
        </is>
      </c>
      <c r="C224" s="29" t="inlineStr">
        <is>
          <t>Hospital Universitario Virgen del Rocio</t>
        </is>
      </c>
      <c r="D224" s="29" t="inlineStr">
        <is>
          <t>Hospital Universitario Virgen del Rocío (SAS)</t>
        </is>
      </c>
      <c r="E224" s="29" t="inlineStr">
        <is>
          <t>https://www.hospitaluvrocio.es/blog/contacto-y-ubicacion/</t>
        </is>
      </c>
      <c r="F224" s="49" t="n">
        <v>46319</v>
      </c>
      <c r="G224" s="29" t="inlineStr">
        <is>
          <t>sevilla:saglik</t>
        </is>
      </c>
      <c r="H224" s="29" t="inlineStr">
        <is>
          <t>ilk5-2/4: çocuk acili iletişim, Salud Responde ile randevu iptali</t>
        </is>
      </c>
      <c r="I224" s="29" t="inlineStr">
        <is>
          <t>Evet</t>
        </is>
      </c>
      <c r="J224" s="29" t="inlineStr">
        <is>
          <t>Lisans kanıtları/4babd384f5e61c9fb247a6c6e2159d212ef614dceb53ef08524ec22dc068e7d2.html</t>
        </is>
      </c>
      <c r="K224" s="29" t="inlineStr">
        <is>
          <t>4babd384f5e61c9fb247a6c6e2159d212ef614dceb53ef08524ec22dc068e7d2</t>
        </is>
      </c>
    </row>
    <row r="225" ht="54" customHeight="1">
      <c r="A225" s="29" t="inlineStr">
        <is>
          <t>sevilla:kaynak:229</t>
        </is>
      </c>
      <c r="B225" s="29" t="inlineStr">
        <is>
          <t>sevilla</t>
        </is>
      </c>
      <c r="C225" s="29" t="inlineStr">
        <is>
          <t>Citas en centros sanitarios - Junta de Andalucía</t>
        </is>
      </c>
      <c r="D225" s="29" t="inlineStr">
        <is>
          <t>Junta de Andalucía</t>
        </is>
      </c>
      <c r="E225" s="29" t="inlineStr">
        <is>
          <t>https://www.juntadeandalucia.es/temas/salud/servicios/cita.html</t>
        </is>
      </c>
      <c r="F225" s="49" t="n">
        <v>46319</v>
      </c>
      <c r="G225" s="29" t="inlineStr">
        <is>
          <t>sevilla:saglik</t>
        </is>
      </c>
      <c r="H225" s="29" t="inlineStr">
        <is>
          <t>ilk5-1/4: randevu yolları (merkez, telefon, ClicSalud+, Salud Responde)</t>
        </is>
      </c>
      <c r="I225" s="29" t="inlineStr">
        <is>
          <t>Evet</t>
        </is>
      </c>
      <c r="J225" s="29" t="inlineStr">
        <is>
          <t>Lisans kanıtları/c3365ae01fa5f66f9365afa4606b76a6552ae342d68e3ea795524de377b1b327.html</t>
        </is>
      </c>
      <c r="K225" s="29" t="inlineStr">
        <is>
          <t>c3365ae01fa5f66f9365afa4606b76a6552ae342d68e3ea795524de377b1b327</t>
        </is>
      </c>
    </row>
    <row r="226" ht="54" customHeight="1">
      <c r="A226" s="29" t="inlineStr">
        <is>
          <t>sevilla:kaynak:230</t>
        </is>
      </c>
      <c r="B226" s="29" t="inlineStr">
        <is>
          <t>sevilla</t>
        </is>
      </c>
      <c r="C226" s="29" t="inlineStr">
        <is>
          <t>Teléfonos de interés - Junta de Andalucía</t>
        </is>
      </c>
      <c r="D226" s="29" t="inlineStr">
        <is>
          <t>Junta de Andalucía</t>
        </is>
      </c>
      <c r="E226" s="29" t="inlineStr">
        <is>
          <t>https://www.juntadeandalucia.es/temas/salud/servicios/telefonos.html</t>
        </is>
      </c>
      <c r="F226" s="49" t="n">
        <v>46319</v>
      </c>
      <c r="G226" s="29" t="inlineStr">
        <is>
          <t>sevilla:saglik</t>
        </is>
      </c>
      <c r="H226" s="29" t="inlineStr">
        <is>
          <t>ilk5-4/5: Salud Responde 955 54 50 60 ve 112 acil hattı</t>
        </is>
      </c>
      <c r="I226" s="29" t="inlineStr">
        <is>
          <t>Evet</t>
        </is>
      </c>
      <c r="J226" s="29" t="inlineStr">
        <is>
          <t>Lisans kanıtları/8bbea77330f135e93b7c996e0749aa8121b8057e55b1a3ad3ec6f2a7369638ac.html</t>
        </is>
      </c>
      <c r="K226" s="29" t="inlineStr">
        <is>
          <t>8bbea77330f135e93b7c996e0749aa8121b8057e55b1a3ad3ec6f2a7369638ac</t>
        </is>
      </c>
    </row>
    <row r="227" ht="54" customHeight="1">
      <c r="A227" s="29" t="inlineStr">
        <is>
          <t>sevilla:kaynak:231</t>
        </is>
      </c>
      <c r="B227" s="29" t="inlineStr">
        <is>
          <t>sevilla</t>
        </is>
      </c>
      <c r="C227" s="29" t="inlineStr">
        <is>
          <t>Personas extranjeras no registradas ni autorizadas como residentes en España | Servicio Andaluz de Salud</t>
        </is>
      </c>
      <c r="D227" s="29" t="inlineStr">
        <is>
          <t>Servicio Andaluz de Salud (Junta de Andalucía)</t>
        </is>
      </c>
      <c r="E227" s="29" t="inlineStr">
        <is>
          <t>https://www.sspa.juntadeandalucia.es/servicioandaluzdesalud/ciudadania/cobertura-sanitaria/personas-extranjeras-no-registradas-ni-autorizadas-como-residentes-en-espana</t>
        </is>
      </c>
      <c r="F227" s="49" t="n">
        <v>46319</v>
      </c>
      <c r="G227" s="29" t="inlineStr">
        <is>
          <t>sevilla:saglik</t>
        </is>
      </c>
      <c r="H227" s="29" t="inlineStr">
        <is>
          <t>ilk5-5: sigortasız/oturumsuz yabancı, acil alta ocasional ve başvuru</t>
        </is>
      </c>
      <c r="I227" s="29" t="inlineStr">
        <is>
          <t>Evet</t>
        </is>
      </c>
      <c r="J227" s="29" t="inlineStr">
        <is>
          <t>Lisans kanıtları/7fe1c0a5b708ef2629f88a75ae81e1c7321e4ab5267f815b18b31dbb754c67cf.html</t>
        </is>
      </c>
      <c r="K227" s="29" t="inlineStr">
        <is>
          <t>7fe1c0a5b708ef2629f88a75ae81e1c7321e4ab5267f815b18b31dbb754c67cf</t>
        </is>
      </c>
    </row>
    <row r="228" ht="54" customHeight="1">
      <c r="A228" s="29" t="inlineStr">
        <is>
          <t>sevilla:kaynak:232</t>
        </is>
      </c>
      <c r="B228" s="29" t="inlineStr">
        <is>
          <t>sevilla</t>
        </is>
      </c>
      <c r="C228" s="29" t="inlineStr">
        <is>
          <t>Ministerio de Sanidad - Ciudadanos - Prestaciones y centro sanitarios - Centros y servicios del SNS -Instituto de Informacion Sanitaria - Centros y servicios del SNS - Hospitales</t>
        </is>
      </c>
      <c r="D228" s="29" t="inlineStr">
        <is>
          <t>Ministerio de Sanidad</t>
        </is>
      </c>
      <c r="E228" s="29" t="inlineStr">
        <is>
          <t>https://www.sanidad.gob.es/ciudadanos/centrosCA.do?metodo=busquedaProvH&amp;prov=41</t>
        </is>
      </c>
      <c r="F228" s="49" t="n">
        <v>46319</v>
      </c>
      <c r="G228" s="29" t="inlineStr">
        <is>
          <t>sevilla:saglik</t>
        </is>
      </c>
      <c r="H228" s="29" t="inlineStr">
        <is>
          <t>ilk5-2: Sevilla ilindeki tüm hastanelerin katalogu</t>
        </is>
      </c>
      <c r="I228" s="29" t="inlineStr">
        <is>
          <t>Evet</t>
        </is>
      </c>
      <c r="J228" s="29" t="inlineStr">
        <is>
          <t>Lisans kanıtları/28d1f854e9cb64add2d359843c0bf52453161dcd8ac37a357552d8953220afd4.html</t>
        </is>
      </c>
      <c r="K228" s="29" t="inlineStr">
        <is>
          <t>28d1f854e9cb64add2d359843c0bf52453161dcd8ac37a357552d8953220afd4</t>
        </is>
      </c>
    </row>
    <row r="229" ht="54" customHeight="1">
      <c r="A229" s="29" t="inlineStr">
        <is>
          <t>sevilla:kaynak:233</t>
        </is>
      </c>
      <c r="B229" s="29" t="inlineStr">
        <is>
          <t>sevilla</t>
        </is>
      </c>
      <c r="C229" s="29" t="inlineStr">
        <is>
          <t>Buscador de farmacias - Colegio Oficial de Farmacéuticos de Sevilla</t>
        </is>
      </c>
      <c r="D229" s="29" t="inlineStr">
        <is>
          <t>Colegio Oficial de Farmacéuticos de Sevilla (corporación de derecho público)</t>
        </is>
      </c>
      <c r="E229" s="29" t="inlineStr">
        <is>
          <t>https://www.farmaceuticosdesevilla.es/buscador-de-farmacias/</t>
        </is>
      </c>
      <c r="F229" s="49" t="n">
        <v>46319</v>
      </c>
      <c r="G229" s="29" t="inlineStr">
        <is>
          <t>sevilla:saglik</t>
        </is>
      </c>
      <c r="H229" s="29" t="inlineStr">
        <is>
          <t>ilk5-3: nöbetçi eczane (farmacia de guardia) arama aracı</t>
        </is>
      </c>
      <c r="I229" s="29" t="inlineStr">
        <is>
          <t>Evet</t>
        </is>
      </c>
      <c r="J229" s="29" t="inlineStr">
        <is>
          <t>Lisans kanıtları/02f36587c596c2b7a32e435536bd58b35ec5d1840b8b2a0c09093a4479fd0a5b.html</t>
        </is>
      </c>
      <c r="K229" s="29" t="inlineStr">
        <is>
          <t>02f36587c596c2b7a32e435536bd58b35ec5d1840b8b2a0c09093a4479fd0a5b</t>
        </is>
      </c>
    </row>
    <row r="230" ht="54" customHeight="1">
      <c r="A230" s="29" t="inlineStr">
        <is>
          <t>sevilla:kaynak:235</t>
        </is>
      </c>
      <c r="B230" s="29" t="inlineStr">
        <is>
          <t>sevilla</t>
        </is>
      </c>
      <c r="C230" s="29" t="inlineStr">
        <is>
          <t>Cita con la oficina de empleo - Junta de Andalucía</t>
        </is>
      </c>
      <c r="D230" s="29" t="inlineStr">
        <is>
          <t>Junta de Andalucía - SAE</t>
        </is>
      </c>
      <c r="E230" s="29" t="inlineStr">
        <is>
          <t>https://www.juntadeandalucia.es/organismos/sae/areas/demanda-empleo/cita-previa-empleo.html</t>
        </is>
      </c>
      <c r="F230" s="49" t="n">
        <v>46319</v>
      </c>
      <c r="G230" s="29" t="inlineStr">
        <is>
          <t>sevilla:is</t>
        </is>
      </c>
      <c r="H230" s="29" t="inlineStr">
        <is>
          <t>ilk5-1: iş ofisinden randevu alma</t>
        </is>
      </c>
      <c r="I230" s="29" t="inlineStr">
        <is>
          <t>Evet</t>
        </is>
      </c>
      <c r="J230" s="29" t="inlineStr">
        <is>
          <t>Lisans kanıtları/3b05cad3a091167b51f6a5d048975c3acf885844eca3c38943ce72d780f01f11.html</t>
        </is>
      </c>
      <c r="K230" s="29" t="inlineStr">
        <is>
          <t>3b05cad3a091167b51f6a5d048975c3acf885844eca3c38943ce72d780f01f11</t>
        </is>
      </c>
    </row>
    <row r="231" ht="54" customHeight="1">
      <c r="A231" s="29" t="inlineStr">
        <is>
          <t>sevilla:kaynak:236</t>
        </is>
      </c>
      <c r="B231" s="29" t="inlineStr">
        <is>
          <t>sevilla</t>
        </is>
      </c>
      <c r="C231" s="29" t="inlineStr">
        <is>
          <t>Información e inscripción como persona demandante de servicios de empleo - Junta de Andalucía</t>
        </is>
      </c>
      <c r="D231" s="29" t="inlineStr">
        <is>
          <t>Junta de Andalucía - SAE</t>
        </is>
      </c>
      <c r="E231" s="29" t="inlineStr">
        <is>
          <t>https://www.juntadeandalucia.es/organismos/sae/areas/demanda-empleo/inscripcion-demandante.html</t>
        </is>
      </c>
      <c r="F231" s="49" t="n">
        <v>46319</v>
      </c>
      <c r="G231" s="29" t="inlineStr">
        <is>
          <t>sevilla:is</t>
        </is>
      </c>
      <c r="H231" s="29" t="inlineStr">
        <is>
          <t>ilk5-1: iş arayan olarak kayıt (demanda de empleo)</t>
        </is>
      </c>
      <c r="I231" s="29" t="inlineStr">
        <is>
          <t>Evet</t>
        </is>
      </c>
      <c r="J231" s="29" t="inlineStr">
        <is>
          <t>Lisans kanıtları/c60d44e81028ed7900e0b9e8db89db82b8ede4c173b438a623b69aec031639bf.html</t>
        </is>
      </c>
      <c r="K231" s="29" t="inlineStr">
        <is>
          <t>c60d44e81028ed7900e0b9e8db89db82b8ede4c173b438a623b69aec031639bf</t>
        </is>
      </c>
    </row>
    <row r="232" ht="54" customHeight="1">
      <c r="A232" s="29" t="inlineStr">
        <is>
          <t>sevilla:kaynak:237</t>
        </is>
      </c>
      <c r="B232" s="29" t="inlineStr">
        <is>
          <t>sevilla</t>
        </is>
      </c>
      <c r="C232" s="29" t="inlineStr">
        <is>
          <t>Demanda de empleo - Junta de Andalucía</t>
        </is>
      </c>
      <c r="D232" s="29" t="inlineStr">
        <is>
          <t>Junta de Andalucía</t>
        </is>
      </c>
      <c r="E232" s="29" t="inlineStr">
        <is>
          <t>https://www.juntadeandalucia.es/temas/trabajar/desempleo/demanda.html</t>
        </is>
      </c>
      <c r="F232" s="49" t="n">
        <v>46319</v>
      </c>
      <c r="G232" s="29" t="inlineStr">
        <is>
          <t>sevilla:is</t>
        </is>
      </c>
      <c r="H232" s="29" t="inlineStr">
        <is>
          <t>ilk5-1: SAE kayıt adımları</t>
        </is>
      </c>
      <c r="I232" s="29" t="inlineStr">
        <is>
          <t>Evet</t>
        </is>
      </c>
      <c r="J232" s="29" t="inlineStr">
        <is>
          <t>Lisans kanıtları/795f746973b86193d3f77a49a4d7a8c350a54c6ec7ed1189c88416ce860ef7d3.html</t>
        </is>
      </c>
      <c r="K232" s="29" t="inlineStr">
        <is>
          <t>795f746973b86193d3f77a49a4d7a8c350a54c6ec7ed1189c88416ce860ef7d3</t>
        </is>
      </c>
    </row>
    <row r="233" ht="54" customHeight="1">
      <c r="A233" s="29" t="inlineStr">
        <is>
          <t>sevilla:kaynak:238</t>
        </is>
      </c>
      <c r="B233" s="29" t="inlineStr">
        <is>
          <t>sevilla</t>
        </is>
      </c>
      <c r="C233" s="29" t="inlineStr">
        <is>
          <t>Search result by province</t>
        </is>
      </c>
      <c r="D233" s="29" t="inlineStr">
        <is>
          <t>Servicio Público de Empleo Estatal (SEPE)</t>
        </is>
      </c>
      <c r="E233" s="29" t="inlineStr">
        <is>
          <t>https://www.sepe.es/HomeSepe/en/que-es-el-sepe/Red-de-oficinas/ResultadosBusqueda.html?id=ce74b5f8-7045-4ee0-90e2-bdfa4d5d09df&amp;provinciaNombre=Sevilla</t>
        </is>
      </c>
      <c r="F233" s="49" t="n">
        <v>46319</v>
      </c>
      <c r="G233" s="29" t="inlineStr">
        <is>
          <t>sevilla:is</t>
        </is>
      </c>
      <c r="H233" s="29" t="inlineStr">
        <is>
          <t>ilk5-1: SEPE Sevilla il ofisi adresi</t>
        </is>
      </c>
      <c r="I233" s="29" t="inlineStr">
        <is>
          <t>Evet</t>
        </is>
      </c>
      <c r="J233" s="29" t="inlineStr">
        <is>
          <t>Lisans kanıtları/339ab5a45d9bbee6cc1e3060453f3ceafaf9151e9646100ae7238a5ab4a4f727.html</t>
        </is>
      </c>
      <c r="K233" s="29" t="inlineStr">
        <is>
          <t>339ab5a45d9bbee6cc1e3060453f3ceafaf9151e9646100ae7238a5ab4a4f727</t>
        </is>
      </c>
    </row>
    <row r="234" ht="54" customHeight="1">
      <c r="A234" s="29" t="inlineStr">
        <is>
          <t>sevilla:kaynak:239</t>
        </is>
      </c>
      <c r="B234" s="29" t="inlineStr">
        <is>
          <t>sevilla</t>
        </is>
      </c>
      <c r="C234" s="29" t="inlineStr">
        <is>
          <t>Sevilla Emprendedora | Sevilla Emprendedora</t>
        </is>
      </c>
      <c r="D234" s="29" t="inlineStr">
        <is>
          <t>Ayuntamiento de Sevilla (Sevilla Emprendedora)</t>
        </is>
      </c>
      <c r="E234" s="29" t="inlineStr">
        <is>
          <t>https://www.sevillaemprendedora.org/programa/sevilla-emprendedora/</t>
        </is>
      </c>
      <c r="F234" s="49" t="n">
        <v>46319</v>
      </c>
      <c r="G234" s="29" t="inlineStr">
        <is>
          <t>sevilla:is</t>
        </is>
      </c>
      <c r="H234" s="29" t="inlineStr">
        <is>
          <t>ilk5-2/3: belediye girişimcilik danışmanlığı, ilk randevu telefonu</t>
        </is>
      </c>
      <c r="I234" s="29" t="inlineStr">
        <is>
          <t>Evet</t>
        </is>
      </c>
      <c r="J234" s="29" t="inlineStr">
        <is>
          <t>Lisans kanıtları/7ecf3d7a0be37288f1aea2ed17a03b15a53c2caa6f58ccb2f91f3cd8b8b8f16c.html</t>
        </is>
      </c>
      <c r="K234" s="29" t="inlineStr">
        <is>
          <t>7ecf3d7a0be37288f1aea2ed17a03b15a53c2caa6f58ccb2f91f3cd8b8b8f16c</t>
        </is>
      </c>
    </row>
    <row r="235" ht="54" customHeight="1">
      <c r="A235" s="29" t="inlineStr">
        <is>
          <t>sevilla:kaynak:240</t>
        </is>
      </c>
      <c r="B235" s="29" t="inlineStr">
        <is>
          <t>sevilla</t>
        </is>
      </c>
      <c r="C235" s="29" t="inlineStr">
        <is>
          <t>OEITSS | Andalucía</t>
        </is>
      </c>
      <c r="D235" s="29" t="inlineStr">
        <is>
          <t>Inspección de Trabajo y Seguridad Social</t>
        </is>
      </c>
      <c r="E235" s="29" t="inlineStr">
        <is>
          <t>https://oeitss.gob.es/en/sobre-la-itss/donde-estamos/andalucia</t>
        </is>
      </c>
      <c r="F235" s="49" t="n">
        <v>46319</v>
      </c>
      <c r="G235" s="29" t="inlineStr">
        <is>
          <t>sevilla:is</t>
        </is>
      </c>
      <c r="H235" s="29" t="inlineStr">
        <is>
          <t>ilk5-5: iş hakkı ihlalinde Sevilla İş Müfettişliği adresi</t>
        </is>
      </c>
      <c r="I235" s="29" t="inlineStr">
        <is>
          <t>Evet</t>
        </is>
      </c>
      <c r="J235" s="29" t="inlineStr">
        <is>
          <t>Lisans kanıtları/1d0b00ea45ac4ad070f407e047a9f7beedd26fa6cda6387e3b66a437d93e7410.html</t>
        </is>
      </c>
      <c r="K235" s="29" t="inlineStr">
        <is>
          <t>1d0b00ea45ac4ad070f407e047a9f7beedd26fa6cda6387e3b66a437d93e7410</t>
        </is>
      </c>
    </row>
    <row r="236" ht="54" customHeight="1">
      <c r="A236" s="29" t="inlineStr">
        <is>
          <t>sevilla:kaynak:241</t>
        </is>
      </c>
      <c r="B236" s="29" t="inlineStr">
        <is>
          <t>sevilla</t>
        </is>
      </c>
      <c r="C236" s="29" t="inlineStr">
        <is>
          <t>Mediación, Arbitraje y Conciliación - Junta de Andalucía</t>
        </is>
      </c>
      <c r="D236" s="29" t="inlineStr">
        <is>
          <t>Junta de Andalucía - Empleo, Empresa y Trabajo Autónomo</t>
        </is>
      </c>
      <c r="E236" s="29" t="inlineStr">
        <is>
          <t>https://www.juntadeandalucia.es/organismos/empleoempresaytrabajoautonomo/areas/relaciones-laborales/mediacion.html</t>
        </is>
      </c>
      <c r="F236" s="49" t="n">
        <v>46319</v>
      </c>
      <c r="G236" s="29" t="inlineStr">
        <is>
          <t>sevilla:is</t>
        </is>
      </c>
      <c r="H236" s="29" t="inlineStr">
        <is>
          <t>ilk5-5: bireysel iş uyuşmazlığında CMAC uzlaştırma</t>
        </is>
      </c>
      <c r="I236" s="29" t="inlineStr">
        <is>
          <t>Evet</t>
        </is>
      </c>
      <c r="J236" s="29" t="inlineStr">
        <is>
          <t>Lisans kanıtları/be44daace7de488ad8ccf14e73e5d89401ec38577a709bf2c199d80bc1e66338.html</t>
        </is>
      </c>
      <c r="K236" s="29" t="inlineStr">
        <is>
          <t>be44daace7de488ad8ccf14e73e5d89401ec38577a709bf2c199d80bc1e66338</t>
        </is>
      </c>
    </row>
    <row r="237" ht="54" customHeight="1">
      <c r="A237" s="29" t="inlineStr">
        <is>
          <t>sevilla:kaynak:242</t>
        </is>
      </c>
      <c r="B237" s="29" t="inlineStr">
        <is>
          <t>sevilla</t>
        </is>
      </c>
      <c r="C237" s="29" t="inlineStr">
        <is>
          <t>Procedimientos y formularios - Junta de Andalucía</t>
        </is>
      </c>
      <c r="D237" s="29" t="inlineStr">
        <is>
          <t>Junta de Andalucía - CARL/SERCLA</t>
        </is>
      </c>
      <c r="E237" s="29" t="inlineStr">
        <is>
          <t>https://www.juntadeandalucia.es/organismos/empleoempresaytrabajoautonomo/areas/relaciones-laborales/organos-dialogo/carl/sercla/procedimientos-formularios.html</t>
        </is>
      </c>
      <c r="F237" s="49" t="n">
        <v>46319</v>
      </c>
      <c r="G237" s="29" t="inlineStr">
        <is>
          <t>sevilla:is</t>
        </is>
      </c>
      <c r="H237" s="29" t="inlineStr">
        <is>
          <t>ilk5-5: SERCLA arabuluculuk başvurusu</t>
        </is>
      </c>
      <c r="I237" s="29" t="inlineStr">
        <is>
          <t>Evet</t>
        </is>
      </c>
      <c r="J237" s="29" t="inlineStr">
        <is>
          <t>Lisans kanıtları/16b5ee2f242fabee5bd79fcbc4d5661278b285dc99566a4f64da1099775b1ce5.html</t>
        </is>
      </c>
      <c r="K237" s="29" t="inlineStr">
        <is>
          <t>16b5ee2f242fabee5bd79fcbc4d5661278b285dc99566a4f64da1099775b1ce5</t>
        </is>
      </c>
    </row>
    <row r="238" ht="54" customHeight="1">
      <c r="A238" s="29" t="inlineStr">
        <is>
          <t>sevilla:kaynak:244</t>
        </is>
      </c>
      <c r="B238" s="29" t="inlineStr">
        <is>
          <t>sevilla</t>
        </is>
      </c>
      <c r="C238" s="29" t="inlineStr">
        <is>
          <t>Darse de alta como persona trabajadora autónoma - Junta de Andalucía</t>
        </is>
      </c>
      <c r="D238" s="29" t="inlineStr">
        <is>
          <t>Junta de Andalucía</t>
        </is>
      </c>
      <c r="E238" s="29" t="inlineStr">
        <is>
          <t>https://www.juntadeandalucia.es/temas/trabajar/autoempleo/alta-autonomos.html</t>
        </is>
      </c>
      <c r="F238" s="49" t="n">
        <v>46319</v>
      </c>
      <c r="G238" s="29" t="inlineStr">
        <is>
          <t>sevilla:is</t>
        </is>
      </c>
      <c r="H238" s="29" t="inlineStr">
        <is>
          <t>ilk5-3: serbest meslek (autónomo) kaydı adımları</t>
        </is>
      </c>
      <c r="I238" s="29" t="inlineStr">
        <is>
          <t>Evet</t>
        </is>
      </c>
      <c r="J238" s="29" t="inlineStr">
        <is>
          <t>Lisans kanıtları/39c02429d68956470d4f574ef194405c56236b26379730555c9037c3939fd1e9.html</t>
        </is>
      </c>
      <c r="K238" s="29" t="inlineStr">
        <is>
          <t>39c02429d68956470d4f574ef194405c56236b26379730555c9037c3939fd1e9</t>
        </is>
      </c>
    </row>
    <row r="239" ht="54" customHeight="1">
      <c r="A239" s="29" t="inlineStr">
        <is>
          <t>sevilla:kaynak:245</t>
        </is>
      </c>
      <c r="B239" s="29" t="inlineStr">
        <is>
          <t>sevilla</t>
        </is>
      </c>
      <c r="C239" s="29" t="inlineStr">
        <is>
          <t>Formación Profesional para el Empleo (FPE) - Junta de Andalucía</t>
        </is>
      </c>
      <c r="D239" s="29" t="inlineStr">
        <is>
          <t>Junta de Andalucía</t>
        </is>
      </c>
      <c r="E239" s="29" t="inlineStr">
        <is>
          <t>https://www.juntadeandalucia.es/temas/trabajar/formacion/fpe.html</t>
        </is>
      </c>
      <c r="F239" s="49" t="n">
        <v>46319</v>
      </c>
      <c r="G239" s="29" t="inlineStr">
        <is>
          <t>sevilla:is</t>
        </is>
      </c>
      <c r="H239" s="29" t="inlineStr">
        <is>
          <t>ilk5-4: ücretsiz meslek kursları (FPE)</t>
        </is>
      </c>
      <c r="I239" s="29" t="inlineStr">
        <is>
          <t>Evet</t>
        </is>
      </c>
      <c r="J239" s="29" t="inlineStr">
        <is>
          <t>Lisans kanıtları/71e3da63348d85fd087d953752c75e70bb156afe0af5f16d3c0d1a4a802b3453.html</t>
        </is>
      </c>
      <c r="K239" s="29" t="inlineStr">
        <is>
          <t>71e3da63348d85fd087d953752c75e70bb156afe0af5f16d3c0d1a4a802b3453</t>
        </is>
      </c>
    </row>
    <row r="240" ht="54" customHeight="1">
      <c r="A240" s="29" t="inlineStr">
        <is>
          <t>sevilla:kaynak:246</t>
        </is>
      </c>
      <c r="B240" s="29" t="inlineStr">
        <is>
          <t>sevilla</t>
        </is>
      </c>
      <c r="C240" s="29" t="inlineStr">
        <is>
          <t>Delegación Territorial de Educación en Sevilla - Educación - Junta de Andalucía</t>
        </is>
      </c>
      <c r="D240" s="29" t="inlineStr">
        <is>
          <t>Junta de Andalucía - Educación</t>
        </is>
      </c>
      <c r="E240" s="29" t="inlineStr">
        <is>
          <t>https://www.juntadeandalucia.es/organismos/educacion/consejeria/delegaciones/sevilla.html</t>
        </is>
      </c>
      <c r="F240" s="49" t="n">
        <v>46319</v>
      </c>
      <c r="G240" s="29" t="inlineStr">
        <is>
          <t>sevilla:aile</t>
        </is>
      </c>
      <c r="H240" s="29" t="inlineStr">
        <is>
          <t>ilk5-1/3: Sevilla eğitim delegasyonu adresi ve telefonu</t>
        </is>
      </c>
      <c r="I240" s="29" t="inlineStr">
        <is>
          <t>Evet</t>
        </is>
      </c>
      <c r="J240" s="29" t="inlineStr">
        <is>
          <t>Lisans kanıtları/b6f2ff3054c897dbd07cdb478b38a7dd87c3bc7be1d1000e830bf8690de056a0.html</t>
        </is>
      </c>
      <c r="K240" s="29" t="inlineStr">
        <is>
          <t>b6f2ff3054c897dbd07cdb478b38a7dd87c3bc7be1d1000e830bf8690de056a0</t>
        </is>
      </c>
    </row>
    <row r="241" ht="54" customHeight="1">
      <c r="A241" s="29" t="inlineStr">
        <is>
          <t>sevilla:kaynak:247</t>
        </is>
      </c>
      <c r="B241" s="29" t="inlineStr">
        <is>
          <t>sevilla</t>
        </is>
      </c>
      <c r="C241" s="29" t="inlineStr">
        <is>
          <t>Calendario: Infantil a Bachillerato - Escolarización 2026/2027 - Educación</t>
        </is>
      </c>
      <c r="D241" s="29" t="inlineStr">
        <is>
          <t>Junta de Andalucía - Educación</t>
        </is>
      </c>
      <c r="E241" s="29" t="inlineStr">
        <is>
          <t>https://www.juntadeandalucia.es/educacion/portales/web/escolarizacion/infantil-a-bachillerato/calendario</t>
        </is>
      </c>
      <c r="F241" s="49" t="n">
        <v>46319</v>
      </c>
      <c r="G241" s="29" t="inlineStr">
        <is>
          <t>sevilla:aile</t>
        </is>
      </c>
      <c r="H241" s="29" t="inlineStr">
        <is>
          <t>ilk5-1: okul kaydı takvimi</t>
        </is>
      </c>
      <c r="I241" s="29" t="inlineStr">
        <is>
          <t>Evet</t>
        </is>
      </c>
      <c r="J241" s="29" t="inlineStr">
        <is>
          <t>Lisans kanıtları/c4741d6ad4fa5b8dca36593dd09694ea8e47d954a9acb8c766f43a6a19f4f844.html</t>
        </is>
      </c>
      <c r="K241" s="29" t="inlineStr">
        <is>
          <t>c4741d6ad4fa5b8dca36593dd09694ea8e47d954a9acb8c766f43a6a19f4f844</t>
        </is>
      </c>
    </row>
    <row r="242" ht="54" customHeight="1">
      <c r="A242" s="29" t="inlineStr">
        <is>
          <t>sevilla:kaynak:248</t>
        </is>
      </c>
      <c r="B242" s="29" t="inlineStr">
        <is>
          <t>sevilla</t>
        </is>
      </c>
      <c r="C242" s="29" t="inlineStr">
        <is>
          <t>Admisión y matriculación en el primer ciclo - Junta de Andalucía</t>
        </is>
      </c>
      <c r="D242" s="29" t="inlineStr">
        <is>
          <t>Junta de Andalucía</t>
        </is>
      </c>
      <c r="E242" s="29" t="inlineStr">
        <is>
          <t>https://www.juntadeandalucia.es/temas/estudiar/infantil/admision-primer-ciclo.html</t>
        </is>
      </c>
      <c r="F242" s="49" t="n">
        <v>46319</v>
      </c>
      <c r="G242" s="29" t="inlineStr">
        <is>
          <t>sevilla:aile</t>
        </is>
      </c>
      <c r="H242" s="29" t="inlineStr">
        <is>
          <t>ilk5-2: 0-3 yaş kreş başvurusu</t>
        </is>
      </c>
      <c r="I242" s="29" t="inlineStr">
        <is>
          <t>Evet</t>
        </is>
      </c>
      <c r="J242" s="29" t="inlineStr">
        <is>
          <t>Lisans kanıtları/f480a9867b87061e5d518ba717c165ebc7858327269101b7e3351f9422e2b39f.html</t>
        </is>
      </c>
      <c r="K242" s="29" t="inlineStr">
        <is>
          <t>f480a9867b87061e5d518ba717c165ebc7858327269101b7e3351f9422e2b39f</t>
        </is>
      </c>
    </row>
    <row r="243" ht="54" customHeight="1">
      <c r="A243" s="29" t="inlineStr">
        <is>
          <t>sevilla:kaynak:249</t>
        </is>
      </c>
      <c r="B243" s="29" t="inlineStr">
        <is>
          <t>sevilla</t>
        </is>
      </c>
      <c r="C243" s="29" t="inlineStr">
        <is>
          <t>Impresos: 0 a 3 años - Escolarización 2026/2027 - Educación</t>
        </is>
      </c>
      <c r="D243" s="29" t="inlineStr">
        <is>
          <t>Junta de Andalucía - Educación</t>
        </is>
      </c>
      <c r="E243" s="29" t="inlineStr">
        <is>
          <t>https://www.juntadeandalucia.es/educacion/portales/web/escolarizacion/0-a-3-anos/impresos</t>
        </is>
      </c>
      <c r="F243" s="49" t="n">
        <v>46319</v>
      </c>
      <c r="G243" s="29" t="inlineStr">
        <is>
          <t>sevilla:aile</t>
        </is>
      </c>
      <c r="H243" s="29" t="inlineStr">
        <is>
          <t>ilk5-2: kreş başvuru formları ve ayuda a las familias</t>
        </is>
      </c>
      <c r="I243" s="29" t="inlineStr">
        <is>
          <t>Evet</t>
        </is>
      </c>
      <c r="J243" s="29" t="inlineStr">
        <is>
          <t>Lisans kanıtları/523968bb71a06b13cc2701c1675011db4402ef3cba3cc383a6d2f0428077f0b7.html</t>
        </is>
      </c>
      <c r="K243" s="29" t="inlineStr">
        <is>
          <t>523968bb71a06b13cc2701c1675011db4402ef3cba3cc383a6d2f0428077f0b7</t>
        </is>
      </c>
    </row>
    <row r="244" ht="54" customHeight="1">
      <c r="A244" s="29" t="inlineStr">
        <is>
          <t>sevilla:kaynak:250</t>
        </is>
      </c>
      <c r="B244" s="29" t="inlineStr">
        <is>
          <t>sevilla</t>
        </is>
      </c>
      <c r="C244" s="29" t="inlineStr">
        <is>
          <t>Calendario - Escolarización 2026/2027 - Educación</t>
        </is>
      </c>
      <c r="D244" s="29" t="inlineStr">
        <is>
          <t>Junta de Andalucía - Educación</t>
        </is>
      </c>
      <c r="E244" s="29" t="inlineStr">
        <is>
          <t>https://www.juntadeandalucia.es/educacion/portales/web/escolarizacion/0-a-3-anos/calendario</t>
        </is>
      </c>
      <c r="F244" s="49" t="n">
        <v>46319</v>
      </c>
      <c r="G244" s="29" t="inlineStr">
        <is>
          <t>sevilla:aile</t>
        </is>
      </c>
      <c r="H244" s="29" t="inlineStr">
        <is>
          <t>ilk5-2: kreş başvuru takvimi</t>
        </is>
      </c>
      <c r="I244" s="29" t="inlineStr">
        <is>
          <t>Evet</t>
        </is>
      </c>
      <c r="J244" s="29" t="inlineStr">
        <is>
          <t>Lisans kanıtları/69e627f97b9fc332bb730bdc20d5bbb584a0657f12f3f8f058916da4ffd20ebc.html</t>
        </is>
      </c>
      <c r="K244" s="29" t="inlineStr">
        <is>
          <t>69e627f97b9fc332bb730bdc20d5bbb584a0657f12f3f8f058916da4ffd20ebc</t>
        </is>
      </c>
    </row>
    <row r="245" ht="54" customHeight="1">
      <c r="A245" s="29" t="inlineStr">
        <is>
          <t>sevilla:kaynak:251</t>
        </is>
      </c>
      <c r="B245" s="29" t="inlineStr">
        <is>
          <t>sevilla</t>
        </is>
      </c>
      <c r="C245" s="29" t="inlineStr">
        <is>
          <t>Aulas Temporales de Adaptación Lingüística (ATAL) - Planes y programas - Junta de Andalucía</t>
        </is>
      </c>
      <c r="D245" s="29" t="inlineStr">
        <is>
          <t>Junta de Andalucía - Educación</t>
        </is>
      </c>
      <c r="E245" s="29" t="inlineStr">
        <is>
          <t>https://www.juntadeandalucia.es/organismos/educacionydeporte/consejeria/sobre-consejeria/planes/detalle/59497.html</t>
        </is>
      </c>
      <c r="F245" s="49" t="n">
        <v>46319</v>
      </c>
      <c r="G245" s="29" t="inlineStr">
        <is>
          <t>sevilla:aile</t>
        </is>
      </c>
      <c r="H245" s="29" t="inlineStr">
        <is>
          <t>ilk5-3: İspanyolca bilmeyen çocuklara ATAL desteği</t>
        </is>
      </c>
      <c r="I245" s="29" t="inlineStr">
        <is>
          <t>Evet</t>
        </is>
      </c>
      <c r="J245" s="29" t="inlineStr">
        <is>
          <t>Lisans kanıtları/bd37e949e08c484bb04bc1f490b2aba72f62fb7c7e8538e1cbcdcb6a1a843cce.html</t>
        </is>
      </c>
      <c r="K245" s="29" t="inlineStr">
        <is>
          <t>bd37e949e08c484bb04bc1f490b2aba72f62fb7c7e8538e1cbcdcb6a1a843cce</t>
        </is>
      </c>
    </row>
    <row r="246" ht="54" customHeight="1">
      <c r="A246" s="29" t="inlineStr">
        <is>
          <t>sevilla:kaynak:252</t>
        </is>
      </c>
      <c r="B246" s="29" t="inlineStr">
        <is>
          <t>sevilla</t>
        </is>
      </c>
      <c r="C246" s="29" t="inlineStr">
        <is>
          <t>Registro Civil exclusivo Nº1 de Sevilla - Junta de Andalucía</t>
        </is>
      </c>
      <c r="D246" s="29" t="inlineStr">
        <is>
          <t>Junta de Andalucía - Justicia</t>
        </is>
      </c>
      <c r="E246" s="29" t="inlineStr">
        <is>
          <t>https://www.juntadeandalucia.es/organismos/turismojusticiadesregulacionyadministracionlocal/areas/justicia/atencion-ciudadania/tramites-registro-civil/informacion-adicional/rc-exclusivo-sevilla.html</t>
        </is>
      </c>
      <c r="F246" s="49" t="n">
        <v>46319</v>
      </c>
      <c r="G246" s="29" t="inlineStr">
        <is>
          <t>sevilla:aile</t>
        </is>
      </c>
      <c r="H246" s="29" t="inlineStr">
        <is>
          <t>ilk5-4: Sevilla Registro Civil bebek kaydı telefonu ve şartlar</t>
        </is>
      </c>
      <c r="I246" s="29" t="inlineStr">
        <is>
          <t>Evet</t>
        </is>
      </c>
      <c r="J246" s="29" t="inlineStr">
        <is>
          <t>Lisans kanıtları/4d5ed80531f631ee0e959dcd492304013f8ca9777054c1c0bec90e2faadc2831.html</t>
        </is>
      </c>
      <c r="K246" s="29" t="inlineStr">
        <is>
          <t>4d5ed80531f631ee0e959dcd492304013f8ca9777054c1c0bec90e2faadc2831</t>
        </is>
      </c>
    </row>
    <row r="247" ht="54" customHeight="1">
      <c r="A247" s="29" t="inlineStr">
        <is>
          <t>sevilla:kaynak:253</t>
        </is>
      </c>
      <c r="B247" s="29" t="inlineStr">
        <is>
          <t>sevilla</t>
        </is>
      </c>
      <c r="C247" s="29" t="inlineStr">
        <is>
          <t>Cita Previa del Registro Civil - sede.mjusticia.gob.es</t>
        </is>
      </c>
      <c r="D247" s="29" t="inlineStr">
        <is>
          <t>Ministerio de Justicia</t>
        </is>
      </c>
      <c r="E247" s="29" t="inlineStr">
        <is>
          <t>https://sede.mjusticia.gob.es/tramites/cita-previa-registro-civil</t>
        </is>
      </c>
      <c r="F247" s="49" t="n">
        <v>46319</v>
      </c>
      <c r="G247" s="29" t="inlineStr">
        <is>
          <t>sevilla:aile</t>
        </is>
      </c>
      <c r="H247" s="29" t="inlineStr">
        <is>
          <t>ilk5-4: Registro Civil randevusu</t>
        </is>
      </c>
      <c r="I247" s="29" t="inlineStr">
        <is>
          <t>Evet</t>
        </is>
      </c>
      <c r="J247" s="29" t="inlineStr">
        <is>
          <t>Lisans kanıtları/1df008632651832b7269a65513749452dc9e1c3bc4591e02671ab2a08c7b74be.html</t>
        </is>
      </c>
      <c r="K247" s="29" t="inlineStr">
        <is>
          <t>1df008632651832b7269a65513749452dc9e1c3bc4591e02671ab2a08c7b74be</t>
        </is>
      </c>
    </row>
    <row r="248" ht="54" customHeight="1">
      <c r="A248" s="29" t="inlineStr">
        <is>
          <t>sevilla:kaynak:254</t>
        </is>
      </c>
      <c r="B248" s="29" t="inlineStr">
        <is>
          <t>sevilla</t>
        </is>
      </c>
      <c r="C248" s="29" t="inlineStr">
        <is>
          <t>Tener hijos e hijas - Junta de Andalucía</t>
        </is>
      </c>
      <c r="D248" s="29" t="inlineStr">
        <is>
          <t>Junta de Andalucía</t>
        </is>
      </c>
      <c r="E248" s="29" t="inlineStr">
        <is>
          <t>https://www.juntadeandalucia.es/temas/familias-igualdad/formar-familia/hijos.html</t>
        </is>
      </c>
      <c r="F248" s="49" t="n">
        <v>46319</v>
      </c>
      <c r="G248" s="29" t="inlineStr">
        <is>
          <t>sevilla:aile</t>
        </is>
      </c>
      <c r="H248" s="29" t="inlineStr">
        <is>
          <t>ilk5-4/5: doğum, kayıt ve aile destekleri</t>
        </is>
      </c>
      <c r="I248" s="29" t="inlineStr">
        <is>
          <t>Evet</t>
        </is>
      </c>
      <c r="J248" s="29" t="inlineStr">
        <is>
          <t>Lisans kanıtları/5a74e9f459a516409db352a9ec3fd3c7832288a74a1050b33a3d5dfeda756bf5.html</t>
        </is>
      </c>
      <c r="K248" s="29" t="inlineStr">
        <is>
          <t>5a74e9f459a516409db352a9ec3fd3c7832288a74a1050b33a3d5dfeda756bf5</t>
        </is>
      </c>
    </row>
    <row r="249" ht="54" customHeight="1">
      <c r="A249" s="29" t="inlineStr">
        <is>
          <t>sevilla:kaynak:255</t>
        </is>
      </c>
      <c r="B249" s="29" t="inlineStr">
        <is>
          <t>sevilla</t>
        </is>
      </c>
      <c r="C249" s="29" t="inlineStr">
        <is>
          <t>Apoyo a las familias - Junta de Andalucía</t>
        </is>
      </c>
      <c r="D249" s="29" t="inlineStr">
        <is>
          <t>Junta de Andalucía</t>
        </is>
      </c>
      <c r="E249" s="29" t="inlineStr">
        <is>
          <t>https://www.juntadeandalucia.es/temas/familias-igualdad/formar-familia/apoyo.html</t>
        </is>
      </c>
      <c r="F249" s="49" t="n">
        <v>46319</v>
      </c>
      <c r="G249" s="29" t="inlineStr">
        <is>
          <t>sevilla:aile</t>
        </is>
      </c>
      <c r="H249" s="29" t="inlineStr">
        <is>
          <t>ilk5-5: ailelere Junta ve yerel yönetim destekleri</t>
        </is>
      </c>
      <c r="I249" s="29" t="inlineStr">
        <is>
          <t>Evet</t>
        </is>
      </c>
      <c r="J249" s="29" t="inlineStr">
        <is>
          <t>Lisans kanıtları/53c6925c105e606d7431635830ea43c13abdb2066cd969f9c4456ea6a75cb3d7.html</t>
        </is>
      </c>
      <c r="K249" s="29" t="inlineStr">
        <is>
          <t>53c6925c105e606d7431635830ea43c13abdb2066cd969f9c4456ea6a75cb3d7</t>
        </is>
      </c>
    </row>
    <row r="250" ht="54" customHeight="1">
      <c r="A250" s="29" t="inlineStr">
        <is>
          <t>sevilla:kaynak:256</t>
        </is>
      </c>
      <c r="B250" s="29" t="inlineStr">
        <is>
          <t>sevilla</t>
        </is>
      </c>
      <c r="C250" s="29" t="inlineStr">
        <is>
          <t>Admisión y matriculación en Primaria y ESO (6-16 años) - Junta de Andalucía</t>
        </is>
      </c>
      <c r="D250" s="29" t="inlineStr">
        <is>
          <t>Junta de Andalucía</t>
        </is>
      </c>
      <c r="E250" s="29" t="inlineStr">
        <is>
          <t>https://www.juntadeandalucia.es/temas/estudiar/primaria-eso/matriculacion.html</t>
        </is>
      </c>
      <c r="F250" s="49" t="n">
        <v>46319</v>
      </c>
      <c r="G250" s="29" t="inlineStr">
        <is>
          <t>sevilla:aile</t>
        </is>
      </c>
      <c r="H250" s="29" t="inlineStr">
        <is>
          <t>ilk5-1: ilkokul/ortaokul kaydı</t>
        </is>
      </c>
      <c r="I250" s="29" t="inlineStr">
        <is>
          <t>Evet</t>
        </is>
      </c>
      <c r="J250" s="29" t="inlineStr">
        <is>
          <t>Lisans kanıtları/00c4992cd9afab064604d5473363d147acfaed650ce7b5e57a902e480efd88da.html</t>
        </is>
      </c>
      <c r="K250" s="29" t="inlineStr">
        <is>
          <t>00c4992cd9afab064604d5473363d147acfaed650ce7b5e57a902e480efd88da</t>
        </is>
      </c>
    </row>
    <row r="251" ht="54" customHeight="1">
      <c r="A251" s="29" t="inlineStr">
        <is>
          <t>sevilla:kaynak:257</t>
        </is>
      </c>
      <c r="B251" s="29" t="inlineStr">
        <is>
          <t>sevilla</t>
        </is>
      </c>
      <c r="C251" s="29" t="inlineStr">
        <is>
          <t>Admisión y matriculación en el segundo ciclo - Junta de Andalucía</t>
        </is>
      </c>
      <c r="D251" s="29" t="inlineStr">
        <is>
          <t>Junta de Andalucía</t>
        </is>
      </c>
      <c r="E251" s="29" t="inlineStr">
        <is>
          <t>https://www.juntadeandalucia.es/temas/estudiar/infantil/admision-segundo-ciclo.html</t>
        </is>
      </c>
      <c r="F251" s="49" t="n">
        <v>46319</v>
      </c>
      <c r="G251" s="29" t="inlineStr">
        <is>
          <t>sevilla:aile</t>
        </is>
      </c>
      <c r="H251" s="29" t="inlineStr">
        <is>
          <t>ilk5-1: 3-6 yaş anaokulu kaydı</t>
        </is>
      </c>
      <c r="I251" s="29" t="inlineStr">
        <is>
          <t>Evet</t>
        </is>
      </c>
      <c r="J251" s="29" t="inlineStr">
        <is>
          <t>Lisans kanıtları/f3afaf0a30ada2099ed19862720097e6c13c6869d6562f2c80200b6e0ccad659.html</t>
        </is>
      </c>
      <c r="K251" s="29" t="inlineStr">
        <is>
          <t>f3afaf0a30ada2099ed19862720097e6c13c6869d6562f2c80200b6e0ccad659</t>
        </is>
      </c>
    </row>
    <row r="252" ht="54" customHeight="1">
      <c r="A252" s="29" t="inlineStr">
        <is>
          <t>sevilla:kaynak:258</t>
        </is>
      </c>
      <c r="B252" s="29" t="inlineStr">
        <is>
          <t>sevilla</t>
        </is>
      </c>
      <c r="C252" s="29" t="inlineStr">
        <is>
          <t>Durante tu estancia - Visita Sevilla</t>
        </is>
      </c>
      <c r="D252" s="29" t="inlineStr">
        <is>
          <t>Turismo de Sevilla (Visita Sevilla)</t>
        </is>
      </c>
      <c r="E252" s="29" t="inlineStr">
        <is>
          <t>https://visitasevilla.es/durante-tu-estancia/</t>
        </is>
      </c>
      <c r="F252" s="49" t="n">
        <v>46319</v>
      </c>
      <c r="G252" s="29" t="inlineStr">
        <is>
          <t>sevilla:planlama</t>
        </is>
      </c>
      <c r="H252" s="29" t="inlineStr">
        <is>
          <t>Havalimanı/şehir içi ulaşım: otobüs satış noktası, metro saatleri ve telefonları (ilk5: havalimanı ve tren garından şehre)</t>
        </is>
      </c>
      <c r="I252" s="29" t="inlineStr">
        <is>
          <t>Evet</t>
        </is>
      </c>
      <c r="J252" s="29" t="inlineStr">
        <is>
          <t>Lisans kanıtları/7c9ac177241b47890c34c25cc19e10c7713f35d83729b68832efaee7657794c7.html</t>
        </is>
      </c>
      <c r="K252" s="29" t="inlineStr">
        <is>
          <t>7c9ac177241b47890c34c25cc19e10c7713f35d83729b68832efaee7657794c7</t>
        </is>
      </c>
    </row>
    <row r="253" ht="54" customHeight="1">
      <c r="A253" s="29" t="inlineStr">
        <is>
          <t>sevilla:kaynak:259</t>
        </is>
      </c>
      <c r="B253" s="29" t="inlineStr">
        <is>
          <t>sevilla</t>
        </is>
      </c>
      <c r="C253" s="29" t="inlineStr">
        <is>
          <t>Tarjeta de transporte - Junta de Andalucía</t>
        </is>
      </c>
      <c r="D253" s="29" t="inlineStr">
        <is>
          <t>Junta de Andalucía</t>
        </is>
      </c>
      <c r="E253" s="29" t="inlineStr">
        <is>
          <t>https://www.juntadeandalucia.es/organismos/fomentoarticulaciondelterritorioyvivienda/areas/servicios-transporte/transporte-publico/paginas/tarjeta-transporte.html</t>
        </is>
      </c>
      <c r="F253" s="49" t="n">
        <v>46319</v>
      </c>
      <c r="G253" s="29" t="inlineStr">
        <is>
          <t>sevilla:planlama</t>
        </is>
      </c>
      <c r="H253" s="29" t="inlineStr">
        <is>
          <t>Konsorsiyum kartı: kişiye bağlı değil, ilk düzenleme ücreti, yükleme (ilk hafta ulaşım)</t>
        </is>
      </c>
      <c r="I253" s="29" t="inlineStr">
        <is>
          <t>Evet</t>
        </is>
      </c>
      <c r="J253" s="29" t="inlineStr">
        <is>
          <t>Lisans kanıtları/9e448a38914f492401cb9d9f8a25102d713c8202ee2228ca0e0118f59de32246.html</t>
        </is>
      </c>
      <c r="K253" s="29" t="inlineStr">
        <is>
          <t>9e448a38914f492401cb9d9f8a25102d713c8202ee2228ca0e0118f59de32246</t>
        </is>
      </c>
    </row>
    <row r="254" ht="54" customHeight="1">
      <c r="A254" s="29" t="inlineStr">
        <is>
          <t>sevilla:kaynak:260</t>
        </is>
      </c>
      <c r="B254" s="29" t="inlineStr">
        <is>
          <t>sevilla</t>
        </is>
      </c>
      <c r="C254" s="29" t="inlineStr">
        <is>
          <t>Consorcio de Transporte Metropolitano del Área de Sevilla - Consorcio de Transporte Metropolitano del Área de Sevilla - Junta de Andalucía</t>
        </is>
      </c>
      <c r="D254" s="29" t="inlineStr">
        <is>
          <t>Junta de Andalucía</t>
        </is>
      </c>
      <c r="E254" s="29" t="inlineStr">
        <is>
          <t>https://www.juntadeandalucia.es/organismos/ctmas/estructura/titular.html</t>
        </is>
      </c>
      <c r="F254" s="49" t="n">
        <v>46319</v>
      </c>
      <c r="G254" s="29" t="inlineStr">
        <is>
          <t>sevilla:planlama</t>
        </is>
      </c>
      <c r="H254" s="29" t="inlineStr">
        <is>
          <t>Metropol ulaşım konsorsiyumunun Plaza de Armas adresi, telefonu ve e-postası</t>
        </is>
      </c>
      <c r="I254" s="29" t="inlineStr">
        <is>
          <t>Evet</t>
        </is>
      </c>
      <c r="J254" s="29" t="inlineStr">
        <is>
          <t>Lisans kanıtları/f3eb09af0e7636ebd5af9cd07e31eb41c1d1efe5e0bc270627317b74dcf9b40f.html</t>
        </is>
      </c>
      <c r="K254" s="29" t="inlineStr">
        <is>
          <t>f3eb09af0e7636ebd5af9cd07e31eb41c1d1efe5e0bc270627317b74dcf9b40f</t>
        </is>
      </c>
    </row>
    <row r="255" ht="54" customHeight="1">
      <c r="A255" s="29" t="inlineStr">
        <is>
          <t>sevilla:kaynak:262</t>
        </is>
      </c>
      <c r="B255" s="29" t="inlineStr">
        <is>
          <t>sevilla</t>
        </is>
      </c>
      <c r="C255" s="29" t="inlineStr">
        <is>
          <t>La Junta activa el protocolo para reducir el impacto de las temperaturas excesivas en la salud - Noticias - Junta de Andalucía</t>
        </is>
      </c>
      <c r="D255" s="29" t="inlineStr">
        <is>
          <t>Junta de Andalucía</t>
        </is>
      </c>
      <c r="E255" s="29" t="inlineStr">
        <is>
          <t>https://www.juntadeandalucia.es/organismos/sanidadpresidenciayemergencias/servicios/actualidad/noticias/detalle/661876.html</t>
        </is>
      </c>
      <c r="F255" s="49" t="n">
        <v>46319</v>
      </c>
      <c r="G255" s="29" t="inlineStr">
        <is>
          <t>sevilla:planlama</t>
        </is>
      </c>
      <c r="H255" s="29" t="inlineStr">
        <is>
          <t>Aşırı sıcak protokolü: dönem ve korunan gruplar (yaz sıcağı hazırlığı)</t>
        </is>
      </c>
      <c r="I255" s="29" t="inlineStr">
        <is>
          <t>Evet</t>
        </is>
      </c>
      <c r="J255" s="29" t="inlineStr">
        <is>
          <t>Lisans kanıtları/c6d83bc335eefd0b7979acd788bac79891a7f9d2e97b3fde8cc85575547e7fb0.html</t>
        </is>
      </c>
      <c r="K255" s="29" t="inlineStr">
        <is>
          <t>c6d83bc335eefd0b7979acd788bac79891a7f9d2e97b3fde8cc85575547e7fb0</t>
        </is>
      </c>
    </row>
    <row r="256" ht="54" customHeight="1">
      <c r="A256" s="29" t="inlineStr">
        <is>
          <t>sevilla:kaynak:263</t>
        </is>
      </c>
      <c r="B256" s="29" t="inlineStr">
        <is>
          <t>sevilla</t>
        </is>
      </c>
      <c r="C256" s="29" t="inlineStr">
        <is>
          <t>Asociaciones de atención a inmigrantes en Sevilla - Junta de Andalucía</t>
        </is>
      </c>
      <c r="D256" s="29" t="inlineStr">
        <is>
          <t>Junta de Andalucía</t>
        </is>
      </c>
      <c r="E256" s="29" t="inlineStr">
        <is>
          <t>https://www.juntadeandalucia.es/organismos/serviciossocialesfamiliaseigualdad/areas/inclusion/migraciones/paginas/asociaciones-inmigrantes-sevilla.html</t>
        </is>
      </c>
      <c r="F256" s="49" t="n">
        <v>46319</v>
      </c>
      <c r="G256" s="29" t="inlineStr">
        <is>
          <t>sevilla:planlama</t>
        </is>
      </c>
      <c r="H256" s="29" t="inlineStr">
        <is>
          <t>Junta'nın yayımladığı Sevilla'daki göçmen destek kuruluşları listesi (yeni gelenlere destek)</t>
        </is>
      </c>
      <c r="I256" s="29" t="inlineStr">
        <is>
          <t>Evet</t>
        </is>
      </c>
      <c r="J256" s="29" t="inlineStr">
        <is>
          <t>Lisans kanıtları/7a9dddf7f13efaeba4e1e3769dcfa312e5e1555b595be8bba803c350c4c90806.html</t>
        </is>
      </c>
      <c r="K256" s="29" t="inlineStr">
        <is>
          <t>7a9dddf7f13efaeba4e1e3769dcfa312e5e1555b595be8bba803c350c4c90806</t>
        </is>
      </c>
    </row>
    <row r="257" ht="54" customHeight="1">
      <c r="A257" s="29" t="inlineStr">
        <is>
          <t>sevilla:kaynak:264</t>
        </is>
      </c>
      <c r="B257" s="29" t="inlineStr">
        <is>
          <t>sevilla</t>
        </is>
      </c>
      <c r="C257" s="29" t="inlineStr">
        <is>
          <t>Coordinación de políticas migratorias en Andalucía - Junta de Andalucía</t>
        </is>
      </c>
      <c r="D257" s="29" t="inlineStr">
        <is>
          <t>Junta de Andalucía</t>
        </is>
      </c>
      <c r="E257" s="29" t="inlineStr">
        <is>
          <t>https://www.juntadeandalucia.es/organismos/inclusionsocialjuventudfamiliaseigualdad/areas/politicas-migratorias/directorio.html</t>
        </is>
      </c>
      <c r="F257" s="49" t="n">
        <v>46319</v>
      </c>
      <c r="G257" s="29" t="inlineStr">
        <is>
          <t>sevilla:planlama</t>
        </is>
      </c>
      <c r="H257" s="29" t="inlineStr">
        <is>
          <t>Junta Sevilla göç politikaları danışma birimi adresi ve telefonu (resmî destek)</t>
        </is>
      </c>
      <c r="I257" s="29" t="inlineStr">
        <is>
          <t>Evet</t>
        </is>
      </c>
      <c r="J257" s="29" t="inlineStr">
        <is>
          <t>Lisans kanıtları/6b7ed563d89f747735d224d255f18b6d93527089734dad2d42a6ffac7c47e05f.html</t>
        </is>
      </c>
      <c r="K257" s="29" t="inlineStr">
        <is>
          <t>6b7ed563d89f747735d224d255f18b6d93527089734dad2d42a6ffac7c47e05f</t>
        </is>
      </c>
    </row>
    <row r="258" ht="54" customHeight="1">
      <c r="A258" s="29" t="inlineStr">
        <is>
          <t>sevilla:kaynak:265</t>
        </is>
      </c>
      <c r="B258" s="29" t="inlineStr">
        <is>
          <t>sevilla</t>
        </is>
      </c>
      <c r="C258" s="29" t="inlineStr">
        <is>
          <t>Asociaciones de ámbito regional para la atención a inmigrantes - Junta de Andalucía</t>
        </is>
      </c>
      <c r="D258" s="29" t="inlineStr">
        <is>
          <t>Junta de Andalucía</t>
        </is>
      </c>
      <c r="E258" s="29" t="inlineStr">
        <is>
          <t>https://www.juntadeandalucia.es/organismos/inclusionsocialjuventudfamiliaseigualdad/areas/inclusion/migraciones/paginas/asociaciones-inmigrantes-regionales.html</t>
        </is>
      </c>
      <c r="F258" s="49" t="n">
        <v>46319</v>
      </c>
      <c r="G258" s="29" t="inlineStr">
        <is>
          <t>sevilla:planlama</t>
        </is>
      </c>
      <c r="H258" s="29" t="inlineStr">
        <is>
          <t>Bölgesel göçmen destek kuruluşlarının Sevilla ofisleri (ACCEM vb.)</t>
        </is>
      </c>
      <c r="I258" s="29" t="inlineStr">
        <is>
          <t>Evet</t>
        </is>
      </c>
      <c r="J258" s="29" t="inlineStr">
        <is>
          <t>Lisans kanıtları/fef27c7e01a0d3d13118460d483a6a566a0a02a5f45ec0473a3b9fa2f0368508.html</t>
        </is>
      </c>
      <c r="K258" s="29" t="inlineStr">
        <is>
          <t>fef27c7e01a0d3d13118460d483a6a566a0a02a5f45ec0473a3b9fa2f0368508</t>
        </is>
      </c>
    </row>
    <row r="259" ht="54" customHeight="1">
      <c r="A259" s="29" t="inlineStr">
        <is>
          <t>sevilla:kaynak:266</t>
        </is>
      </c>
      <c r="B259" s="29" t="inlineStr">
        <is>
          <t>sevilla</t>
        </is>
      </c>
      <c r="C259" s="29" t="inlineStr">
        <is>
          <t>Viviendas de uso turístico. Preguntas frecuentes - Junta de Andalucía</t>
        </is>
      </c>
      <c r="D259" s="29" t="inlineStr">
        <is>
          <t>Junta de Andalucía</t>
        </is>
      </c>
      <c r="E259" s="29" t="inlineStr">
        <is>
          <t>https://www.juntadeandalucia.es/organismos/turismoyandaluciaexterior/areas/registro-turismo/establecimientos-servicios/paginas/faq-viviendas-turismo.html</t>
        </is>
      </c>
      <c r="F259" s="49" t="n">
        <v>46319</v>
      </c>
      <c r="G259" s="29" t="inlineStr">
        <is>
          <t>sevilla:planlama</t>
        </is>
      </c>
      <c r="H259" s="29" t="inlineStr">
        <is>
          <t>Geçici konaklama: turistik konutların Endülüs Turizm Siciline kayıt zorunluluğu (konaklama dikkat edilecekler)</t>
        </is>
      </c>
      <c r="I259" s="29" t="inlineStr">
        <is>
          <t>Evet</t>
        </is>
      </c>
      <c r="J259" s="29" t="inlineStr">
        <is>
          <t>Lisans kanıtları/ebc68ba3cfcf1fcbbf95e1d38bae127c73961cf43780bc653be46646101a085d.html</t>
        </is>
      </c>
      <c r="K259" s="29" t="inlineStr">
        <is>
          <t>ebc68ba3cfcf1fcbbf95e1d38bae127c73961cf43780bc653be46646101a085d</t>
        </is>
      </c>
    </row>
    <row r="260" ht="54" customHeight="1">
      <c r="A260" s="29" t="inlineStr">
        <is>
          <t>sevilla:kaynak:267</t>
        </is>
      </c>
      <c r="B260" s="29" t="inlineStr">
        <is>
          <t>sevilla</t>
        </is>
      </c>
      <c r="C260" s="29" t="inlineStr">
        <is>
          <t>Servicio 012 - Junta de Andalucía</t>
        </is>
      </c>
      <c r="D260" s="29" t="inlineStr">
        <is>
          <t>Junta de Andalucía</t>
        </is>
      </c>
      <c r="E260" s="29" t="inlineStr">
        <is>
          <t>https://www.juntadeandalucia.es/servicios/tramites/atencion-ciudadania/servicio-012.html</t>
        </is>
      </c>
      <c r="F260" s="49" t="n">
        <v>46319</v>
      </c>
      <c r="G260" s="29" t="inlineStr">
        <is>
          <t>sevilla:planlama</t>
        </is>
      </c>
      <c r="H260" s="29" t="inlineStr">
        <is>
          <t>Junta idari bilgi hattı 012 (ilk hafta işleri, bilgi alma)</t>
        </is>
      </c>
      <c r="I260" s="29" t="inlineStr">
        <is>
          <t>Evet</t>
        </is>
      </c>
      <c r="J260" s="29" t="inlineStr">
        <is>
          <t>Lisans kanıtları/a38cbb21c3a7ed0881c9cdc4f2fdfd027546ee9023dbb4223d034da6263b2ef4.html</t>
        </is>
      </c>
      <c r="K260" s="29" t="inlineStr">
        <is>
          <t>a38cbb21c3a7ed0881c9cdc4f2fdfd027546ee9023dbb4223d034da6263b2ef4</t>
        </is>
      </c>
    </row>
    <row r="261" ht="54" customHeight="1">
      <c r="A261" s="29" t="inlineStr">
        <is>
          <t>sevilla:kaynak:268</t>
        </is>
      </c>
      <c r="B261" s="29" t="inlineStr">
        <is>
          <t>sevilla</t>
        </is>
      </c>
      <c r="C261" s="29" t="inlineStr">
        <is>
          <t>Sobre las oficinas de asistencia en materia de registros - Junta de Andalucía</t>
        </is>
      </c>
      <c r="D261" s="29" t="inlineStr">
        <is>
          <t>Junta de Andalucía</t>
        </is>
      </c>
      <c r="E261" s="29" t="inlineStr">
        <is>
          <t>https://www.juntadeandalucia.es/servicios/tramites/presentacion-documentos/oficinas-asistencia-registros/paginas/informacion.html</t>
        </is>
      </c>
      <c r="F261" s="49" t="n">
        <v>46319</v>
      </c>
      <c r="G261" s="29" t="inlineStr">
        <is>
          <t>sevilla:oturum</t>
        </is>
      </c>
      <c r="H261" s="29" t="inlineStr">
        <is>
          <t>Başvuru ve evrakın kamuya (devlet dahil) teslimi için Junta kayıt ofisleri (oturum başvurusu belgeleri)</t>
        </is>
      </c>
      <c r="I261" s="29" t="inlineStr">
        <is>
          <t>Evet</t>
        </is>
      </c>
      <c r="J261" s="29" t="inlineStr">
        <is>
          <t>Lisans kanıtları/fbd83835ae40850a4e64c9cad384705c5e77b8fafeff70e511bfa88b87d130c4.html</t>
        </is>
      </c>
      <c r="K261" s="29" t="inlineStr">
        <is>
          <t>fbd83835ae40850a4e64c9cad384705c5e77b8fafeff70e511bfa88b87d130c4</t>
        </is>
      </c>
    </row>
    <row r="262" ht="54" customHeight="1">
      <c r="A262" s="29" t="inlineStr">
        <is>
          <t>sevilla:kaynak:269</t>
        </is>
      </c>
      <c r="B262" s="29" t="inlineStr">
        <is>
          <t>sevilla</t>
        </is>
      </c>
      <c r="C262" s="29" t="inlineStr">
        <is>
          <t>Cita previa para oficinas de registro - Junta de Andalucía</t>
        </is>
      </c>
      <c r="D262" s="29" t="inlineStr">
        <is>
          <t>Junta de Andalucía</t>
        </is>
      </c>
      <c r="E262" s="29" t="inlineStr">
        <is>
          <t>https://www.juntadeandalucia.es/servicios/tramites/presentacion-documentos/oficinas-asistencia-registros/paginas/cita-previa.html</t>
        </is>
      </c>
      <c r="F262" s="49" t="n">
        <v>46319</v>
      </c>
      <c r="G262" s="29" t="inlineStr">
        <is>
          <t>sevilla:oturum</t>
        </is>
      </c>
      <c r="H262" s="29" t="inlineStr">
        <is>
          <t>Kayıt ofisleri için randevu yolu (Sevilla'da 25 ofis dizini sayfasıyla birlikte)</t>
        </is>
      </c>
      <c r="I262" s="29" t="inlineStr">
        <is>
          <t>Evet</t>
        </is>
      </c>
      <c r="J262" s="29" t="inlineStr">
        <is>
          <t>Lisans kanıtları/b7c673e64f0920c4f5c219d82192b33021bcbd73be869194fd04f2f92a114091.html</t>
        </is>
      </c>
      <c r="K262" s="29" t="inlineStr">
        <is>
          <t>b7c673e64f0920c4f5c219d82192b33021bcbd73be869194fd04f2f92a114091</t>
        </is>
      </c>
    </row>
    <row r="263" ht="54" customHeight="1">
      <c r="A263" s="29" t="inlineStr">
        <is>
          <t>sevilla:kaynak:270</t>
        </is>
      </c>
      <c r="B263" s="29" t="inlineStr">
        <is>
          <t>sevilla</t>
        </is>
      </c>
      <c r="C263" s="29" t="inlineStr">
        <is>
          <t>Directorio de Oficinas de asistencia en materia de registros - Junta de Andalucía</t>
        </is>
      </c>
      <c r="D263" s="29" t="inlineStr">
        <is>
          <t>Junta de Andalucía</t>
        </is>
      </c>
      <c r="E263" s="29" t="inlineStr">
        <is>
          <t>https://www.juntadeandalucia.es/servicios/sede/tramites/oficinas-asistencia-registros.html</t>
        </is>
      </c>
      <c r="F263" s="49" t="n">
        <v>46319</v>
      </c>
      <c r="G263" s="29" t="inlineStr">
        <is>
          <t>sevilla:oturum</t>
        </is>
      </c>
      <c r="H263" s="29" t="inlineStr">
        <is>
          <t>Sevilla ilindeki kayıt ofisleri dizini (il filtresi)</t>
        </is>
      </c>
      <c r="I263" s="29" t="inlineStr">
        <is>
          <t>Evet</t>
        </is>
      </c>
      <c r="J263" s="29" t="inlineStr">
        <is>
          <t>Lisans kanıtları/e529c0f28962baa6c2dd50d0c4df6f8e26fca920fd3738a225fdad89f4d272ee.html</t>
        </is>
      </c>
      <c r="K263" s="29" t="inlineStr">
        <is>
          <t>e529c0f28962baa6c2dd50d0c4df6f8e26fca920fd3738a225fdad89f4d272ee</t>
        </is>
      </c>
    </row>
    <row r="264" ht="54" customHeight="1">
      <c r="A264" s="29" t="inlineStr">
        <is>
          <t>sevilla:kaynak:272</t>
        </is>
      </c>
      <c r="B264" s="29" t="inlineStr">
        <is>
          <t>sevilla</t>
        </is>
      </c>
      <c r="C264" s="29" t="inlineStr">
        <is>
          <t>Ciudadanos</t>
        </is>
      </c>
      <c r="D264" s="29" t="inlineStr">
        <is>
          <t>Seguridad Social</t>
        </is>
      </c>
      <c r="E264" s="29" t="inlineStr">
        <is>
          <t>https://sede.seg-social.gob.es/wps/portal/sede/sede/Ciudadanos/cita+previa+para+pensiones+y+otras+prestaciones/13cita+previa+para+pensiones+y+otras+prestaciones</t>
        </is>
      </c>
      <c r="F264" s="49" t="n">
        <v>46319</v>
      </c>
      <c r="G264" s="29" t="inlineStr">
        <is>
          <t>sevilla:resmi</t>
        </is>
      </c>
      <c r="H264" s="29" t="inlineStr">
        <is>
          <t>Sosyal güvenlik (CAISS) randevusu, il/ofis seçimiyle Sevilla</t>
        </is>
      </c>
      <c r="I264" s="29" t="inlineStr">
        <is>
          <t>Evet</t>
        </is>
      </c>
      <c r="J264" s="29" t="inlineStr">
        <is>
          <t>Lisans kanıtları/c4966cc65e7589b1895365bfab72c1d29c8a84f29ad4cb6b5b0f0973efc23a1f.html</t>
        </is>
      </c>
      <c r="K264" s="29" t="inlineStr">
        <is>
          <t>c4966cc65e7589b1895365bfab72c1d29c8a84f29ad4cb6b5b0f0973efc23a1f</t>
        </is>
      </c>
    </row>
    <row r="265" ht="54" customHeight="1">
      <c r="A265" s="29" t="inlineStr">
        <is>
          <t>sevilla:kaynak:273</t>
        </is>
      </c>
      <c r="B265" s="29" t="inlineStr">
        <is>
          <t>sevilla</t>
        </is>
      </c>
      <c r="C265" s="29" t="inlineStr">
        <is>
          <t>Seguridad Social: Servicio atención telefónica</t>
        </is>
      </c>
      <c r="D265" s="29" t="inlineStr">
        <is>
          <t>Seguridad Social</t>
        </is>
      </c>
      <c r="E265" s="29" t="inlineStr">
        <is>
          <t>https://www.seg-social.es/wps/portal/wss/internet/ServicioAtencionTelefonica</t>
        </is>
      </c>
      <c r="F265" s="49" t="n">
        <v>46319</v>
      </c>
      <c r="G265" s="29" t="inlineStr">
        <is>
          <t>sevilla:resmi</t>
        </is>
      </c>
      <c r="H265" s="29" t="inlineStr">
        <is>
          <t>Sosyal güvenlik telefon ve randevu hatları (Sevilla ofisi randevusu)</t>
        </is>
      </c>
      <c r="I265" s="29" t="inlineStr">
        <is>
          <t>Evet</t>
        </is>
      </c>
      <c r="J265" s="29" t="inlineStr">
        <is>
          <t>Lisans kanıtları/045f909a69a9a9e6c3e8b5e2f9a20f95a256f1ba795f32bf3c316cff88cd3969.html</t>
        </is>
      </c>
      <c r="K265" s="29" t="inlineStr">
        <is>
          <t>045f909a69a9a9e6c3e8b5e2f9a20f95a256f1ba795f32bf3c316cff88cd3969</t>
        </is>
      </c>
    </row>
    <row r="266" ht="54" customHeight="1">
      <c r="A266" s="29" t="inlineStr">
        <is>
          <t>sevilla:kaynak:274</t>
        </is>
      </c>
      <c r="B266" s="29" t="inlineStr">
        <is>
          <t>sevilla</t>
        </is>
      </c>
      <c r="C266" s="29" t="inlineStr">
        <is>
          <t>DGT - Dónde estamos</t>
        </is>
      </c>
      <c r="D266" s="29" t="inlineStr">
        <is>
          <t>Dirección General de Tráfico</t>
        </is>
      </c>
      <c r="E266" s="29" t="inlineStr">
        <is>
          <t>https://www.dgt.es/conoce-la-dgt/donde-estamos/</t>
        </is>
      </c>
      <c r="F266" s="49" t="n">
        <v>46319</v>
      </c>
      <c r="G266" s="29" t="inlineStr">
        <is>
          <t>sevilla:resmi</t>
        </is>
      </c>
      <c r="H266" s="29" t="inlineStr">
        <is>
          <t>Sevilla'daki DGT adresi (Páez de Rivera; Güneybatı trafik yönetim merkezi)</t>
        </is>
      </c>
      <c r="I266" s="29" t="inlineStr">
        <is>
          <t>Evet</t>
        </is>
      </c>
      <c r="J266" s="29" t="inlineStr">
        <is>
          <t>Lisans kanıtları/1ec6d4e34e856f260374a4aeda43e5568e4998bdc488f512c67f6816967809f5.html</t>
        </is>
      </c>
      <c r="K266" s="29" t="inlineStr">
        <is>
          <t>1ec6d4e34e856f260374a4aeda43e5568e4998bdc488f512c67f6816967809f5</t>
        </is>
      </c>
    </row>
    <row r="267" ht="54" customHeight="1">
      <c r="A267" s="29" t="inlineStr">
        <is>
          <t>sevilla:kaynak:275</t>
        </is>
      </c>
      <c r="B267" s="29" t="inlineStr">
        <is>
          <t>sevilla</t>
        </is>
      </c>
      <c r="C267" s="29" t="inlineStr">
        <is>
          <t>Sede Electrónica DGT - Solicitud de cita previa</t>
        </is>
      </c>
      <c r="D267" s="29" t="inlineStr">
        <is>
          <t>Sede Electrónica DGT</t>
        </is>
      </c>
      <c r="E267" s="29" t="inlineStr">
        <is>
          <t>https://sede.dgt.gob.es/es/otros-tramites/cita-previa</t>
        </is>
      </c>
      <c r="F267" s="49" t="n">
        <v>46319</v>
      </c>
      <c r="G267" s="29" t="inlineStr">
        <is>
          <t>sevilla:resmi</t>
        </is>
      </c>
      <c r="H267" s="29" t="inlineStr">
        <is>
          <t>Ehliyet işlemleri için DGT randevusu (Sevilla il seçimiyle)</t>
        </is>
      </c>
      <c r="I267" s="29" t="inlineStr">
        <is>
          <t>Evet</t>
        </is>
      </c>
      <c r="J267" s="29" t="inlineStr">
        <is>
          <t>Lisans kanıtları/9c5d1bc988dcd3073efea62c01e649a80e61b4bedc79344774bf2ef131709d73.html</t>
        </is>
      </c>
      <c r="K267" s="29" t="inlineStr">
        <is>
          <t>9c5d1bc988dcd3073efea62c01e649a80e61b4bedc79344774bf2ef131709d73</t>
        </is>
      </c>
    </row>
    <row r="268" ht="54" customHeight="1">
      <c r="A268" s="29" t="inlineStr">
        <is>
          <t>sevilla:kaynak:276</t>
        </is>
      </c>
      <c r="B268" s="29" t="inlineStr">
        <is>
          <t>sevilla</t>
        </is>
      </c>
      <c r="C268" s="29" t="inlineStr">
        <is>
          <t>Colegio Notarial de Andalucía - Notariado</t>
        </is>
      </c>
      <c r="D268" s="29" t="inlineStr">
        <is>
          <t>Consejo General del Notariado</t>
        </is>
      </c>
      <c r="E268" s="29" t="inlineStr">
        <is>
          <t>https://www.notariado.org/portal/en/-/colegio-notarial-de-andaluc%C3%ADa</t>
        </is>
      </c>
      <c r="F268" s="49" t="n">
        <v>46319</v>
      </c>
      <c r="G268" s="29" t="inlineStr">
        <is>
          <t>sevilla:resmi</t>
        </is>
      </c>
      <c r="H268" s="29" t="inlineStr">
        <is>
          <t>Sevilla'daki Endülüs Noterler Odası adresi (noter bulma)</t>
        </is>
      </c>
      <c r="I268" s="29" t="inlineStr">
        <is>
          <t>Evet</t>
        </is>
      </c>
      <c r="J268" s="29" t="inlineStr">
        <is>
          <t>Lisans kanıtları/3ad15f36d77d02766aa801351cc6f47624167b83e3ea5c0dcf4cec55789857af.html</t>
        </is>
      </c>
      <c r="K268" s="29" t="inlineStr">
        <is>
          <t>3ad15f36d77d02766aa801351cc6f47624167b83e3ea5c0dcf4cec55789857af</t>
        </is>
      </c>
    </row>
    <row r="269" ht="54" customHeight="1">
      <c r="A269" s="29" t="inlineStr">
        <is>
          <t>sevilla:kaynak:277</t>
        </is>
      </c>
      <c r="B269" s="29" t="inlineStr">
        <is>
          <t>sevilla</t>
        </is>
      </c>
      <c r="C269" s="29" t="inlineStr">
        <is>
          <t>Colegios notariales - Junta de Andalucía</t>
        </is>
      </c>
      <c r="D269" s="29" t="inlineStr">
        <is>
          <t>Junta de Andalucía</t>
        </is>
      </c>
      <c r="E269" s="29" t="inlineStr">
        <is>
          <t>https://www.juntadeandalucia.es/organismos/turismojusticiadesregulacionyadministracionlocal/areas/notarias/colegios.html</t>
        </is>
      </c>
      <c r="F269" s="49" t="n">
        <v>46319</v>
      </c>
      <c r="G269" s="29" t="inlineStr">
        <is>
          <t>sevilla:resmi</t>
        </is>
      </c>
      <c r="H269" s="29" t="inlineStr">
        <is>
          <t>Endülüs noterler odaları (noter bulma)</t>
        </is>
      </c>
      <c r="I269" s="29" t="inlineStr">
        <is>
          <t>Evet</t>
        </is>
      </c>
      <c r="J269" s="29" t="inlineStr">
        <is>
          <t>Lisans kanıtları/9dcf3586e8756742616ab1050f4876ed2382668f7de162e53ae4538356cd774f.html</t>
        </is>
      </c>
      <c r="K269" s="29" t="inlineStr">
        <is>
          <t>9dcf3586e8756742616ab1050f4876ed2382668f7de162e53ae4538356cd774f</t>
        </is>
      </c>
    </row>
    <row r="270" ht="54" customHeight="1">
      <c r="A270" s="29" t="inlineStr">
        <is>
          <t>sevilla:kaynak:278</t>
        </is>
      </c>
      <c r="B270" s="29" t="inlineStr">
        <is>
          <t>sevilla</t>
        </is>
      </c>
      <c r="C270" s="29" t="inlineStr">
        <is>
          <t>Páginas - Traductores e intérpretes</t>
        </is>
      </c>
      <c r="D270" s="29" t="inlineStr">
        <is>
          <t>Ministerio de Asuntos Exteriores</t>
        </is>
      </c>
      <c r="E270" s="29" t="inlineStr">
        <is>
          <t>https://www.exteriores.gob.es/es/ServiciosAlCiudadano/Paginas/Buscador-STIJ.aspx</t>
        </is>
      </c>
      <c r="F270" s="49" t="n">
        <v>46319</v>
      </c>
      <c r="G270" s="29" t="inlineStr">
        <is>
          <t>sevilla:resmi</t>
        </is>
      </c>
      <c r="H270" s="29" t="inlineStr">
        <is>
          <t>Yeminli tercüman arama motoru (Sevilla'da tercüman bulma)</t>
        </is>
      </c>
      <c r="I270" s="29" t="inlineStr">
        <is>
          <t>Evet</t>
        </is>
      </c>
      <c r="J270" s="29" t="inlineStr">
        <is>
          <t>Lisans kanıtları/d6ef44a68526e494def9aae825d3011e4d45a743430af046349f8de770d0ca1f.html</t>
        </is>
      </c>
      <c r="K270" s="29" t="inlineStr">
        <is>
          <t>d6ef44a68526e494def9aae825d3011e4d45a743430af046349f8de770d0ca1f</t>
        </is>
      </c>
    </row>
    <row r="271" ht="54" customHeight="1">
      <c r="A271" s="29" t="inlineStr">
        <is>
          <t>sevilla:kaynak:280</t>
        </is>
      </c>
      <c r="B271" s="29" t="inlineStr">
        <is>
          <t>sevilla</t>
        </is>
      </c>
      <c r="C271" s="29" t="inlineStr">
        <is>
          <t>Sevilla es una ciudad para el deporte - Visita Sevilla</t>
        </is>
      </c>
      <c r="D271" s="29" t="inlineStr">
        <is>
          <t>Turismo de Sevilla (Visita Sevilla)</t>
        </is>
      </c>
      <c r="E271" s="29" t="inlineStr">
        <is>
          <t>https://visitasevilla.es/sevilla-es-una-ciudad-para-el-deporte/</t>
        </is>
      </c>
      <c r="F271" s="49" t="n">
        <v>46319</v>
      </c>
      <c r="G271" s="29" t="inlineStr">
        <is>
          <t>sevilla:kesif</t>
        </is>
      </c>
      <c r="H271" s="29" t="inlineStr">
        <is>
          <t>Açık hava ve spor seçenekleri: bisiklet yolu, skatepark, nehir sporları, Alamillo, golf, calistenia.</t>
        </is>
      </c>
      <c r="I271" s="29" t="inlineStr">
        <is>
          <t>Evet</t>
        </is>
      </c>
      <c r="J271" s="29" t="inlineStr">
        <is>
          <t>Lisans kanıtları/23cd28baf4eebeef7caed8ebe3ff6f7edd1de4d125a240fb45b9165380c09a4b.html</t>
        </is>
      </c>
      <c r="K271" s="29" t="inlineStr">
        <is>
          <t>23cd28baf4eebeef7caed8ebe3ff6f7edd1de4d125a240fb45b9165380c09a4b</t>
        </is>
      </c>
    </row>
    <row r="272" ht="54" customHeight="1">
      <c r="A272" s="29" t="inlineStr">
        <is>
          <t>sevilla:kaynak:281</t>
        </is>
      </c>
      <c r="B272" s="29" t="inlineStr">
        <is>
          <t>sevilla</t>
        </is>
      </c>
      <c r="C272" s="29" t="inlineStr">
        <is>
          <t>Turismo accesible - Visita Sevilla</t>
        </is>
      </c>
      <c r="D272" s="29" t="inlineStr">
        <is>
          <t>Turismo de Sevilla (Visita Sevilla)</t>
        </is>
      </c>
      <c r="E272" s="29" t="inlineStr">
        <is>
          <t>https://visitasevilla.es/turismo-accesible/</t>
        </is>
      </c>
      <c r="F272" s="49" t="n">
        <v>46319</v>
      </c>
      <c r="G272" s="29" t="inlineStr">
        <is>
          <t>sevilla:kesif</t>
        </is>
      </c>
      <c r="H272" s="29" t="inlineStr">
        <is>
          <t>Engelli erişimi: dört erişilebilir rota, Katedral ve Alcázar dokunsal maketleri.</t>
        </is>
      </c>
      <c r="I272" s="29" t="inlineStr">
        <is>
          <t>Evet</t>
        </is>
      </c>
      <c r="J272" s="29" t="inlineStr">
        <is>
          <t>Lisans kanıtları/87a11162f39be01664ff3a4ecb64f538c9d106399cfadfd8074e092fa7dcbb98.html</t>
        </is>
      </c>
      <c r="K272" s="29" t="inlineStr">
        <is>
          <t>87a11162f39be01664ff3a4ecb64f538c9d106399cfadfd8074e092fa7dcbb98</t>
        </is>
      </c>
    </row>
    <row r="273" ht="54" customHeight="1">
      <c r="A273" s="29" t="inlineStr">
        <is>
          <t>sevilla:kaynak:282</t>
        </is>
      </c>
      <c r="B273" s="29" t="inlineStr">
        <is>
          <t>sevilla</t>
        </is>
      </c>
      <c r="C273" s="29" t="inlineStr">
        <is>
          <t>The April Fair - Visita Sevilla - EN</t>
        </is>
      </c>
      <c r="D273" s="29" t="inlineStr">
        <is>
          <t>Turismo de Sevilla (Visita Sevilla)</t>
        </is>
      </c>
      <c r="E273" s="29" t="inlineStr">
        <is>
          <t>https://visitasevilla.es/en/the-april-fair/</t>
        </is>
      </c>
      <c r="F273" s="49" t="n">
        <v>46319</v>
      </c>
      <c r="G273" s="29" t="inlineStr">
        <is>
          <t>sevilla:gunluk</t>
        </is>
      </c>
      <c r="H273" s="29" t="inlineStr">
        <is>
          <t>Feria de Abril: tarih, alumbrao, halka açık caseta ve El Real bilgi noktaları</t>
        </is>
      </c>
      <c r="I273" s="29" t="inlineStr">
        <is>
          <t>Evet</t>
        </is>
      </c>
      <c r="J273" s="29" t="inlineStr">
        <is>
          <t>Lisans kanıtları/954aa4d3ab1b0c27c11feac31fecac6b9b564aee1a0c944caafbd9d331d37344.html</t>
        </is>
      </c>
      <c r="K273" s="29" t="inlineStr">
        <is>
          <t>954aa4d3ab1b0c27c11feac31fecac6b9b564aee1a0c944caafbd9d331d37344</t>
        </is>
      </c>
    </row>
    <row r="274" ht="54" customHeight="1">
      <c r="A274" s="29" t="inlineStr">
        <is>
          <t>sevilla:kaynak:283</t>
        </is>
      </c>
      <c r="B274" s="29" t="inlineStr">
        <is>
          <t>sevilla</t>
        </is>
      </c>
      <c r="C274" s="29" t="inlineStr">
        <is>
          <t>La Feria de Abril - Visita Sevilla</t>
        </is>
      </c>
      <c r="D274" s="29" t="inlineStr">
        <is>
          <t>Turismo de Sevilla (Consorcio de Turismo, Ayuntamiento)</t>
        </is>
      </c>
      <c r="E274" s="29" t="inlineStr">
        <is>
          <t>https://visitasevilla.es/la-feria-de-abril/</t>
        </is>
      </c>
      <c r="F274" s="49" t="n">
        <v>46319</v>
      </c>
      <c r="G274" s="29" t="inlineStr">
        <is>
          <t>sevilla:gunluk</t>
        </is>
      </c>
      <c r="H274" s="29" t="inlineStr">
        <is>
          <t>Feria de Abril 13-18 Nisan 2027 (sayfa 'Este año' diyor; yıl metinde yazmıyor)</t>
        </is>
      </c>
      <c r="I274" s="29" t="inlineStr">
        <is>
          <t>Evet</t>
        </is>
      </c>
      <c r="J274" s="29" t="inlineStr">
        <is>
          <t>Lisans kanıtları/6138994ea589405849ded8adf46976052d95c3a97f9ad8df5cfe823adbe4f14f.html</t>
        </is>
      </c>
      <c r="K274" s="29" t="inlineStr">
        <is>
          <t>6138994ea589405849ded8adf46976052d95c3a97f9ad8df5cfe823adbe4f14f</t>
        </is>
      </c>
    </row>
    <row r="275" ht="54" customHeight="1">
      <c r="A275" s="29" t="inlineStr">
        <is>
          <t>sevilla:kaynak:284</t>
        </is>
      </c>
      <c r="B275" s="29" t="inlineStr">
        <is>
          <t>sevilla</t>
        </is>
      </c>
      <c r="C275" s="29" t="inlineStr">
        <is>
          <t>Buscador de dependencias y oficinas. Versión accesible. Sede electrónica de la Policía Nacional España</t>
        </is>
      </c>
      <c r="D275" s="29" t="inlineStr">
        <is>
          <t>Policía Nacional (sede electrónica)</t>
        </is>
      </c>
      <c r="E275" s="29" t="inlineStr">
        <is>
          <t>https://sede.policia.gob.es/portalCiudadano/_es/dependencias_localizador_accesible.php</t>
        </is>
      </c>
      <c r="F275" s="49" t="n">
        <v>46319</v>
      </c>
      <c r="G275" s="29" t="inlineStr">
        <is>
          <t>sevilla:oturum</t>
        </is>
      </c>
      <c r="H275" s="29" t="inlineStr">
        <is>
          <t>Sevilla TIE/NIE ofisi: Brigada Provincial de Extranjería, Av. Blas Infante 2; işleri (Expedición TIE, NIE)</t>
        </is>
      </c>
      <c r="I275" s="29" t="inlineStr">
        <is>
          <t>Evet</t>
        </is>
      </c>
      <c r="J275" s="29" t="inlineStr">
        <is>
          <t>Lisans kanıtları/71ee28de926234bd928b935eec50da7bbb105d49fe63d8016eeb5a2886b437d6.html</t>
        </is>
      </c>
      <c r="K275" s="29" t="inlineStr">
        <is>
          <t>71ee28de926234bd928b935eec50da7bbb105d49fe63d8016eeb5a2886b437d6</t>
        </is>
      </c>
    </row>
    <row r="276" ht="54" customHeight="1">
      <c r="A276" s="29" t="inlineStr">
        <is>
          <t>sevilla:kaynak:285</t>
        </is>
      </c>
      <c r="B276" s="29" t="inlineStr">
        <is>
          <t>sevilla</t>
        </is>
      </c>
      <c r="C276" s="29" t="inlineStr">
        <is>
          <t>T.C. Dışişleri Bakanlığı - Embajada De La República De Türkiye En Madrid - Datos de contacto</t>
        </is>
      </c>
      <c r="D276" s="29" t="inlineStr">
        <is>
          <t>T.C. Dışişleri Bakanlığı (Madrid Büyükelçiliği)</t>
        </is>
      </c>
      <c r="E276" s="29" t="inlineStr">
        <is>
          <t>https://madrid-emb.mfa.gov.tr/Mission/Contact</t>
        </is>
      </c>
      <c r="F276" s="49" t="n">
        <v>46319</v>
      </c>
      <c r="G276" s="29" t="inlineStr">
        <is>
          <t>sevilla:oturum</t>
        </is>
      </c>
      <c r="H276" s="29" t="inlineStr">
        <is>
          <t>Sevilla'da Türkiye Fahri Başkonsolosluğu bulunduğunu ve bölgenin Madrid Büyükelçiliği'ne bağlı olduğunu gösterir</t>
        </is>
      </c>
      <c r="I276" s="29" t="inlineStr">
        <is>
          <t>Evet</t>
        </is>
      </c>
      <c r="J276" s="29" t="inlineStr">
        <is>
          <t>Lisans kanıtları/187320611cea0f433af58a873f2f8b8b22a3e6a74cedf61ae17073c9494e63ec.html</t>
        </is>
      </c>
      <c r="K276" s="29" t="inlineStr">
        <is>
          <t>187320611cea0f433af58a873f2f8b8b22a3e6a74cedf61ae17073c9494e63ec</t>
        </is>
      </c>
    </row>
    <row r="277" ht="54" customHeight="1">
      <c r="A277" s="29" t="inlineStr">
        <is>
          <t>sevilla:kaynak:286</t>
        </is>
      </c>
      <c r="B277" s="29" t="inlineStr">
        <is>
          <t>sevilla</t>
        </is>
      </c>
      <c r="C277" s="29" t="inlineStr">
        <is>
          <t>Directorios Judiciales</t>
        </is>
      </c>
      <c r="D277" s="29" t="inlineStr">
        <is>
          <t>Junta de Andalucía (Portal Adriano)</t>
        </is>
      </c>
      <c r="E277" s="29" t="inlineStr">
        <is>
          <t>https://www.juntadeandalucia.es/justicia/portal/adriano/buscarpartidosjudiciales?codigoProvincia=8&amp;ckeckTipos=,108,189</t>
        </is>
      </c>
      <c r="F277" s="49" t="n">
        <v>46319</v>
      </c>
      <c r="G277" s="29" t="inlineStr">
        <is>
          <t>sevilla:resmi</t>
        </is>
      </c>
      <c r="H277" s="29" t="inlineStr">
        <is>
          <t>Registro Civil Exclusivo Nº1 de Sevilla adresi (C/ Vermondo Resta s/n, 41018)</t>
        </is>
      </c>
      <c r="I277" s="29" t="inlineStr">
        <is>
          <t>Evet</t>
        </is>
      </c>
      <c r="J277" s="29" t="inlineStr">
        <is>
          <t>Lisans kanıtları/b4e01af212ec79854f551c1bdfe351a3a3f5d1dcf7cb995dd54298be1481b8cf.html</t>
        </is>
      </c>
      <c r="K277" s="29" t="inlineStr">
        <is>
          <t>b4e01af212ec79854f551c1bdfe351a3a3f5d1dcf7cb995dd54298be1481b8cf</t>
        </is>
      </c>
    </row>
    <row r="278" ht="54" customHeight="1">
      <c r="A278" s="29" t="inlineStr">
        <is>
          <t>sevilla:kaynak:287</t>
        </is>
      </c>
      <c r="B278" s="29" t="inlineStr">
        <is>
          <t>sevilla</t>
        </is>
      </c>
      <c r="C278" s="29" t="inlineStr">
        <is>
          <t>Información y solicitudes | CTMAS</t>
        </is>
      </c>
      <c r="D278" s="29" t="inlineStr">
        <is>
          <t>Consorcio de Transporte Metropolitano del Área de Sevilla (ctas.es)</t>
        </is>
      </c>
      <c r="E278" s="29" t="inlineStr">
        <is>
          <t>https://www.ctas.es/tarjetas-y-tarifas/informacion-y-solicitudes</t>
        </is>
      </c>
      <c r="F278" s="49" t="n">
        <v>46319</v>
      </c>
      <c r="G278" s="29" t="inlineStr">
        <is>
          <t>sevilla:ulasim</t>
        </is>
      </c>
      <c r="H278" s="29" t="inlineStr">
        <is>
          <t>Kart 1,50 €, 5-500 € yükleme; TUSSAM kartla geçerli ama özel hat ve havalimanı hariç</t>
        </is>
      </c>
      <c r="I278" s="29" t="inlineStr">
        <is>
          <t>Evet</t>
        </is>
      </c>
      <c r="J278" s="29" t="inlineStr">
        <is>
          <t>Lisans kanıtları/edd71b12216c20c4e77c1c7ddfe8926e4a42304ccae563eabbc033c290175f59.html</t>
        </is>
      </c>
      <c r="K278" s="29" t="inlineStr">
        <is>
          <t>edd71b12216c20c4e77c1c7ddfe8926e4a42304ccae563eabbc033c290175f59</t>
        </is>
      </c>
    </row>
    <row r="279" ht="54" customHeight="1">
      <c r="A279" s="29" t="inlineStr">
        <is>
          <t>sevilla:kaynak:288</t>
        </is>
      </c>
      <c r="B279" s="29" t="inlineStr">
        <is>
          <t>sevilla</t>
        </is>
      </c>
      <c r="C279" s="29" t="inlineStr">
        <is>
          <t>Metro | CTMAS</t>
        </is>
      </c>
      <c r="D279" s="29" t="inlineStr">
        <is>
          <t>Consorcio de Transporte Metropolitano del Área de Sevilla (ctas.es)</t>
        </is>
      </c>
      <c r="E279" s="29" t="inlineStr">
        <is>
          <t>https://www.ctas.es/lineas-y-horarios/bus-metro-y-cercanias/metro</t>
        </is>
      </c>
      <c r="F279" s="49" t="n">
        <v>46319</v>
      </c>
      <c r="G279" s="29" t="inlineStr">
        <is>
          <t>sevilla:ulasim</t>
        </is>
      </c>
      <c r="H279" s="29" t="inlineStr">
        <is>
          <t>Metro tarifleri (bilet/kart, 2026 %40 indirim)</t>
        </is>
      </c>
      <c r="I279" s="29" t="inlineStr">
        <is>
          <t>Evet</t>
        </is>
      </c>
      <c r="J279" s="29" t="inlineStr">
        <is>
          <t>Lisans kanıtları/b29a543a49a709621cdca2e76e6a2405696d21b084984a38b6c2cd81673c33c9.html</t>
        </is>
      </c>
      <c r="K279" s="29" t="inlineStr">
        <is>
          <t>b29a543a49a709621cdca2e76e6a2405696d21b084984a38b6c2cd81673c33c9</t>
        </is>
      </c>
    </row>
    <row r="280" ht="54" customHeight="1">
      <c r="A280" s="29" t="inlineStr">
        <is>
          <t>sevilla:kaynak:289</t>
        </is>
      </c>
      <c r="B280" s="29" t="inlineStr">
        <is>
          <t>sevilla</t>
        </is>
      </c>
      <c r="C280" s="29" t="inlineStr">
        <is>
          <t>Cercanías | CTMAS</t>
        </is>
      </c>
      <c r="D280" s="29" t="inlineStr">
        <is>
          <t>Consorcio de Transporte Metropolitano del Área de Sevilla (ctas.es)</t>
        </is>
      </c>
      <c r="E280" s="29" t="inlineStr">
        <is>
          <t>https://www.ctas.es/lineas-y-horarios/bus-metro-y-cercanias/cercanias</t>
        </is>
      </c>
      <c r="F280" s="49" t="n">
        <v>46319</v>
      </c>
      <c r="G280" s="29" t="inlineStr">
        <is>
          <t>sevilla:ulasim</t>
        </is>
      </c>
      <c r="H280" s="29" t="inlineStr">
        <is>
          <t>Cercanías tarifeleri kartla/kartsız (2026)</t>
        </is>
      </c>
      <c r="I280" s="29" t="inlineStr">
        <is>
          <t>Evet</t>
        </is>
      </c>
      <c r="J280" s="29" t="inlineStr">
        <is>
          <t>Lisans kanıtları/9a0f18cc053232ba461a434d673f1c4f7277119458a9cbf505e52428f6172c97.html</t>
        </is>
      </c>
      <c r="K280" s="29" t="inlineStr">
        <is>
          <t>9a0f18cc053232ba461a434d673f1c4f7277119458a9cbf505e52428f6172c97</t>
        </is>
      </c>
    </row>
    <row r="281" ht="54" customHeight="1">
      <c r="A281" s="29" t="inlineStr">
        <is>
          <t>sevilla:kaynak:290</t>
        </is>
      </c>
      <c r="B281" s="29" t="inlineStr">
        <is>
          <t>sevilla</t>
        </is>
      </c>
      <c r="C281" s="29" t="inlineStr">
        <is>
          <t>Autobús metropolitano | CTMAS</t>
        </is>
      </c>
      <c r="D281" s="29" t="inlineStr">
        <is>
          <t>Consorcio de Transporte Metropolitano del Área de Sevilla (ctas.es)</t>
        </is>
      </c>
      <c r="E281" s="29" t="inlineStr">
        <is>
          <t>https://www.ctas.es/lineas-y-horarios/bus-metro-y-cercanias/autobus-metropolitano</t>
        </is>
      </c>
      <c r="F281" s="49" t="n">
        <v>46319</v>
      </c>
      <c r="G281" s="29" t="inlineStr">
        <is>
          <t>sevilla:ulasim</t>
        </is>
      </c>
      <c r="H281" s="29" t="inlineStr">
        <is>
          <t>Metropol otobüs tarife çerçevesi, 45 belediye</t>
        </is>
      </c>
      <c r="I281" s="29" t="inlineStr">
        <is>
          <t>Evet</t>
        </is>
      </c>
      <c r="J281" s="29" t="inlineStr">
        <is>
          <t>Lisans kanıtları/4bbfad6cf8dc27ae141378bbd249305cb5489f4bfcb78ea5bdeb83de705385a5.html</t>
        </is>
      </c>
      <c r="K281" s="29" t="inlineStr">
        <is>
          <t>4bbfad6cf8dc27ae141378bbd249305cb5489f4bfcb78ea5bdeb83de705385a5</t>
        </is>
      </c>
    </row>
    <row r="282" ht="54" customHeight="1">
      <c r="A282" s="29" t="inlineStr">
        <is>
          <t>sevilla:kaynak:291</t>
        </is>
      </c>
      <c r="B282" s="29" t="inlineStr">
        <is>
          <t>sevilla</t>
        </is>
      </c>
      <c r="C282" s="29" t="inlineStr">
        <is>
          <t>Estaciones y Aeropuerto | CTMAS</t>
        </is>
      </c>
      <c r="D282" s="29" t="inlineStr">
        <is>
          <t>Consorcio de Transporte Metropolitano del Área de Sevilla (ctas.es)</t>
        </is>
      </c>
      <c r="E282" s="29" t="inlineStr">
        <is>
          <t>https://www.ctas.es/lineas-y-horarios/estaciones-y-aeropuerto</t>
        </is>
      </c>
      <c r="F282" s="49" t="n">
        <v>46319</v>
      </c>
      <c r="G282" s="29" t="inlineStr">
        <is>
          <t>sevilla:ulasim</t>
        </is>
      </c>
      <c r="H282" s="29" t="inlineStr">
        <is>
          <t>Plaza de Armas ve Prado de San Sebastián otogarları, havalimanı adresi; 'Autobús especial aeropuerto' başlığı (fiyat yok)</t>
        </is>
      </c>
      <c r="I282" s="29" t="inlineStr">
        <is>
          <t>Evet</t>
        </is>
      </c>
      <c r="J282" s="29" t="inlineStr">
        <is>
          <t>Lisans kanıtları/53846975f03ac596e6cb71c72cb18aa2f74d8c76da51946831fdc13604487f55.html</t>
        </is>
      </c>
      <c r="K282" s="29" t="inlineStr">
        <is>
          <t>53846975f03ac596e6cb71c72cb18aa2f74d8c76da51946831fdc13604487f55</t>
        </is>
      </c>
    </row>
    <row r="283" ht="54" customHeight="1">
      <c r="A283" s="29" t="inlineStr">
        <is>
          <t>sevilla:kaynak:292</t>
        </is>
      </c>
      <c r="B283" s="29" t="inlineStr">
        <is>
          <t>sevilla</t>
        </is>
      </c>
      <c r="C283" s="29" t="inlineStr">
        <is>
          <t>Barrio de Santa Cruz - Visita Sevilla</t>
        </is>
      </c>
      <c r="D283" s="29" t="inlineStr">
        <is>
          <t>Turismo de Sevilla (Visita Sevilla)</t>
        </is>
      </c>
      <c r="E283" s="29" t="inlineStr">
        <is>
          <t>https://visitasevilla.es/barrio-de-santa-cruz/</t>
        </is>
      </c>
      <c r="F283" s="49" t="n">
        <v>46319</v>
      </c>
      <c r="G283" s="29" t="inlineStr">
        <is>
          <t>sevilla:mahalle</t>
        </is>
      </c>
      <c r="H283" s="29" t="inlineStr">
        <is>
          <t>Sevilla semt kartı için semtin tanıtımı ve konumu, Turismo de Sevilla resmî portalı</t>
        </is>
      </c>
      <c r="I283" s="29" t="inlineStr">
        <is>
          <t>Evet</t>
        </is>
      </c>
      <c r="J283" s="29" t="inlineStr">
        <is>
          <t>Lisans kanıtları/5a90ad27191e09b01c2ecc92af7d7379556ec067467e8c325913c3ed47008cb3.html</t>
        </is>
      </c>
      <c r="K283" s="29" t="inlineStr">
        <is>
          <t>5a90ad27191e09b01c2ecc92af7d7379556ec067467e8c325913c3ed47008cb3</t>
        </is>
      </c>
    </row>
    <row r="284" ht="54" customHeight="1">
      <c r="A284" s="29" t="inlineStr">
        <is>
          <t>sevilla:kaynak:293</t>
        </is>
      </c>
      <c r="B284" s="29" t="inlineStr">
        <is>
          <t>sevilla</t>
        </is>
      </c>
      <c r="C284" s="29" t="inlineStr">
        <is>
          <t>Buenas prácticas barrio Santa Cruz - Visita Sevilla</t>
        </is>
      </c>
      <c r="D284" s="29" t="inlineStr">
        <is>
          <t>Turismo de Sevilla (Visita Sevilla)</t>
        </is>
      </c>
      <c r="E284" s="29" t="inlineStr">
        <is>
          <t>https://visitasevilla.es/buenas-practicas-barrio-santa-cruz/</t>
        </is>
      </c>
      <c r="F284" s="49" t="n">
        <v>46319</v>
      </c>
      <c r="G284" s="29" t="inlineStr">
        <is>
          <t>sevilla:mahalle</t>
        </is>
      </c>
      <c r="H284" s="29" t="inlineStr">
        <is>
          <t>Sevilla semt kartı için semtin tanıtımı ve konumu, Turismo de Sevilla resmî portalı</t>
        </is>
      </c>
      <c r="I284" s="29" t="inlineStr">
        <is>
          <t>Evet</t>
        </is>
      </c>
      <c r="J284" s="29" t="inlineStr">
        <is>
          <t>Lisans kanıtları/e31d1ebba02178838ffe42be8e8caeecd2a993b5283ce24f665ab7a4099dde1a.html</t>
        </is>
      </c>
      <c r="K284" s="29" t="inlineStr">
        <is>
          <t>e31d1ebba02178838ffe42be8e8caeecd2a993b5283ce24f665ab7a4099dde1a</t>
        </is>
      </c>
    </row>
    <row r="285" ht="54" customHeight="1">
      <c r="A285" s="29" t="inlineStr">
        <is>
          <t>sevilla:kaynak:294</t>
        </is>
      </c>
      <c r="B285" s="29" t="inlineStr">
        <is>
          <t>sevilla</t>
        </is>
      </c>
      <c r="C285" s="29" t="inlineStr">
        <is>
          <t>Barrio de El Arenal - Visita Sevilla</t>
        </is>
      </c>
      <c r="D285" s="29" t="inlineStr">
        <is>
          <t>Turismo de Sevilla (Visita Sevilla)</t>
        </is>
      </c>
      <c r="E285" s="29" t="inlineStr">
        <is>
          <t>https://visitasevilla.es/barrio-de-el-arenal/</t>
        </is>
      </c>
      <c r="F285" s="49" t="n">
        <v>46319</v>
      </c>
      <c r="G285" s="29" t="inlineStr">
        <is>
          <t>sevilla:mahalle</t>
        </is>
      </c>
      <c r="H285" s="29" t="inlineStr">
        <is>
          <t>Sevilla semt kartı için semtin tanıtımı ve konumu, Turismo de Sevilla resmî portalı</t>
        </is>
      </c>
      <c r="I285" s="29" t="inlineStr">
        <is>
          <t>Evet</t>
        </is>
      </c>
      <c r="J285" s="29" t="inlineStr">
        <is>
          <t>Lisans kanıtları/cae3ee1adbd60fdf5814408e7cfa47fecbae6a7e73f5aec89b142a2e0696fd05.html</t>
        </is>
      </c>
      <c r="K285" s="29" t="inlineStr">
        <is>
          <t>cae3ee1adbd60fdf5814408e7cfa47fecbae6a7e73f5aec89b142a2e0696fd05</t>
        </is>
      </c>
    </row>
    <row r="286" ht="54" customHeight="1">
      <c r="A286" s="29" t="inlineStr">
        <is>
          <t>sevilla:kaynak:295</t>
        </is>
      </c>
      <c r="B286" s="29" t="inlineStr">
        <is>
          <t>sevilla</t>
        </is>
      </c>
      <c r="C286" s="29" t="inlineStr">
        <is>
          <t>Plaza Nueva - Visita Sevilla</t>
        </is>
      </c>
      <c r="D286" s="29" t="inlineStr">
        <is>
          <t>Turismo de Sevilla (Visita Sevilla)</t>
        </is>
      </c>
      <c r="E286" s="29" t="inlineStr">
        <is>
          <t>https://visitasevilla.es/plaza-nueva/</t>
        </is>
      </c>
      <c r="F286" s="49" t="n">
        <v>46319</v>
      </c>
      <c r="G286" s="29" t="inlineStr">
        <is>
          <t>sevilla:mahalle</t>
        </is>
      </c>
      <c r="H286" s="29" t="inlineStr">
        <is>
          <t>Sevilla semt kartı için semtin tanıtımı ve konumu, Turismo de Sevilla resmî portalı</t>
        </is>
      </c>
      <c r="I286" s="29" t="inlineStr">
        <is>
          <t>Evet</t>
        </is>
      </c>
      <c r="J286" s="29" t="inlineStr">
        <is>
          <t>Lisans kanıtları/6a086defc3f5e3d8db897dfd653e64d3da6316f3d1bc9b61ccbdb48295a5cd17.html</t>
        </is>
      </c>
      <c r="K286" s="29" t="inlineStr">
        <is>
          <t>6a086defc3f5e3d8db897dfd653e64d3da6316f3d1bc9b61ccbdb48295a5cd17</t>
        </is>
      </c>
    </row>
    <row r="287" ht="54" customHeight="1">
      <c r="A287" s="29" t="inlineStr">
        <is>
          <t>sevilla:kaynak:296</t>
        </is>
      </c>
      <c r="B287" s="29" t="inlineStr">
        <is>
          <t>sevilla</t>
        </is>
      </c>
      <c r="C287" s="29" t="inlineStr">
        <is>
          <t>Barrio de Triana y Los Remedios - Visita Sevilla</t>
        </is>
      </c>
      <c r="D287" s="29" t="inlineStr">
        <is>
          <t>Turismo de Sevilla (Visita Sevilla)</t>
        </is>
      </c>
      <c r="E287" s="29" t="inlineStr">
        <is>
          <t>https://visitasevilla.es/barrio-de-triana-y-los-remedios/</t>
        </is>
      </c>
      <c r="F287" s="49" t="n">
        <v>46319</v>
      </c>
      <c r="G287" s="29" t="inlineStr">
        <is>
          <t>sevilla:mahalle</t>
        </is>
      </c>
      <c r="H287" s="29" t="inlineStr">
        <is>
          <t>Sevilla semt kartı için semtin tanıtımı ve konumu, Turismo de Sevilla resmî portalı</t>
        </is>
      </c>
      <c r="I287" s="29" t="inlineStr">
        <is>
          <t>Evet</t>
        </is>
      </c>
      <c r="J287" s="29" t="inlineStr">
        <is>
          <t>Lisans kanıtları/cfbbeb8c10bc5505a52c6e9c55e3de0ca8d861af1675bc3516f545a5f2ac37f0.html</t>
        </is>
      </c>
      <c r="K287" s="29" t="inlineStr">
        <is>
          <t>cfbbeb8c10bc5505a52c6e9c55e3de0ca8d861af1675bc3516f545a5f2ac37f0</t>
        </is>
      </c>
    </row>
    <row r="288" ht="54" customHeight="1">
      <c r="A288" s="29" t="inlineStr">
        <is>
          <t>sevilla:kaynak:297</t>
        </is>
      </c>
      <c r="B288" s="29" t="inlineStr">
        <is>
          <t>sevilla</t>
        </is>
      </c>
      <c r="C288" s="29" t="inlineStr">
        <is>
          <t>Triana, el encanto de lo singular - Visita Sevilla</t>
        </is>
      </c>
      <c r="D288" s="29" t="inlineStr">
        <is>
          <t>Turismo de Sevilla (Visita Sevilla)</t>
        </is>
      </c>
      <c r="E288" s="29" t="inlineStr">
        <is>
          <t>https://visitasevilla.es/triana-el-encanto-de-lo-singular/</t>
        </is>
      </c>
      <c r="F288" s="49" t="n">
        <v>46319</v>
      </c>
      <c r="G288" s="29" t="inlineStr">
        <is>
          <t>sevilla:mahalle</t>
        </is>
      </c>
      <c r="H288" s="29" t="inlineStr">
        <is>
          <t>Sevilla semt kartı için semtin tanıtımı ve konumu, Turismo de Sevilla resmî portalı</t>
        </is>
      </c>
      <c r="I288" s="29" t="inlineStr">
        <is>
          <t>Evet</t>
        </is>
      </c>
      <c r="J288" s="29" t="inlineStr">
        <is>
          <t>Lisans kanıtları/640ee79f6d5ed5514cc03347647c3978d02a001e8a76d67f8ffa6fdf26e2b7aa.html</t>
        </is>
      </c>
      <c r="K288" s="29" t="inlineStr">
        <is>
          <t>640ee79f6d5ed5514cc03347647c3978d02a001e8a76d67f8ffa6fdf26e2b7aa</t>
        </is>
      </c>
    </row>
    <row r="289" ht="54" customHeight="1">
      <c r="A289" s="29" t="inlineStr">
        <is>
          <t>sevilla:kaynak:298</t>
        </is>
      </c>
      <c r="B289" s="29" t="inlineStr">
        <is>
          <t>sevilla</t>
        </is>
      </c>
      <c r="C289" s="29" t="inlineStr">
        <is>
          <t>Calle Asunción - Visita Sevilla</t>
        </is>
      </c>
      <c r="D289" s="29" t="inlineStr">
        <is>
          <t>Turismo de Sevilla (Visita Sevilla)</t>
        </is>
      </c>
      <c r="E289" s="29" t="inlineStr">
        <is>
          <t>https://visitasevilla.es/calle-asuncion/</t>
        </is>
      </c>
      <c r="F289" s="49" t="n">
        <v>46319</v>
      </c>
      <c r="G289" s="29" t="inlineStr">
        <is>
          <t>sevilla:mahalle</t>
        </is>
      </c>
      <c r="H289" s="29" t="inlineStr">
        <is>
          <t>Sevilla semt kartı için semtin tanıtımı ve konumu, Turismo de Sevilla resmî portalı</t>
        </is>
      </c>
      <c r="I289" s="29" t="inlineStr">
        <is>
          <t>Evet</t>
        </is>
      </c>
      <c r="J289" s="29" t="inlineStr">
        <is>
          <t>Lisans kanıtları/b763d14ba7f8cc1f603087c6edd43e27b919fe297985059a7ae23bf8427117e3.html</t>
        </is>
      </c>
      <c r="K289" s="29" t="inlineStr">
        <is>
          <t>b763d14ba7f8cc1f603087c6edd43e27b919fe297985059a7ae23bf8427117e3</t>
        </is>
      </c>
    </row>
    <row r="290" ht="54" customHeight="1">
      <c r="A290" s="29" t="inlineStr">
        <is>
          <t>sevilla:kaynak:299</t>
        </is>
      </c>
      <c r="B290" s="29" t="inlineStr">
        <is>
          <t>sevilla</t>
        </is>
      </c>
      <c r="C290" s="29" t="inlineStr">
        <is>
          <t>Barrio de la Macarena - Visita Sevilla</t>
        </is>
      </c>
      <c r="D290" s="29" t="inlineStr">
        <is>
          <t>Turismo de Sevilla (Visita Sevilla)</t>
        </is>
      </c>
      <c r="E290" s="29" t="inlineStr">
        <is>
          <t>https://visitasevilla.es/barrio-de-la-macarena/</t>
        </is>
      </c>
      <c r="F290" s="49" t="n">
        <v>46319</v>
      </c>
      <c r="G290" s="29" t="inlineStr">
        <is>
          <t>sevilla:mahalle</t>
        </is>
      </c>
      <c r="H290" s="29" t="inlineStr">
        <is>
          <t>Sevilla semt kartı için semtin tanıtımı ve konumu, Turismo de Sevilla resmî portalı</t>
        </is>
      </c>
      <c r="I290" s="29" t="inlineStr">
        <is>
          <t>Evet</t>
        </is>
      </c>
      <c r="J290" s="29" t="inlineStr">
        <is>
          <t>Lisans kanıtları/a5aa642c2960ba66fad47700a93eec593c366e098195c94282fd3b1ad7029326.html</t>
        </is>
      </c>
      <c r="K290" s="29" t="inlineStr">
        <is>
          <t>a5aa642c2960ba66fad47700a93eec593c366e098195c94282fd3b1ad7029326</t>
        </is>
      </c>
    </row>
    <row r="291" ht="54" customHeight="1">
      <c r="A291" s="29" t="inlineStr">
        <is>
          <t>sevilla:kaynak:300</t>
        </is>
      </c>
      <c r="B291" s="29" t="inlineStr">
        <is>
          <t>sevilla</t>
        </is>
      </c>
      <c r="C291" s="29" t="inlineStr">
        <is>
          <t>Basílica y murallas de la Macarena - Visita Sevilla</t>
        </is>
      </c>
      <c r="D291" s="29" t="inlineStr">
        <is>
          <t>Turismo de Sevilla (Visita Sevilla)</t>
        </is>
      </c>
      <c r="E291" s="29" t="inlineStr">
        <is>
          <t>https://visitasevilla.es/basilica-y-murallas-de-la-macarena/</t>
        </is>
      </c>
      <c r="F291" s="49" t="n">
        <v>46319</v>
      </c>
      <c r="G291" s="29" t="inlineStr">
        <is>
          <t>sevilla:mahalle</t>
        </is>
      </c>
      <c r="H291" s="29" t="inlineStr">
        <is>
          <t>Sevilla semt kartı için semtin tanıtımı ve konumu, Turismo de Sevilla resmî portalı</t>
        </is>
      </c>
      <c r="I291" s="29" t="inlineStr">
        <is>
          <t>Evet</t>
        </is>
      </c>
      <c r="J291" s="29" t="inlineStr">
        <is>
          <t>Lisans kanıtları/a3a192764d5e9dc3e6e1979a1d7e7c78dca2e92a4eeefbef40e183517bf7d200.html</t>
        </is>
      </c>
      <c r="K291" s="29" t="inlineStr">
        <is>
          <t>a3a192764d5e9dc3e6e1979a1d7e7c78dca2e92a4eeefbef40e183517bf7d200</t>
        </is>
      </c>
    </row>
    <row r="292" ht="54" customHeight="1">
      <c r="A292" s="29" t="inlineStr">
        <is>
          <t>sevilla:kaynak:301</t>
        </is>
      </c>
      <c r="B292" s="29" t="inlineStr">
        <is>
          <t>sevilla</t>
        </is>
      </c>
      <c r="C292" s="29" t="inlineStr">
        <is>
          <t>Alameda de Hércules - Visita Sevilla</t>
        </is>
      </c>
      <c r="D292" s="29" t="inlineStr">
        <is>
          <t>Turismo de Sevilla (Visita Sevilla)</t>
        </is>
      </c>
      <c r="E292" s="29" t="inlineStr">
        <is>
          <t>https://visitasevilla.es/alameda-de-hercules/</t>
        </is>
      </c>
      <c r="F292" s="49" t="n">
        <v>46319</v>
      </c>
      <c r="G292" s="29" t="inlineStr">
        <is>
          <t>sevilla:mahalle</t>
        </is>
      </c>
      <c r="H292" s="29" t="inlineStr">
        <is>
          <t>Sevilla semt kartı için semtin tanıtımı ve konumu, Turismo de Sevilla resmî portalı</t>
        </is>
      </c>
      <c r="I292" s="29" t="inlineStr">
        <is>
          <t>Evet</t>
        </is>
      </c>
      <c r="J292" s="29" t="inlineStr">
        <is>
          <t>Lisans kanıtları/2ace7977a18617f3d38e858fdd21bf2695d2f37e32763ec2d9d8275a939dbeb9.html</t>
        </is>
      </c>
      <c r="K292" s="29" t="inlineStr">
        <is>
          <t>2ace7977a18617f3d38e858fdd21bf2695d2f37e32763ec2d9d8275a939dbeb9</t>
        </is>
      </c>
    </row>
    <row r="293" ht="54" customHeight="1">
      <c r="A293" s="29" t="inlineStr">
        <is>
          <t>sevilla:kaynak:302</t>
        </is>
      </c>
      <c r="B293" s="29" t="inlineStr">
        <is>
          <t>sevilla</t>
        </is>
      </c>
      <c r="C293" s="29" t="inlineStr">
        <is>
          <t>Barrio de Nervión - Visita Sevilla</t>
        </is>
      </c>
      <c r="D293" s="29" t="inlineStr">
        <is>
          <t>Turismo de Sevilla (Visita Sevilla)</t>
        </is>
      </c>
      <c r="E293" s="29" t="inlineStr">
        <is>
          <t>https://visitasevilla.es/barrio-de-nervion/</t>
        </is>
      </c>
      <c r="F293" s="49" t="n">
        <v>46319</v>
      </c>
      <c r="G293" s="29" t="inlineStr">
        <is>
          <t>sevilla:mahalle</t>
        </is>
      </c>
      <c r="H293" s="29" t="inlineStr">
        <is>
          <t>Sevilla semt kartı için semtin tanıtımı ve konumu, Turismo de Sevilla resmî portalı</t>
        </is>
      </c>
      <c r="I293" s="29" t="inlineStr">
        <is>
          <t>Evet</t>
        </is>
      </c>
      <c r="J293" s="29" t="inlineStr">
        <is>
          <t>Lisans kanıtları/53437ae28dbd74a920ef078256242ba94c705d0308c477948b97f5e4b91df0e5.html</t>
        </is>
      </c>
      <c r="K293" s="29" t="inlineStr">
        <is>
          <t>53437ae28dbd74a920ef078256242ba94c705d0308c477948b97f5e4b91df0e5</t>
        </is>
      </c>
    </row>
    <row r="294" ht="54" customHeight="1">
      <c r="A294" s="29" t="inlineStr">
        <is>
          <t>sevilla:kaynak:303</t>
        </is>
      </c>
      <c r="B294" s="29" t="inlineStr">
        <is>
          <t>sevilla</t>
        </is>
      </c>
      <c r="C294" s="29" t="inlineStr">
        <is>
          <t>Barrio de la Cartuja - Visita Sevilla</t>
        </is>
      </c>
      <c r="D294" s="29" t="inlineStr">
        <is>
          <t>Turismo de Sevilla (Visita Sevilla)</t>
        </is>
      </c>
      <c r="E294" s="29" t="inlineStr">
        <is>
          <t>https://visitasevilla.es/barrio-de-cartuja/</t>
        </is>
      </c>
      <c r="F294" s="49" t="n">
        <v>46319</v>
      </c>
      <c r="G294" s="29" t="inlineStr">
        <is>
          <t>sevilla:mahalle</t>
        </is>
      </c>
      <c r="H294" s="29" t="inlineStr">
        <is>
          <t>Sevilla semt kartı için semtin tanıtımı ve konumu, Turismo de Sevilla resmî portalı</t>
        </is>
      </c>
      <c r="I294" s="29" t="inlineStr">
        <is>
          <t>Evet</t>
        </is>
      </c>
      <c r="J294" s="29" t="inlineStr">
        <is>
          <t>Lisans kanıtları/527e2d740d8f71d9e5d9cfc6a2d6a2089fde5c3da0c628c882db209713f1c7b7.html</t>
        </is>
      </c>
      <c r="K294" s="29" t="inlineStr">
        <is>
          <t>527e2d740d8f71d9e5d9cfc6a2d6a2089fde5c3da0c628c882db209713f1c7b7</t>
        </is>
      </c>
    </row>
    <row r="295" ht="54" customHeight="1">
      <c r="A295" s="29" t="inlineStr">
        <is>
          <t>sevilla:kaynak:304</t>
        </is>
      </c>
      <c r="B295" s="29" t="inlineStr">
        <is>
          <t>sevilla</t>
        </is>
      </c>
      <c r="C295" s="29" t="inlineStr">
        <is>
          <t>Barrio de Sevilla Este - Visita Sevilla</t>
        </is>
      </c>
      <c r="D295" s="29" t="inlineStr">
        <is>
          <t>Turismo de Sevilla (Visita Sevilla)</t>
        </is>
      </c>
      <c r="E295" s="29" t="inlineStr">
        <is>
          <t>https://visitasevilla.es/barrio-de-sevilla-este/</t>
        </is>
      </c>
      <c r="F295" s="49" t="n">
        <v>46319</v>
      </c>
      <c r="G295" s="29" t="inlineStr">
        <is>
          <t>sevilla:mahalle</t>
        </is>
      </c>
      <c r="H295" s="29" t="inlineStr">
        <is>
          <t>Sevilla semt kartı için semtin tanıtımı ve konumu, Turismo de Sevilla resmî portalı</t>
        </is>
      </c>
      <c r="I295" s="29" t="inlineStr">
        <is>
          <t>Evet</t>
        </is>
      </c>
      <c r="J295" s="29" t="inlineStr">
        <is>
          <t>Lisans kanıtları/48100c1e83eb3164570db2e4288b8d9a2d0e28591ad727d2916cc491b6705c47.html</t>
        </is>
      </c>
      <c r="K295" s="29" t="inlineStr">
        <is>
          <t>48100c1e83eb3164570db2e4288b8d9a2d0e28591ad727d2916cc491b6705c47</t>
        </is>
      </c>
    </row>
    <row r="296" ht="54" customHeight="1">
      <c r="A296" s="29" t="inlineStr">
        <is>
          <t>sevilla:kaynak:305</t>
        </is>
      </c>
      <c r="B296" s="29" t="inlineStr">
        <is>
          <t>sevilla</t>
        </is>
      </c>
      <c r="C296" s="29" t="inlineStr">
        <is>
          <t>Fibes, Palacio de Exposiciones y Congresos de Sevilla - Visita Sevilla</t>
        </is>
      </c>
      <c r="D296" s="29" t="inlineStr">
        <is>
          <t>Turismo de Sevilla (Visita Sevilla)</t>
        </is>
      </c>
      <c r="E296" s="29" t="inlineStr">
        <is>
          <t>https://visitasevilla.es/fibes-palacio-de-exposiciones-y-congresos-de-sevilla/</t>
        </is>
      </c>
      <c r="F296" s="49" t="n">
        <v>46319</v>
      </c>
      <c r="G296" s="29" t="inlineStr">
        <is>
          <t>sevilla:mahalle</t>
        </is>
      </c>
      <c r="H296" s="29" t="inlineStr">
        <is>
          <t>Sevilla semt kartı için semtin tanıtımı ve konumu, Turismo de Sevilla resmî portalı</t>
        </is>
      </c>
      <c r="I296" s="29" t="inlineStr">
        <is>
          <t>Evet</t>
        </is>
      </c>
      <c r="J296" s="29" t="inlineStr">
        <is>
          <t>Lisans kanıtları/413834e17b129d7720e67283bf5435322060bf3f5cab29cfba533f72ff93656d.html</t>
        </is>
      </c>
      <c r="K296" s="29" t="inlineStr">
        <is>
          <t>413834e17b129d7720e67283bf5435322060bf3f5cab29cfba533f72ff93656d</t>
        </is>
      </c>
    </row>
    <row r="297" ht="54" customHeight="1">
      <c r="A297" s="29" t="inlineStr">
        <is>
          <t>sevilla:kaynak:306</t>
        </is>
      </c>
      <c r="B297" s="29" t="inlineStr">
        <is>
          <t>sevilla</t>
        </is>
      </c>
      <c r="C297" s="29" t="inlineStr">
        <is>
          <t>Barrio de San Bernardo, la historia más allá de las murallas - Visita Sevilla</t>
        </is>
      </c>
      <c r="D297" s="29" t="inlineStr">
        <is>
          <t>Turismo de Sevilla (Visita Sevilla)</t>
        </is>
      </c>
      <c r="E297" s="29" t="inlineStr">
        <is>
          <t>https://visitasevilla.es/barrio-de-san-bernardo-la-historia-mas-alla-de-las-murallas/</t>
        </is>
      </c>
      <c r="F297" s="49" t="n">
        <v>46319</v>
      </c>
      <c r="G297" s="29" t="inlineStr">
        <is>
          <t>sevilla:mahalle</t>
        </is>
      </c>
      <c r="H297" s="29" t="inlineStr">
        <is>
          <t>Sevilla semt kartı için semtin tanıtımı ve konumu, Turismo de Sevilla resmî portalı</t>
        </is>
      </c>
      <c r="I297" s="29" t="inlineStr">
        <is>
          <t>Evet</t>
        </is>
      </c>
      <c r="J297" s="29" t="inlineStr">
        <is>
          <t>Lisans kanıtları/4a8cdeb8c3b75376dbad9c5a76898aac00e2fad6f05401ba86346fc2e751f4af.html</t>
        </is>
      </c>
      <c r="K297" s="29" t="inlineStr">
        <is>
          <t>4a8cdeb8c3b75376dbad9c5a76898aac00e2fad6f05401ba86346fc2e751f4af</t>
        </is>
      </c>
    </row>
    <row r="298" ht="54" customHeight="1">
      <c r="A298" s="29" t="inlineStr">
        <is>
          <t>sevilla:kaynak:307</t>
        </is>
      </c>
      <c r="B298" s="29" t="inlineStr">
        <is>
          <t>sevilla</t>
        </is>
      </c>
      <c r="C298" s="29" t="inlineStr">
        <is>
          <t>Estación de tren - San Bernardo - Visita Sevilla</t>
        </is>
      </c>
      <c r="D298" s="29" t="inlineStr">
        <is>
          <t>Turismo de Sevilla (Visita Sevilla)</t>
        </is>
      </c>
      <c r="E298" s="29" t="inlineStr">
        <is>
          <t>https://visitasevilla.es/estacion-de-tren-san-bernardo/</t>
        </is>
      </c>
      <c r="F298" s="49" t="n">
        <v>46319</v>
      </c>
      <c r="G298" s="29" t="inlineStr">
        <is>
          <t>sevilla:mahalle</t>
        </is>
      </c>
      <c r="H298" s="29" t="inlineStr">
        <is>
          <t>Sevilla semt kartı için semtin tanıtımı ve konumu, Turismo de Sevilla resmî portalı</t>
        </is>
      </c>
      <c r="I298" s="29" t="inlineStr">
        <is>
          <t>Evet</t>
        </is>
      </c>
      <c r="J298" s="29" t="inlineStr">
        <is>
          <t>Lisans kanıtları/9146fcaabd6e64e51a113204a8ce886ed7a9c43f176f3a8f2a712dbcb05140b0.html</t>
        </is>
      </c>
      <c r="K298" s="29" t="inlineStr">
        <is>
          <t>9146fcaabd6e64e51a113204a8ce886ed7a9c43f176f3a8f2a712dbcb05140b0</t>
        </is>
      </c>
    </row>
    <row r="299" ht="54" customHeight="1">
      <c r="A299" s="29" t="inlineStr">
        <is>
          <t>sevilla:kaynak:308</t>
        </is>
      </c>
      <c r="B299" s="29" t="inlineStr">
        <is>
          <t>sevilla</t>
        </is>
      </c>
      <c r="C299" s="29" t="inlineStr">
        <is>
          <t>Barrio de la Alfalfa y Encarnación - Visita Sevilla</t>
        </is>
      </c>
      <c r="D299" s="29" t="inlineStr">
        <is>
          <t>Turismo de Sevilla (Visita Sevilla)</t>
        </is>
      </c>
      <c r="E299" s="29" t="inlineStr">
        <is>
          <t>https://visitasevilla.es/barrio-de-la-alfalfa-y-encarnacion/</t>
        </is>
      </c>
      <c r="F299" s="49" t="n">
        <v>46319</v>
      </c>
      <c r="G299" s="29" t="inlineStr">
        <is>
          <t>sevilla:mahalle</t>
        </is>
      </c>
      <c r="H299" s="29" t="inlineStr">
        <is>
          <t>Sevilla semt kartı için semtin tanıtımı ve konumu, Turismo de Sevilla resmî portalı</t>
        </is>
      </c>
      <c r="I299" s="29" t="inlineStr">
        <is>
          <t>Evet</t>
        </is>
      </c>
      <c r="J299" s="29" t="inlineStr">
        <is>
          <t>Lisans kanıtları/52d282cc7ea291519dd84ab5089c966f6ad343be50facc4035ddad77630a2590.html</t>
        </is>
      </c>
      <c r="K299" s="29" t="inlineStr">
        <is>
          <t>52d282cc7ea291519dd84ab5089c966f6ad343be50facc4035ddad77630a2590</t>
        </is>
      </c>
    </row>
    <row r="300" ht="54" customHeight="1">
      <c r="A300" s="29" t="inlineStr">
        <is>
          <t>sevilla:kaynak:309</t>
        </is>
      </c>
      <c r="B300" s="29" t="inlineStr">
        <is>
          <t>sevilla</t>
        </is>
      </c>
      <c r="C300" s="29" t="inlineStr">
        <is>
          <t>Setas y Mercado de la Encarnación - Visita Sevilla</t>
        </is>
      </c>
      <c r="D300" s="29" t="inlineStr">
        <is>
          <t>Turismo de Sevilla (Visita Sevilla)</t>
        </is>
      </c>
      <c r="E300" s="29" t="inlineStr">
        <is>
          <t>https://visitasevilla.es/setas-y-mercado-de-la-encarnacion/</t>
        </is>
      </c>
      <c r="F300" s="49" t="n">
        <v>46319</v>
      </c>
      <c r="G300" s="29" t="inlineStr">
        <is>
          <t>sevilla:mahalle</t>
        </is>
      </c>
      <c r="H300" s="29" t="inlineStr">
        <is>
          <t>Sevilla semt kartı için semtin tanıtımı ve konumu, Turismo de Sevilla resmî portalı</t>
        </is>
      </c>
      <c r="I300" s="29" t="inlineStr">
        <is>
          <t>Evet</t>
        </is>
      </c>
      <c r="J300" s="29" t="inlineStr">
        <is>
          <t>Lisans kanıtları/fd91d32efc269ede937a5787b18287477c18b21a945aae23d13e6cc452d7233b.html</t>
        </is>
      </c>
      <c r="K300" s="29" t="inlineStr">
        <is>
          <t>fd91d32efc269ede937a5787b18287477c18b21a945aae23d13e6cc452d7233b</t>
        </is>
      </c>
    </row>
    <row r="301" ht="54" customHeight="1">
      <c r="A301" s="29" t="inlineStr">
        <is>
          <t>sevilla:kaynak:310</t>
        </is>
      </c>
      <c r="B301" s="29" t="inlineStr">
        <is>
          <t>sevilla</t>
        </is>
      </c>
      <c r="C301" s="29" t="inlineStr">
        <is>
          <t>Barrio del Museo y Plaza Nueva - Visita Sevilla</t>
        </is>
      </c>
      <c r="D301" s="29" t="inlineStr">
        <is>
          <t>Turismo de Sevilla (Visita Sevilla)</t>
        </is>
      </c>
      <c r="E301" s="29" t="inlineStr">
        <is>
          <t>https://visitasevilla.es/barrio-del-museo-y-plaza-nueva/</t>
        </is>
      </c>
      <c r="F301" s="49" t="n">
        <v>46319</v>
      </c>
      <c r="G301" s="29" t="inlineStr">
        <is>
          <t>sevilla:mahalle</t>
        </is>
      </c>
      <c r="H301" s="29" t="inlineStr">
        <is>
          <t>Sevilla semt kartı için semtin tanıtımı ve konumu, Turismo de Sevilla resmî portalı</t>
        </is>
      </c>
      <c r="I301" s="29" t="inlineStr">
        <is>
          <t>Evet</t>
        </is>
      </c>
      <c r="J301" s="29" t="inlineStr">
        <is>
          <t>Lisans kanıtları/320a01a2feb99e79bc63aa919c16a0102a2982cb521da2bb166f80725872bc82.html</t>
        </is>
      </c>
      <c r="K301" s="29" t="inlineStr">
        <is>
          <t>320a01a2feb99e79bc63aa919c16a0102a2982cb521da2bb166f80725872bc82</t>
        </is>
      </c>
    </row>
    <row r="302" ht="54" customHeight="1">
      <c r="A302" s="29" t="inlineStr">
        <is>
          <t>sevilla:kaynak:311</t>
        </is>
      </c>
      <c r="B302" s="29" t="inlineStr">
        <is>
          <t>sevilla</t>
        </is>
      </c>
      <c r="C302" s="29" t="inlineStr">
        <is>
          <t>Barrio de la Sevilla del 29 - Visita Sevilla</t>
        </is>
      </c>
      <c r="D302" s="29" t="inlineStr">
        <is>
          <t>Turismo de Sevilla (Visita Sevilla)</t>
        </is>
      </c>
      <c r="E302" s="29" t="inlineStr">
        <is>
          <t>https://visitasevilla.es/barrio-de-la-sevilla-del-29/</t>
        </is>
      </c>
      <c r="F302" s="49" t="n">
        <v>46319</v>
      </c>
      <c r="G302" s="29" t="inlineStr">
        <is>
          <t>sevilla:mahalle</t>
        </is>
      </c>
      <c r="H302" s="29" t="inlineStr">
        <is>
          <t>Sevilla semt kartı için semtin tanıtımı ve konumu, Turismo de Sevilla resmî portalı</t>
        </is>
      </c>
      <c r="I302" s="29" t="inlineStr">
        <is>
          <t>Evet</t>
        </is>
      </c>
      <c r="J302" s="29" t="inlineStr">
        <is>
          <t>Lisans kanıtları/7b7c6384e62b2e536d07ed5a015a2765bf14e063006038056c33480e5d60e46c.html</t>
        </is>
      </c>
      <c r="K302" s="29" t="inlineStr">
        <is>
          <t>7b7c6384e62b2e536d07ed5a015a2765bf14e063006038056c33480e5d60e46c</t>
        </is>
      </c>
    </row>
    <row r="303" ht="54" customHeight="1">
      <c r="A303" s="29" t="inlineStr">
        <is>
          <t>sevilla:kaynak:312</t>
        </is>
      </c>
      <c r="B303" s="29" t="inlineStr">
        <is>
          <t>sevilla</t>
        </is>
      </c>
      <c r="C303" s="29" t="inlineStr">
        <is>
          <t>Mercado de la calle Feria - Visita Sevilla</t>
        </is>
      </c>
      <c r="D303" s="29" t="inlineStr">
        <is>
          <t>Turismo de Sevilla (Visita Sevilla)</t>
        </is>
      </c>
      <c r="E303" s="29" t="inlineStr">
        <is>
          <t>https://visitasevilla.es/mercado-de-la-calle-feria/</t>
        </is>
      </c>
      <c r="F303" s="49" t="n">
        <v>46319</v>
      </c>
      <c r="G303" s="29" t="inlineStr">
        <is>
          <t>sevilla:mahalle</t>
        </is>
      </c>
      <c r="H303" s="29" t="inlineStr">
        <is>
          <t>Sevilla semt kartı için semtin tanıtımı ve konumu, Turismo de Sevilla resmî portalı</t>
        </is>
      </c>
      <c r="I303" s="29" t="inlineStr">
        <is>
          <t>Evet</t>
        </is>
      </c>
      <c r="J303" s="29" t="inlineStr">
        <is>
          <t>Lisans kanıtları/82dc746a8601c240f0e15c39da0c8f3e26169839349fc57599767938686b09d5.html</t>
        </is>
      </c>
      <c r="K303" s="29" t="inlineStr">
        <is>
          <t>82dc746a8601c240f0e15c39da0c8f3e26169839349fc57599767938686b09d5</t>
        </is>
      </c>
    </row>
    <row r="304" ht="54" customHeight="1">
      <c r="A304" s="29" t="inlineStr">
        <is>
          <t>sevilla:kaynak:313</t>
        </is>
      </c>
      <c r="B304" s="29" t="inlineStr">
        <is>
          <t>sevilla</t>
        </is>
      </c>
      <c r="C304" s="29" t="inlineStr">
        <is>
          <t>El Porvenir, recuerdo de un pasado industrial - Visita Sevilla</t>
        </is>
      </c>
      <c r="D304" s="29" t="inlineStr">
        <is>
          <t>Turismo de Sevilla (Visita Sevilla)</t>
        </is>
      </c>
      <c r="E304" s="29" t="inlineStr">
        <is>
          <t>https://visitasevilla.es/el-porvenir-recuerdo-pasado-industrial/</t>
        </is>
      </c>
      <c r="F304" s="49" t="n">
        <v>46319</v>
      </c>
      <c r="G304" s="29" t="inlineStr">
        <is>
          <t>sevilla:mahalle</t>
        </is>
      </c>
      <c r="H304" s="29" t="inlineStr">
        <is>
          <t>Sevilla semt kartı için semtin tanıtımı ve konumu, Turismo de Sevilla resmî portalı</t>
        </is>
      </c>
      <c r="I304" s="29" t="inlineStr">
        <is>
          <t>Evet</t>
        </is>
      </c>
      <c r="J304" s="29" t="inlineStr">
        <is>
          <t>Lisans kanıtları/fb7d483330049d41cdbb20958c4c77781888d33ca0b5e90d68fd4bc8b56e816c.html</t>
        </is>
      </c>
      <c r="K304" s="29" t="inlineStr">
        <is>
          <t>fb7d483330049d41cdbb20958c4c77781888d33ca0b5e90d68fd4bc8b56e816c</t>
        </is>
      </c>
    </row>
    <row r="305" ht="54" customHeight="1">
      <c r="A305" s="29" t="inlineStr">
        <is>
          <t>sevilla:kaynak:314</t>
        </is>
      </c>
      <c r="B305" s="29" t="inlineStr">
        <is>
          <t>sevilla</t>
        </is>
      </c>
      <c r="C305" s="29" t="inlineStr">
        <is>
          <t>Ruta por los edificios más emblemáticos de la Sevilla del 29 - Visita Sevilla</t>
        </is>
      </c>
      <c r="D305" s="29" t="inlineStr">
        <is>
          <t>Turismo de Sevilla (Visita Sevilla)</t>
        </is>
      </c>
      <c r="E305" s="29" t="inlineStr">
        <is>
          <t>https://visitasevilla.es/ruta-edificios-mas-emblematicos-sevilla-29/</t>
        </is>
      </c>
      <c r="F305" s="49" t="n">
        <v>46319</v>
      </c>
      <c r="G305" s="29" t="inlineStr">
        <is>
          <t>sevilla:mahalle</t>
        </is>
      </c>
      <c r="H305" s="29" t="inlineStr">
        <is>
          <t>Sevilla semt kartı için semtin tanıtımı ve konumu, Turismo de Sevilla resmî portalı</t>
        </is>
      </c>
      <c r="I305" s="29" t="inlineStr">
        <is>
          <t>Evet</t>
        </is>
      </c>
      <c r="J305" s="29" t="inlineStr">
        <is>
          <t>Lisans kanıtları/2010300d535df8fcb30cd4d2a2150cf4b3b62388457f23aee79747581adae3a5.html</t>
        </is>
      </c>
      <c r="K305" s="29" t="inlineStr">
        <is>
          <t>2010300d535df8fcb30cd4d2a2150cf4b3b62388457f23aee79747581adae3a5</t>
        </is>
      </c>
    </row>
    <row r="306" ht="54" customHeight="1">
      <c r="A306" s="29" t="inlineStr">
        <is>
          <t>sevilla:kaynak:315</t>
        </is>
      </c>
      <c r="B306" s="29" t="inlineStr">
        <is>
          <t>sevilla</t>
        </is>
      </c>
      <c r="C306" s="29" t="inlineStr">
        <is>
          <t>Home - Real Alcázar de Sevilla - Official Web of The Real Alcázar of Seville</t>
        </is>
      </c>
      <c r="D306" s="29" t="inlineStr">
        <is>
          <t>Real Alcázar de Sevilla</t>
        </is>
      </c>
      <c r="E306" s="29" t="inlineStr">
        <is>
          <t>https://alcazarsevilla.org/</t>
        </is>
      </c>
      <c r="F306" s="49" t="n">
        <v>46319</v>
      </c>
      <c r="G306" s="29" t="inlineStr">
        <is>
          <t>sevilla:kesif</t>
        </is>
      </c>
      <c r="H306" s="29" t="inlineStr">
        <is>
          <t>Hala kullanilan en eski kraliyet sarayi; Mudejar saheseri.</t>
        </is>
      </c>
      <c r="I306" s="29" t="inlineStr">
        <is>
          <t>Evet</t>
        </is>
      </c>
      <c r="J306" s="29" t="inlineStr">
        <is>
          <t>Lisans kanıtları/ee037a80569356a6f53e1e4e4e7532653b28b4902181ed8aa2aad67df92acc27.html</t>
        </is>
      </c>
      <c r="K306" s="29" t="inlineStr">
        <is>
          <t>ee037a80569356a6f53e1e4e4e7532653b28b4902181ed8aa2aad67df92acc27</t>
        </is>
      </c>
    </row>
    <row r="307" ht="54" customHeight="1">
      <c r="A307" s="29" t="inlineStr">
        <is>
          <t>sevilla:kaynak:316</t>
        </is>
      </c>
      <c r="B307" s="29" t="inlineStr">
        <is>
          <t>sevilla</t>
        </is>
      </c>
      <c r="C307" s="29" t="inlineStr">
        <is>
          <t>Home - Palacio de Las Dueñas</t>
        </is>
      </c>
      <c r="D307" s="29" t="inlineStr">
        <is>
          <t>Palacio de las Dueñas</t>
        </is>
      </c>
      <c r="E307" s="29" t="inlineStr">
        <is>
          <t>https://www.lasduenas.es/</t>
        </is>
      </c>
      <c r="F307" s="49" t="n">
        <v>46319</v>
      </c>
      <c r="G307" s="29" t="inlineStr">
        <is>
          <t>sevilla:kesif</t>
        </is>
      </c>
      <c r="H307" s="29" t="inlineStr">
        <is>
          <t>Alba Dukleri sarayi, ziyarete acik.</t>
        </is>
      </c>
      <c r="I307" s="29" t="inlineStr">
        <is>
          <t>Evet</t>
        </is>
      </c>
      <c r="J307" s="29" t="inlineStr">
        <is>
          <t>Lisans kanıtları/8013eb705b8f1f30a92139befc55c9cccec71928d7a5c098ae87cd6b367ad1bf.html</t>
        </is>
      </c>
      <c r="K307" s="29" t="inlineStr">
        <is>
          <t>8013eb705b8f1f30a92139befc55c9cccec71928d7a5c098ae87cd6b367ad1bf</t>
        </is>
      </c>
    </row>
    <row r="308" ht="54" customHeight="1">
      <c r="A308" s="29" t="inlineStr">
        <is>
          <t>sevilla:kaynak:317</t>
        </is>
      </c>
      <c r="B308" s="29" t="inlineStr">
        <is>
          <t>sevilla</t>
        </is>
      </c>
      <c r="C308" s="29" t="inlineStr">
        <is>
          <t>Palacio de Lebrija – Sitio oficial del palacio de la Condesa de Lebrija</t>
        </is>
      </c>
      <c r="D308" s="29" t="inlineStr">
        <is>
          <t>Palacio de la Condesa de Lebrija</t>
        </is>
      </c>
      <c r="E308" s="29" t="inlineStr">
        <is>
          <t>https://palaciodelebrija.com/</t>
        </is>
      </c>
      <c r="F308" s="49" t="n">
        <v>46319</v>
      </c>
      <c r="G308" s="29" t="inlineStr">
        <is>
          <t>sevilla:kesif</t>
        </is>
      </c>
      <c r="H308" s="29" t="inlineStr">
        <is>
          <t>Roma mozaikleriyle unlu 16. yy sarayi.</t>
        </is>
      </c>
      <c r="I308" s="29" t="inlineStr">
        <is>
          <t>Evet</t>
        </is>
      </c>
      <c r="J308" s="29" t="inlineStr">
        <is>
          <t>Lisans kanıtları/f34c46b1cf3f7bd8d9a8645c9a8ba134262cd9b5ae81d1a64b2922986a714313.html</t>
        </is>
      </c>
      <c r="K308" s="29" t="inlineStr">
        <is>
          <t>f34c46b1cf3f7bd8d9a8645c9a8ba134262cd9b5ae81d1a64b2922986a714313</t>
        </is>
      </c>
    </row>
    <row r="309" ht="54" customHeight="1">
      <c r="A309" s="29" t="inlineStr">
        <is>
          <t>sevilla:kaynak:318</t>
        </is>
      </c>
      <c r="B309" s="29" t="inlineStr">
        <is>
          <t>sevilla</t>
        </is>
      </c>
      <c r="C309" s="29" t="inlineStr">
        <is>
          <t>Iglesia del Salvador - Visita Sevilla</t>
        </is>
      </c>
      <c r="D309" s="29" t="inlineStr">
        <is>
          <t>Turismo de Sevilla (visitasevilla.es)</t>
        </is>
      </c>
      <c r="E309" s="29" t="inlineStr">
        <is>
          <t>https://visitasevilla.es/iglesia-del-salvador/</t>
        </is>
      </c>
      <c r="F309" s="49" t="n">
        <v>46319</v>
      </c>
      <c r="G309" s="29" t="inlineStr">
        <is>
          <t>sevilla:kesif</t>
        </is>
      </c>
      <c r="H309" s="29" t="inlineStr">
        <is>
          <t>Katedralden sonra sehrin en buyuk kilisesi, barok.</t>
        </is>
      </c>
      <c r="I309" s="29" t="inlineStr">
        <is>
          <t>Evet</t>
        </is>
      </c>
      <c r="J309" s="29" t="inlineStr">
        <is>
          <t>Lisans kanıtları/9a976f132a43e55ee86929ed2517443cfdb3d04f6e7c05553e4d9b7c258cb6c1.html</t>
        </is>
      </c>
      <c r="K309" s="29" t="inlineStr">
        <is>
          <t>9a976f132a43e55ee86929ed2517443cfdb3d04f6e7c05553e4d9b7c258cb6c1</t>
        </is>
      </c>
    </row>
    <row r="310" ht="54" customHeight="1">
      <c r="A310" s="29" t="inlineStr">
        <is>
          <t>sevilla:kaynak:319</t>
        </is>
      </c>
      <c r="B310" s="29" t="inlineStr">
        <is>
          <t>sevilla</t>
        </is>
      </c>
      <c r="C310" s="29" t="inlineStr">
        <is>
          <t>Antiquarium - Visita Sevilla</t>
        </is>
      </c>
      <c r="D310" s="29" t="inlineStr">
        <is>
          <t>Turismo de Sevilla (visitasevilla.es)</t>
        </is>
      </c>
      <c r="E310" s="29" t="inlineStr">
        <is>
          <t>https://visitasevilla.es/antiquarium/</t>
        </is>
      </c>
      <c r="F310" s="49" t="n">
        <v>46319</v>
      </c>
      <c r="G310" s="29" t="inlineStr">
        <is>
          <t>sevilla:kesif</t>
        </is>
      </c>
      <c r="H310" s="29" t="inlineStr">
        <is>
          <t>Dunyanin en buyuk ahsap yapisi; altinda Roma kalintilari.</t>
        </is>
      </c>
      <c r="I310" s="29" t="inlineStr">
        <is>
          <t>Evet</t>
        </is>
      </c>
      <c r="J310" s="29" t="inlineStr">
        <is>
          <t>Lisans kanıtları/001ea4b5ffee1adb3cf93fb093d572eb930cbb9759441c7396bbb661ae572159.html</t>
        </is>
      </c>
      <c r="K310" s="29" t="inlineStr">
        <is>
          <t>001ea4b5ffee1adb3cf93fb093d572eb930cbb9759441c7396bbb661ae572159</t>
        </is>
      </c>
    </row>
    <row r="311" ht="54" customHeight="1">
      <c r="A311" s="29" t="inlineStr">
        <is>
          <t>sevilla:kaynak:322</t>
        </is>
      </c>
      <c r="B311" s="29" t="inlineStr">
        <is>
          <t>sevilla</t>
        </is>
      </c>
      <c r="C311" s="29" t="inlineStr">
        <is>
          <t>Palacio de San Telmo - Visita Sevilla</t>
        </is>
      </c>
      <c r="D311" s="29" t="inlineStr">
        <is>
          <t>Turismo de Sevilla (visitasevilla.es)</t>
        </is>
      </c>
      <c r="E311" s="29" t="inlineStr">
        <is>
          <t>https://visitasevilla.es/palacio-de-san-telmo/</t>
        </is>
      </c>
      <c r="F311" s="49" t="n">
        <v>46319</v>
      </c>
      <c r="G311" s="29" t="inlineStr">
        <is>
          <t>sevilla:kesif</t>
        </is>
      </c>
      <c r="H311" s="29" t="inlineStr">
        <is>
          <t>Barok cephesiyle Endulus hukumet sarayi.</t>
        </is>
      </c>
      <c r="I311" s="29" t="inlineStr">
        <is>
          <t>Evet</t>
        </is>
      </c>
      <c r="J311" s="29" t="inlineStr">
        <is>
          <t>Lisans kanıtları/58864408a6c24cd2b2ef62b23a7d39d02dac0c95ba14c17f2dc8901e9e4dfd79.html</t>
        </is>
      </c>
      <c r="K311" s="29" t="inlineStr">
        <is>
          <t>58864408a6c24cd2b2ef62b23a7d39d02dac0c95ba14c17f2dc8901e9e4dfd79</t>
        </is>
      </c>
    </row>
    <row r="312" ht="54" customHeight="1">
      <c r="A312" s="29" t="inlineStr">
        <is>
          <t>sevilla:kaynak:323</t>
        </is>
      </c>
      <c r="B312" s="29" t="inlineStr">
        <is>
          <t>sevilla</t>
        </is>
      </c>
      <c r="C312" s="29" t="inlineStr">
        <is>
          <t>Basílica del Gran Poder - Visita Sevilla</t>
        </is>
      </c>
      <c r="D312" s="29" t="inlineStr">
        <is>
          <t>Turismo de Sevilla (visitasevilla.es)</t>
        </is>
      </c>
      <c r="E312" s="29" t="inlineStr">
        <is>
          <t>https://visitasevilla.es/basilica-del-gran-poder/</t>
        </is>
      </c>
      <c r="F312" s="49" t="n">
        <v>46319</v>
      </c>
      <c r="G312" s="29" t="inlineStr">
        <is>
          <t>sevilla:kesif</t>
        </is>
      </c>
      <c r="H312" s="29" t="inlineStr">
        <is>
          <t>Jesus del Gran Poder heykelinin bazilikasi.</t>
        </is>
      </c>
      <c r="I312" s="29" t="inlineStr">
        <is>
          <t>Evet</t>
        </is>
      </c>
      <c r="J312" s="29" t="inlineStr">
        <is>
          <t>Lisans kanıtları/c41080ddad7c46969b5322d57ac535d9e5c2745fa3eb728c1428b4e1f297fe6c.html</t>
        </is>
      </c>
      <c r="K312" s="29" t="inlineStr">
        <is>
          <t>c41080ddad7c46969b5322d57ac535d9e5c2745fa3eb728c1428b4e1f297fe6c</t>
        </is>
      </c>
    </row>
    <row r="313" ht="54" customHeight="1">
      <c r="A313" s="29" t="inlineStr">
        <is>
          <t>sevilla:kaynak:324</t>
        </is>
      </c>
      <c r="B313" s="29" t="inlineStr">
        <is>
          <t>sevilla</t>
        </is>
      </c>
      <c r="C313" s="29" t="inlineStr">
        <is>
          <t>Capilla de los Marineros - Visita Sevilla</t>
        </is>
      </c>
      <c r="D313" s="29" t="inlineStr">
        <is>
          <t>Turismo de Sevilla (visitasevilla.es)</t>
        </is>
      </c>
      <c r="E313" s="29" t="inlineStr">
        <is>
          <t>https://visitasevilla.es/capilla-de-los-marineros/</t>
        </is>
      </c>
      <c r="F313" s="49" t="n">
        <v>46319</v>
      </c>
      <c r="G313" s="29" t="inlineStr">
        <is>
          <t>sevilla:kesif</t>
        </is>
      </c>
      <c r="H313" s="29" t="inlineStr">
        <is>
          <t>Triana denizci kardesligi sapeli.</t>
        </is>
      </c>
      <c r="I313" s="29" t="inlineStr">
        <is>
          <t>Evet</t>
        </is>
      </c>
      <c r="J313" s="29" t="inlineStr">
        <is>
          <t>Lisans kanıtları/50efc94938530075bebf17a5102316f7d4947b37f5b52d0cc390eb5636d10612.html</t>
        </is>
      </c>
      <c r="K313" s="29" t="inlineStr">
        <is>
          <t>50efc94938530075bebf17a5102316f7d4947b37f5b52d0cc390eb5636d10612</t>
        </is>
      </c>
    </row>
    <row r="314" ht="54" customHeight="1">
      <c r="A314" s="29" t="inlineStr">
        <is>
          <t>sevilla:kaynak:325</t>
        </is>
      </c>
      <c r="B314" s="29" t="inlineStr">
        <is>
          <t>sevilla</t>
        </is>
      </c>
      <c r="C314" s="29" t="inlineStr">
        <is>
          <t>Basílica del Cachorro - Visita Sevilla</t>
        </is>
      </c>
      <c r="D314" s="29" t="inlineStr">
        <is>
          <t>Turismo de Sevilla (visitasevilla.es)</t>
        </is>
      </c>
      <c r="E314" s="29" t="inlineStr">
        <is>
          <t>https://visitasevilla.es/basilica-del-cachorro/</t>
        </is>
      </c>
      <c r="F314" s="49" t="n">
        <v>46319</v>
      </c>
      <c r="G314" s="29" t="inlineStr">
        <is>
          <t>sevilla:kesif</t>
        </is>
      </c>
      <c r="H314" s="29" t="inlineStr">
        <is>
          <t>Triana Cachorro bazilikasi.</t>
        </is>
      </c>
      <c r="I314" s="29" t="inlineStr">
        <is>
          <t>Evet</t>
        </is>
      </c>
      <c r="J314" s="29" t="inlineStr">
        <is>
          <t>Lisans kanıtları/375f2dd6639fdb6145ff58feeafac7a4a24d911d9c4d6d2a48a15a72f93081eb.html</t>
        </is>
      </c>
      <c r="K314" s="29" t="inlineStr">
        <is>
          <t>375f2dd6639fdb6145ff58feeafac7a4a24d911d9c4d6d2a48a15a72f93081eb</t>
        </is>
      </c>
    </row>
    <row r="315" ht="54" customHeight="1">
      <c r="A315" s="29" t="inlineStr">
        <is>
          <t>sevilla:kaynak:326</t>
        </is>
      </c>
      <c r="B315" s="29" t="inlineStr">
        <is>
          <t>sevilla</t>
        </is>
      </c>
      <c r="C315" s="29" t="inlineStr">
        <is>
          <t>Plaza de España - Visita Sevilla</t>
        </is>
      </c>
      <c r="D315" s="29" t="inlineStr">
        <is>
          <t>Turismo de Sevilla (visitasevilla.es)</t>
        </is>
      </c>
      <c r="E315" s="29" t="inlineStr">
        <is>
          <t>https://visitasevilla.es/plaza-de-espana/</t>
        </is>
      </c>
      <c r="F315" s="49" t="n">
        <v>46319</v>
      </c>
      <c r="G315" s="29" t="inlineStr">
        <is>
          <t>sevilla:kesif</t>
        </is>
      </c>
      <c r="H315" s="29" t="inlineStr">
        <is>
          <t>1929 Iber-Amerikan Fuari icin Anibal Gonzalez yarim daire meydani.</t>
        </is>
      </c>
      <c r="I315" s="29" t="inlineStr">
        <is>
          <t>Evet</t>
        </is>
      </c>
      <c r="J315" s="29" t="inlineStr">
        <is>
          <t>Lisans kanıtları/cff5fd4fec610c8b4e3b82453c994c02924faada3796ce4f09966e3ec1b80d26.html</t>
        </is>
      </c>
      <c r="K315" s="29" t="inlineStr">
        <is>
          <t>cff5fd4fec610c8b4e3b82453c994c02924faada3796ce4f09966e3ec1b80d26</t>
        </is>
      </c>
    </row>
    <row r="316" ht="54" customHeight="1">
      <c r="A316" s="29" t="inlineStr">
        <is>
          <t>sevilla:kaynak:327</t>
        </is>
      </c>
      <c r="B316" s="29" t="inlineStr">
        <is>
          <t>sevilla</t>
        </is>
      </c>
      <c r="C316" s="29" t="inlineStr">
        <is>
          <t>Torre del Oro - Visita Sevilla</t>
        </is>
      </c>
      <c r="D316" s="29" t="inlineStr">
        <is>
          <t>Turismo de Sevilla (visitasevilla.es)</t>
        </is>
      </c>
      <c r="E316" s="29" t="inlineStr">
        <is>
          <t>https://visitasevilla.es/torre-del-oro/</t>
        </is>
      </c>
      <c r="F316" s="49" t="n">
        <v>46319</v>
      </c>
      <c r="G316" s="29" t="inlineStr">
        <is>
          <t>sevilla:kesif</t>
        </is>
      </c>
      <c r="H316" s="29" t="inlineStr">
        <is>
          <t>13. yy Muvahhid gozetleme kulesi, nehir kiyisinda.</t>
        </is>
      </c>
      <c r="I316" s="29" t="inlineStr">
        <is>
          <t>Evet</t>
        </is>
      </c>
      <c r="J316" s="29" t="inlineStr">
        <is>
          <t>Lisans kanıtları/88b2dd33d397be8554923dde42b2a6e6ff05e31ad8115201cfea7f4e4c5cdd13.html</t>
        </is>
      </c>
      <c r="K316" s="29" t="inlineStr">
        <is>
          <t>88b2dd33d397be8554923dde42b2a6e6ff05e31ad8115201cfea7f4e4c5cdd13</t>
        </is>
      </c>
    </row>
    <row r="317" ht="54" customHeight="1">
      <c r="A317" s="29" t="inlineStr">
        <is>
          <t>sevilla:kaynak:328</t>
        </is>
      </c>
      <c r="B317" s="29" t="inlineStr">
        <is>
          <t>sevilla</t>
        </is>
      </c>
      <c r="C317" s="29" t="inlineStr">
        <is>
          <t>Archivo de Indias - Visita Sevilla</t>
        </is>
      </c>
      <c r="D317" s="29" t="inlineStr">
        <is>
          <t>Turismo de Sevilla (visitasevilla.es)</t>
        </is>
      </c>
      <c r="E317" s="29" t="inlineStr">
        <is>
          <t>https://visitasevilla.es/archivo-de-indias/</t>
        </is>
      </c>
      <c r="F317" s="49" t="n">
        <v>46319</v>
      </c>
      <c r="G317" s="29" t="inlineStr">
        <is>
          <t>sevilla:kesif</t>
        </is>
      </c>
      <c r="H317" s="29" t="inlineStr">
        <is>
          <t>Amerika somurge arsivi, Ronesans Lonja binasi.</t>
        </is>
      </c>
      <c r="I317" s="29" t="inlineStr">
        <is>
          <t>Evet</t>
        </is>
      </c>
      <c r="J317" s="29" t="inlineStr">
        <is>
          <t>Lisans kanıtları/c4e42f3bbd99a37a542cad38fdbeb29ac603fc2755e928cb39ccd2fee381d77f.html</t>
        </is>
      </c>
      <c r="K317" s="29" t="inlineStr">
        <is>
          <t>c4e42f3bbd99a37a542cad38fdbeb29ac603fc2755e928cb39ccd2fee381d77f</t>
        </is>
      </c>
    </row>
    <row r="318" ht="54" customHeight="1">
      <c r="A318" s="29" t="inlineStr">
        <is>
          <t>sevilla:kaynak:330</t>
        </is>
      </c>
      <c r="B318" s="29" t="inlineStr">
        <is>
          <t>sevilla</t>
        </is>
      </c>
      <c r="C318" s="29" t="inlineStr">
        <is>
          <t>Puente de Triana - Visita Sevilla</t>
        </is>
      </c>
      <c r="D318" s="29" t="inlineStr">
        <is>
          <t>Turismo de Sevilla (visitasevilla.es)</t>
        </is>
      </c>
      <c r="E318" s="29" t="inlineStr">
        <is>
          <t>https://visitasevilla.es/puente-de-triana/</t>
        </is>
      </c>
      <c r="F318" s="49" t="n">
        <v>46319</v>
      </c>
      <c r="G318" s="29" t="inlineStr">
        <is>
          <t>sevilla:kesif</t>
        </is>
      </c>
      <c r="H318" s="29" t="inlineStr">
        <is>
          <t>1852 demir kopru, Triana gecidi; koleksiyon disi.</t>
        </is>
      </c>
      <c r="I318" s="29" t="inlineStr">
        <is>
          <t>Evet</t>
        </is>
      </c>
      <c r="J318" s="29" t="inlineStr">
        <is>
          <t>Lisans kanıtları/55364f8ee665284742b8d8253aa7dd175937a1900e9b818a8e4b1e49806f8649.html</t>
        </is>
      </c>
      <c r="K318" s="29" t="inlineStr">
        <is>
          <t>55364f8ee665284742b8d8253aa7dd175937a1900e9b818a8e4b1e49806f8649</t>
        </is>
      </c>
    </row>
    <row r="319" ht="54" customHeight="1">
      <c r="A319" s="29" t="inlineStr">
        <is>
          <t>sevilla:kaynak:332</t>
        </is>
      </c>
      <c r="B319" s="29" t="inlineStr">
        <is>
          <t>sevilla</t>
        </is>
      </c>
      <c r="C319" s="29" t="inlineStr">
        <is>
          <t>Cementerio de San Fernando - Visita Sevilla</t>
        </is>
      </c>
      <c r="D319" s="29" t="inlineStr">
        <is>
          <t>Turismo de Sevilla (visitasevilla.es)</t>
        </is>
      </c>
      <c r="E319" s="29" t="inlineStr">
        <is>
          <t>https://visitasevilla.es/cementerio-de-san-fernando/</t>
        </is>
      </c>
      <c r="F319" s="49" t="n">
        <v>46319</v>
      </c>
      <c r="G319" s="29" t="inlineStr">
        <is>
          <t>sevilla:kesif</t>
        </is>
      </c>
      <c r="H319" s="29" t="inlineStr">
        <is>
          <t>19. yy mezarligi, anit mezarlar.</t>
        </is>
      </c>
      <c r="I319" s="29" t="inlineStr">
        <is>
          <t>Evet</t>
        </is>
      </c>
      <c r="J319" s="29" t="inlineStr">
        <is>
          <t>Lisans kanıtları/9f662eb49c7666f04cb13d59cc5c357f7c62dc9780e650bffeb1ca3e8f30501f.html</t>
        </is>
      </c>
      <c r="K319" s="29" t="inlineStr">
        <is>
          <t>9f662eb49c7666f04cb13d59cc5c357f7c62dc9780e650bffeb1ca3e8f30501f</t>
        </is>
      </c>
    </row>
    <row r="320" ht="54" customHeight="1">
      <c r="A320" s="29" t="inlineStr">
        <is>
          <t>sevilla:kaynak:333</t>
        </is>
      </c>
      <c r="B320" s="29" t="inlineStr">
        <is>
          <t>sevilla</t>
        </is>
      </c>
      <c r="C320" s="29" t="inlineStr">
        <is>
          <t>Plaza de Toros de la Maestranza - Visita Sevilla</t>
        </is>
      </c>
      <c r="D320" s="29" t="inlineStr">
        <is>
          <t>Turismo de Sevilla (visitasevilla.es)</t>
        </is>
      </c>
      <c r="E320" s="29" t="inlineStr">
        <is>
          <t>https://visitasevilla.es/plaza-de-toros-de-la-maestranza/</t>
        </is>
      </c>
      <c r="F320" s="49" t="n">
        <v>46319</v>
      </c>
      <c r="G320" s="29" t="inlineStr">
        <is>
          <t>sevilla:kesif</t>
        </is>
      </c>
      <c r="H320" s="29" t="inlineStr">
        <is>
          <t>18. yy barok boga guresi arenasi.</t>
        </is>
      </c>
      <c r="I320" s="29" t="inlineStr">
        <is>
          <t>Evet</t>
        </is>
      </c>
      <c r="J320" s="29" t="inlineStr">
        <is>
          <t>Lisans kanıtları/e616bd04184b4ad4c54baaf91228a9c41dee69fd59fb9ae9c65aba5dc27817bd.html</t>
        </is>
      </c>
      <c r="K320" s="29" t="inlineStr">
        <is>
          <t>e616bd04184b4ad4c54baaf91228a9c41dee69fd59fb9ae9c65aba5dc27817bd</t>
        </is>
      </c>
    </row>
    <row r="321" ht="54" customHeight="1">
      <c r="A321" s="29" t="inlineStr">
        <is>
          <t>sevilla:kaynak:334</t>
        </is>
      </c>
      <c r="B321" s="29" t="inlineStr">
        <is>
          <t>sevilla</t>
        </is>
      </c>
      <c r="C321" s="29" t="inlineStr">
        <is>
          <t>Casa Fabiola - Visita Sevilla</t>
        </is>
      </c>
      <c r="D321" s="29" t="inlineStr">
        <is>
          <t>Turismo de Sevilla (visitasevilla.es)</t>
        </is>
      </c>
      <c r="E321" s="29" t="inlineStr">
        <is>
          <t>https://visitasevilla.es/casa-fabiola/</t>
        </is>
      </c>
      <c r="F321" s="49" t="n">
        <v>46319</v>
      </c>
      <c r="G321" s="29" t="inlineStr">
        <is>
          <t>sevilla:kesif</t>
        </is>
      </c>
      <c r="H321" s="29" t="inlineStr">
        <is>
          <t>Neomudejar palacete, muze.</t>
        </is>
      </c>
      <c r="I321" s="29" t="inlineStr">
        <is>
          <t>Evet</t>
        </is>
      </c>
      <c r="J321" s="29" t="inlineStr">
        <is>
          <t>Lisans kanıtları/5a342d4f063100b713cf09a8752fe6b935c93cdc22ad151b1a809cc668e0f117.html</t>
        </is>
      </c>
      <c r="K321" s="29" t="inlineStr">
        <is>
          <t>5a342d4f063100b713cf09a8752fe6b935c93cdc22ad151b1a809cc668e0f117</t>
        </is>
      </c>
    </row>
    <row r="322" ht="54" customHeight="1">
      <c r="A322" s="29" t="inlineStr">
        <is>
          <t>sevilla:kaynak:335</t>
        </is>
      </c>
      <c r="B322" s="29" t="inlineStr">
        <is>
          <t>sevilla</t>
        </is>
      </c>
      <c r="C322" s="29" t="inlineStr">
        <is>
          <t>Costurero de la Reina - Visita Sevilla</t>
        </is>
      </c>
      <c r="D322" s="29" t="inlineStr">
        <is>
          <t>Turismo de Sevilla (visitasevilla.es)</t>
        </is>
      </c>
      <c r="E322" s="29" t="inlineStr">
        <is>
          <t>https://visitasevilla.es/costurero-de-la-reina/</t>
        </is>
      </c>
      <c r="F322" s="49" t="n">
        <v>46319</v>
      </c>
      <c r="G322" s="29" t="inlineStr">
        <is>
          <t>sevilla:kesif</t>
        </is>
      </c>
      <c r="H322" s="29" t="inlineStr">
        <is>
          <t>1893 Regionalist kosk, bahce.</t>
        </is>
      </c>
      <c r="I322" s="29" t="inlineStr">
        <is>
          <t>Evet</t>
        </is>
      </c>
      <c r="J322" s="29" t="inlineStr">
        <is>
          <t>Lisans kanıtları/b1923919a3984043c8ccb7746b018d05fe1bf87925975d39711838779cc646b6.html</t>
        </is>
      </c>
      <c r="K322" s="29" t="inlineStr">
        <is>
          <t>b1923919a3984043c8ccb7746b018d05fe1bf87925975d39711838779cc646b6</t>
        </is>
      </c>
    </row>
    <row r="323" ht="54" customHeight="1">
      <c r="A323" s="29" t="inlineStr">
        <is>
          <t>sevilla:kaynak:336</t>
        </is>
      </c>
      <c r="B323" s="29" t="inlineStr">
        <is>
          <t>sevilla</t>
        </is>
      </c>
      <c r="C323" s="29" t="inlineStr">
        <is>
          <t>Espacio Santa Clara - Visita Sevilla</t>
        </is>
      </c>
      <c r="D323" s="29" t="inlineStr">
        <is>
          <t>Turismo de Sevilla (visitasevilla.es)</t>
        </is>
      </c>
      <c r="E323" s="29" t="inlineStr">
        <is>
          <t>https://visitasevilla.es/espacio-santa-clara/</t>
        </is>
      </c>
      <c r="F323" s="49" t="n">
        <v>46319</v>
      </c>
      <c r="G323" s="29" t="inlineStr">
        <is>
          <t>sevilla:kesif</t>
        </is>
      </c>
      <c r="H323" s="29" t="inlineStr">
        <is>
          <t>Ortacag manastir kompleksi, kultur merkezi.</t>
        </is>
      </c>
      <c r="I323" s="29" t="inlineStr">
        <is>
          <t>Evet</t>
        </is>
      </c>
      <c r="J323" s="29" t="inlineStr">
        <is>
          <t>Lisans kanıtları/b4f3f9ac0056de1b3bef4efefe87709dcd1750088c3cde3f92bdc1c629a30205.html</t>
        </is>
      </c>
      <c r="K323" s="29" t="inlineStr">
        <is>
          <t>b4f3f9ac0056de1b3bef4efefe87709dcd1750088c3cde3f92bdc1c629a30205</t>
        </is>
      </c>
    </row>
    <row r="324" ht="54" customHeight="1">
      <c r="A324" s="29" t="inlineStr">
        <is>
          <t>sevilla:kaynak:337</t>
        </is>
      </c>
      <c r="B324" s="29" t="inlineStr">
        <is>
          <t>sevilla</t>
        </is>
      </c>
      <c r="C324" s="29" t="inlineStr">
        <is>
          <t>Museo de Bellas Artes - Visita Sevilla</t>
        </is>
      </c>
      <c r="D324" s="29" t="inlineStr">
        <is>
          <t>Turismo de Sevilla (visitasevilla.es)</t>
        </is>
      </c>
      <c r="E324" s="29" t="inlineStr">
        <is>
          <t>https://visitasevilla.es/museo-de-bellas-artes/</t>
        </is>
      </c>
      <c r="F324" s="49" t="n">
        <v>46319</v>
      </c>
      <c r="G324" s="29" t="inlineStr">
        <is>
          <t>sevilla:kesif</t>
        </is>
      </c>
      <c r="H324" s="29" t="inlineStr">
        <is>
          <t>Resmî/kurumsal kaynakta adres ve ziyaret bilgisi</t>
        </is>
      </c>
      <c r="I324" s="29" t="inlineStr">
        <is>
          <t>Evet</t>
        </is>
      </c>
      <c r="J324" s="29" t="inlineStr">
        <is>
          <t>Lisans kanıtları/6372a9d1781f8a9eed6a2eb930f456814fe49ae7d5952133c9f8583c15ffc8cc.html</t>
        </is>
      </c>
      <c r="K324" s="29" t="inlineStr">
        <is>
          <t>6372a9d1781f8a9eed6a2eb930f456814fe49ae7d5952133c9f8583c15ffc8cc</t>
        </is>
      </c>
    </row>
    <row r="325" ht="54" customHeight="1">
      <c r="A325" s="29" t="inlineStr">
        <is>
          <t>sevilla:kaynak:338</t>
        </is>
      </c>
      <c r="B325" s="29" t="inlineStr">
        <is>
          <t>sevilla</t>
        </is>
      </c>
      <c r="C325" s="29" t="inlineStr">
        <is>
          <t>El Museo Arqueológico - Visita Sevilla</t>
        </is>
      </c>
      <c r="D325" s="29" t="inlineStr">
        <is>
          <t>Turismo de Sevilla (visitasevilla.es)</t>
        </is>
      </c>
      <c r="E325" s="29" t="inlineStr">
        <is>
          <t>https://visitasevilla.es/el-museo-arqueologico/</t>
        </is>
      </c>
      <c r="F325" s="49" t="n">
        <v>46319</v>
      </c>
      <c r="G325" s="29" t="inlineStr">
        <is>
          <t>sevilla:kesif</t>
        </is>
      </c>
      <c r="H325" s="29" t="inlineStr">
        <is>
          <t>Resmî/kurumsal kaynakta adres ve ziyaret bilgisi</t>
        </is>
      </c>
      <c r="I325" s="29" t="inlineStr">
        <is>
          <t>Evet</t>
        </is>
      </c>
      <c r="J325" s="29" t="inlineStr">
        <is>
          <t>Lisans kanıtları/f1c8d4d867203fc1fc6657176a658c45d8197c833f39dbba2baf7cd4dd6b91f7.html</t>
        </is>
      </c>
      <c r="K325" s="29" t="inlineStr">
        <is>
          <t>f1c8d4d867203fc1fc6657176a658c45d8197c833f39dbba2baf7cd4dd6b91f7</t>
        </is>
      </c>
    </row>
    <row r="326" ht="54" customHeight="1">
      <c r="A326" s="29" t="inlineStr">
        <is>
          <t>sevilla:kaynak:339</t>
        </is>
      </c>
      <c r="B326" s="29" t="inlineStr">
        <is>
          <t>sevilla</t>
        </is>
      </c>
      <c r="C326" s="29" t="inlineStr">
        <is>
          <t>Museo de Artes y Costumbres Populares - Visita Sevilla</t>
        </is>
      </c>
      <c r="D326" s="29" t="inlineStr">
        <is>
          <t>Turismo de Sevilla (visitasevilla.es)</t>
        </is>
      </c>
      <c r="E326" s="29" t="inlineStr">
        <is>
          <t>https://visitasevilla.es/museo-de-artes-y-costumbres-populares/</t>
        </is>
      </c>
      <c r="F326" s="49" t="n">
        <v>46319</v>
      </c>
      <c r="G326" s="29" t="inlineStr">
        <is>
          <t>sevilla:kesif</t>
        </is>
      </c>
      <c r="H326" s="29" t="inlineStr">
        <is>
          <t>Resmî/kurumsal kaynakta adres ve ziyaret bilgisi</t>
        </is>
      </c>
      <c r="I326" s="29" t="inlineStr">
        <is>
          <t>Evet</t>
        </is>
      </c>
      <c r="J326" s="29" t="inlineStr">
        <is>
          <t>Lisans kanıtları/6b7e5dcac9e21bce82d29f6481637741dbdf39ac753745d256549bc1e120cb45.html</t>
        </is>
      </c>
      <c r="K326" s="29" t="inlineStr">
        <is>
          <t>6b7e5dcac9e21bce82d29f6481637741dbdf39ac753745d256549bc1e120cb45</t>
        </is>
      </c>
    </row>
    <row r="327" ht="54" customHeight="1">
      <c r="A327" s="29" t="inlineStr">
        <is>
          <t>sevilla:kaynak:340</t>
        </is>
      </c>
      <c r="B327" s="29" t="inlineStr">
        <is>
          <t>sevilla</t>
        </is>
      </c>
      <c r="C327" s="29" t="inlineStr">
        <is>
          <t>Museo del Baile Flamenco - Visita Sevilla</t>
        </is>
      </c>
      <c r="D327" s="29" t="inlineStr">
        <is>
          <t>Turismo de Sevilla (visitasevilla.es)</t>
        </is>
      </c>
      <c r="E327" s="29" t="inlineStr">
        <is>
          <t>https://visitasevilla.es/museo-del-baile-flamenco/</t>
        </is>
      </c>
      <c r="F327" s="49" t="n">
        <v>46319</v>
      </c>
      <c r="G327" s="29" t="inlineStr">
        <is>
          <t>sevilla:kesif</t>
        </is>
      </c>
      <c r="H327" s="29" t="inlineStr">
        <is>
          <t>Resmî/kurumsal kaynakta adres ve ziyaret bilgisi</t>
        </is>
      </c>
      <c r="I327" s="29" t="inlineStr">
        <is>
          <t>Evet</t>
        </is>
      </c>
      <c r="J327" s="29" t="inlineStr">
        <is>
          <t>Lisans kanıtları/e0766619d8e6ffff0d50af72a646da71449c6a3247c01baa4972e9b0b3d01d77.html</t>
        </is>
      </c>
      <c r="K327" s="29" t="inlineStr">
        <is>
          <t>e0766619d8e6ffff0d50af72a646da71449c6a3247c01baa4972e9b0b3d01d77</t>
        </is>
      </c>
    </row>
    <row r="328" ht="54" customHeight="1">
      <c r="A328" s="29" t="inlineStr">
        <is>
          <t>sevilla:kaynak:341</t>
        </is>
      </c>
      <c r="B328" s="29" t="inlineStr">
        <is>
          <t>sevilla</t>
        </is>
      </c>
      <c r="C328" s="29" t="inlineStr">
        <is>
          <t>Centro Cerámica Triana - Visita Sevilla</t>
        </is>
      </c>
      <c r="D328" s="29" t="inlineStr">
        <is>
          <t>Turismo de Sevilla (visitasevilla.es)</t>
        </is>
      </c>
      <c r="E328" s="29" t="inlineStr">
        <is>
          <t>https://visitasevilla.es/centro-ceramica-triana/</t>
        </is>
      </c>
      <c r="F328" s="49" t="n">
        <v>46319</v>
      </c>
      <c r="G328" s="29" t="inlineStr">
        <is>
          <t>sevilla:kesif</t>
        </is>
      </c>
      <c r="H328" s="29" t="inlineStr">
        <is>
          <t>Resmî/kurumsal kaynakta adres ve ziyaret bilgisi</t>
        </is>
      </c>
      <c r="I328" s="29" t="inlineStr">
        <is>
          <t>Evet</t>
        </is>
      </c>
      <c r="J328" s="29" t="inlineStr">
        <is>
          <t>Lisans kanıtları/30a8c122b9b0a9014b94d1d1ffbb6ef6a9a14cdac30f14f4f5a79a013d466d7d.html</t>
        </is>
      </c>
      <c r="K328" s="29" t="inlineStr">
        <is>
          <t>30a8c122b9b0a9014b94d1d1ffbb6ef6a9a14cdac30f14f4f5a79a013d466d7d</t>
        </is>
      </c>
    </row>
    <row r="329" ht="54" customHeight="1">
      <c r="A329" s="29" t="inlineStr">
        <is>
          <t>sevilla:kaynak:342</t>
        </is>
      </c>
      <c r="B329" s="29" t="inlineStr">
        <is>
          <t>sevilla</t>
        </is>
      </c>
      <c r="C329" s="29" t="inlineStr">
        <is>
          <t>Museo Taurino de la Plaza de Toros - Visita Sevilla</t>
        </is>
      </c>
      <c r="D329" s="29" t="inlineStr">
        <is>
          <t>Turismo de Sevilla (visitasevilla.es)</t>
        </is>
      </c>
      <c r="E329" s="29" t="inlineStr">
        <is>
          <t>https://visitasevilla.es/museo-taurino-de-la-plaza-de-toros/</t>
        </is>
      </c>
      <c r="F329" s="49" t="n">
        <v>46319</v>
      </c>
      <c r="G329" s="29" t="inlineStr">
        <is>
          <t>sevilla:kesif</t>
        </is>
      </c>
      <c r="H329" s="29" t="inlineStr">
        <is>
          <t>Resmî/kurumsal kaynakta adres ve ziyaret bilgisi</t>
        </is>
      </c>
      <c r="I329" s="29" t="inlineStr">
        <is>
          <t>Evet</t>
        </is>
      </c>
      <c r="J329" s="29" t="inlineStr">
        <is>
          <t>Lisans kanıtları/317f02ba4cb445579c84b47f61393a19de129c20b175c46cbd540a785272876f.html</t>
        </is>
      </c>
      <c r="K329" s="29" t="inlineStr">
        <is>
          <t>317f02ba4cb445579c84b47f61393a19de129c20b175c46cbd540a785272876f</t>
        </is>
      </c>
    </row>
    <row r="330" ht="54" customHeight="1">
      <c r="A330" s="29" t="inlineStr">
        <is>
          <t>sevilla:kaynak:343</t>
        </is>
      </c>
      <c r="B330" s="29" t="inlineStr">
        <is>
          <t>sevilla</t>
        </is>
      </c>
      <c r="C330" s="29" t="inlineStr">
        <is>
          <t>Museo Histórico Militar - Visita Sevilla</t>
        </is>
      </c>
      <c r="D330" s="29" t="inlineStr">
        <is>
          <t>Turismo de Sevilla (visitasevilla.es)</t>
        </is>
      </c>
      <c r="E330" s="29" t="inlineStr">
        <is>
          <t>https://visitasevilla.es/museo-historico-militar/</t>
        </is>
      </c>
      <c r="F330" s="49" t="n">
        <v>46319</v>
      </c>
      <c r="G330" s="29" t="inlineStr">
        <is>
          <t>sevilla:kesif</t>
        </is>
      </c>
      <c r="H330" s="29" t="inlineStr">
        <is>
          <t>Resmî/kurumsal kaynakta adres ve ziyaret bilgisi</t>
        </is>
      </c>
      <c r="I330" s="29" t="inlineStr">
        <is>
          <t>Evet</t>
        </is>
      </c>
      <c r="J330" s="29" t="inlineStr">
        <is>
          <t>Lisans kanıtları/563ba93d141528e2d0ed8787f1fa80bcb1745b5f9ff75e9fb44b3b0b12a5d907.html</t>
        </is>
      </c>
      <c r="K330" s="29" t="inlineStr">
        <is>
          <t>563ba93d141528e2d0ed8787f1fa80bcb1745b5f9ff75e9fb44b3b0b12a5d907</t>
        </is>
      </c>
    </row>
    <row r="331" ht="54" customHeight="1">
      <c r="A331" s="29" t="inlineStr">
        <is>
          <t>sevilla:kaynak:344</t>
        </is>
      </c>
      <c r="B331" s="29" t="inlineStr">
        <is>
          <t>sevilla</t>
        </is>
      </c>
      <c r="C331" s="29" t="inlineStr">
        <is>
          <t>Museo Naval Sevilla</t>
        </is>
      </c>
      <c r="D331" s="29" t="inlineStr">
        <is>
          <t>Fundación Museo Naval (resmî site)</t>
        </is>
      </c>
      <c r="E331" s="29" t="inlineStr">
        <is>
          <t>https://www.fundacionmuseonaval.com/museonavalsevilla.html</t>
        </is>
      </c>
      <c r="F331" s="49" t="n">
        <v>46319</v>
      </c>
      <c r="G331" s="29" t="inlineStr">
        <is>
          <t>sevilla:kesif</t>
        </is>
      </c>
      <c r="H331" s="29" t="inlineStr">
        <is>
          <t>Resmî/kurumsal kaynakta adres ve ziyaret bilgisi</t>
        </is>
      </c>
      <c r="I331" s="29" t="inlineStr">
        <is>
          <t>Evet</t>
        </is>
      </c>
      <c r="J331" s="29" t="inlineStr">
        <is>
          <t>Lisans kanıtları/4e47d90de709f5578432d68ee8b2e76a2c1456ee2f40af791efe60949e0ba7c0.html</t>
        </is>
      </c>
      <c r="K331" s="29" t="inlineStr">
        <is>
          <t>4e47d90de709f5578432d68ee8b2e76a2c1456ee2f40af791efe60949e0ba7c0</t>
        </is>
      </c>
    </row>
    <row r="332" ht="54" customHeight="1">
      <c r="A332" s="29" t="inlineStr">
        <is>
          <t>sevilla:kaynak:345</t>
        </is>
      </c>
      <c r="B332" s="29" t="inlineStr">
        <is>
          <t>sevilla</t>
        </is>
      </c>
      <c r="C332" s="29" t="inlineStr">
        <is>
          <t>:: Museo de Historia de la Farmacia de Sevilla &gt; Bienvenido ::</t>
        </is>
      </c>
      <c r="D332" s="29" t="inlineStr">
        <is>
          <t>Sevilla Üniversitesi (resmî site)</t>
        </is>
      </c>
      <c r="E332" s="29" t="inlineStr">
        <is>
          <t>https://institucional.us.es/museohistfarm/</t>
        </is>
      </c>
      <c r="F332" s="49" t="n">
        <v>46319</v>
      </c>
      <c r="G332" s="29" t="inlineStr">
        <is>
          <t>sevilla:kesif</t>
        </is>
      </c>
      <c r="H332" s="29" t="inlineStr">
        <is>
          <t>Resmî/kurumsal kaynakta adres ve ziyaret bilgisi</t>
        </is>
      </c>
      <c r="I332" s="29" t="inlineStr">
        <is>
          <t>Evet</t>
        </is>
      </c>
      <c r="J332" s="29" t="inlineStr">
        <is>
          <t>Lisans kanıtları/71864218b994dfebba746b11f56b600cb61e78defbe32c13f19d60b574f0629f.html</t>
        </is>
      </c>
      <c r="K332" s="29" t="inlineStr">
        <is>
          <t>71864218b994dfebba746b11f56b600cb61e78defbe32c13f19d60b574f0629f</t>
        </is>
      </c>
    </row>
    <row r="333" ht="54" customHeight="1">
      <c r="A333" s="29" t="inlineStr">
        <is>
          <t>sevilla:kaynak:346</t>
        </is>
      </c>
      <c r="B333" s="29" t="inlineStr">
        <is>
          <t>sevilla</t>
        </is>
      </c>
      <c r="C333" s="29" t="inlineStr">
        <is>
          <t>CAAC - Visita Sevilla</t>
        </is>
      </c>
      <c r="D333" s="29" t="inlineStr">
        <is>
          <t>Turismo de Sevilla (visitasevilla.es)</t>
        </is>
      </c>
      <c r="E333" s="29" t="inlineStr">
        <is>
          <t>https://visitasevilla.es/caac/</t>
        </is>
      </c>
      <c r="F333" s="49" t="n">
        <v>46319</v>
      </c>
      <c r="G333" s="29" t="inlineStr">
        <is>
          <t>sevilla:kesif</t>
        </is>
      </c>
      <c r="H333" s="29" t="inlineStr">
        <is>
          <t>Resmî/kurumsal kaynakta adres ve ziyaret bilgisi</t>
        </is>
      </c>
      <c r="I333" s="29" t="inlineStr">
        <is>
          <t>Evet</t>
        </is>
      </c>
      <c r="J333" s="29" t="inlineStr">
        <is>
          <t>Lisans kanıtları/4d5ba6cf2488cde8185d09079fdce25ca5f2ab3a135448ca2bb5dcae37d6e4e3.html</t>
        </is>
      </c>
      <c r="K333" s="29" t="inlineStr">
        <is>
          <t>4d5ba6cf2488cde8185d09079fdce25ca5f2ab3a135448ca2bb5dcae37d6e4e3</t>
        </is>
      </c>
    </row>
    <row r="334" ht="54" customHeight="1">
      <c r="A334" s="29" t="inlineStr">
        <is>
          <t>sevilla:kaynak:347</t>
        </is>
      </c>
      <c r="B334" s="29" t="inlineStr">
        <is>
          <t>sevilla</t>
        </is>
      </c>
      <c r="C334" s="29" t="inlineStr">
        <is>
          <t>CaixaForum Sevilla - Visita Sevilla</t>
        </is>
      </c>
      <c r="D334" s="29" t="inlineStr">
        <is>
          <t>Turismo de Sevilla (visitasevilla.es)</t>
        </is>
      </c>
      <c r="E334" s="29" t="inlineStr">
        <is>
          <t>https://visitasevilla.es/caixaforum-sevilla/</t>
        </is>
      </c>
      <c r="F334" s="49" t="n">
        <v>46319</v>
      </c>
      <c r="G334" s="29" t="inlineStr">
        <is>
          <t>sevilla:kesif</t>
        </is>
      </c>
      <c r="H334" s="29" t="inlineStr">
        <is>
          <t>Resmî/kurumsal kaynakta adres ve ziyaret bilgisi</t>
        </is>
      </c>
      <c r="I334" s="29" t="inlineStr">
        <is>
          <t>Evet</t>
        </is>
      </c>
      <c r="J334" s="29" t="inlineStr">
        <is>
          <t>Lisans kanıtları/8cfa4be84262e5979a83997bd359238ace23f2c9c049a096b0201207d507a035.html</t>
        </is>
      </c>
      <c r="K334" s="29" t="inlineStr">
        <is>
          <t>8cfa4be84262e5979a83997bd359238ace23f2c9c049a096b0201207d507a035</t>
        </is>
      </c>
    </row>
    <row r="335" ht="54" customHeight="1">
      <c r="A335" s="29" t="inlineStr">
        <is>
          <t>sevilla:kaynak:348</t>
        </is>
      </c>
      <c r="B335" s="29" t="inlineStr">
        <is>
          <t>sevilla</t>
        </is>
      </c>
      <c r="C335" s="29" t="inlineStr">
        <is>
          <t>Historia de la Academia | Real Academia de Bellas Artes de Sevilla</t>
        </is>
      </c>
      <c r="D335" s="29" t="inlineStr">
        <is>
          <t>Real Academia de Bellas Artes (resmî site)</t>
        </is>
      </c>
      <c r="E335" s="29" t="inlineStr">
        <is>
          <t>https://www.realacademiabellasartessevilla.com/?page_id=2</t>
        </is>
      </c>
      <c r="F335" s="49" t="n">
        <v>46319</v>
      </c>
      <c r="G335" s="29" t="inlineStr">
        <is>
          <t>sevilla:kesif</t>
        </is>
      </c>
      <c r="H335" s="29" t="inlineStr">
        <is>
          <t>Resmî/kurumsal kaynakta adres ve ziyaret bilgisi</t>
        </is>
      </c>
      <c r="I335" s="29" t="inlineStr">
        <is>
          <t>Evet</t>
        </is>
      </c>
      <c r="J335" s="29" t="inlineStr">
        <is>
          <t>Lisans kanıtları/5306e4e3607619bad1569e431041930e63b4b147dd3e708d776108864d7778d1.html</t>
        </is>
      </c>
      <c r="K335" s="29" t="inlineStr">
        <is>
          <t>5306e4e3607619bad1569e431041930e63b4b147dd3e708d776108864d7778d1</t>
        </is>
      </c>
    </row>
    <row r="336" ht="54" customHeight="1">
      <c r="A336" s="29" t="inlineStr">
        <is>
          <t>sevilla:kaynak:349</t>
        </is>
      </c>
      <c r="B336" s="29" t="inlineStr">
        <is>
          <t>sevilla</t>
        </is>
      </c>
      <c r="C336" s="29" t="inlineStr">
        <is>
          <t>Palacio de los Marqueses de la Algaba - Visita Sevilla</t>
        </is>
      </c>
      <c r="D336" s="29" t="inlineStr">
        <is>
          <t>Turismo de Sevilla (visitasevilla.es)</t>
        </is>
      </c>
      <c r="E336" s="29" t="inlineStr">
        <is>
          <t>https://visitasevilla.es/palacio-de-los-marqueses-de-la-algaba/</t>
        </is>
      </c>
      <c r="F336" s="49" t="n">
        <v>46319</v>
      </c>
      <c r="G336" s="29" t="inlineStr">
        <is>
          <t>sevilla:kesif</t>
        </is>
      </c>
      <c r="H336" s="29" t="inlineStr">
        <is>
          <t>Resmî/kurumsal kaynakta adres ve ziyaret bilgisi</t>
        </is>
      </c>
      <c r="I336" s="29" t="inlineStr">
        <is>
          <t>Evet</t>
        </is>
      </c>
      <c r="J336" s="29" t="inlineStr">
        <is>
          <t>Lisans kanıtları/667ae8d9b2d5d6112d7fedb62659471787397a31de2e7cdfa44b11f0531fb1fb.html</t>
        </is>
      </c>
      <c r="K336" s="29" t="inlineStr">
        <is>
          <t>667ae8d9b2d5d6112d7fedb62659471787397a31de2e7cdfa44b11f0531fb1fb</t>
        </is>
      </c>
    </row>
    <row r="337" ht="54" customHeight="1">
      <c r="A337" s="29" t="inlineStr">
        <is>
          <t>sevilla:kaynak:350</t>
        </is>
      </c>
      <c r="B337" s="29" t="inlineStr">
        <is>
          <t>sevilla</t>
        </is>
      </c>
      <c r="C337" s="29" t="inlineStr">
        <is>
          <t>Inicio</t>
        </is>
      </c>
      <c r="D337" s="29" t="inlineStr">
        <is>
          <t>Diputación de Sevilla (Casa de la Provincia)</t>
        </is>
      </c>
      <c r="E337" s="29" t="inlineStr">
        <is>
          <t>https://www.casadelaprovincia.es</t>
        </is>
      </c>
      <c r="F337" s="49" t="n">
        <v>46319</v>
      </c>
      <c r="G337" s="29" t="inlineStr">
        <is>
          <t>sevilla:kesif</t>
        </is>
      </c>
      <c r="H337" s="29" t="inlineStr">
        <is>
          <t>Resmî/kurumsal kaynakta adres ve ziyaret bilgisi</t>
        </is>
      </c>
      <c r="I337" s="29" t="inlineStr">
        <is>
          <t>Evet</t>
        </is>
      </c>
      <c r="J337" s="29" t="inlineStr">
        <is>
          <t>Lisans kanıtları/801dc1c4dab9551ab15ebcb5402e2671cd513e67844e21e372586cec7bb7ca49.html</t>
        </is>
      </c>
      <c r="K337" s="29" t="inlineStr">
        <is>
          <t>801dc1c4dab9551ab15ebcb5402e2671cd513e67844e21e372586cec7bb7ca49</t>
        </is>
      </c>
    </row>
    <row r="338" ht="54" customHeight="1">
      <c r="A338" s="29" t="inlineStr">
        <is>
          <t>sevilla:kaynak:351</t>
        </is>
      </c>
      <c r="B338" s="29" t="inlineStr">
        <is>
          <t>sevilla</t>
        </is>
      </c>
      <c r="C338" s="29" t="inlineStr">
        <is>
          <t>Parque de María Luisa - Visita Sevilla</t>
        </is>
      </c>
      <c r="D338" s="29" t="inlineStr">
        <is>
          <t>Turismo de Sevilla (visitasevilla.es)</t>
        </is>
      </c>
      <c r="E338" s="29" t="inlineStr">
        <is>
          <t>https://visitasevilla.es/parque-de-maria-luisa/</t>
        </is>
      </c>
      <c r="F338" s="49" t="n">
        <v>46319</v>
      </c>
      <c r="G338" s="29" t="inlineStr">
        <is>
          <t>sevilla:kesif</t>
        </is>
      </c>
      <c r="H338" s="29" t="inlineStr">
        <is>
          <t>Belediye turizm konsorsiyumunun mekân sayfası: konum, saat (her gün 8:00-24:00)</t>
        </is>
      </c>
      <c r="I338" s="29" t="inlineStr">
        <is>
          <t>Evet</t>
        </is>
      </c>
      <c r="J338" s="29" t="inlineStr">
        <is>
          <t>Lisans kanıtları/f8805ce9f709ca6b5adc0288e7f001013a90c8ac85c9ed9edf81104dcc2f4cbf.html</t>
        </is>
      </c>
      <c r="K338" s="29" t="inlineStr">
        <is>
          <t>f8805ce9f709ca6b5adc0288e7f001013a90c8ac85c9ed9edf81104dcc2f4cbf</t>
        </is>
      </c>
    </row>
    <row r="339" ht="54" customHeight="1">
      <c r="A339" s="29" t="inlineStr">
        <is>
          <t>sevilla:kaynak:352</t>
        </is>
      </c>
      <c r="B339" s="29" t="inlineStr">
        <is>
          <t>sevilla</t>
        </is>
      </c>
      <c r="C339" s="29" t="inlineStr">
        <is>
          <t>Jardines de la buhaira - Visita Sevilla</t>
        </is>
      </c>
      <c r="D339" s="29" t="inlineStr">
        <is>
          <t>Turismo de Sevilla (visitasevilla.es)</t>
        </is>
      </c>
      <c r="E339" s="29" t="inlineStr">
        <is>
          <t>https://visitasevilla.es/jardines-de-la-buhaira/</t>
        </is>
      </c>
      <c r="F339" s="49" t="n">
        <v>46319</v>
      </c>
      <c r="G339" s="29" t="inlineStr">
        <is>
          <t>sevilla:kesif</t>
        </is>
      </c>
      <c r="H339" s="29" t="inlineStr">
        <is>
          <t>Mekân sayfası: adres ve Buhaira bahçeleri</t>
        </is>
      </c>
      <c r="I339" s="29" t="inlineStr">
        <is>
          <t>Evet</t>
        </is>
      </c>
      <c r="J339" s="29" t="inlineStr">
        <is>
          <t>Lisans kanıtları/502b68ca7daf9192760f81ab8b028e47f3cc73837e73a81b3a31a7b0a308405b.html</t>
        </is>
      </c>
      <c r="K339" s="29" t="inlineStr">
        <is>
          <t>502b68ca7daf9192760f81ab8b028e47f3cc73837e73a81b3a31a7b0a308405b</t>
        </is>
      </c>
    </row>
    <row r="340" ht="54" customHeight="1">
      <c r="A340" s="29" t="inlineStr">
        <is>
          <t>sevilla:kaynak:353</t>
        </is>
      </c>
      <c r="B340" s="29" t="inlineStr">
        <is>
          <t>sevilla</t>
        </is>
      </c>
      <c r="C340" s="29" t="inlineStr">
        <is>
          <t>Jardines de Murillo - Visita Sevilla</t>
        </is>
      </c>
      <c r="D340" s="29" t="inlineStr">
        <is>
          <t>Turismo de Sevilla (visitasevilla.es)</t>
        </is>
      </c>
      <c r="E340" s="29" t="inlineStr">
        <is>
          <t>https://visitasevilla.es/jardines-de-murillo/</t>
        </is>
      </c>
      <c r="F340" s="49" t="n">
        <v>46319</v>
      </c>
      <c r="G340" s="29" t="inlineStr">
        <is>
          <t>sevilla:kesif</t>
        </is>
      </c>
      <c r="H340" s="29" t="inlineStr">
        <is>
          <t>Mekân sayfası: konum ve saat (kış 8-22, yaz 8-24)</t>
        </is>
      </c>
      <c r="I340" s="29" t="inlineStr">
        <is>
          <t>Evet</t>
        </is>
      </c>
      <c r="J340" s="29" t="inlineStr">
        <is>
          <t>Lisans kanıtları/566d44ab78da4035650e532133b2c6d1c1d66ee457e25456331e00282b5b2d61.html</t>
        </is>
      </c>
      <c r="K340" s="29" t="inlineStr">
        <is>
          <t>566d44ab78da4035650e532133b2c6d1c1d66ee457e25456331e00282b5b2d61</t>
        </is>
      </c>
    </row>
    <row r="341" ht="54" customHeight="1">
      <c r="A341" s="29" t="inlineStr">
        <is>
          <t>sevilla:kaynak:354</t>
        </is>
      </c>
      <c r="B341" s="29" t="inlineStr">
        <is>
          <t>sevilla</t>
        </is>
      </c>
      <c r="C341" s="29" t="inlineStr">
        <is>
          <t>Jardines de las Delicias - Visita Sevilla</t>
        </is>
      </c>
      <c r="D341" s="29" t="inlineStr">
        <is>
          <t>Turismo de Sevilla (visitasevilla.es)</t>
        </is>
      </c>
      <c r="E341" s="29" t="inlineStr">
        <is>
          <t>https://visitasevilla.es/jardines-de-las-delicias/</t>
        </is>
      </c>
      <c r="F341" s="49" t="n">
        <v>46319</v>
      </c>
      <c r="G341" s="29" t="inlineStr">
        <is>
          <t>sevilla:kesif</t>
        </is>
      </c>
      <c r="H341" s="29" t="inlineStr">
        <is>
          <t>Mekân sayfası: adres, ücretsiz giriş</t>
        </is>
      </c>
      <c r="I341" s="29" t="inlineStr">
        <is>
          <t>Evet</t>
        </is>
      </c>
      <c r="J341" s="29" t="inlineStr">
        <is>
          <t>Lisans kanıtları/2157878761b355d632f051744392b63fa4a0bef78b0a1e5073fb9540045bd63e.html</t>
        </is>
      </c>
      <c r="K341" s="29" t="inlineStr">
        <is>
          <t>2157878761b355d632f051744392b63fa4a0bef78b0a1e5073fb9540045bd63e</t>
        </is>
      </c>
    </row>
    <row r="342" ht="54" customHeight="1">
      <c r="A342" s="29" t="inlineStr">
        <is>
          <t>sevilla:kaynak:355</t>
        </is>
      </c>
      <c r="B342" s="29" t="inlineStr">
        <is>
          <t>sevilla</t>
        </is>
      </c>
      <c r="C342" s="29" t="inlineStr">
        <is>
          <t>Jardines de Catalina de Ribera - Visita Sevilla</t>
        </is>
      </c>
      <c r="D342" s="29" t="inlineStr">
        <is>
          <t>Turismo de Sevilla (visitasevilla.es)</t>
        </is>
      </c>
      <c r="E342" s="29" t="inlineStr">
        <is>
          <t>https://visitasevilla.es/jardines-de-catalina-de-ribera/</t>
        </is>
      </c>
      <c r="F342" s="49" t="n">
        <v>46319</v>
      </c>
      <c r="G342" s="29" t="inlineStr">
        <is>
          <t>sevilla:kesif</t>
        </is>
      </c>
      <c r="H342" s="29" t="inlineStr">
        <is>
          <t>Mekân sayfası: adres, ücretsiz</t>
        </is>
      </c>
      <c r="I342" s="29" t="inlineStr">
        <is>
          <t>Evet</t>
        </is>
      </c>
      <c r="J342" s="29" t="inlineStr">
        <is>
          <t>Lisans kanıtları/c3cb4f6759a61083234eccb015a0f6ba037d1135b98fd63e3a3dee2d0f19a014.html</t>
        </is>
      </c>
      <c r="K342" s="29" t="inlineStr">
        <is>
          <t>c3cb4f6759a61083234eccb015a0f6ba037d1135b98fd63e3a3dee2d0f19a014</t>
        </is>
      </c>
    </row>
    <row r="343" ht="54" customHeight="1">
      <c r="A343" s="29" t="inlineStr">
        <is>
          <t>sevilla:kaynak:356</t>
        </is>
      </c>
      <c r="B343" s="29" t="inlineStr">
        <is>
          <t>sevilla</t>
        </is>
      </c>
      <c r="C343" s="29" t="inlineStr">
        <is>
          <t>Parque del Alamillo - Parque del alamillo</t>
        </is>
      </c>
      <c r="D343" s="29" t="inlineStr">
        <is>
          <t>Junta de Andalucía (AVRA)</t>
        </is>
      </c>
      <c r="E343" s="29" t="inlineStr">
        <is>
          <t>https://www.juntadeandalucia.es/avra/parque-alamillo/</t>
        </is>
      </c>
      <c r="F343" s="49" t="n">
        <v>46319</v>
      </c>
      <c r="G343" s="29" t="inlineStr">
        <is>
          <t>sevilla:kesif</t>
        </is>
      </c>
      <c r="H343" s="29" t="inlineStr">
        <is>
          <t>Parkı yöneten Junta kurumunun resmî sayfası: adres, saat, doğa</t>
        </is>
      </c>
      <c r="I343" s="29" t="inlineStr">
        <is>
          <t>Evet</t>
        </is>
      </c>
      <c r="J343" s="29" t="inlineStr">
        <is>
          <t>Lisans kanıtları/d7927ef3f4cf7a8a25698fd13011871d1dc0ababfe4d7644ad551daa81206506.html</t>
        </is>
      </c>
      <c r="K343" s="29" t="inlineStr">
        <is>
          <t>d7927ef3f4cf7a8a25698fd13011871d1dc0ababfe4d7644ad551daa81206506</t>
        </is>
      </c>
    </row>
    <row r="344" ht="54" customHeight="1">
      <c r="A344" s="29" t="inlineStr">
        <is>
          <t>sevilla:kaynak:357</t>
        </is>
      </c>
      <c r="B344" s="29" t="inlineStr">
        <is>
          <t>sevilla</t>
        </is>
      </c>
      <c r="C344" s="29" t="inlineStr">
        <is>
          <t>Parque Infanta Elena - Visita Sevilla</t>
        </is>
      </c>
      <c r="D344" s="29" t="inlineStr">
        <is>
          <t>Turismo de Sevilla (visitasevilla.es)</t>
        </is>
      </c>
      <c r="E344" s="29" t="inlineStr">
        <is>
          <t>https://visitasevilla.es/parque-infanta-elena/</t>
        </is>
      </c>
      <c r="F344" s="49" t="n">
        <v>46319</v>
      </c>
      <c r="G344" s="29" t="inlineStr">
        <is>
          <t>sevilla:kesif</t>
        </is>
      </c>
      <c r="H344" s="29" t="inlineStr">
        <is>
          <t>Mekân sayfası: adres, saat (8:00-22:00)</t>
        </is>
      </c>
      <c r="I344" s="29" t="inlineStr">
        <is>
          <t>Evet</t>
        </is>
      </c>
      <c r="J344" s="29" t="inlineStr">
        <is>
          <t>Lisans kanıtları/782dd796ff070bbcb74fd66c17fa35a83e137496df26d14363ce56651d2afee3.html</t>
        </is>
      </c>
      <c r="K344" s="29" t="inlineStr">
        <is>
          <t>782dd796ff070bbcb74fd66c17fa35a83e137496df26d14363ce56651d2afee3</t>
        </is>
      </c>
    </row>
    <row r="345" ht="54" customHeight="1">
      <c r="A345" s="29" t="inlineStr">
        <is>
          <t>sevilla:kaynak:358</t>
        </is>
      </c>
      <c r="B345" s="29" t="inlineStr">
        <is>
          <t>sevilla</t>
        </is>
      </c>
      <c r="C345" s="29" t="inlineStr">
        <is>
          <t>Home - Real Alcázar de Sevilla - Official Web of The Real Alcázar of Seville</t>
        </is>
      </c>
      <c r="D345" s="29" t="inlineStr">
        <is>
          <t>Patronato del Real Alcázar</t>
        </is>
      </c>
      <c r="E345" s="29" t="inlineStr">
        <is>
          <t>https://www.alcazarsevilla.org/</t>
        </is>
      </c>
      <c r="F345" s="49" t="n">
        <v>46319</v>
      </c>
      <c r="G345" s="29" t="inlineStr">
        <is>
          <t>sevilla:kesif</t>
        </is>
      </c>
      <c r="H345" s="29" t="inlineStr">
        <is>
          <t>Alcázar'ın resmî sitesi: adres, ziyaret saatleri</t>
        </is>
      </c>
      <c r="I345" s="29" t="inlineStr">
        <is>
          <t>Evet</t>
        </is>
      </c>
      <c r="J345" s="29" t="inlineStr">
        <is>
          <t>Lisans kanıtları/6ec713b74e0153a96731099beda784384eae58e9b7999f575f5b25c011c6cb0a.html</t>
        </is>
      </c>
      <c r="K345" s="29" t="inlineStr">
        <is>
          <t>6ec713b74e0153a96731099beda784384eae58e9b7999f575f5b25c011c6cb0a</t>
        </is>
      </c>
    </row>
    <row r="346" ht="54" customHeight="1">
      <c r="A346" s="29" t="inlineStr">
        <is>
          <t>sevilla:kaynak:359</t>
        </is>
      </c>
      <c r="B346" s="29" t="inlineStr">
        <is>
          <t>sevilla</t>
        </is>
      </c>
      <c r="C346" s="29" t="inlineStr">
        <is>
          <t>El Guadalquivir - Visita Sevilla</t>
        </is>
      </c>
      <c r="D346" s="29" t="inlineStr">
        <is>
          <t>Turismo de Sevilla (visitasevilla.es)</t>
        </is>
      </c>
      <c r="E346" s="29" t="inlineStr">
        <is>
          <t>https://visitasevilla.es/el-guadalquivir/</t>
        </is>
      </c>
      <c r="F346" s="49" t="n">
        <v>46319</v>
      </c>
      <c r="G346" s="29" t="inlineStr">
        <is>
          <t>sevilla:kesif</t>
        </is>
      </c>
      <c r="H346" s="29" t="inlineStr">
        <is>
          <t>Nehir kıyısı sayfası: ücretsiz yürüyüş</t>
        </is>
      </c>
      <c r="I346" s="29" t="inlineStr">
        <is>
          <t>Evet</t>
        </is>
      </c>
      <c r="J346" s="29" t="inlineStr">
        <is>
          <t>Lisans kanıtları/d3445997676b7715d5a7cb8eb4be2de89284fb9018076a87f60823122d2b4243.html</t>
        </is>
      </c>
      <c r="K346" s="29" t="inlineStr">
        <is>
          <t>d3445997676b7715d5a7cb8eb4be2de89284fb9018076a87f60823122d2b4243</t>
        </is>
      </c>
    </row>
    <row r="347" ht="54" customHeight="1">
      <c r="A347" s="29" t="inlineStr">
        <is>
          <t>sevilla:kaynak:360</t>
        </is>
      </c>
      <c r="B347" s="29" t="inlineStr">
        <is>
          <t>sevilla</t>
        </is>
      </c>
      <c r="C347" s="29" t="inlineStr">
        <is>
          <t>Como llegar - Acuario de Sevilla</t>
        </is>
      </c>
      <c r="D347" s="29" t="inlineStr">
        <is>
          <t>Acuario de Sevilla</t>
        </is>
      </c>
      <c r="E347" s="29" t="inlineStr">
        <is>
          <t>https://www.acuariosevilla.es/contacto/</t>
        </is>
      </c>
      <c r="F347" s="49" t="n">
        <v>46319</v>
      </c>
      <c r="G347" s="29" t="inlineStr">
        <is>
          <t>sevilla:kesif</t>
        </is>
      </c>
      <c r="H347" s="29" t="inlineStr">
        <is>
          <t>Akvaryumun resmî sitesi: adres, telefon</t>
        </is>
      </c>
      <c r="I347" s="29" t="inlineStr">
        <is>
          <t>Evet</t>
        </is>
      </c>
      <c r="J347" s="29" t="inlineStr">
        <is>
          <t>Lisans kanıtları/d347b5f4351e6719249e75f5bcfeb0c5e3a3e22163e7b8e512942006fc40f60b.html</t>
        </is>
      </c>
      <c r="K347" s="29" t="inlineStr">
        <is>
          <t>d347b5f4351e6719249e75f5bcfeb0c5e3a3e22163e7b8e512942006fc40f60b</t>
        </is>
      </c>
    </row>
    <row r="348" ht="54" customHeight="1">
      <c r="A348" s="29" t="inlineStr">
        <is>
          <t>sevilla:kaynak:361</t>
        </is>
      </c>
      <c r="B348" s="29" t="inlineStr">
        <is>
          <t>sevilla</t>
        </is>
      </c>
      <c r="C348" s="29" t="inlineStr">
        <is>
          <t>Museo de las Ilusiones - Visita Sevilla</t>
        </is>
      </c>
      <c r="D348" s="29" t="inlineStr">
        <is>
          <t>Turismo de Sevilla (visitasevilla.es)</t>
        </is>
      </c>
      <c r="E348" s="29" t="inlineStr">
        <is>
          <t>https://visitasevilla.es/museo-de-las-ilusiones/</t>
        </is>
      </c>
      <c r="F348" s="49" t="n">
        <v>46319</v>
      </c>
      <c r="G348" s="29" t="inlineStr">
        <is>
          <t>sevilla:kesif</t>
        </is>
      </c>
      <c r="H348" s="29" t="inlineStr">
        <is>
          <t>Mekân sayfası: adres, bilgi</t>
        </is>
      </c>
      <c r="I348" s="29" t="inlineStr">
        <is>
          <t>Evet</t>
        </is>
      </c>
      <c r="J348" s="29" t="inlineStr">
        <is>
          <t>Lisans kanıtları/d7e7b8641f5c4e15df912d5b46b13ef08de47a5b8e2b01b2ea98278958cb7179.html</t>
        </is>
      </c>
      <c r="K348" s="29" t="inlineStr">
        <is>
          <t>d7e7b8641f5c4e15df912d5b46b13ef08de47a5b8e2b01b2ea98278958cb7179</t>
        </is>
      </c>
    </row>
    <row r="349" ht="54" customHeight="1">
      <c r="A349" s="29" t="inlineStr">
        <is>
          <t>sevilla:kaynak:362</t>
        </is>
      </c>
      <c r="B349" s="29" t="inlineStr">
        <is>
          <t>sevilla</t>
        </is>
      </c>
      <c r="C349" s="29" t="inlineStr">
        <is>
          <t>Sevilla FC Stadium Club Tour - Visita Sevilla</t>
        </is>
      </c>
      <c r="D349" s="29" t="inlineStr">
        <is>
          <t>Turismo de Sevilla (visitasevilla.es)</t>
        </is>
      </c>
      <c r="E349" s="29" t="inlineStr">
        <is>
          <t>https://visitasevilla.es/sevilla-fc-stadium-club-tour/</t>
        </is>
      </c>
      <c r="F349" s="49" t="n">
        <v>46319</v>
      </c>
      <c r="G349" s="29" t="inlineStr">
        <is>
          <t>sevilla:kesif</t>
        </is>
      </c>
      <c r="H349" s="29" t="inlineStr">
        <is>
          <t>Stadyum turu sayfası: adres, tur içeriği</t>
        </is>
      </c>
      <c r="I349" s="29" t="inlineStr">
        <is>
          <t>Evet</t>
        </is>
      </c>
      <c r="J349" s="29" t="inlineStr">
        <is>
          <t>Lisans kanıtları/d0def14756ba5af7f8c7d745cd7ff1bfa341f6dd8d6c7442eccc1986100e16a8.html</t>
        </is>
      </c>
      <c r="K349" s="29" t="inlineStr">
        <is>
          <t>d0def14756ba5af7f8c7d745cd7ff1bfa341f6dd8d6c7442eccc1986100e16a8</t>
        </is>
      </c>
    </row>
    <row r="350" ht="54" customHeight="1">
      <c r="A350" s="29" t="inlineStr">
        <is>
          <t>sevilla:kaynak:363</t>
        </is>
      </c>
      <c r="B350" s="29" t="inlineStr">
        <is>
          <t>sevilla</t>
        </is>
      </c>
      <c r="C350" s="29" t="inlineStr">
        <is>
          <t>Contacto - Estadio La Cartuja Sevilla</t>
        </is>
      </c>
      <c r="D350" s="29" t="inlineStr">
        <is>
          <t>Estadio La Cartuja de Sevilla</t>
        </is>
      </c>
      <c r="E350" s="29" t="inlineStr">
        <is>
          <t>https://www.estadiolacartuja.es/contacto/</t>
        </is>
      </c>
      <c r="F350" s="49" t="n">
        <v>46319</v>
      </c>
      <c r="G350" s="29" t="inlineStr">
        <is>
          <t>sevilla:kesif</t>
        </is>
      </c>
      <c r="H350" s="29" t="inlineStr">
        <is>
          <t>Stadyumun resmî sitesi: adres, etkinlik takvimi</t>
        </is>
      </c>
      <c r="I350" s="29" t="inlineStr">
        <is>
          <t>Evet</t>
        </is>
      </c>
      <c r="J350" s="29" t="inlineStr">
        <is>
          <t>Lisans kanıtları/d721e44db5e37411d3f1623da68843e25387505144c00a81c1e27f911870e0c0.html</t>
        </is>
      </c>
      <c r="K350" s="29" t="inlineStr">
        <is>
          <t>d721e44db5e37411d3f1623da68843e25387505144c00a81c1e27f911870e0c0</t>
        </is>
      </c>
    </row>
    <row r="351" ht="54" customHeight="1">
      <c r="A351" s="29" t="inlineStr">
        <is>
          <t>sevilla:kaynak:364</t>
        </is>
      </c>
      <c r="B351" s="29" t="inlineStr">
        <is>
          <t>sevilla</t>
        </is>
      </c>
      <c r="C351" s="29" t="inlineStr">
        <is>
          <t>Parque del Alamillo - Actividades naúticas</t>
        </is>
      </c>
      <c r="D351" s="29" t="inlineStr">
        <is>
          <t>Junta de Andalucía (AVRA)</t>
        </is>
      </c>
      <c r="E351" s="29" t="inlineStr">
        <is>
          <t>https://www.juntadeandalucia.es/avra/opencms/parque-alamillo/contenido/actividades/Actividad_nautica/actividadNautica.html</t>
        </is>
      </c>
      <c r="F351" s="49" t="n">
        <v>46319</v>
      </c>
      <c r="G351" s="29" t="inlineStr">
        <is>
          <t>sevilla:kesif</t>
        </is>
      </c>
      <c r="H351" s="29" t="inlineStr">
        <is>
          <t>Halka açık kayak/paddle/kürek faaliyeti, Alamillo resmî sayfası</t>
        </is>
      </c>
      <c r="I351" s="29" t="inlineStr">
        <is>
          <t>Evet</t>
        </is>
      </c>
      <c r="J351" s="29" t="inlineStr">
        <is>
          <t>Lisans kanıtları/f2271953484b4da5506941f18d81972c5835a8bfee78afe309fee7530a053eab.html</t>
        </is>
      </c>
      <c r="K351" s="29" t="inlineStr">
        <is>
          <t>f2271953484b4da5506941f18d81972c5835a8bfee78afe309fee7530a053eab</t>
        </is>
      </c>
    </row>
    <row r="352" ht="54" customHeight="1">
      <c r="A352" s="29" t="inlineStr">
        <is>
          <t>sevilla:kaynak:366</t>
        </is>
      </c>
      <c r="B352" s="29" t="inlineStr">
        <is>
          <t>sevilla</t>
        </is>
      </c>
      <c r="C352" s="29" t="inlineStr">
        <is>
          <t>Teatro Lope de Vega - Visita Sevilla</t>
        </is>
      </c>
      <c r="D352" s="29" t="inlineStr">
        <is>
          <t>Turismo de Sevilla (visitasevilla.es)</t>
        </is>
      </c>
      <c r="E352" s="29" t="inlineStr">
        <is>
          <t>https://visitasevilla.es/teatro-lope-de-vega/</t>
        </is>
      </c>
      <c r="F352" s="49" t="n">
        <v>46319</v>
      </c>
      <c r="G352" s="29" t="inlineStr">
        <is>
          <t>sevilla:kesif</t>
        </is>
      </c>
      <c r="H352" s="29" t="inlineStr">
        <is>
          <t>Kendi sitesi açılmadı; belediye turizm konsorsiyumu mekân sayfası</t>
        </is>
      </c>
      <c r="I352" s="29" t="inlineStr">
        <is>
          <t>Evet</t>
        </is>
      </c>
      <c r="J352" s="29" t="inlineStr">
        <is>
          <t>Lisans kanıtları/5d9a9a08f19df5ed039b916f67ad3e4bb6378e7c0b60b07090d6f038c937c8bb.html</t>
        </is>
      </c>
      <c r="K352" s="29" t="inlineStr">
        <is>
          <t>5d9a9a08f19df5ed039b916f67ad3e4bb6378e7c0b60b07090d6f038c937c8bb</t>
        </is>
      </c>
    </row>
    <row r="353" ht="54" customHeight="1">
      <c r="A353" s="29" t="inlineStr">
        <is>
          <t>sevilla:kaynak:367</t>
        </is>
      </c>
      <c r="B353" s="29" t="inlineStr">
        <is>
          <t>sevilla</t>
        </is>
      </c>
      <c r="C353" s="29" t="inlineStr">
        <is>
          <t>El tablao flamenco más antiguo de Sevilla | El Patio Sevillano</t>
        </is>
      </c>
      <c r="D353" s="29" t="inlineStr">
        <is>
          <t>El Patio Sevillano</t>
        </is>
      </c>
      <c r="E353" s="29" t="inlineStr">
        <is>
          <t>https://www.elpatiosevillano.com</t>
        </is>
      </c>
      <c r="F353" s="49" t="n">
        <v>46319</v>
      </c>
      <c r="G353" s="29" t="inlineStr">
        <is>
          <t>sevilla:kesif</t>
        </is>
      </c>
      <c r="H353" s="29" t="inlineStr">
        <is>
          <t>Kendi sitesinde adres; Sevilla'nın en eski tablaosu olarak anıyor</t>
        </is>
      </c>
      <c r="I353" s="29" t="inlineStr">
        <is>
          <t>Evet</t>
        </is>
      </c>
      <c r="J353" s="29" t="inlineStr">
        <is>
          <t>Lisans kanıtları/295cc0fba736797e6a3baa6f302b79cbcddede9f018fb9c75bf3ce3bfe69660e.html</t>
        </is>
      </c>
      <c r="K353" s="29" t="inlineStr">
        <is>
          <t>295cc0fba736797e6a3baa6f302b79cbcddede9f018fb9c75bf3ce3bfe69660e</t>
        </is>
      </c>
    </row>
    <row r="354" ht="54" customHeight="1">
      <c r="A354" s="29" t="inlineStr">
        <is>
          <t>sevilla:kaynak:368</t>
        </is>
      </c>
      <c r="B354" s="29" t="inlineStr">
        <is>
          <t>sevilla</t>
        </is>
      </c>
      <c r="C354" s="29" t="inlineStr">
        <is>
          <t>Cartuja Center - Visita Sevilla</t>
        </is>
      </c>
      <c r="D354" s="29" t="inlineStr">
        <is>
          <t>Turismo de Sevilla (visitasevilla.es)</t>
        </is>
      </c>
      <c r="E354" s="29" t="inlineStr">
        <is>
          <t>https://visitasevilla.es/cartuja-center/</t>
        </is>
      </c>
      <c r="F354" s="49" t="n">
        <v>46319</v>
      </c>
      <c r="G354" s="29" t="inlineStr">
        <is>
          <t>sevilla:kesif</t>
        </is>
      </c>
      <c r="H354" s="29" t="inlineStr">
        <is>
          <t>Konser ve tiyatro salonu; kendi sitesi adres satırı vermedi, turizm sayfası verdi</t>
        </is>
      </c>
      <c r="I354" s="29" t="inlineStr">
        <is>
          <t>Evet</t>
        </is>
      </c>
      <c r="J354" s="29" t="inlineStr">
        <is>
          <t>Lisans kanıtları/75422e71576059d8d161abf981921bd41a894f3e86bce3ee62da58bf902d45ca.html</t>
        </is>
      </c>
      <c r="K354" s="29" t="inlineStr">
        <is>
          <t>75422e71576059d8d161abf981921bd41a894f3e86bce3ee62da58bf902d45ca</t>
        </is>
      </c>
    </row>
    <row r="355" ht="54" customHeight="1">
      <c r="A355" s="29" t="inlineStr">
        <is>
          <t>sevilla:kaynak:369</t>
        </is>
      </c>
      <c r="B355" s="29" t="inlineStr">
        <is>
          <t>sevilla</t>
        </is>
      </c>
      <c r="C355" s="29" t="inlineStr">
        <is>
          <t>Está pasando | Teatros de Andalucía</t>
        </is>
      </c>
      <c r="D355" s="29" t="inlineStr">
        <is>
          <t>Junta de Andalucía, Teatros de Andalucía</t>
        </is>
      </c>
      <c r="E355" s="29" t="inlineStr">
        <is>
          <t>https://www.juntadeandalucia.es/cultura/teatros/teatro-central</t>
        </is>
      </c>
      <c r="F355" s="49" t="n">
        <v>46319</v>
      </c>
      <c r="G355" s="29" t="inlineStr">
        <is>
          <t>sevilla:kesif</t>
        </is>
      </c>
      <c r="H355" s="29" t="inlineStr">
        <is>
          <t>Kendi sitesi 403 verdi; Junta'nın resmî tiyatro sayfası</t>
        </is>
      </c>
      <c r="I355" s="29" t="inlineStr">
        <is>
          <t>Evet</t>
        </is>
      </c>
      <c r="J355" s="29" t="inlineStr">
        <is>
          <t>Lisans kanıtları/89cdb89a0d5759346aead2f5fb38b755225e3ce6b7dc7ecff65ccf934f8dccf2.html</t>
        </is>
      </c>
      <c r="K355" s="29" t="inlineStr">
        <is>
          <t>89cdb89a0d5759346aead2f5fb38b755225e3ce6b7dc7ecff65ccf934f8dccf2</t>
        </is>
      </c>
    </row>
    <row r="356" ht="54" customHeight="1">
      <c r="A356" s="29" t="inlineStr">
        <is>
          <t>sevilla:kaynak:370</t>
        </is>
      </c>
      <c r="B356" s="29" t="inlineStr">
        <is>
          <t>sevilla</t>
        </is>
      </c>
      <c r="C356" s="29" t="inlineStr">
        <is>
          <t>Contacto - Ibercaja Auditorio Cartuja</t>
        </is>
      </c>
      <c r="D356" s="29" t="inlineStr">
        <is>
          <t>Auditorio Cartuja (resmî site)</t>
        </is>
      </c>
      <c r="E356" s="29" t="inlineStr">
        <is>
          <t>https://www.auditorionissancartuja.com/contacto</t>
        </is>
      </c>
      <c r="F356" s="49" t="n">
        <v>46319</v>
      </c>
      <c r="G356" s="29" t="inlineStr">
        <is>
          <t>sevilla:kesif</t>
        </is>
      </c>
      <c r="H356" s="29" t="inlineStr">
        <is>
          <t>Cartuja'daki konser alanının iletişim sayfası; adı sonradan değişmiş, Wikidata eski adla</t>
        </is>
      </c>
      <c r="I356" s="29" t="inlineStr">
        <is>
          <t>Evet</t>
        </is>
      </c>
      <c r="J356" s="29" t="inlineStr">
        <is>
          <t>Lisans kanıtları/36850712b382247830bbbef3436e5ec7d8a09d96f38e494d908aa8acee3184ff.html</t>
        </is>
      </c>
      <c r="K356" s="29" t="inlineStr">
        <is>
          <t>36850712b382247830bbbef3436e5ec7d8a09d96f38e494d908aa8acee3184ff</t>
        </is>
      </c>
    </row>
    <row r="357" ht="54" customHeight="1">
      <c r="A357" s="29" t="inlineStr">
        <is>
          <t>sevilla:kaynak:371</t>
        </is>
      </c>
      <c r="B357" s="29" t="inlineStr">
        <is>
          <t>sevilla</t>
        </is>
      </c>
      <c r="C357" s="29" t="inlineStr">
        <is>
          <t>Mercado de Triana - Visita Sevilla</t>
        </is>
      </c>
      <c r="D357" s="29" t="inlineStr">
        <is>
          <t>Turismo de Sevilla (visitasevilla.es)</t>
        </is>
      </c>
      <c r="E357" s="29" t="inlineStr">
        <is>
          <t>https://visitasevilla.es/mercado-de-triana/</t>
        </is>
      </c>
      <c r="F357" s="49" t="n">
        <v>46319</v>
      </c>
      <c r="G357" s="29" t="inlineStr">
        <is>
          <t>sevilla:kesif</t>
        </is>
      </c>
      <c r="H357" s="29" t="inlineStr">
        <is>
          <t>Tarihî pazar hali; kendi sitesi açılmadı</t>
        </is>
      </c>
      <c r="I357" s="29" t="inlineStr">
        <is>
          <t>Evet</t>
        </is>
      </c>
      <c r="J357" s="29" t="inlineStr">
        <is>
          <t>Lisans kanıtları/0682d66356a45d8a76e7eebe4b348c6b4e0868d78c90b481f59a748e59f74685.html</t>
        </is>
      </c>
      <c r="K357" s="29" t="inlineStr">
        <is>
          <t>0682d66356a45d8a76e7eebe4b348c6b4e0868d78c90b481f59a748e59f74685</t>
        </is>
      </c>
    </row>
    <row r="358" ht="54" customHeight="1">
      <c r="A358" s="29" t="inlineStr">
        <is>
          <t>sevilla:kaynak:372</t>
        </is>
      </c>
      <c r="B358" s="29" t="inlineStr">
        <is>
          <t>sevilla</t>
        </is>
      </c>
      <c r="C358" s="29" t="inlineStr">
        <is>
          <t>El Rinconcillo, cocina andaluza-mozárabe en Sevilla</t>
        </is>
      </c>
      <c r="D358" s="29" t="inlineStr">
        <is>
          <t>El Rinconcillo (resmî site)</t>
        </is>
      </c>
      <c r="E358" s="29" t="inlineStr">
        <is>
          <t>https://www.elrinconcillo.es/contacto</t>
        </is>
      </c>
      <c r="F358" s="49" t="n">
        <v>46319</v>
      </c>
      <c r="G358" s="29" t="inlineStr">
        <is>
          <t>sevilla:kesif</t>
        </is>
      </c>
      <c r="H358" s="29" t="inlineStr">
        <is>
          <t>1670'ten beri tapas barı</t>
        </is>
      </c>
      <c r="I358" s="29" t="inlineStr">
        <is>
          <t>Evet</t>
        </is>
      </c>
      <c r="J358" s="29" t="inlineStr">
        <is>
          <t>Lisans kanıtları/238e53905e39c4fe05ad976d95b541e96892cabad349123b1db9a46083f5224d.html</t>
        </is>
      </c>
      <c r="K358" s="29" t="inlineStr">
        <is>
          <t>238e53905e39c4fe05ad976d95b541e96892cabad349123b1db9a46083f5224d</t>
        </is>
      </c>
    </row>
    <row r="359" ht="54" customHeight="1">
      <c r="A359" s="29" t="inlineStr">
        <is>
          <t>sevilla:kaynak:373</t>
        </is>
      </c>
      <c r="B359" s="29" t="inlineStr">
        <is>
          <t>sevilla</t>
        </is>
      </c>
      <c r="C359" s="29" t="inlineStr">
        <is>
          <t>Bodega Góngora | Tapas y Solera en el Centro de Sevilla – Restaurante con tradición y sabor sevillano junto a Plaza Nueva. Especialistas en tapas, mariscos de calidad y cocina trad</t>
        </is>
      </c>
      <c r="D359" s="29" t="inlineStr">
        <is>
          <t>Bodega Góngora</t>
        </is>
      </c>
      <c r="E359" s="29" t="inlineStr">
        <is>
          <t>https://www.bodegagongora.com</t>
        </is>
      </c>
      <c r="F359" s="49" t="n">
        <v>46319</v>
      </c>
      <c r="G359" s="29" t="inlineStr">
        <is>
          <t>sevilla:kesif</t>
        </is>
      </c>
      <c r="H359" s="29" t="inlineStr">
        <is>
          <t>Kendi sitesinde adres, tarihî bodega</t>
        </is>
      </c>
      <c r="I359" s="29" t="inlineStr">
        <is>
          <t>Evet</t>
        </is>
      </c>
      <c r="J359" s="29" t="inlineStr">
        <is>
          <t>Lisans kanıtları/f73f107a779ae802d2cfb7f736ffe938918603058fc6e61319c05c2b7035b885.html</t>
        </is>
      </c>
      <c r="K359" s="29" t="inlineStr">
        <is>
          <t>f73f107a779ae802d2cfb7f736ffe938918603058fc6e61319c05c2b7035b885</t>
        </is>
      </c>
    </row>
    <row r="360" ht="54" customHeight="1">
      <c r="A360" s="29" t="inlineStr">
        <is>
          <t>sevilla:kaynak:374</t>
        </is>
      </c>
      <c r="B360" s="29" t="inlineStr">
        <is>
          <t>sevilla</t>
        </is>
      </c>
      <c r="C360" s="29" t="inlineStr">
        <is>
          <t>Maestranza Theatre in Seville | spain.info</t>
        </is>
      </c>
      <c r="D360" s="29" t="inlineStr">
        <is>
          <t>Turespaña (spain.info)</t>
        </is>
      </c>
      <c r="E360" s="29" t="inlineStr">
        <is>
          <t>https://www.spain.info/en/places-of-interest/teatro-maestranza-sevilla/</t>
        </is>
      </c>
      <c r="F360" s="49" t="n">
        <v>46319</v>
      </c>
      <c r="G360" s="29" t="inlineStr">
        <is>
          <t>sevilla:mekan</t>
        </is>
      </c>
      <c r="H360" s="29" t="inlineStr">
        <is>
          <t>Teatro de la Maestranza adresi ve telefonu; önceki kaynak yanlış kuruma (boğa arenası şirketine) aitti</t>
        </is>
      </c>
      <c r="I360" s="29" t="inlineStr">
        <is>
          <t>Evet</t>
        </is>
      </c>
      <c r="J360" s="29" t="inlineStr">
        <is>
          <t>Lisans kanıtları/a418c206f6873515ed0a24f6261f344fb18d1d3405f3df4b5eb475cb75e4b138.html</t>
        </is>
      </c>
      <c r="K360" s="29" t="inlineStr">
        <is>
          <t>a418c206f6873515ed0a24f6261f344fb18d1d3405f3df4b5eb475cb75e4b138</t>
        </is>
      </c>
    </row>
    <row r="361" ht="54" customHeight="1">
      <c r="A361" s="29" t="inlineStr">
        <is>
          <t>sevilla:kaynak:375</t>
        </is>
      </c>
      <c r="B361" s="29" t="inlineStr">
        <is>
          <t>sevilla</t>
        </is>
      </c>
      <c r="C361" s="29" t="inlineStr">
        <is>
          <t>Arquitectura</t>
        </is>
      </c>
      <c r="D361" s="29" t="inlineStr">
        <is>
          <t>Teatro de la Maestranza</t>
        </is>
      </c>
      <c r="E361" s="29" t="inlineStr">
        <is>
          <t>https://www.teatrodelamaestranza.es/en/architecture/</t>
        </is>
      </c>
      <c r="F361" s="49" t="n">
        <v>46319</v>
      </c>
      <c r="G361" s="29" t="inlineStr">
        <is>
          <t>sevilla:mekan</t>
        </is>
      </c>
      <c r="H361" s="29" t="inlineStr">
        <is>
          <t>Tiyatronun kendi sitesi, bina bilgisi</t>
        </is>
      </c>
      <c r="I361" s="29" t="inlineStr">
        <is>
          <t>Evet</t>
        </is>
      </c>
      <c r="J361" s="29" t="inlineStr">
        <is>
          <t>Lisans kanıtları/64aa8f0352c11e498b65971f387f6385551d6685a7cd56550ed1a1a3d35c485c.html</t>
        </is>
      </c>
      <c r="K361" s="29" t="inlineStr">
        <is>
          <t>64aa8f0352c11e498b65971f387f6385551d6685a7cd56550ed1a1a3d35c485c</t>
        </is>
      </c>
    </row>
    <row r="362" ht="54" customHeight="1">
      <c r="A362" s="29" t="inlineStr">
        <is>
          <t>sevilla:kaynak:376</t>
        </is>
      </c>
      <c r="B362" s="29" t="inlineStr">
        <is>
          <t>sevilla</t>
        </is>
      </c>
      <c r="C362" s="29" t="inlineStr">
        <is>
          <t>Acuario de Sevilla</t>
        </is>
      </c>
      <c r="D362" s="29" t="inlineStr">
        <is>
          <t>Acuario de Sevilla</t>
        </is>
      </c>
      <c r="E362" s="29" t="inlineStr">
        <is>
          <t>https://www.acuariosevilla.es/</t>
        </is>
      </c>
      <c r="F362" s="49" t="n">
        <v>46319</v>
      </c>
      <c r="G362" s="29" t="inlineStr">
        <is>
          <t>sevilla:mekan</t>
        </is>
      </c>
      <c r="H362" s="29" t="inlineStr">
        <is>
          <t>Akvaryum saat ve bilet</t>
        </is>
      </c>
      <c r="I362" s="29" t="inlineStr">
        <is>
          <t>Evet</t>
        </is>
      </c>
      <c r="J362" s="29" t="inlineStr">
        <is>
          <t>Lisans kanıtları/4ee6ff99719e38c64c38a210f306c7d5315fc22da917abf83aaee90dd7935321.html</t>
        </is>
      </c>
      <c r="K362" s="29" t="inlineStr">
        <is>
          <t>4ee6ff99719e38c64c38a210f306c7d5315fc22da917abf83aaee90dd7935321</t>
        </is>
      </c>
    </row>
    <row r="363" ht="54" customHeight="1">
      <c r="A363" s="29" t="inlineStr">
        <is>
          <t>sevilla:kaynak:377</t>
        </is>
      </c>
      <c r="B363" s="29" t="inlineStr">
        <is>
          <t>sevilla</t>
        </is>
      </c>
      <c r="C363" s="29" t="inlineStr">
        <is>
          <t>VISITA CULTURAL – Palacio de Lebrija</t>
        </is>
      </c>
      <c r="D363" s="29" t="inlineStr">
        <is>
          <t>Palacio de la Condesa de Lebrija</t>
        </is>
      </c>
      <c r="E363" s="29" t="inlineStr">
        <is>
          <t>https://palaciodelebrija.com/visita-cultural/</t>
        </is>
      </c>
      <c r="F363" s="49" t="n">
        <v>46319</v>
      </c>
      <c r="G363" s="29" t="inlineStr">
        <is>
          <t>sevilla:mekan</t>
        </is>
      </c>
      <c r="H363" s="29" t="inlineStr">
        <is>
          <t>Lebrija bilet ücretleri.</t>
        </is>
      </c>
      <c r="I363" s="29" t="inlineStr">
        <is>
          <t>Evet</t>
        </is>
      </c>
      <c r="J363" s="29" t="inlineStr">
        <is>
          <t>Lisans kanıtları/2f51504bba70c3b2d7c68fc1d17e3312613ae0de6fe4424824b9c62758751860.html</t>
        </is>
      </c>
      <c r="K363" s="29" t="inlineStr">
        <is>
          <t>2f51504bba70c3b2d7c68fc1d17e3312613ae0de6fe4424824b9c62758751860</t>
        </is>
      </c>
    </row>
    <row r="364" ht="54" customHeight="1">
      <c r="A364" s="29" t="inlineStr">
        <is>
          <t>sevilla:kaynak:378</t>
        </is>
      </c>
      <c r="B364" s="29" t="inlineStr">
        <is>
          <t>sevilla</t>
        </is>
      </c>
      <c r="C364" s="29" t="inlineStr">
        <is>
          <t>Portada del Archivo General de Indias - Archivo General de Indias | Ministerio de Cultura</t>
        </is>
      </c>
      <c r="D364" s="29" t="inlineStr">
        <is>
          <t>Ministerio de Cultura</t>
        </is>
      </c>
      <c r="E364" s="29" t="inlineStr">
        <is>
          <t>https://www.cultura.gob.es/cultura/areas/archivos/mc/archivos/agi/portada.html</t>
        </is>
      </c>
      <c r="F364" s="49" t="n">
        <v>46319</v>
      </c>
      <c r="G364" s="29" t="inlineStr">
        <is>
          <t>sevilla:mekan</t>
        </is>
      </c>
      <c r="H364" s="29" t="inlineStr">
        <is>
          <t>AGI adres ve ziyaret.</t>
        </is>
      </c>
      <c r="I364" s="29" t="inlineStr">
        <is>
          <t>Evet</t>
        </is>
      </c>
      <c r="J364" s="29" t="inlineStr">
        <is>
          <t>Lisans kanıtları/d0005a27cc069b25242fb281acf4eac2e38a0f120e69fd0f58e40d59b5e2c1d9.html</t>
        </is>
      </c>
      <c r="K364" s="29" t="inlineStr">
        <is>
          <t>d0005a27cc069b25242fb281acf4eac2e38a0f120e69fd0f58e40d59b5e2c1d9</t>
        </is>
      </c>
    </row>
    <row r="365" ht="54" customHeight="1">
      <c r="A365" s="29" t="inlineStr">
        <is>
          <t>sevilla:kaynak:379</t>
        </is>
      </c>
      <c r="B365" s="29" t="inlineStr">
        <is>
          <t>sevilla</t>
        </is>
      </c>
      <c r="C365" s="29" t="inlineStr">
        <is>
          <t>San Telmo Abierto - Visitas Concertadas - Junta de Andalucía</t>
        </is>
      </c>
      <c r="D365" s="29" t="inlineStr">
        <is>
          <t>Junta de Andalucía</t>
        </is>
      </c>
      <c r="E365" s="29" t="inlineStr">
        <is>
          <t>https://www.juntadeandalucia.es/organismos/presidenciainteriordialogosocialysimplificacionadministrativa/consejeria/transparencia/informacion-sectorial/san-telmo/visitas.html</t>
        </is>
      </c>
      <c r="F365" s="49" t="n">
        <v>46319</v>
      </c>
      <c r="G365" s="29" t="inlineStr">
        <is>
          <t>sevilla:mekan</t>
        </is>
      </c>
      <c r="H365" s="29" t="inlineStr">
        <is>
          <t>San Telmo ziyaret kuralları.</t>
        </is>
      </c>
      <c r="I365" s="29" t="inlineStr">
        <is>
          <t>Evet</t>
        </is>
      </c>
      <c r="J365" s="29" t="inlineStr">
        <is>
          <t>Lisans kanıtları/4eb70abd1b4152a82567186bf0814d74974f412b932d049b85f4d1109a3fb1f3.html</t>
        </is>
      </c>
      <c r="K365" s="29" t="inlineStr">
        <is>
          <t>4eb70abd1b4152a82567186bf0814d74974f412b932d049b85f4d1109a3fb1f3</t>
        </is>
      </c>
    </row>
    <row r="366" ht="54" customHeight="1">
      <c r="A366" s="29" t="inlineStr">
        <is>
          <t>sevilla:kaynak:381</t>
        </is>
      </c>
      <c r="B366" s="29" t="inlineStr">
        <is>
          <t>sevilla</t>
        </is>
      </c>
      <c r="C366" s="29" t="inlineStr">
        <is>
          <t>Catedral de Sevilla y Giralda - Visita Sevilla</t>
        </is>
      </c>
      <c r="D366" s="29" t="inlineStr">
        <is>
          <t>Turismo de Sevilla (visitasevilla.es)</t>
        </is>
      </c>
      <c r="E366" s="29" t="inlineStr">
        <is>
          <t>https://visitasevilla.es/catedral-de-sevilla-y-giralda/</t>
        </is>
      </c>
      <c r="F366" s="49" t="n">
        <v>46319</v>
      </c>
      <c r="G366" s="29" t="inlineStr">
        <is>
          <t>sevilla:kesif</t>
        </is>
      </c>
      <c r="H366" s="29" t="inlineStr">
        <is>
          <t>Sehrin simgesi, dunyanin en buyuk gotik katedrallerinden; kendi sitesi ziyaret bilgisi veriyor.</t>
        </is>
      </c>
      <c r="I366" s="29" t="inlineStr">
        <is>
          <t>Evet</t>
        </is>
      </c>
      <c r="J366" s="29" t="inlineStr">
        <is>
          <t>Lisans kanıtları/b81071db8399bdb1a2184aefaa1af476d9dcd5a59e3f0b985d2b3665fd85a118.html</t>
        </is>
      </c>
      <c r="K366" s="29" t="inlineStr">
        <is>
          <t>b81071db8399bdb1a2184aefaa1af476d9dcd5a59e3f0b985d2b3665fd85a118</t>
        </is>
      </c>
    </row>
    <row r="367" ht="54" customHeight="1">
      <c r="A367" s="29" t="inlineStr">
        <is>
          <t>sevilla:kaynak:382</t>
        </is>
      </c>
      <c r="B367" s="29" t="inlineStr">
        <is>
          <t>sevilla</t>
        </is>
      </c>
      <c r="C367" s="29" t="inlineStr">
        <is>
          <t>Casa de Pilatos - Visita Sevilla</t>
        </is>
      </c>
      <c r="D367" s="29" t="inlineStr">
        <is>
          <t>Turismo de Sevilla (visitasevilla.es)</t>
        </is>
      </c>
      <c r="E367" s="29" t="inlineStr">
        <is>
          <t>https://www.visitasevilla.es/es/casa-de-pilatos</t>
        </is>
      </c>
      <c r="F367" s="49" t="n">
        <v>46319</v>
      </c>
      <c r="G367" s="29" t="inlineStr">
        <is>
          <t>sevilla:kesif</t>
        </is>
      </c>
      <c r="H367" s="29" t="inlineStr">
        <is>
          <t>Mudejar-Ronesans sarayi, ziyarete acik.</t>
        </is>
      </c>
      <c r="I367" s="29" t="inlineStr">
        <is>
          <t>Evet</t>
        </is>
      </c>
      <c r="J367" s="29" t="inlineStr">
        <is>
          <t>Lisans kanıtları/a05568aefe04b7edaf4feacb0536a71067f98b3bfd5ec3d3513dfd2859356b47.html</t>
        </is>
      </c>
      <c r="K367" s="29" t="inlineStr">
        <is>
          <t>a05568aefe04b7edaf4feacb0536a71067f98b3bfd5ec3d3513dfd2859356b47</t>
        </is>
      </c>
    </row>
    <row r="368" ht="54" customHeight="1">
      <c r="A368" s="29" t="inlineStr">
        <is>
          <t>sevilla:kaynak:384</t>
        </is>
      </c>
      <c r="B368" s="29" t="inlineStr">
        <is>
          <t>sevilla</t>
        </is>
      </c>
      <c r="C368" s="29" t="inlineStr">
        <is>
          <t>Informacion - Casa de la Memoria</t>
        </is>
      </c>
      <c r="D368" s="29" t="inlineStr">
        <is>
          <t>Casa de la Memoria (resmî site)</t>
        </is>
      </c>
      <c r="E368" s="29" t="inlineStr">
        <is>
          <t>https://casadelamemoria.es/informacion/</t>
        </is>
      </c>
      <c r="F368" s="49" t="n">
        <v>46319</v>
      </c>
      <c r="G368" s="29" t="inlineStr">
        <is>
          <t>sevilla:kesif</t>
        </is>
      </c>
      <c r="H368" s="29" t="inlineStr">
        <is>
          <t>Resmî/kurumsal kaynakta adres ve ziyaret bilgisi</t>
        </is>
      </c>
      <c r="I368" s="29" t="inlineStr">
        <is>
          <t>Evet</t>
        </is>
      </c>
      <c r="J368" s="29" t="inlineStr">
        <is>
          <t>Lisans kanıtları/70337ec675d79bebdbffc27b2045cc1cc2ab7de45d1a1db9c758f610caa37cde.html</t>
        </is>
      </c>
      <c r="K368" s="29" t="inlineStr">
        <is>
          <t>70337ec675d79bebdbffc27b2045cc1cc2ab7de45d1a1db9c758f610caa37cde</t>
        </is>
      </c>
    </row>
    <row r="369" ht="54" customHeight="1">
      <c r="A369" s="29" t="inlineStr">
        <is>
          <t>sevilla:kaynak:385</t>
        </is>
      </c>
      <c r="B369" s="29" t="inlineStr">
        <is>
          <t>sevilla</t>
        </is>
      </c>
      <c r="C369" s="29" t="inlineStr">
        <is>
          <t>Contacto | Convento Santo Ángel</t>
        </is>
      </c>
      <c r="D369" s="29" t="inlineStr">
        <is>
          <t>Convento Santo Ángel (resmî site)</t>
        </is>
      </c>
      <c r="E369" s="29" t="inlineStr">
        <is>
          <t>https://www.conventosantoangel.es/contacto/</t>
        </is>
      </c>
      <c r="F369" s="49" t="n">
        <v>46319</v>
      </c>
      <c r="G369" s="29" t="inlineStr">
        <is>
          <t>sevilla:kesif</t>
        </is>
      </c>
      <c r="H369" s="29" t="inlineStr">
        <is>
          <t>Resmî/kurumsal kaynakta adres ve ziyaret bilgisi</t>
        </is>
      </c>
      <c r="I369" s="29" t="inlineStr">
        <is>
          <t>Evet</t>
        </is>
      </c>
      <c r="J369" s="29" t="inlineStr">
        <is>
          <t>Lisans kanıtları/3c223703e61fe07fa47b43e701136589165bd52d37b89a36614c7eb913ee974d.html</t>
        </is>
      </c>
      <c r="K369" s="29" t="inlineStr">
        <is>
          <t>3c223703e61fe07fa47b43e701136589165bd52d37b89a36614c7eb913ee974d</t>
        </is>
      </c>
    </row>
    <row r="370" ht="54" customHeight="1">
      <c r="A370" s="29" t="inlineStr">
        <is>
          <t>sevilla:kaynak:386</t>
        </is>
      </c>
      <c r="B370" s="29" t="inlineStr">
        <is>
          <t>sevilla</t>
        </is>
      </c>
      <c r="C370" s="29" t="inlineStr">
        <is>
          <t>Contactar – Galería Rafael Ortiz</t>
        </is>
      </c>
      <c r="D370" s="29" t="inlineStr">
        <is>
          <t>Galería Rafael Ortiz (resmî site)</t>
        </is>
      </c>
      <c r="E370" s="29" t="inlineStr">
        <is>
          <t>https://www.galeriarafaelortiz.com/contactar/</t>
        </is>
      </c>
      <c r="F370" s="49" t="n">
        <v>46319</v>
      </c>
      <c r="G370" s="29" t="inlineStr">
        <is>
          <t>sevilla:kesif</t>
        </is>
      </c>
      <c r="H370" s="29" t="inlineStr">
        <is>
          <t>Resmî/kurumsal kaynakta adres ve ziyaret bilgisi</t>
        </is>
      </c>
      <c r="I370" s="29" t="inlineStr">
        <is>
          <t>Evet</t>
        </is>
      </c>
      <c r="J370" s="29" t="inlineStr">
        <is>
          <t>Lisans kanıtları/96b7ca4743db58d26ab061f55247ea6caa0691647889c251a6ed3c9f64dbce6f.html</t>
        </is>
      </c>
      <c r="K370" s="29" t="inlineStr">
        <is>
          <t>96b7ca4743db58d26ab061f55247ea6caa0691647889c251a6ed3c9f64dbce6f</t>
        </is>
      </c>
    </row>
    <row r="371" ht="54" customHeight="1">
      <c r="A371" s="29" t="inlineStr">
        <is>
          <t>sevilla:kaynak:387</t>
        </is>
      </c>
      <c r="B371" s="29" t="inlineStr">
        <is>
          <t>sevilla</t>
        </is>
      </c>
      <c r="C371" s="29" t="inlineStr">
        <is>
          <t>Salas disponibles en las sedes de la Fundación Cajasol</t>
        </is>
      </c>
      <c r="D371" s="29" t="inlineStr">
        <is>
          <t>Fundación Cajasol (resmî site)</t>
        </is>
      </c>
      <c r="E371" s="29" t="inlineStr">
        <is>
          <t>https://fundacioncajasol.com/salas/</t>
        </is>
      </c>
      <c r="F371" s="49" t="n">
        <v>46319</v>
      </c>
      <c r="G371" s="29" t="inlineStr">
        <is>
          <t>sevilla:kesif</t>
        </is>
      </c>
      <c r="H371" s="29" t="inlineStr">
        <is>
          <t>Resmî/kurumsal kaynakta adres ve ziyaret bilgisi</t>
        </is>
      </c>
      <c r="I371" s="29" t="inlineStr">
        <is>
          <t>Evet</t>
        </is>
      </c>
      <c r="J371" s="29" t="inlineStr">
        <is>
          <t>Lisans kanıtları/786a210b241e462ba5bf7da42d2891ca5fb202c9df3df0452101f010ea93324b.html</t>
        </is>
      </c>
      <c r="K371" s="29" t="inlineStr">
        <is>
          <t>786a210b241e462ba5bf7da42d2891ca5fb202c9df3df0452101f010ea93324b</t>
        </is>
      </c>
    </row>
    <row r="372" ht="54" customHeight="1">
      <c r="A372" s="29" t="inlineStr">
        <is>
          <t>sevilla:kaynak:388</t>
        </is>
      </c>
      <c r="B372" s="29" t="inlineStr">
        <is>
          <t>sevilla</t>
        </is>
      </c>
      <c r="C372" s="29" t="inlineStr">
        <is>
          <t>Visitas Guiadas: Para qué fuimos a la escuela | CICUS</t>
        </is>
      </c>
      <c r="D372" s="29" t="inlineStr">
        <is>
          <t>Sevilla Üniversitesi CICUS (resmî site)</t>
        </is>
      </c>
      <c r="E372" s="29" t="inlineStr">
        <is>
          <t>https://cicus.us.es/visitas-guiadas-expo-escuela</t>
        </is>
      </c>
      <c r="F372" s="49" t="n">
        <v>46319</v>
      </c>
      <c r="G372" s="29" t="inlineStr">
        <is>
          <t>sevilla:kesif</t>
        </is>
      </c>
      <c r="H372" s="29" t="inlineStr">
        <is>
          <t>Resmî/kurumsal kaynakta adres ve ziyaret bilgisi</t>
        </is>
      </c>
      <c r="I372" s="29" t="inlineStr">
        <is>
          <t>Evet</t>
        </is>
      </c>
      <c r="J372" s="29" t="inlineStr">
        <is>
          <t>Lisans kanıtları/90bd3844528a62b48658ff649d4b4a88963ec9731419d214b8fca58427f8ad0a.html</t>
        </is>
      </c>
      <c r="K372" s="29" t="inlineStr">
        <is>
          <t>90bd3844528a62b48658ff649d4b4a88963ec9731419d214b8fca58427f8ad0a</t>
        </is>
      </c>
    </row>
    <row r="373" ht="54" customHeight="1">
      <c r="A373" s="29" t="inlineStr">
        <is>
          <t>sevilla:kaynak:389</t>
        </is>
      </c>
      <c r="B373" s="29" t="inlineStr">
        <is>
          <t>sevilla</t>
        </is>
      </c>
      <c r="C373" s="29" t="inlineStr">
        <is>
          <t>Cómo llegar a Isla Mágica - Parque Temático y Acuático Sevilla</t>
        </is>
      </c>
      <c r="D373" s="29" t="inlineStr">
        <is>
          <t>Isla Mágica</t>
        </is>
      </c>
      <c r="E373" s="29" t="inlineStr">
        <is>
          <t>https://www.islamagica.es/como-llegar</t>
        </is>
      </c>
      <c r="F373" s="49" t="n">
        <v>46319</v>
      </c>
      <c r="G373" s="29" t="inlineStr">
        <is>
          <t>sevilla:kesif</t>
        </is>
      </c>
      <c r="H373" s="29" t="inlineStr">
        <is>
          <t>Parkın resmî sitesi: adres; mevsimlik açılış</t>
        </is>
      </c>
      <c r="I373" s="29" t="inlineStr">
        <is>
          <t>Evet</t>
        </is>
      </c>
      <c r="J373" s="29" t="inlineStr">
        <is>
          <t>Lisans kanıtları/88a149cfce170865242863e25ee4d59aa7e103cfce19c333a334021f8733c877.html</t>
        </is>
      </c>
      <c r="K373" s="29" t="inlineStr">
        <is>
          <t>88a149cfce170865242863e25ee4d59aa7e103cfce19c333a334021f8733c877</t>
        </is>
      </c>
    </row>
    <row r="374" ht="54" customHeight="1">
      <c r="A374" s="29" t="inlineStr">
        <is>
          <t>sevilla:kaynak:390</t>
        </is>
      </c>
      <c r="B374" s="29" t="inlineStr">
        <is>
          <t>sevilla</t>
        </is>
      </c>
      <c r="C374" s="29" t="inlineStr">
        <is>
          <t>Museo Casa de la Ciencia - CSIC - Visita Sevilla</t>
        </is>
      </c>
      <c r="D374" s="29" t="inlineStr">
        <is>
          <t>Turismo de Sevilla (visitasevilla.es)</t>
        </is>
      </c>
      <c r="E374" s="29" t="inlineStr">
        <is>
          <t>https://visitasevilla.es/museo-casa-de-la-ciencia-csic/</t>
        </is>
      </c>
      <c r="F374" s="49" t="n">
        <v>46319</v>
      </c>
      <c r="G374" s="29" t="inlineStr">
        <is>
          <t>sevilla:kesif</t>
        </is>
      </c>
      <c r="H374" s="29" t="inlineStr">
        <is>
          <t>Müzenin resmî sitesi: adres</t>
        </is>
      </c>
      <c r="I374" s="29" t="inlineStr">
        <is>
          <t>Evet</t>
        </is>
      </c>
      <c r="J374" s="29" t="inlineStr">
        <is>
          <t>Lisans kanıtları/3ed1ce9832fe8373f2e9e216e9c685b6e366ae0de72035c5a374482fc322a3b5.html</t>
        </is>
      </c>
      <c r="K374" s="29" t="inlineStr">
        <is>
          <t>3ed1ce9832fe8373f2e9e216e9c685b6e366ae0de72035c5a374482fc322a3b5</t>
        </is>
      </c>
    </row>
    <row r="375" ht="54" customHeight="1">
      <c r="A375" s="29" t="inlineStr">
        <is>
          <t>sevilla:kaynak:391</t>
        </is>
      </c>
      <c r="B375" s="29" t="inlineStr">
        <is>
          <t>sevilla</t>
        </is>
      </c>
      <c r="C375" s="29" t="inlineStr">
        <is>
          <t>Betis Tour - Visita Sevilla</t>
        </is>
      </c>
      <c r="D375" s="29" t="inlineStr">
        <is>
          <t>Turismo de Sevilla (visitasevilla.es)</t>
        </is>
      </c>
      <c r="E375" s="29" t="inlineStr">
        <is>
          <t>https://visitasevilla.es/betis-tour/</t>
        </is>
      </c>
      <c r="F375" s="49" t="n">
        <v>46319</v>
      </c>
      <c r="G375" s="29" t="inlineStr">
        <is>
          <t>sevilla:kesif</t>
        </is>
      </c>
      <c r="H375" s="29" t="inlineStr">
        <is>
          <t>Kulübün resmî tur sayfası</t>
        </is>
      </c>
      <c r="I375" s="29" t="inlineStr">
        <is>
          <t>Evet</t>
        </is>
      </c>
      <c r="J375" s="29" t="inlineStr">
        <is>
          <t>Lisans kanıtları/4d2674ced721fd2c5de003a44be53d688e72f4671206e8ae1227c35a32c43d43.html</t>
        </is>
      </c>
      <c r="K375" s="29" t="inlineStr">
        <is>
          <t>4d2674ced721fd2c5de003a44be53d688e72f4671206e8ae1227c35a32c43d43</t>
        </is>
      </c>
    </row>
    <row r="376" ht="54" customHeight="1">
      <c r="A376" s="29" t="inlineStr">
        <is>
          <t>sevilla:kaynak:392</t>
        </is>
      </c>
      <c r="B376" s="29" t="inlineStr">
        <is>
          <t>sevilla</t>
        </is>
      </c>
      <c r="C376" s="29" t="inlineStr">
        <is>
          <t>María Moreno y Patricia Guerrero en Los Gallos | 60 años</t>
        </is>
      </c>
      <c r="D376" s="29" t="inlineStr">
        <is>
          <t>Tablao Los Gallos</t>
        </is>
      </c>
      <c r="E376" s="29" t="inlineStr">
        <is>
          <t>https://www.tablaolosgallos.com/maria-moreno-y-patricia-guerrero-celebran-con-nosotros-los-60-anos-de-los-gallos-en-sevilla/</t>
        </is>
      </c>
      <c r="F376" s="49" t="n">
        <v>46319</v>
      </c>
      <c r="G376" s="29" t="inlineStr">
        <is>
          <t>sevilla:kesif</t>
        </is>
      </c>
      <c r="H376" s="29" t="inlineStr">
        <is>
          <t>Kendi sitesinde adres ve tarihçe</t>
        </is>
      </c>
      <c r="I376" s="29" t="inlineStr">
        <is>
          <t>Evet</t>
        </is>
      </c>
      <c r="J376" s="29" t="inlineStr">
        <is>
          <t>Lisans kanıtları/5dbc03e1ba03df8f7fa54adfd3289aa5fcf6401492f80320cf0b07cc0dd163bd.html</t>
        </is>
      </c>
      <c r="K376" s="29" t="inlineStr">
        <is>
          <t>5dbc03e1ba03df8f7fa54adfd3289aa5fcf6401492f80320cf0b07cc0dd163bd</t>
        </is>
      </c>
    </row>
    <row r="377" ht="54" customHeight="1">
      <c r="A377" s="29" t="inlineStr">
        <is>
          <t>sevilla:kaynak:393</t>
        </is>
      </c>
      <c r="B377" s="29" t="inlineStr">
        <is>
          <t>sevilla</t>
        </is>
      </c>
      <c r="C377" s="29" t="inlineStr">
        <is>
          <t>Contacto - Tablao Flamenco El Arenal</t>
        </is>
      </c>
      <c r="D377" s="29" t="inlineStr">
        <is>
          <t>Tablao El Arenal</t>
        </is>
      </c>
      <c r="E377" s="29" t="inlineStr">
        <is>
          <t>https://tablaoelarenal.com/contactar/</t>
        </is>
      </c>
      <c r="F377" s="49" t="n">
        <v>46319</v>
      </c>
      <c r="G377" s="29" t="inlineStr">
        <is>
          <t>sevilla:kesif</t>
        </is>
      </c>
      <c r="H377" s="29" t="inlineStr">
        <is>
          <t>Kendi sitesinde adres, 1975'ten beri</t>
        </is>
      </c>
      <c r="I377" s="29" t="inlineStr">
        <is>
          <t>Evet</t>
        </is>
      </c>
      <c r="J377" s="29" t="inlineStr">
        <is>
          <t>Lisans kanıtları/a268b756c754f8db36c0b87b4eda79c58a1f2c49cb4b075c9f5656bf10354a23.html</t>
        </is>
      </c>
      <c r="K377" s="29" t="inlineStr">
        <is>
          <t>a268b756c754f8db36c0b87b4eda79c58a1f2c49cb4b075c9f5656bf10354a23</t>
        </is>
      </c>
    </row>
    <row r="378" ht="54" customHeight="1">
      <c r="A378" s="29" t="inlineStr">
        <is>
          <t>sevilla:kaynak:394</t>
        </is>
      </c>
      <c r="B378" s="29" t="inlineStr">
        <is>
          <t>sevilla</t>
        </is>
      </c>
      <c r="C378" s="29" t="inlineStr">
        <is>
          <t>Contacto | Confitería La Campana</t>
        </is>
      </c>
      <c r="D378" s="29" t="inlineStr">
        <is>
          <t>Confitería La Campana</t>
        </is>
      </c>
      <c r="E378" s="29" t="inlineStr">
        <is>
          <t>https://www.confiterialacampana.com/contacto/</t>
        </is>
      </c>
      <c r="F378" s="49" t="n">
        <v>46319</v>
      </c>
      <c r="G378" s="29" t="inlineStr">
        <is>
          <t>sevilla:kesif</t>
        </is>
      </c>
      <c r="H378" s="29" t="inlineStr">
        <is>
          <t>1885'ten beri pastane</t>
        </is>
      </c>
      <c r="I378" s="29" t="inlineStr">
        <is>
          <t>Evet</t>
        </is>
      </c>
      <c r="J378" s="29" t="inlineStr">
        <is>
          <t>Lisans kanıtları/e5e97bc8e949019f9d524c7c8a3104f74e0659966996a747e76a05c750800e4a.html</t>
        </is>
      </c>
      <c r="K378" s="29" t="inlineStr">
        <is>
          <t>e5e97bc8e949019f9d524c7c8a3104f74e0659966996a747e76a05c750800e4a</t>
        </is>
      </c>
    </row>
    <row r="379" ht="54" customHeight="1">
      <c r="A379" s="29" t="inlineStr">
        <is>
          <t>sevilla:kaynak:395</t>
        </is>
      </c>
      <c r="B379" s="29" t="inlineStr">
        <is>
          <t>sevilla</t>
        </is>
      </c>
      <c r="C379" s="29" t="inlineStr">
        <is>
          <t>Contacto - Casa Román</t>
        </is>
      </c>
      <c r="D379" s="29" t="inlineStr">
        <is>
          <t>Casa Román</t>
        </is>
      </c>
      <c r="E379" s="29" t="inlineStr">
        <is>
          <t>https://www.casaromansevilla.com/contacto/</t>
        </is>
      </c>
      <c r="F379" s="49" t="n">
        <v>46319</v>
      </c>
      <c r="G379" s="29" t="inlineStr">
        <is>
          <t>sevilla:kesif</t>
        </is>
      </c>
      <c r="H379" s="29" t="inlineStr">
        <is>
          <t>Kendi sitesinde adres</t>
        </is>
      </c>
      <c r="I379" s="29" t="inlineStr">
        <is>
          <t>Evet</t>
        </is>
      </c>
      <c r="J379" s="29" t="inlineStr">
        <is>
          <t>Lisans kanıtları/a06ef8666eaf2e1bb9451e43d60ddb634ac6c43156f29fdabd1c12045fe56bda.html</t>
        </is>
      </c>
      <c r="K379" s="29" t="inlineStr">
        <is>
          <t>a06ef8666eaf2e1bb9451e43d60ddb634ac6c43156f29fdabd1c12045fe56bda</t>
        </is>
      </c>
    </row>
    <row r="380" ht="54" customHeight="1">
      <c r="A380" s="29" t="inlineStr">
        <is>
          <t>sevilla:kaynak:397</t>
        </is>
      </c>
      <c r="B380" s="29" t="inlineStr">
        <is>
          <t>sevilla</t>
        </is>
      </c>
      <c r="C380" s="29" t="inlineStr">
        <is>
          <t>Huevo de Colón - Visita Sevilla</t>
        </is>
      </c>
      <c r="D380" s="29" t="inlineStr">
        <is>
          <t>Turismo de Sevilla (visitasevilla.es)</t>
        </is>
      </c>
      <c r="E380" s="29" t="inlineStr">
        <is>
          <t>https://visitasevilla.es/huevo-de-colon/</t>
        </is>
      </c>
      <c r="F380" s="49" t="n">
        <v>46319</v>
      </c>
      <c r="G380" s="29" t="inlineStr">
        <is>
          <t>sevilla:kesif</t>
        </is>
      </c>
      <c r="H380" s="29" t="inlineStr">
        <is>
          <t>Parque San Jerónimo'deki açık hava heykel/yapı; Turismo de Sevilla sayfası adres veriyor.</t>
        </is>
      </c>
      <c r="I380" s="29" t="inlineStr">
        <is>
          <t>Evet</t>
        </is>
      </c>
      <c r="J380" s="29" t="inlineStr">
        <is>
          <t>Lisans kanıtları/8c88de8778e0cad9091896087fb737f6b00e98d2dd24ebcf2dcad893496896a6.html</t>
        </is>
      </c>
      <c r="K380" s="29" t="inlineStr">
        <is>
          <t>8c88de8778e0cad9091896087fb737f6b00e98d2dd24ebcf2dcad893496896a6</t>
        </is>
      </c>
    </row>
    <row r="381" ht="54" customHeight="1">
      <c r="A381" s="29" t="inlineStr">
        <is>
          <t>sevilla:kaynak:398</t>
        </is>
      </c>
      <c r="B381" s="29" t="inlineStr">
        <is>
          <t>sevilla</t>
        </is>
      </c>
      <c r="C381" s="29" t="inlineStr">
        <is>
          <t>Real Fábrica de Artillería - Visita Sevilla</t>
        </is>
      </c>
      <c r="D381" s="29" t="inlineStr">
        <is>
          <t>Turismo de Sevilla (visitasevilla.es)</t>
        </is>
      </c>
      <c r="E381" s="29" t="inlineStr">
        <is>
          <t>https://visitasevilla.es/real-fabrica-de-artilleria/</t>
        </is>
      </c>
      <c r="F381" s="49" t="n">
        <v>46319</v>
      </c>
      <c r="G381" s="29" t="inlineStr">
        <is>
          <t>sevilla:kesif</t>
        </is>
      </c>
      <c r="H381" s="29" t="inlineStr">
        <is>
          <t>Tarihî topçu fabrikası, bugün sergi ve kültür alanı; sayfada adres ve saatler var.</t>
        </is>
      </c>
      <c r="I381" s="29" t="inlineStr">
        <is>
          <t>Evet</t>
        </is>
      </c>
      <c r="J381" s="29" t="inlineStr">
        <is>
          <t>Lisans kanıtları/295b389501292523fd5361b149e5acaaae5db3ff752bf6145ddd548e2959a2b8.html</t>
        </is>
      </c>
      <c r="K381" s="29" t="inlineStr">
        <is>
          <t>295b389501292523fd5361b149e5acaaae5db3ff752bf6145ddd548e2959a2b8</t>
        </is>
      </c>
    </row>
    <row r="382" ht="54" customHeight="1">
      <c r="A382" s="29" t="inlineStr">
        <is>
          <t>sevilla:kaynak:399</t>
        </is>
      </c>
      <c r="B382" s="29" t="inlineStr">
        <is>
          <t>sevilla</t>
        </is>
      </c>
      <c r="C382" s="29" t="inlineStr">
        <is>
          <t>Iglesia de San Luis de los Franceses - Visita Sevilla</t>
        </is>
      </c>
      <c r="D382" s="29" t="inlineStr">
        <is>
          <t>Turismo de Sevilla (visitasevilla.es)</t>
        </is>
      </c>
      <c r="E382" s="29" t="inlineStr">
        <is>
          <t>https://visitasevilla.es/iglesia-de-san-luis-de-los-franceses/</t>
        </is>
      </c>
      <c r="F382" s="49" t="n">
        <v>46319</v>
      </c>
      <c r="G382" s="29" t="inlineStr">
        <is>
          <t>sevilla:kesif</t>
        </is>
      </c>
      <c r="H382" s="29" t="inlineStr">
        <is>
          <t>Sevilla barokunun en çarpıcı iç mekânlarından, kültür merkezi olarak ziyarete açık.</t>
        </is>
      </c>
      <c r="I382" s="29" t="inlineStr">
        <is>
          <t>Evet</t>
        </is>
      </c>
      <c r="J382" s="29" t="inlineStr">
        <is>
          <t>Lisans kanıtları/3ff671c8ec5b0574f0efb1f37f32162119133addef42d00acaaf8f8b36832f45.html</t>
        </is>
      </c>
      <c r="K382" s="29" t="inlineStr">
        <is>
          <t>3ff671c8ec5b0574f0efb1f37f32162119133addef42d00acaaf8f8b36832f45</t>
        </is>
      </c>
    </row>
    <row r="383" ht="54" customHeight="1">
      <c r="A383" s="29" t="inlineStr">
        <is>
          <t>sevilla:kaynak:400</t>
        </is>
      </c>
      <c r="B383" s="29" t="inlineStr">
        <is>
          <t>sevilla</t>
        </is>
      </c>
      <c r="C383" s="29" t="inlineStr">
        <is>
          <t>Sobre Nosotros - Ceramica Santa Ana</t>
        </is>
      </c>
      <c r="D383" s="29" t="inlineStr">
        <is>
          <t>Cerámica Santa Ana (resmî site)</t>
        </is>
      </c>
      <c r="E383" s="29" t="inlineStr">
        <is>
          <t>https://ceramicasantaana.com/about.html</t>
        </is>
      </c>
      <c r="F383" s="49" t="n">
        <v>46319</v>
      </c>
      <c r="G383" s="29" t="inlineStr">
        <is>
          <t>sevilla:kesif</t>
        </is>
      </c>
      <c r="H383" s="29" t="inlineStr">
        <is>
          <t>Triana'da 1870'ten beri el yapımı Sevilla seramiği atölyesi; kendi sitesinde adres.</t>
        </is>
      </c>
      <c r="I383" s="29" t="inlineStr">
        <is>
          <t>Evet</t>
        </is>
      </c>
      <c r="J383" s="29" t="inlineStr">
        <is>
          <t>Lisans kanıtları/39c015b6feaeed0975dbe21a5227b1dab40e9ae13cdd513f5b8e9feef0042158.html</t>
        </is>
      </c>
      <c r="K383" s="29" t="inlineStr">
        <is>
          <t>39c015b6feaeed0975dbe21a5227b1dab40e9ae13cdd513f5b8e9feef0042158</t>
        </is>
      </c>
    </row>
    <row r="384" ht="54" customHeight="1">
      <c r="A384" s="29" t="inlineStr">
        <is>
          <t>sevilla:kaynak:401</t>
        </is>
      </c>
      <c r="B384" s="29" t="inlineStr">
        <is>
          <t>sevilla</t>
        </is>
      </c>
      <c r="C384" s="29" t="inlineStr">
        <is>
          <t>Espectáculo flamenco en Teatro Flamenco Sevilla</t>
        </is>
      </c>
      <c r="D384" s="29" t="inlineStr">
        <is>
          <t>Teatro Flamenco Sevilla</t>
        </is>
      </c>
      <c r="E384" s="29" t="inlineStr">
        <is>
          <t>https://teatroflamencosevilla.com/</t>
        </is>
      </c>
      <c r="F384" s="49" t="n">
        <v>46319</v>
      </c>
      <c r="G384" s="29" t="inlineStr">
        <is>
          <t>sevilla:kesif</t>
        </is>
      </c>
      <c r="H384" s="29" t="inlineStr">
        <is>
          <t>Flamenko gösterisi sahnesi; kendi sitesinde yer ve program.</t>
        </is>
      </c>
      <c r="I384" s="29" t="inlineStr">
        <is>
          <t>Evet</t>
        </is>
      </c>
      <c r="J384" s="29" t="inlineStr">
        <is>
          <t>Lisans kanıtları/34635fdbc2259d9118786827fcc26d60926c284172dc6e191106a862b935dd41.html</t>
        </is>
      </c>
      <c r="K384" s="29" t="inlineStr">
        <is>
          <t>34635fdbc2259d9118786827fcc26d60926c284172dc6e191106a862b935dd41</t>
        </is>
      </c>
    </row>
    <row r="385" ht="54" customHeight="1">
      <c r="A385" s="29" t="inlineStr">
        <is>
          <t>sevilla:kaynak:402</t>
        </is>
      </c>
      <c r="B385" s="29" t="inlineStr">
        <is>
          <t>sevilla</t>
        </is>
      </c>
      <c r="C385" s="29" t="inlineStr">
        <is>
          <t>Tablao flamenco en Sevilla - Casa de la Guitarra</t>
        </is>
      </c>
      <c r="D385" s="29" t="inlineStr">
        <is>
          <t>Casa de la Guitarra</t>
        </is>
      </c>
      <c r="E385" s="29" t="inlineStr">
        <is>
          <t>https://casadelaguitarra.es/</t>
        </is>
      </c>
      <c r="F385" s="49" t="n">
        <v>46319</v>
      </c>
      <c r="G385" s="29" t="inlineStr">
        <is>
          <t>sevilla:kesif</t>
        </is>
      </c>
      <c r="H385" s="29" t="inlineStr">
        <is>
          <t>Santa Cruz'da flamenko ve gitar gösterisi mekânı; kendi sitesinde adres.</t>
        </is>
      </c>
      <c r="I385" s="29" t="inlineStr">
        <is>
          <t>Evet</t>
        </is>
      </c>
      <c r="J385" s="29" t="inlineStr">
        <is>
          <t>Lisans kanıtları/6e254389828e7c4ffc68fc88364e0b17d908081864cf1f19f173a1cfbb438eff.html</t>
        </is>
      </c>
      <c r="K385" s="29" t="inlineStr">
        <is>
          <t>6e254389828e7c4ffc68fc88364e0b17d908081864cf1f19f173a1cfbb438eff</t>
        </is>
      </c>
    </row>
    <row r="386" ht="54" customHeight="1">
      <c r="A386" s="29" t="inlineStr">
        <is>
          <t>sevilla:kaynak:403</t>
        </is>
      </c>
      <c r="B386" s="29" t="inlineStr">
        <is>
          <t>sevilla</t>
        </is>
      </c>
      <c r="C386" s="29" t="inlineStr">
        <is>
          <t>Mercado gourmet Lonja del Barranco, en Sevilla | spain.info</t>
        </is>
      </c>
      <c r="D386" s="29" t="inlineStr">
        <is>
          <t>Turespaña (spain.info)</t>
        </is>
      </c>
      <c r="E386" s="29" t="inlineStr">
        <is>
          <t>https://www.spain.info/es/lugares-interes/mercado-barranco/</t>
        </is>
      </c>
      <c r="F386" s="49" t="n">
        <v>46319</v>
      </c>
      <c r="G386" s="29" t="inlineStr">
        <is>
          <t>sevilla:kesif</t>
        </is>
      </c>
      <c r="H386" s="29" t="inlineStr">
        <is>
          <t>Triana köprüsü dibinde 19. yy demir yapılı tarihî pazar hali, bugün gurme pazar.</t>
        </is>
      </c>
      <c r="I386" s="29" t="inlineStr">
        <is>
          <t>Evet</t>
        </is>
      </c>
      <c r="J386" s="29" t="inlineStr">
        <is>
          <t>Lisans kanıtları/7a87c6260d387fdddc1847baea848bc0d79c6a79f13bc14ac3cc8bc92ca6ced8.html</t>
        </is>
      </c>
      <c r="K386" s="29" t="inlineStr">
        <is>
          <t>7a87c6260d387fdddc1847baea848bc0d79c6a79f13bc14ac3cc8bc92ca6ced8</t>
        </is>
      </c>
    </row>
    <row r="387" ht="54" customHeight="1">
      <c r="A387" s="29" t="inlineStr">
        <is>
          <t>sevilla:kaynak:405</t>
        </is>
      </c>
      <c r="B387" s="29" t="inlineStr">
        <is>
          <t>sevilla</t>
        </is>
      </c>
      <c r="C387" s="29" t="inlineStr">
        <is>
          <t>Convento de Santa Paula - Visita Sevilla</t>
        </is>
      </c>
      <c r="D387" s="29" t="inlineStr">
        <is>
          <t>Turismo de Sevilla (visitasevilla.es)</t>
        </is>
      </c>
      <c r="E387" s="29" t="inlineStr">
        <is>
          <t>https://visitasevilla.es/convento-de-santa-paula/</t>
        </is>
      </c>
      <c r="F387" s="49" t="n">
        <v>46319</v>
      </c>
      <c r="G387" s="29" t="inlineStr">
        <is>
          <t>sevilla:kesif</t>
        </is>
      </c>
      <c r="H387" s="29" t="inlineStr">
        <is>
          <t>Manastır ve sanat müzesi; ziyarete açık.</t>
        </is>
      </c>
      <c r="I387" s="29" t="inlineStr">
        <is>
          <t>Evet</t>
        </is>
      </c>
      <c r="J387" s="29" t="inlineStr">
        <is>
          <t>Lisans kanıtları/d3e98f7c55ee7569947c622f8897ce9fa6000a25b3b2a1fa9b9973228426a617.html</t>
        </is>
      </c>
      <c r="K387" s="29" t="inlineStr">
        <is>
          <t>d3e98f7c55ee7569947c622f8897ce9fa6000a25b3b2a1fa9b9973228426a617</t>
        </is>
      </c>
    </row>
    <row r="388" ht="54" customHeight="1">
      <c r="A388" s="29" t="inlineStr">
        <is>
          <t>sevilla:kaynak:406</t>
        </is>
      </c>
      <c r="B388" s="29" t="inlineStr">
        <is>
          <t>sevilla</t>
        </is>
      </c>
      <c r="C388" s="29" t="inlineStr">
        <is>
          <t>La ciudad de los niños de Sevilla</t>
        </is>
      </c>
      <c r="D388" s="29" t="inlineStr">
        <is>
          <t>Agenda Cultural de Andalucía (Junta de Andalucía)</t>
        </is>
      </c>
      <c r="E388" s="29" t="inlineStr">
        <is>
          <t>https://www.juntadeandalucia.es/cultura/agendaculturaldeandalucia/espacios/la-ciudad-de-los-ninos-de-sevilla</t>
        </is>
      </c>
      <c r="F388" s="49" t="n">
        <v>46319</v>
      </c>
      <c r="G388" s="29" t="inlineStr">
        <is>
          <t>sevilla:kesif</t>
        </is>
      </c>
      <c r="H388" s="29" t="inlineStr">
        <is>
          <t>Prado de San Sebastián içinde 1.164 m2 çocuk parkı; tirolin, kaydırak, tırmanma ağları; ücretsiz ziyaret</t>
        </is>
      </c>
      <c r="I388" s="29" t="inlineStr">
        <is>
          <t>Evet</t>
        </is>
      </c>
      <c r="J388" s="29" t="inlineStr">
        <is>
          <t>Lisans kanıtları/37429e9346a4256c9f7dbea8b5cc85a811f3de64a6720faffe54a53b08714b57.html</t>
        </is>
      </c>
      <c r="K388" s="29" t="inlineStr">
        <is>
          <t>37429e9346a4256c9f7dbea8b5cc85a811f3de64a6720faffe54a53b08714b57</t>
        </is>
      </c>
    </row>
    <row r="389" ht="54" customHeight="1">
      <c r="A389" s="29" t="inlineStr">
        <is>
          <t>sevilla:kaynak:407</t>
        </is>
      </c>
      <c r="B389" s="29" t="inlineStr">
        <is>
          <t>sevilla</t>
        </is>
      </c>
      <c r="C389" s="29" t="inlineStr">
        <is>
          <t>Minigolf Sevilla</t>
        </is>
      </c>
      <c r="D389" s="29" t="inlineStr">
        <is>
          <t>Indoor Minigolf Sevilla (mekânın kendi sitesi)</t>
        </is>
      </c>
      <c r="E389" s="29" t="inlineStr">
        <is>
          <t>https://minigolfsevilla.com/</t>
        </is>
      </c>
      <c r="F389" s="49" t="n">
        <v>46319</v>
      </c>
      <c r="G389" s="29" t="inlineStr">
        <is>
          <t>sevilla:kesif</t>
        </is>
      </c>
      <c r="H389" s="29" t="inlineStr">
        <is>
          <t>Merkezde UV ışıklı kapalı 18 delikli minigolf; çocuk ve gençlerle aile etkinliği</t>
        </is>
      </c>
      <c r="I389" s="29" t="inlineStr">
        <is>
          <t>Evet</t>
        </is>
      </c>
      <c r="J389" s="29" t="inlineStr">
        <is>
          <t>Lisans kanıtları/73619672708287bd7a0b95368345895cb2725914ad53c8f9e000eefe70f9a610.html</t>
        </is>
      </c>
      <c r="K389" s="29" t="inlineStr">
        <is>
          <t>73619672708287bd7a0b95368345895cb2725914ad53c8f9e000eefe70f9a610</t>
        </is>
      </c>
    </row>
    <row r="390" ht="54" customHeight="1">
      <c r="A390" s="29" t="inlineStr">
        <is>
          <t>sevilla:kaynak:408</t>
        </is>
      </c>
      <c r="B390" s="29" t="inlineStr">
        <is>
          <t>sevilla</t>
        </is>
      </c>
      <c r="C390" s="29" t="inlineStr">
        <is>
          <t>Parque Miraflores</t>
        </is>
      </c>
      <c r="D390" s="29" t="inlineStr">
        <is>
          <t>Agenda Cultural de Andalucía (Junta de Andalucía)</t>
        </is>
      </c>
      <c r="E390" s="29" t="inlineStr">
        <is>
          <t>https://www.juntadeandalucia.es/cultura/agendaculturaldeandalucia/espacios/parque-miraflores</t>
        </is>
      </c>
      <c r="F390" s="49" t="n">
        <v>46319</v>
      </c>
      <c r="G390" s="29" t="inlineStr">
        <is>
          <t>sevilla:kesif</t>
        </is>
      </c>
      <c r="H390" s="29" t="inlineStr">
        <is>
          <t>90 hektarlık büyük kent parkı; kentsel bahçeler, geniş çimenlik, çocuk oyun alanları</t>
        </is>
      </c>
      <c r="I390" s="29" t="inlineStr">
        <is>
          <t>Evet</t>
        </is>
      </c>
      <c r="J390" s="29" t="inlineStr">
        <is>
          <t>Lisans kanıtları/e466b599175e5c57d987f77ded55d2746894534aeb12fc55b36e80a9b2eb3b92.html</t>
        </is>
      </c>
      <c r="K390" s="29" t="inlineStr">
        <is>
          <t>e466b599175e5c57d987f77ded55d2746894534aeb12fc55b36e80a9b2eb3b92</t>
        </is>
      </c>
    </row>
    <row r="391" ht="54" customHeight="1">
      <c r="A391" s="29" t="inlineStr">
        <is>
          <t>sevilla:kaynak:409</t>
        </is>
      </c>
      <c r="B391" s="29" t="inlineStr">
        <is>
          <t>sevilla</t>
        </is>
      </c>
      <c r="C391" s="29" t="inlineStr">
        <is>
          <t>Parque de San Jerónimo</t>
        </is>
      </c>
      <c r="D391" s="29" t="inlineStr">
        <is>
          <t>Agenda Cultural de Andalucía (Junta de Andalucía)</t>
        </is>
      </c>
      <c r="E391" s="29" t="inlineStr">
        <is>
          <t>https://www.juntadeandalucia.es/cultura/agendaculturaldeandalucia/espacios/parque-de-san-jeronimo</t>
        </is>
      </c>
      <c r="F391" s="49" t="n">
        <v>46319</v>
      </c>
      <c r="G391" s="29" t="inlineStr">
        <is>
          <t>sevilla:kesif</t>
        </is>
      </c>
      <c r="H391" s="29" t="inlineStr">
        <is>
          <t>Kuzey Sevilla kent parkı, San Jerónimo manastırı yakını</t>
        </is>
      </c>
      <c r="I391" s="29" t="inlineStr">
        <is>
          <t>Evet</t>
        </is>
      </c>
      <c r="J391" s="29" t="inlineStr">
        <is>
          <t>Lisans kanıtları/bfd5167592f31ae401101dc4d6a10724397f74fe57735d5abba588489cc63d47.html</t>
        </is>
      </c>
      <c r="K391" s="29" t="inlineStr">
        <is>
          <t>bfd5167592f31ae401101dc4d6a10724397f74fe57735d5abba588489cc63d47</t>
        </is>
      </c>
    </row>
    <row r="392" ht="54" customHeight="1">
      <c r="A392" s="29" t="inlineStr">
        <is>
          <t>sevilla:kaynak:410</t>
        </is>
      </c>
      <c r="B392" s="29" t="inlineStr">
        <is>
          <t>sevilla</t>
        </is>
      </c>
      <c r="C392" s="29" t="inlineStr">
        <is>
          <t>Jardines Torre de los Perdigones</t>
        </is>
      </c>
      <c r="D392" s="29" t="inlineStr">
        <is>
          <t>Agenda Cultural de Andalucía (Junta de Andalucía)</t>
        </is>
      </c>
      <c r="E392" s="29" t="inlineStr">
        <is>
          <t>https://www.juntadeandalucia.es/cultura/agendaculturaldeandalucia/espacios/torre-de-los-perdigones</t>
        </is>
      </c>
      <c r="F392" s="49" t="n">
        <v>46319</v>
      </c>
      <c r="G392" s="29" t="inlineStr">
        <is>
          <t>sevilla:kesif</t>
        </is>
      </c>
      <c r="H392" s="29" t="inlineStr">
        <is>
          <t>Eski dökümhane kulesini içeren Macarena mahallesi bahçesi</t>
        </is>
      </c>
      <c r="I392" s="29" t="inlineStr">
        <is>
          <t>Evet</t>
        </is>
      </c>
      <c r="J392" s="29" t="inlineStr">
        <is>
          <t>Lisans kanıtları/dd8fd02ba090ebd939b3a4d5abb3974acf8262d2f9bdc1ad773606ab097d1cf5.html</t>
        </is>
      </c>
      <c r="K392" s="29" t="inlineStr">
        <is>
          <t>dd8fd02ba090ebd939b3a4d5abb3974acf8262d2f9bdc1ad773606ab097d1cf5</t>
        </is>
      </c>
    </row>
    <row r="393" ht="54" customHeight="1">
      <c r="A393" s="29" t="inlineStr">
        <is>
          <t>sevilla:kaynak:411</t>
        </is>
      </c>
      <c r="B393" s="29" t="inlineStr">
        <is>
          <t>sevilla</t>
        </is>
      </c>
      <c r="C393" s="29" t="inlineStr">
        <is>
          <t>Parque de los Principes</t>
        </is>
      </c>
      <c r="D393" s="29" t="inlineStr">
        <is>
          <t>Agenda Cultural de Andalucía (Junta de Andalucía)</t>
        </is>
      </c>
      <c r="E393" s="29" t="inlineStr">
        <is>
          <t>https://www.juntadeandalucia.es/cultura/agendaculturaldeandalucia/espacios/parque-de-los-principes</t>
        </is>
      </c>
      <c r="F393" s="49" t="n">
        <v>46319</v>
      </c>
      <c r="G393" s="29" t="inlineStr">
        <is>
          <t>sevilla:kesif</t>
        </is>
      </c>
      <c r="H393" s="29" t="inlineStr">
        <is>
          <t>Los Remedios parkı; göl, ada, iki çocuk oyun alanı, spor alanı; Feria alanı yakını</t>
        </is>
      </c>
      <c r="I393" s="29" t="inlineStr">
        <is>
          <t>Evet</t>
        </is>
      </c>
      <c r="J393" s="29" t="inlineStr">
        <is>
          <t>Lisans kanıtları/0645bda8185c6361c4459bffc0ec4141b0e5b087894c9d05bd42a02ad03ce25b.html</t>
        </is>
      </c>
      <c r="K393" s="29" t="inlineStr">
        <is>
          <t>0645bda8185c6361c4459bffc0ec4141b0e5b087894c9d05bd42a02ad03ce25b</t>
        </is>
      </c>
    </row>
    <row r="394" ht="54" customHeight="1">
      <c r="A394" s="29" t="inlineStr">
        <is>
          <t>sevilla:kaynak:412</t>
        </is>
      </c>
      <c r="B394" s="29" t="inlineStr">
        <is>
          <t>sevilla</t>
        </is>
      </c>
      <c r="C394" s="29" t="inlineStr">
        <is>
          <t>Iglesia de Santa Catalina</t>
        </is>
      </c>
      <c r="D394" s="29" t="inlineStr">
        <is>
          <t>Agenda Cultural de Andalucía (Junta de Andalucía)</t>
        </is>
      </c>
      <c r="E394" s="29" t="inlineStr">
        <is>
          <t>https://www.juntadeandalucia.es/cultura/agendaculturaldeandalucia/espacios/iglesia-de-santa-catalina</t>
        </is>
      </c>
      <c r="F394" s="49" t="n">
        <v>46319</v>
      </c>
      <c r="G394" s="29" t="inlineStr">
        <is>
          <t>sevilla:kesif</t>
        </is>
      </c>
      <c r="H394" s="29" t="inlineStr">
        <is>
          <t>Mudéjar kilise; yıl boyu rehberli ziyaret</t>
        </is>
      </c>
      <c r="I394" s="29" t="inlineStr">
        <is>
          <t>Evet</t>
        </is>
      </c>
      <c r="J394" s="29" t="inlineStr">
        <is>
          <t>Lisans kanıtları/2614c7da4b6f6bf6e7db588926eacdabda10e545a71065dc32c9a381bf0899d3.html</t>
        </is>
      </c>
      <c r="K394" s="29" t="inlineStr">
        <is>
          <t>2614c7da4b6f6bf6e7db588926eacdabda10e545a71065dc32c9a381bf0899d3</t>
        </is>
      </c>
    </row>
    <row r="395" ht="54" customHeight="1">
      <c r="A395" s="29" t="inlineStr">
        <is>
          <t>sevilla:kaynak:413</t>
        </is>
      </c>
      <c r="B395" s="29" t="inlineStr">
        <is>
          <t>sevilla</t>
        </is>
      </c>
      <c r="C395" s="29" t="inlineStr">
        <is>
          <t>Iglesia de San Marcos - Visita Sevilla</t>
        </is>
      </c>
      <c r="D395" s="29" t="inlineStr">
        <is>
          <t>Turismo de Sevilla (visitasevilla.es)</t>
        </is>
      </c>
      <c r="E395" s="29" t="inlineStr">
        <is>
          <t>https://visitasevilla.es/iglesia-de-san-marcos/</t>
        </is>
      </c>
      <c r="F395" s="49" t="n">
        <v>46319</v>
      </c>
      <c r="G395" s="29" t="inlineStr">
        <is>
          <t>sevilla:kesif</t>
        </is>
      </c>
      <c r="H395" s="29" t="inlineStr">
        <is>
          <t>Mudéjar kule ve kilise; ücretsiz</t>
        </is>
      </c>
      <c r="I395" s="29" t="inlineStr">
        <is>
          <t>Evet</t>
        </is>
      </c>
      <c r="J395" s="29" t="inlineStr">
        <is>
          <t>Lisans kanıtları/36d0d63697c66f773c0f56e2742f9588e68141dcca8931aadc9252f253f9e6f5.html</t>
        </is>
      </c>
      <c r="K395" s="29" t="inlineStr">
        <is>
          <t>36d0d63697c66f773c0f56e2742f9588e68141dcca8931aadc9252f253f9e6f5</t>
        </is>
      </c>
    </row>
    <row r="396" ht="54" customHeight="1">
      <c r="A396" s="29" t="inlineStr">
        <is>
          <t>sevilla:kaynak:414</t>
        </is>
      </c>
      <c r="B396" s="29" t="inlineStr">
        <is>
          <t>sevilla</t>
        </is>
      </c>
      <c r="C396" s="29" t="inlineStr">
        <is>
          <t>Iglesia de San Román - Visita Sevilla</t>
        </is>
      </c>
      <c r="D396" s="29" t="inlineStr">
        <is>
          <t>Turismo de Sevilla (visitasevilla.es)</t>
        </is>
      </c>
      <c r="E396" s="29" t="inlineStr">
        <is>
          <t>https://visitasevilla.es/iglesia-de-san-roman/</t>
        </is>
      </c>
      <c r="F396" s="49" t="n">
        <v>46319</v>
      </c>
      <c r="G396" s="29" t="inlineStr">
        <is>
          <t>sevilla:kesif</t>
        </is>
      </c>
      <c r="H396" s="29" t="inlineStr">
        <is>
          <t>Işıklı Gotik-Mudéjar kilise; ücretsiz</t>
        </is>
      </c>
      <c r="I396" s="29" t="inlineStr">
        <is>
          <t>Evet</t>
        </is>
      </c>
      <c r="J396" s="29" t="inlineStr">
        <is>
          <t>Lisans kanıtları/32433d14b14eff41b094f4ef4438ceae8ab33eef1eccbe7e95d1407f84fc447c.html</t>
        </is>
      </c>
      <c r="K396" s="29" t="inlineStr">
        <is>
          <t>32433d14b14eff41b094f4ef4438ceae8ab33eef1eccbe7e95d1407f84fc447c</t>
        </is>
      </c>
    </row>
    <row r="397" ht="54" customHeight="1">
      <c r="A397" s="29" t="inlineStr">
        <is>
          <t>sevilla:kaynak:415</t>
        </is>
      </c>
      <c r="B397" s="29" t="inlineStr">
        <is>
          <t>sevilla</t>
        </is>
      </c>
      <c r="C397" s="29" t="inlineStr">
        <is>
          <t>Iglesia de la Magdalena - Visita Sevilla</t>
        </is>
      </c>
      <c r="D397" s="29" t="inlineStr">
        <is>
          <t>Turismo de Sevilla (visitasevilla.es)</t>
        </is>
      </c>
      <c r="E397" s="29" t="inlineStr">
        <is>
          <t>https://visitasevilla.es/iglesia-magdalena/</t>
        </is>
      </c>
      <c r="F397" s="49" t="n">
        <v>46319</v>
      </c>
      <c r="G397" s="29" t="inlineStr">
        <is>
          <t>sevilla:kesif</t>
        </is>
      </c>
      <c r="H397" s="29" t="inlineStr">
        <is>
          <t>Barok kilise; koro katı projeksiyon/tarihi eserlerle ziyaret</t>
        </is>
      </c>
      <c r="I397" s="29" t="inlineStr">
        <is>
          <t>Evet</t>
        </is>
      </c>
      <c r="J397" s="29" t="inlineStr">
        <is>
          <t>Lisans kanıtları/b272ddf98d9cf6d6a8b36cd59a9641dd7be893d80987316d1d5c707f5816beec.html</t>
        </is>
      </c>
      <c r="K397" s="29" t="inlineStr">
        <is>
          <t>b272ddf98d9cf6d6a8b36cd59a9641dd7be893d80987316d1d5c707f5816beec</t>
        </is>
      </c>
    </row>
    <row r="398" ht="54" customHeight="1">
      <c r="A398" s="29" t="inlineStr">
        <is>
          <t>sevilla:kaynak:416</t>
        </is>
      </c>
      <c r="B398" s="29" t="inlineStr">
        <is>
          <t>sevilla</t>
        </is>
      </c>
      <c r="C398" s="29" t="inlineStr">
        <is>
          <t>Rocódromo escalada Sevilla. Rock &amp; Wall Climbing.</t>
        </is>
      </c>
      <c r="D398" s="29" t="inlineStr">
        <is>
          <t>Rock&amp;Wall Climbing (mekânın kendi sitesi)</t>
        </is>
      </c>
      <c r="E398" s="29" t="inlineStr">
        <is>
          <t>https://rockandwallclimbing.com/</t>
        </is>
      </c>
      <c r="F398" s="49" t="n">
        <v>46319</v>
      </c>
      <c r="G398" s="29" t="inlineStr">
        <is>
          <t>sevilla:kesif</t>
        </is>
      </c>
      <c r="H398" s="29" t="inlineStr">
        <is>
          <t>Andalucía'nın en büyük tırmanış salonu; serbest giriş ya da eğitmenli etkinlik</t>
        </is>
      </c>
      <c r="I398" s="29" t="inlineStr">
        <is>
          <t>Evet</t>
        </is>
      </c>
      <c r="J398" s="29" t="inlineStr">
        <is>
          <t>Lisans kanıtları/5a02dba9700b2c93ca7661437117f3ca337e375f0a68029f80c7d32056f7c733.html</t>
        </is>
      </c>
      <c r="K398" s="29" t="inlineStr">
        <is>
          <t>5a02dba9700b2c93ca7661437117f3ca337e375f0a68029f80c7d32056f7c733</t>
        </is>
      </c>
    </row>
    <row r="399" ht="54" customHeight="1">
      <c r="A399" s="29" t="inlineStr">
        <is>
          <t>sevilla:kaynak:417</t>
        </is>
      </c>
      <c r="B399" s="29" t="inlineStr">
        <is>
          <t>sevilla</t>
        </is>
      </c>
      <c r="C399" s="29" t="inlineStr">
        <is>
          <t>Isla Mágica - Parque temático y acuático Sevilla - Web Oficial</t>
        </is>
      </c>
      <c r="D399" s="29" t="inlineStr">
        <is>
          <t>Isla Mágica</t>
        </is>
      </c>
      <c r="E399" s="29" t="inlineStr">
        <is>
          <t>https://www.islamagica.es/</t>
        </is>
      </c>
      <c r="F399" s="49" t="n">
        <v>46319</v>
      </c>
      <c r="G399" s="29" t="inlineStr">
        <is>
          <t>sevilla:acik_mi</t>
        </is>
      </c>
      <c r="H399" s="29" t="inlineStr">
        <is>
          <t>Park mevsimlik; Halloween 2026 sezonu 3 Ekim-8 Kasım duyurusu (açık mı taraması).</t>
        </is>
      </c>
      <c r="I399" s="29" t="inlineStr">
        <is>
          <t>Evet</t>
        </is>
      </c>
      <c r="J399" s="29" t="inlineStr">
        <is>
          <t>Lisans kanıtları/015fba8a95d577c8c53c75dfa0d8c5ebe7ebace507a66c8eec7796730361a96c.html</t>
        </is>
      </c>
      <c r="K399" s="29" t="inlineStr">
        <is>
          <t>015fba8a95d577c8c53c75dfa0d8c5ebe7ebace507a66c8eec7796730361a96c</t>
        </is>
      </c>
    </row>
    <row r="400" ht="54" customHeight="1">
      <c r="A400" s="29" t="inlineStr">
        <is>
          <t>sevilla:kaynak:419</t>
        </is>
      </c>
      <c r="B400" s="29" t="inlineStr">
        <is>
          <t>sevilla</t>
        </is>
      </c>
      <c r="C400" s="29" t="inlineStr">
        <is>
          <t>Sevilla recupera el Lope de Vega: 10 millones para devolver la vida al teatro antes de la Bienal</t>
        </is>
      </c>
      <c r="D400" s="29" t="inlineStr">
        <is>
          <t>El Español</t>
        </is>
      </c>
      <c r="E400" s="29" t="inlineStr">
        <is>
          <t>https://www.elespanol.com/sevilla/20260901/sevilla-recupera-lope-vega-millones-devolver-vida-teatro-bienal/1003744368900_0.html</t>
        </is>
      </c>
      <c r="F400" s="49" t="n">
        <v>46320</v>
      </c>
      <c r="G400" s="29" t="inlineStr">
        <is>
          <t>sevilla:acik_mi</t>
        </is>
      </c>
      <c r="H400" s="29" t="inlineStr">
        <is>
          <t>Tiyatro restorasyon sonrası Eylül 2026'da yeniden açıldı (açık mı taraması).</t>
        </is>
      </c>
      <c r="I400" s="29" t="inlineStr">
        <is>
          <t>Evet</t>
        </is>
      </c>
      <c r="J400" s="29" t="inlineStr">
        <is>
          <t>Lisans kanıtları/093057f02fb117f65890fd7623a1e5d48a7ccefa7c4f788b768be3ec1d69f783.html</t>
        </is>
      </c>
      <c r="K400" s="29" t="inlineStr">
        <is>
          <t>093057f02fb117f65890fd7623a1e5d48a7ccefa7c4f788b768be3ec1d69f783</t>
        </is>
      </c>
    </row>
    <row r="401" ht="54" customHeight="1">
      <c r="A401" s="29" t="inlineStr">
        <is>
          <t>sevilla:kaynak:420</t>
        </is>
      </c>
      <c r="B401" s="29" t="inlineStr">
        <is>
          <t>sevilla</t>
        </is>
      </c>
      <c r="C401" s="29" t="inlineStr">
        <is>
          <t>Real Betis Tour en Sevilla: Experiencia Única en La Cartuja - Real Betis Balompié</t>
        </is>
      </c>
      <c r="D401" s="29" t="inlineStr">
        <is>
          <t>Real Betis Balompié</t>
        </is>
      </c>
      <c r="E401" s="29" t="inlineStr">
        <is>
          <t>https://en.realbetisbalompie.es/tour-real-betis</t>
        </is>
      </c>
      <c r="F401" s="49" t="n">
        <v>46320</v>
      </c>
      <c r="G401" s="29" t="inlineStr">
        <is>
          <t>sevilla:acik_mi</t>
        </is>
      </c>
      <c r="H401" s="29" t="inlineStr">
        <is>
          <t>Betis turu La Cartuja Stadyumu'nda yapılıyor (açık mı taraması).</t>
        </is>
      </c>
      <c r="I401" s="29" t="inlineStr">
        <is>
          <t>Evet</t>
        </is>
      </c>
      <c r="J401" s="29" t="inlineStr">
        <is>
          <t>Lisans kanıtları/f5e69dbed8f153be6640caf6fd296b24b04d1210af49e43a042ea49a6e71cd27.html</t>
        </is>
      </c>
      <c r="K401" s="29" t="inlineStr">
        <is>
          <t>f5e69dbed8f153be6640caf6fd296b24b04d1210af49e43a042ea49a6e71cd27</t>
        </is>
      </c>
    </row>
    <row r="402" ht="54" customHeight="1">
      <c r="A402" s="29" t="inlineStr">
        <is>
          <t>sevilla:kaynak:424</t>
        </is>
      </c>
      <c r="B402" s="29" t="inlineStr">
        <is>
          <t>sevilla</t>
        </is>
      </c>
      <c r="C402" s="29" t="inlineStr">
        <is>
          <t>Espacio Primera Vuelta al Mundo Nao Victoria 500 - Visita Sevilla</t>
        </is>
      </c>
      <c r="D402" s="29" t="inlineStr">
        <is>
          <t>Turismo de Sevilla</t>
        </is>
      </c>
      <c r="E402" s="29" t="inlineStr">
        <is>
          <t>https://visitasevilla.es/espacio-primera-vuelta-al-mundo-nao-victoria-500/</t>
        </is>
      </c>
      <c r="F402" s="49" t="n">
        <v>46320</v>
      </c>
      <c r="G402" s="29" t="inlineStr">
        <is>
          <t>sevilla:mekan3</t>
        </is>
      </c>
      <c r="H402" s="29" t="inlineStr">
        <is>
          <t>Espacio expositivo con réplica de la Nao Victoria.</t>
        </is>
      </c>
      <c r="I402" s="29" t="inlineStr">
        <is>
          <t>Evet</t>
        </is>
      </c>
      <c r="J402" s="29" t="inlineStr">
        <is>
          <t>Lisans kanıtları/f866b7eb2e185bb3b836a83797f632886a2d8d687045ff30773e68153a28a523.html</t>
        </is>
      </c>
      <c r="K402" s="29" t="inlineStr">
        <is>
          <t>f866b7eb2e185bb3b836a83797f632886a2d8d687045ff30773e68153a28a523</t>
        </is>
      </c>
    </row>
    <row r="403" ht="54" customHeight="1">
      <c r="A403" s="29" t="inlineStr">
        <is>
          <t>sevilla:kaynak:425</t>
        </is>
      </c>
      <c r="B403" s="29" t="inlineStr">
        <is>
          <t>sevilla</t>
        </is>
      </c>
      <c r="C403" s="29" t="inlineStr">
        <is>
          <t>Parlamento de Andalucía - Visita Sevilla</t>
        </is>
      </c>
      <c r="D403" s="29" t="inlineStr">
        <is>
          <t>Turismo de Sevilla (Consorcio de Turismo, visitasevilla.es)</t>
        </is>
      </c>
      <c r="E403" s="29" t="inlineStr">
        <is>
          <t>https://visitasevilla.es/parlamento-de-andalucia/</t>
        </is>
      </c>
      <c r="F403" s="49" t="n">
        <v>46319</v>
      </c>
      <c r="G403" s="29" t="inlineStr">
        <is>
          <t>sevilla:mekan4</t>
        </is>
      </c>
      <c r="H403" s="29" t="inlineStr">
        <is>
          <t>Adres, tarihçe ve rehberli ziyaret bilgisi; Turismo de Sevilla mekan sayfası</t>
        </is>
      </c>
      <c r="I403" s="29" t="inlineStr">
        <is>
          <t>Evet</t>
        </is>
      </c>
      <c r="J403" s="29" t="inlineStr">
        <is>
          <t>Lisans kanıtları/3964b13257a6b2ce2d217173b9ac94872ea675aab41c7d2e47caa4460fd466cf.html</t>
        </is>
      </c>
      <c r="K403" s="29" t="inlineStr">
        <is>
          <t>3964b13257a6b2ce2d217173b9ac94872ea675aab41c7d2e47caa4460fd466cf</t>
        </is>
      </c>
    </row>
    <row r="404" ht="54" customHeight="1">
      <c r="A404" s="29" t="inlineStr">
        <is>
          <t>sevilla:kaynak:426</t>
        </is>
      </c>
      <c r="B404" s="29" t="inlineStr">
        <is>
          <t>sevilla</t>
        </is>
      </c>
      <c r="C404" s="29" t="inlineStr">
        <is>
          <t>Visita el Parlamento - Web Parlamento</t>
        </is>
      </c>
      <c r="D404" s="29" t="inlineStr">
        <is>
          <t>Parlamento de Andalucía</t>
        </is>
      </c>
      <c r="E404" s="29" t="inlineStr">
        <is>
          <t>https://www.parlamentodeandalucia.es/web/guest/solicitud-visitas</t>
        </is>
      </c>
      <c r="F404" s="49" t="n">
        <v>46320</v>
      </c>
      <c r="G404" s="29" t="inlineStr">
        <is>
          <t>sevilla:mekan4</t>
        </is>
      </c>
      <c r="H404" s="29" t="inlineStr">
        <is>
          <t>Parlamento'nun kendi ziyaret rezervasyon sayfası: bireysel/grup ziyaret kuralları, süre, giriş kapısı, restorasyon notu</t>
        </is>
      </c>
      <c r="I404" s="29" t="inlineStr">
        <is>
          <t>Evet</t>
        </is>
      </c>
      <c r="J404" s="29" t="inlineStr">
        <is>
          <t>Lisans kanıtları/7dd889f4a75fcd99114f5187d199836276be7a45ccd02ca708cc4f6d69a27880.html</t>
        </is>
      </c>
      <c r="K404" s="29" t="inlineStr">
        <is>
          <t>7dd889f4a75fcd99114f5187d199836276be7a45ccd02ca708cc4f6d69a27880</t>
        </is>
      </c>
    </row>
    <row r="405" ht="54" customHeight="1">
      <c r="A405" s="29" t="inlineStr">
        <is>
          <t>sevilla:kaynak:427</t>
        </is>
      </c>
      <c r="B405" s="29" t="inlineStr">
        <is>
          <t>sevilla</t>
        </is>
      </c>
      <c r="C405" s="29" t="inlineStr">
        <is>
          <t>Convento de Santa Inés - Visita Sevilla</t>
        </is>
      </c>
      <c r="D405" s="29" t="inlineStr">
        <is>
          <t>Turismo de Sevilla (Consorcio de Turismo, visitasevilla.es)</t>
        </is>
      </c>
      <c r="E405" s="29" t="inlineStr">
        <is>
          <t>https://visitasevilla.es/convento-de-santa-ines/</t>
        </is>
      </c>
      <c r="F405" s="49" t="n">
        <v>46319</v>
      </c>
      <c r="G405" s="29" t="inlineStr">
        <is>
          <t>sevilla:mekan4</t>
        </is>
      </c>
      <c r="H405" s="29" t="inlineStr">
        <is>
          <t>Adres, saat ve ücret; Turismo de Sevilla mekan sayfası</t>
        </is>
      </c>
      <c r="I405" s="29" t="inlineStr">
        <is>
          <t>Evet</t>
        </is>
      </c>
      <c r="J405" s="29" t="inlineStr">
        <is>
          <t>Lisans kanıtları/ebc1f209d25aeba92139d9ec0430462ccbb744ee6c8784cc01d807f9c0dfa329.html</t>
        </is>
      </c>
      <c r="K405" s="29" t="inlineStr">
        <is>
          <t>ebc1f209d25aeba92139d9ec0430462ccbb744ee6c8784cc01d807f9c0dfa329</t>
        </is>
      </c>
    </row>
    <row r="406" ht="54" customHeight="1">
      <c r="A406" s="29" t="inlineStr">
        <is>
          <t>sevilla:kaynak:428</t>
        </is>
      </c>
      <c r="B406" s="29" t="inlineStr">
        <is>
          <t>sevilla</t>
        </is>
      </c>
      <c r="C406" s="29" t="inlineStr">
        <is>
          <t>Ruta Conventos Sevilla - Visita Sevilla</t>
        </is>
      </c>
      <c r="D406" s="29" t="inlineStr">
        <is>
          <t>Turismo de Sevilla (Consorcio de Turismo, visitasevilla.es)</t>
        </is>
      </c>
      <c r="E406" s="29" t="inlineStr">
        <is>
          <t>https://visitasevilla.es/ruta-conventos-sevilla/</t>
        </is>
      </c>
      <c r="F406" s="49" t="n">
        <v>46320</v>
      </c>
      <c r="G406" s="29" t="inlineStr">
        <is>
          <t>sevilla:mekan4</t>
        </is>
      </c>
      <c r="H406" s="29" t="inlineStr">
        <is>
          <t>2026 tarihli rota yazısı: Santa Inés ve San Clemente tatlı satışı ve randevulu ziyaret</t>
        </is>
      </c>
      <c r="I406" s="29" t="inlineStr">
        <is>
          <t>Evet</t>
        </is>
      </c>
      <c r="J406" s="29" t="inlineStr">
        <is>
          <t>Lisans kanıtları/451edc573cbe93a83bb734423246dcc744189a8f2f0284c1a751e900e4edbc88.html</t>
        </is>
      </c>
      <c r="K406" s="29" t="inlineStr">
        <is>
          <t>451edc573cbe93a83bb734423246dcc744189a8f2f0284c1a751e900e4edbc88</t>
        </is>
      </c>
    </row>
    <row r="407" ht="54" customHeight="1">
      <c r="A407" s="29" t="inlineStr">
        <is>
          <t>sevilla:kaynak:429</t>
        </is>
      </c>
      <c r="B407" s="29" t="inlineStr">
        <is>
          <t>sevilla</t>
        </is>
      </c>
      <c r="C407" s="29" t="inlineStr">
        <is>
          <t>Monasterio de San Clemente - Visita Sevilla</t>
        </is>
      </c>
      <c r="D407" s="29" t="inlineStr">
        <is>
          <t>Turismo de Sevilla (Consorcio de Turismo, visitasevilla.es)</t>
        </is>
      </c>
      <c r="E407" s="29" t="inlineStr">
        <is>
          <t>https://visitasevilla.es/monasterio-de-san-clemente/</t>
        </is>
      </c>
      <c r="F407" s="49" t="n">
        <v>46319</v>
      </c>
      <c r="G407" s="29" t="inlineStr">
        <is>
          <t>sevilla:mekan4</t>
        </is>
      </c>
      <c r="H407" s="29" t="inlineStr">
        <is>
          <t>Adres, telefonla randevu saati ve ücret</t>
        </is>
      </c>
      <c r="I407" s="29" t="inlineStr">
        <is>
          <t>Evet</t>
        </is>
      </c>
      <c r="J407" s="29" t="inlineStr">
        <is>
          <t>Lisans kanıtları/a66ed408aca65f544023aaeffe9447bc55bb015725ce4b526b8cf31997bea9ec.html</t>
        </is>
      </c>
      <c r="K407" s="29" t="inlineStr">
        <is>
          <t>a66ed408aca65f544023aaeffe9447bc55bb015725ce4b526b8cf31997bea9ec</t>
        </is>
      </c>
    </row>
    <row r="408" ht="54" customHeight="1">
      <c r="A408" s="29" t="inlineStr">
        <is>
          <t>sevilla:kaynak:430</t>
        </is>
      </c>
      <c r="B408" s="29" t="inlineStr">
        <is>
          <t>sevilla</t>
        </is>
      </c>
      <c r="C408" s="29" t="inlineStr">
        <is>
          <t>El Rectorado - Visita Sevilla</t>
        </is>
      </c>
      <c r="D408" s="29" t="inlineStr">
        <is>
          <t>Turismo de Sevilla (Consorcio de Turismo, visitasevilla.es)</t>
        </is>
      </c>
      <c r="E408" s="29" t="inlineStr">
        <is>
          <t>https://visitasevilla.es/el-rectorado/</t>
        </is>
      </c>
      <c r="F408" s="49" t="n">
        <v>46320</v>
      </c>
      <c r="G408" s="29" t="inlineStr">
        <is>
          <t>sevilla:mekan4</t>
        </is>
      </c>
      <c r="H408" s="29" t="inlineStr">
        <is>
          <t>Adres, giriş ücreti ve yapının tarihi</t>
        </is>
      </c>
      <c r="I408" s="29" t="inlineStr">
        <is>
          <t>Evet</t>
        </is>
      </c>
      <c r="J408" s="29" t="inlineStr">
        <is>
          <t>Lisans kanıtları/207e2fa438eb2a8f009d9dd657ec4c02089e468cc10eedb9094ea9dadf042f50.html</t>
        </is>
      </c>
      <c r="K408" s="29" t="inlineStr">
        <is>
          <t>207e2fa438eb2a8f009d9dd657ec4c02089e468cc10eedb9094ea9dadf042f50</t>
        </is>
      </c>
    </row>
    <row r="409" ht="54" customHeight="1">
      <c r="A409" s="29" t="inlineStr">
        <is>
          <t>sevilla:kaynak:431</t>
        </is>
      </c>
      <c r="B409" s="29" t="inlineStr">
        <is>
          <t>sevilla</t>
        </is>
      </c>
      <c r="C409" s="29" t="inlineStr">
        <is>
          <t>Parroquia de San Jacinto - Visita Sevilla</t>
        </is>
      </c>
      <c r="D409" s="29" t="inlineStr">
        <is>
          <t>Turismo de Sevilla (Consorcio de Turismo, visitasevilla.es)</t>
        </is>
      </c>
      <c r="E409" s="29" t="inlineStr">
        <is>
          <t>https://visitasevilla.es/parroquia-de-san-jacinto/</t>
        </is>
      </c>
      <c r="F409" s="49" t="n">
        <v>46320</v>
      </c>
      <c r="G409" s="29" t="inlineStr">
        <is>
          <t>sevilla:mekan4</t>
        </is>
      </c>
      <c r="H409" s="29" t="inlineStr">
        <is>
          <t>Adres ve yapının tarihi</t>
        </is>
      </c>
      <c r="I409" s="29" t="inlineStr">
        <is>
          <t>Evet</t>
        </is>
      </c>
      <c r="J409" s="29" t="inlineStr">
        <is>
          <t>Lisans kanıtları/28ee49247feb11dc5796067f00f71fbe887447cefef343a4e6d9c98a2ea8c065.html</t>
        </is>
      </c>
      <c r="K409" s="29" t="inlineStr">
        <is>
          <t>28ee49247feb11dc5796067f00f71fbe887447cefef343a4e6d9c98a2ea8c065</t>
        </is>
      </c>
    </row>
    <row r="410" ht="54" customHeight="1">
      <c r="A410" s="29" t="inlineStr">
        <is>
          <t>sevilla:kaynak:432</t>
        </is>
      </c>
      <c r="B410" s="29" t="inlineStr">
        <is>
          <t>sevilla</t>
        </is>
      </c>
      <c r="C410" s="29" t="inlineStr">
        <is>
          <t>Luminiscence Iglesia San Jacinto - Visita Sevilla</t>
        </is>
      </c>
      <c r="D410" s="29" t="inlineStr">
        <is>
          <t>Turismo de Sevilla (Consorcio de Turismo, visitasevilla.es)</t>
        </is>
      </c>
      <c r="E410" s="29" t="inlineStr">
        <is>
          <t>https://visitasevilla.es/evento/luminiscence-iglesia-san-jacinto/</t>
        </is>
      </c>
      <c r="F410" s="49" t="n">
        <v>46320</v>
      </c>
      <c r="G410" s="29" t="inlineStr">
        <is>
          <t>sevilla:mekan4</t>
        </is>
      </c>
      <c r="H410" s="29" t="inlineStr">
        <is>
          <t>Ekim-Kasım 2026 etkinliği: kilisede immersif video-mapping gösterisi, bilet fiyatları</t>
        </is>
      </c>
      <c r="I410" s="29" t="inlineStr">
        <is>
          <t>Evet</t>
        </is>
      </c>
      <c r="J410" s="29" t="inlineStr">
        <is>
          <t>Lisans kanıtları/1b7be01a015c12bcac2af15cc8321f9664653916a1de6f83bf695b94163d2493.html</t>
        </is>
      </c>
      <c r="K410" s="29" t="inlineStr">
        <is>
          <t>1b7be01a015c12bcac2af15cc8321f9664653916a1de6f83bf695b94163d2493</t>
        </is>
      </c>
    </row>
    <row r="411" ht="54" customHeight="1">
      <c r="A411" s="29" t="inlineStr">
        <is>
          <t>sevilla:kaynak:433</t>
        </is>
      </c>
      <c r="B411" s="29" t="inlineStr">
        <is>
          <t>sevilla</t>
        </is>
      </c>
      <c r="C411" s="29" t="inlineStr">
        <is>
          <t>Capilla del Carmen - Visita Sevilla</t>
        </is>
      </c>
      <c r="D411" s="29" t="inlineStr">
        <is>
          <t>Turismo de Sevilla (Consorcio de Turismo, visitasevilla.es)</t>
        </is>
      </c>
      <c r="E411" s="29" t="inlineStr">
        <is>
          <t>https://visitasevilla.es/capilla-del-carmen/</t>
        </is>
      </c>
      <c r="F411" s="49" t="n">
        <v>46320</v>
      </c>
      <c r="G411" s="29" t="inlineStr">
        <is>
          <t>sevilla:mekan4</t>
        </is>
      </c>
      <c r="H411" s="29" t="inlineStr">
        <is>
          <t>Konum ve yapının tarihi</t>
        </is>
      </c>
      <c r="I411" s="29" t="inlineStr">
        <is>
          <t>Evet</t>
        </is>
      </c>
      <c r="J411" s="29" t="inlineStr">
        <is>
          <t>Lisans kanıtları/1aecb25a6397577fe2e5d7cef09f7a2917d788eee5c8d0069585dc310d79eabe.html</t>
        </is>
      </c>
      <c r="K411" s="29" t="inlineStr">
        <is>
          <t>1aecb25a6397577fe2e5d7cef09f7a2917d788eee5c8d0069585dc310d79eabe</t>
        </is>
      </c>
    </row>
    <row r="412" ht="54" customHeight="1">
      <c r="A412" s="29" t="inlineStr">
        <is>
          <t>sevilla:kaynak:434</t>
        </is>
      </c>
      <c r="B412" s="29" t="inlineStr">
        <is>
          <t>sevilla</t>
        </is>
      </c>
      <c r="C412" s="29" t="inlineStr">
        <is>
          <t>La Capilla del Carmen de Triana, el faro cerámico del Guadalquivir - Visita Sevilla</t>
        </is>
      </c>
      <c r="D412" s="29" t="inlineStr">
        <is>
          <t>Turismo de Sevilla (Consorcio de Turismo, visitasevilla.es)</t>
        </is>
      </c>
      <c r="E412" s="29" t="inlineStr">
        <is>
          <t>https://visitasevilla.es/sabias-que-la-capilla-del-carmen-se-diseno-como-faro-ceramico-para-los-barcos-nocturnos/</t>
        </is>
      </c>
      <c r="F412" s="49" t="n">
        <v>46320</v>
      </c>
      <c r="G412" s="29" t="inlineStr">
        <is>
          <t>sevilla:mekan4</t>
        </is>
      </c>
      <c r="H412" s="29" t="inlineStr">
        <is>
          <t>2025 tarihli yazı: kapelin seramik fener olarak tasarımı</t>
        </is>
      </c>
      <c r="I412" s="29" t="inlineStr">
        <is>
          <t>Evet</t>
        </is>
      </c>
      <c r="J412" s="29" t="inlineStr">
        <is>
          <t>Lisans kanıtları/26bcc64e05f3c16bb375352d49ecc7c2cbdbe650ec0d9d47648bc07339e3ac4d.html</t>
        </is>
      </c>
      <c r="K412" s="29" t="inlineStr">
        <is>
          <t>26bcc64e05f3c16bb375352d49ecc7c2cbdbe650ec0d9d47648bc07339e3ac4d</t>
        </is>
      </c>
    </row>
    <row r="413" ht="54" customHeight="1">
      <c r="A413" s="29" t="inlineStr">
        <is>
          <t>sevilla:kaynak:435</t>
        </is>
      </c>
      <c r="B413" s="29" t="inlineStr">
        <is>
          <t>sevilla</t>
        </is>
      </c>
      <c r="C413" s="29" t="inlineStr">
        <is>
          <t>Santa María La Blanca - Visita Sevilla</t>
        </is>
      </c>
      <c r="D413" s="29" t="inlineStr">
        <is>
          <t>Turismo de Sevilla (Consorcio de Turismo, visitasevilla.es)</t>
        </is>
      </c>
      <c r="E413" s="29" t="inlineStr">
        <is>
          <t>https://visitasevilla.es/santa-maria-la-blanca/</t>
        </is>
      </c>
      <c r="F413" s="49" t="n">
        <v>46320</v>
      </c>
      <c r="G413" s="29" t="inlineStr">
        <is>
          <t>sevilla:mekan4</t>
        </is>
      </c>
      <c r="H413" s="29" t="inlineStr">
        <is>
          <t>Adres ve yapının tarihi</t>
        </is>
      </c>
      <c r="I413" s="29" t="inlineStr">
        <is>
          <t>Evet</t>
        </is>
      </c>
      <c r="J413" s="29" t="inlineStr">
        <is>
          <t>Lisans kanıtları/4c4c3b10f1b783cb0f34997bbda57fa21024d427b4208c128c0bcb758986439a.html</t>
        </is>
      </c>
      <c r="K413" s="29" t="inlineStr">
        <is>
          <t>4c4c3b10f1b783cb0f34997bbda57fa21024d427b4208c128c0bcb758986439a</t>
        </is>
      </c>
    </row>
    <row r="414" ht="54" customHeight="1">
      <c r="A414" s="29" t="inlineStr">
        <is>
          <t>sevilla:kaynak:436</t>
        </is>
      </c>
      <c r="B414" s="29" t="inlineStr">
        <is>
          <t>sevilla</t>
        </is>
      </c>
      <c r="C414" s="29" t="inlineStr">
        <is>
          <t>Iglesia de San Pedro - Visita Sevilla</t>
        </is>
      </c>
      <c r="D414" s="29" t="inlineStr">
        <is>
          <t>Turismo de Sevilla (Consorcio de Turismo, visitasevilla.es)</t>
        </is>
      </c>
      <c r="E414" s="29" t="inlineStr">
        <is>
          <t>https://visitasevilla.es/iglesia-de-san-pedro/</t>
        </is>
      </c>
      <c r="F414" s="49" t="n">
        <v>46320</v>
      </c>
      <c r="G414" s="29" t="inlineStr">
        <is>
          <t>sevilla:mekan4</t>
        </is>
      </c>
      <c r="H414" s="29" t="inlineStr">
        <is>
          <t>Adres ve yapının tarihi</t>
        </is>
      </c>
      <c r="I414" s="29" t="inlineStr">
        <is>
          <t>Evet</t>
        </is>
      </c>
      <c r="J414" s="29" t="inlineStr">
        <is>
          <t>Lisans kanıtları/7f0c5caa55bb0c9ae2d575e71dcf20efc6ca89a0fc2cdff99880196d30061f47.html</t>
        </is>
      </c>
      <c r="K414" s="29" t="inlineStr">
        <is>
          <t>7f0c5caa55bb0c9ae2d575e71dcf20efc6ca89a0fc2cdff99880196d30061f47</t>
        </is>
      </c>
    </row>
    <row r="415" ht="54" customHeight="1">
      <c r="A415" s="29" t="inlineStr">
        <is>
          <t>sevilla:kaynak:437</t>
        </is>
      </c>
      <c r="B415" s="29" t="inlineStr">
        <is>
          <t>sevilla</t>
        </is>
      </c>
      <c r="C415" s="29" t="inlineStr">
        <is>
          <t>El azulejo de Sevilla que, según la tradición, predice bodas - Visita Sevilla</t>
        </is>
      </c>
      <c r="D415" s="29" t="inlineStr">
        <is>
          <t>Turismo de Sevilla (Consorcio de Turismo, visitasevilla.es)</t>
        </is>
      </c>
      <c r="E415" s="29" t="inlineStr">
        <is>
          <t>https://visitasevilla.es/sabias-que-en-sevilla-hay-un-azulejo-que-predice-bodas/</t>
        </is>
      </c>
      <c r="F415" s="49" t="n">
        <v>46320</v>
      </c>
      <c r="G415" s="29" t="inlineStr">
        <is>
          <t>sevilla:mekan4</t>
        </is>
      </c>
      <c r="H415" s="29" t="inlineStr">
        <is>
          <t>San Pedro kilisesi dış cephesindeki çini geleneği</t>
        </is>
      </c>
      <c r="I415" s="29" t="inlineStr">
        <is>
          <t>Evet</t>
        </is>
      </c>
      <c r="J415" s="29" t="inlineStr">
        <is>
          <t>Lisans kanıtları/35a47e930eb2da10503d1e33ad2f14c2f907b52bcd74498731b1ce526230b1b2.html</t>
        </is>
      </c>
      <c r="K415" s="29" t="inlineStr">
        <is>
          <t>35a47e930eb2da10503d1e33ad2f14c2f907b52bcd74498731b1ce526230b1b2</t>
        </is>
      </c>
    </row>
    <row r="416" ht="54" customHeight="1">
      <c r="A416" s="29" t="inlineStr">
        <is>
          <t>sevilla:kaynak:438</t>
        </is>
      </c>
      <c r="B416" s="29" t="inlineStr">
        <is>
          <t>sevilla</t>
        </is>
      </c>
      <c r="C416" s="29" t="inlineStr">
        <is>
          <t>Información</t>
        </is>
      </c>
      <c r="D416" s="29" t="inlineStr">
        <is>
          <t>Fundación Casa de Alba (Palacio de las Dueñas)</t>
        </is>
      </c>
      <c r="E416" s="29" t="inlineStr">
        <is>
          <t>https://www.lasduenas.es/info-al-visitante</t>
        </is>
      </c>
      <c r="F416" s="49" t="n">
        <v>46320</v>
      </c>
      <c r="G416" s="29" t="inlineStr">
        <is>
          <t>sevilla:mekan1</t>
        </is>
      </c>
      <c r="H416" s="29" t="inlineStr">
        <is>
          <t>Visita e información práctica</t>
        </is>
      </c>
      <c r="I416" s="29" t="inlineStr">
        <is>
          <t>Evet</t>
        </is>
      </c>
      <c r="J416" s="29" t="inlineStr">
        <is>
          <t>Lisans kanıtları/68ece6f1c694902c2ffe9219382aff7934afd33ceda5f47ea793eecf5a49bd1e.html</t>
        </is>
      </c>
      <c r="K416" s="29" t="inlineStr">
        <is>
          <t>68ece6f1c694902c2ffe9219382aff7934afd33ceda5f47ea793eecf5a49bd1e</t>
        </is>
      </c>
    </row>
    <row r="417" ht="54" customHeight="1">
      <c r="A417" s="29" t="inlineStr">
        <is>
          <t>sevilla:kaynak:439</t>
        </is>
      </c>
      <c r="B417" s="29" t="inlineStr">
        <is>
          <t>sevilla</t>
        </is>
      </c>
      <c r="C417" s="29" t="inlineStr">
        <is>
          <t>Contacto - Real Alcázar de Sevilla - Official Web of The Real Alcázar of Seville</t>
        </is>
      </c>
      <c r="D417" s="29" t="inlineStr">
        <is>
          <t>Patronato del Real Alcázar</t>
        </is>
      </c>
      <c r="E417" s="29" t="inlineStr">
        <is>
          <t>https://alcazarsevilla.org/contacto/</t>
        </is>
      </c>
      <c r="F417" s="49" t="n">
        <v>46320</v>
      </c>
      <c r="G417" s="29" t="inlineStr">
        <is>
          <t>sevilla:mekan1</t>
        </is>
      </c>
      <c r="H417" s="29" t="inlineStr">
        <is>
          <t>Contacto y dirección</t>
        </is>
      </c>
      <c r="I417" s="29" t="inlineStr">
        <is>
          <t>Evet</t>
        </is>
      </c>
      <c r="J417" s="29" t="inlineStr">
        <is>
          <t>Lisans kanıtları/6a7503aea9c5eed4d0680ddc6c67cf1e48ced23e5be10b0ee6d9e055353f6e7f.html</t>
        </is>
      </c>
      <c r="K417" s="29" t="inlineStr">
        <is>
          <t>6a7503aea9c5eed4d0680ddc6c67cf1e48ced23e5be10b0ee6d9e055353f6e7f</t>
        </is>
      </c>
    </row>
    <row r="418" ht="54" customHeight="1">
      <c r="A418" s="29" t="inlineStr">
        <is>
          <t>sevilla:kaynak:440</t>
        </is>
      </c>
      <c r="B418" s="29" t="inlineStr">
        <is>
          <t>sevilla</t>
        </is>
      </c>
      <c r="C418" s="29" t="inlineStr">
        <is>
          <t>CONTACTO – Palacio de Lebrija</t>
        </is>
      </c>
      <c r="D418" s="29" t="inlineStr">
        <is>
          <t>Palacio de la Condesa de Lebrija</t>
        </is>
      </c>
      <c r="E418" s="29" t="inlineStr">
        <is>
          <t>https://palaciodelebrija.com/contacto/</t>
        </is>
      </c>
      <c r="F418" s="49" t="n">
        <v>46320</v>
      </c>
      <c r="G418" s="29" t="inlineStr">
        <is>
          <t>sevilla:mekan1</t>
        </is>
      </c>
      <c r="H418" s="29" t="inlineStr">
        <is>
          <t>Contacto y dirección</t>
        </is>
      </c>
      <c r="I418" s="29" t="inlineStr">
        <is>
          <t>Evet</t>
        </is>
      </c>
      <c r="J418" s="29" t="inlineStr">
        <is>
          <t>Lisans kanıtları/f97a827f86518262bfcbe92f233c10f784be7a2f4eb76cc85b069debd84e347f.html</t>
        </is>
      </c>
      <c r="K418" s="29" t="inlineStr">
        <is>
          <t>f97a827f86518262bfcbe92f233c10f784be7a2f4eb76cc85b069debd84e347f</t>
        </is>
      </c>
    </row>
    <row r="419" ht="54" customHeight="1">
      <c r="A419" s="29" t="inlineStr">
        <is>
          <t>sevilla:kaynak:441</t>
        </is>
      </c>
      <c r="B419" s="29" t="inlineStr">
        <is>
          <t>sevilla</t>
        </is>
      </c>
      <c r="C419" s="29" t="inlineStr">
        <is>
          <t>El Patio Sevillano | Contacta con nosotros</t>
        </is>
      </c>
      <c r="D419" s="29" t="inlineStr">
        <is>
          <t>El Patio Sevillano</t>
        </is>
      </c>
      <c r="E419" s="29" t="inlineStr">
        <is>
          <t>https://www.elpatiosevillano.com/contacto</t>
        </is>
      </c>
      <c r="F419" s="49" t="n">
        <v>46320</v>
      </c>
      <c r="G419" s="29" t="inlineStr">
        <is>
          <t>sevilla:mekan2</t>
        </is>
      </c>
      <c r="H419" s="29" t="inlineStr">
        <is>
          <t>Contacto y dirección</t>
        </is>
      </c>
      <c r="I419" s="29" t="inlineStr">
        <is>
          <t>Evet</t>
        </is>
      </c>
      <c r="J419" s="29" t="inlineStr">
        <is>
          <t>Lisans kanıtları/f7ab1d5cc0eeb9a9e2b6f0d16c726a854dc34b445126977d34eca006c81ba560.html</t>
        </is>
      </c>
      <c r="K419" s="29" t="inlineStr">
        <is>
          <t>f7ab1d5cc0eeb9a9e2b6f0d16c726a854dc34b445126977d34eca006c81ba560</t>
        </is>
      </c>
    </row>
    <row r="420" ht="54" customHeight="1">
      <c r="A420" s="29" t="inlineStr">
        <is>
          <t>sevilla:kaynak:442</t>
        </is>
      </c>
      <c r="B420" s="29" t="inlineStr">
        <is>
          <t>sevilla</t>
        </is>
      </c>
      <c r="C420" s="29" t="inlineStr">
        <is>
          <t>Tarifas y horarios. - Rocódromo escalada Sevilla. Rock &amp; Wall Climbing.</t>
        </is>
      </c>
      <c r="D420" s="29" t="inlineStr">
        <is>
          <t>Rock &amp; Wall Climbing</t>
        </is>
      </c>
      <c r="E420" s="29" t="inlineStr">
        <is>
          <t>https://www.rockandwallclimbing.com/tarifas-y-horarios/</t>
        </is>
      </c>
      <c r="F420" s="49" t="n">
        <v>46320</v>
      </c>
      <c r="G420" s="29" t="inlineStr">
        <is>
          <t>sevilla:mekan3</t>
        </is>
      </c>
      <c r="H420" s="29" t="inlineStr">
        <is>
          <t>Tarifas y horarios</t>
        </is>
      </c>
      <c r="I420" s="29" t="inlineStr">
        <is>
          <t>Evet</t>
        </is>
      </c>
      <c r="J420" s="29" t="inlineStr">
        <is>
          <t>Lisans kanıtları/b1b086c6f8668f04f7d13ca6f48e85cc2676654c766852ab5bd22d5c394ab621.html</t>
        </is>
      </c>
      <c r="K420" s="29" t="inlineStr">
        <is>
          <t>b1b086c6f8668f04f7d13ca6f48e85cc2676654c766852ab5bd22d5c394ab621</t>
        </is>
      </c>
    </row>
    <row r="421" ht="54" customHeight="1">
      <c r="A421" s="29" t="inlineStr">
        <is>
          <t>sevilla:kaynak:443</t>
        </is>
      </c>
      <c r="B421" s="29" t="inlineStr">
        <is>
          <t>sevilla</t>
        </is>
      </c>
      <c r="C421" s="29" t="inlineStr">
        <is>
          <t>Accesibilidad</t>
        </is>
      </c>
      <c r="D421" s="29" t="inlineStr">
        <is>
          <t>Diputación de Sevilla</t>
        </is>
      </c>
      <c r="E421" s="29" t="inlineStr">
        <is>
          <t>https://www.casadelaprovincia.es/accesibilidad/</t>
        </is>
      </c>
      <c r="F421" s="49" t="n">
        <v>46320</v>
      </c>
      <c r="G421" s="29" t="inlineStr">
        <is>
          <t>sevilla:mekan2</t>
        </is>
      </c>
      <c r="H421" s="29" t="inlineStr">
        <is>
          <t>Mekânın kendi sitesinde adres ve ziyaret bilgisi veren alt sayfa</t>
        </is>
      </c>
      <c r="I421" s="29" t="inlineStr">
        <is>
          <t>Evet</t>
        </is>
      </c>
      <c r="J421" s="29" t="inlineStr">
        <is>
          <t>Lisans kanıtları/13be0bc3b52d470c28672f0b5fc0b6a73296df8aa6dee19325c43ebf74043b79.html</t>
        </is>
      </c>
      <c r="K421" s="29" t="inlineStr">
        <is>
          <t>13be0bc3b52d470c28672f0b5fc0b6a73296df8aa6dee19325c43ebf74043b79</t>
        </is>
      </c>
    </row>
    <row r="422" ht="54" customHeight="1">
      <c r="A422" s="29" t="inlineStr">
        <is>
          <t>sevilla:kaynak:444</t>
        </is>
      </c>
      <c r="B422" s="29" t="inlineStr">
        <is>
          <t>sevilla</t>
        </is>
      </c>
      <c r="C422" s="29" t="inlineStr">
        <is>
          <t>Localización – Bodega Góngora | Tapas y Solera en el Centro de Sevilla</t>
        </is>
      </c>
      <c r="D422" s="29" t="inlineStr">
        <is>
          <t>Bodega Góngora</t>
        </is>
      </c>
      <c r="E422" s="29" t="inlineStr">
        <is>
          <t>https://www.bodegagongora.com/localizacion/</t>
        </is>
      </c>
      <c r="F422" s="49" t="n">
        <v>46320</v>
      </c>
      <c r="G422" s="29" t="inlineStr">
        <is>
          <t>sevilla:mekan2</t>
        </is>
      </c>
      <c r="H422" s="29" t="inlineStr">
        <is>
          <t>Mekânın kendi sitesinde adres ve ziyaret bilgisi veren alt sayfa</t>
        </is>
      </c>
      <c r="I422" s="29" t="inlineStr">
        <is>
          <t>Evet</t>
        </is>
      </c>
      <c r="J422" s="29" t="inlineStr">
        <is>
          <t>Lisans kanıtları/f3661b6b7983b62f38948ded8fa49b661c0667261e4e5864ebdfc31d87817514.html</t>
        </is>
      </c>
      <c r="K422" s="29" t="inlineStr">
        <is>
          <t>f3661b6b7983b62f38948ded8fa49b661c0667261e4e5864ebdfc31d87817514</t>
        </is>
      </c>
    </row>
    <row r="423" ht="54" customHeight="1">
      <c r="A423" s="29" t="inlineStr">
        <is>
          <t>sevilla:kaynak:445</t>
        </is>
      </c>
      <c r="B423" s="29" t="inlineStr">
        <is>
          <t>sevilla</t>
        </is>
      </c>
      <c r="C423" s="29" t="inlineStr">
        <is>
          <t>Accesibilidad - Acuario de Sevilla</t>
        </is>
      </c>
      <c r="D423" s="29" t="inlineStr">
        <is>
          <t>Acuario de Sevilla</t>
        </is>
      </c>
      <c r="E423" s="29" t="inlineStr">
        <is>
          <t>https://www.acuariosevilla.es/accesibilidad/</t>
        </is>
      </c>
      <c r="F423" s="49" t="n">
        <v>46320</v>
      </c>
      <c r="G423" s="29" t="inlineStr">
        <is>
          <t>sevilla:mekan2</t>
        </is>
      </c>
      <c r="H423" s="29" t="inlineStr">
        <is>
          <t>Mekânın kendi sitesinde adres ve ziyaret bilgisi veren alt sayfa</t>
        </is>
      </c>
      <c r="I423" s="29" t="inlineStr">
        <is>
          <t>Evet</t>
        </is>
      </c>
      <c r="J423" s="29" t="inlineStr">
        <is>
          <t>Lisans kanıtları/fe00dfbeeeb40269dae87bf7eff9d94607bc37977b352eba6273876316356ff7.html</t>
        </is>
      </c>
      <c r="K423" s="29" t="inlineStr">
        <is>
          <t>fe00dfbeeeb40269dae87bf7eff9d94607bc37977b352eba6273876316356ff7</t>
        </is>
      </c>
    </row>
    <row r="424" ht="54" customHeight="1">
      <c r="A424" s="29" t="inlineStr">
        <is>
          <t>sevilla:kaynak:446</t>
        </is>
      </c>
      <c r="B424" s="29" t="inlineStr">
        <is>
          <t>sevilla</t>
        </is>
      </c>
      <c r="C424" s="29" t="inlineStr">
        <is>
          <t>Domingos de Vermut y Potaje Teatro Flamenco Sevilla</t>
        </is>
      </c>
      <c r="D424" s="29" t="inlineStr">
        <is>
          <t>Teatro Flamenco Sevilla</t>
        </is>
      </c>
      <c r="E424" s="29" t="inlineStr">
        <is>
          <t>https://teatroflamencosevilla.com/ciclo/domingos-de-vermut-y-potaje</t>
        </is>
      </c>
      <c r="F424" s="49" t="n">
        <v>46320</v>
      </c>
      <c r="G424" s="29" t="inlineStr">
        <is>
          <t>sevilla:mekan3</t>
        </is>
      </c>
      <c r="H424" s="29" t="inlineStr">
        <is>
          <t>Mekânın kendi sitesinde adres ve ziyaret bilgisi veren alt sayfa</t>
        </is>
      </c>
      <c r="I424" s="29" t="inlineStr">
        <is>
          <t>Evet</t>
        </is>
      </c>
      <c r="J424" s="29" t="inlineStr">
        <is>
          <t>Lisans kanıtları/c02195a98096fa6182ab535e37e8e9aff734568da17c86a52fab9ae414b8d935.html</t>
        </is>
      </c>
      <c r="K424" s="29" t="inlineStr">
        <is>
          <t>c02195a98096fa6182ab535e37e8e9aff734568da17c86a52fab9ae414b8d935</t>
        </is>
      </c>
    </row>
    <row r="425" ht="54" customHeight="1">
      <c r="A425" s="29" t="inlineStr">
        <is>
          <t>sevilla:kaynak:447</t>
        </is>
      </c>
      <c r="B425" s="29" t="inlineStr">
        <is>
          <t>sevilla</t>
        </is>
      </c>
      <c r="C425" s="29" t="inlineStr">
        <is>
          <t>Título de familia numerosa - Junta de Andalucía</t>
        </is>
      </c>
      <c r="D425" s="29" t="inlineStr">
        <is>
          <t>Junta de Andalucía</t>
        </is>
      </c>
      <c r="E425" s="29" t="inlineStr">
        <is>
          <t>https://www.juntadeandalucia.es/organismos/serviciossocialesfamiliaseigualdad/areas/familias/familia-numerosa/paginas/familia-numerosa-titulo.html</t>
        </is>
      </c>
      <c r="F425" s="49" t="n">
        <v>46320</v>
      </c>
      <c r="G425" s="29" t="inlineStr">
        <is>
          <t>sevilla:aile</t>
        </is>
      </c>
      <c r="H425" s="29" t="inlineStr">
        <is>
          <t>Resmî işlem sayfası: çok çocuklu aile unvanı alma, yenileme, kategoriler, belgeler, başvuru yolu.</t>
        </is>
      </c>
      <c r="I425" s="29" t="inlineStr">
        <is>
          <t>Evet</t>
        </is>
      </c>
      <c r="J425" s="29" t="inlineStr">
        <is>
          <t>Lisans kanıtları/773f7cea27e6e48716f5476c26889ebf06bc88261e3b3bb1c0afd05fe899d4e7.html</t>
        </is>
      </c>
      <c r="K425" s="29" t="inlineStr">
        <is>
          <t>773f7cea27e6e48716f5476c26889ebf06bc88261e3b3bb1c0afd05fe899d4e7</t>
        </is>
      </c>
    </row>
    <row r="426" ht="54" customHeight="1">
      <c r="A426" s="29" t="inlineStr">
        <is>
          <t>sevilla:kaynak:448</t>
        </is>
      </c>
      <c r="B426" s="29" t="inlineStr">
        <is>
          <t>sevilla</t>
        </is>
      </c>
      <c r="C426" s="29" t="inlineStr">
        <is>
          <t>Delegación Territorial de Servicios Sociales, Familias e Igualdad en Sevilla - Servicios Sociales, Familias e Igualdad - Junta de Andalucía</t>
        </is>
      </c>
      <c r="D426" s="29" t="inlineStr">
        <is>
          <t>Junta de Andalucía</t>
        </is>
      </c>
      <c r="E426" s="29" t="inlineStr">
        <is>
          <t>https://www.juntadeandalucia.es/organismos/serviciossocialesfamiliaseigualdad/consejeria/delegaciones/sevilla.html</t>
        </is>
      </c>
      <c r="F426" s="49" t="n">
        <v>46320</v>
      </c>
      <c r="G426" s="29" t="inlineStr">
        <is>
          <t>sevilla:aile</t>
        </is>
      </c>
      <c r="H426" s="29" t="inlineStr">
        <is>
          <t>Sevilla delegasyonunun adresi ve telefonu; aile unvanı başvurusu bu delegasyona yapılır.</t>
        </is>
      </c>
      <c r="I426" s="29" t="inlineStr">
        <is>
          <t>Evet</t>
        </is>
      </c>
      <c r="J426" s="29" t="inlineStr">
        <is>
          <t>Lisans kanıtları/144038bbf445a7b871b5f1fb1ac16afa1ea84eb2c459c930b3db77cd4e359c9d.html</t>
        </is>
      </c>
      <c r="K426" s="29" t="inlineStr">
        <is>
          <t>144038bbf445a7b871b5f1fb1ac16afa1ea84eb2c459c930b3db77cd4e359c9d</t>
        </is>
      </c>
    </row>
    <row r="427" ht="54" customHeight="1">
      <c r="A427" s="29" t="inlineStr">
        <is>
          <t>sevilla:kaynak:449</t>
        </is>
      </c>
      <c r="B427" s="29" t="inlineStr">
        <is>
          <t>sevilla</t>
        </is>
      </c>
      <c r="C427" s="29" t="inlineStr">
        <is>
          <t>Descubre esta ruta gastro por la zona norte de Sevilla - Visita Sevilla</t>
        </is>
      </c>
      <c r="D427" s="29" t="inlineStr">
        <is>
          <t>Turismo de Sevilla (visitasevilla.es)</t>
        </is>
      </c>
      <c r="E427" s="29" t="inlineStr">
        <is>
          <t>https://visitasevilla.es/ruta-gastro-norte-sevilla/</t>
        </is>
      </c>
      <c r="F427" s="49" t="n">
        <v>46319</v>
      </c>
      <c r="G427" s="29" t="inlineStr">
        <is>
          <t>sevilla:mahalle</t>
        </is>
      </c>
      <c r="H427" s="29" t="inlineStr">
        <is>
          <t>Rota Plaza del Museo, Calle San Vicente, Plaza de la Gavidia, Plaza de San Lorenzo, Alameda: konum ve yürüyüş sırası.</t>
        </is>
      </c>
      <c r="I427" s="29" t="inlineStr">
        <is>
          <t>Evet</t>
        </is>
      </c>
      <c r="J427" s="29" t="inlineStr">
        <is>
          <t>Lisans kanıtları/ae35c527750da4feda582e4c8fd1fa808df8d705931fb865c193246bc91ff1c9.html</t>
        </is>
      </c>
      <c r="K427" s="29" t="inlineStr">
        <is>
          <t>ae35c527750da4feda582e4c8fd1fa808df8d705931fb865c193246bc91ff1c9</t>
        </is>
      </c>
    </row>
    <row r="428" ht="54" customHeight="1">
      <c r="A428" s="29" t="inlineStr">
        <is>
          <t>sevilla:kaynak:450</t>
        </is>
      </c>
      <c r="B428" s="29" t="inlineStr">
        <is>
          <t>sevilla</t>
        </is>
      </c>
      <c r="C428" s="29" t="inlineStr">
        <is>
          <t>Iglesia de San Vicente - Visita Sevilla</t>
        </is>
      </c>
      <c r="D428" s="29" t="inlineStr">
        <is>
          <t>Turismo de Sevilla (visitasevilla.es)</t>
        </is>
      </c>
      <c r="E428" s="29" t="inlineStr">
        <is>
          <t>https://visitasevilla.es/iglesia-de-san-vicente/</t>
        </is>
      </c>
      <c r="F428" s="49" t="n">
        <v>46320</v>
      </c>
      <c r="G428" s="29" t="inlineStr">
        <is>
          <t>sevilla:mahalle</t>
        </is>
      </c>
      <c r="H428" s="29" t="inlineStr">
        <is>
          <t>Iglesia de San Vicente: konum, mimari, iki hermandad, adres.</t>
        </is>
      </c>
      <c r="I428" s="29" t="inlineStr">
        <is>
          <t>Evet</t>
        </is>
      </c>
      <c r="J428" s="29" t="inlineStr">
        <is>
          <t>Lisans kanıtları/7cb716409acc3d23b95ea5ffeee02571ffe5296ea7f1d8beb1f812539dc9dd48.html</t>
        </is>
      </c>
      <c r="K428" s="29" t="inlineStr">
        <is>
          <t>7cb716409acc3d23b95ea5ffeee02571ffe5296ea7f1d8beb1f812539dc9dd48</t>
        </is>
      </c>
    </row>
    <row r="429" ht="54" customHeight="1">
      <c r="A429" s="29" t="inlineStr">
        <is>
          <t>sevilla:kaynak:451</t>
        </is>
      </c>
      <c r="B429" s="29" t="inlineStr">
        <is>
          <t>sevilla</t>
        </is>
      </c>
      <c r="C429" s="29" t="inlineStr">
        <is>
          <t>El casco histórico de Sevilla y su trazado casi intacto desde la Edad Media - Visita Sevilla</t>
        </is>
      </c>
      <c r="D429" s="29" t="inlineStr">
        <is>
          <t>Turismo de Sevilla (visitasevilla.es)</t>
        </is>
      </c>
      <c r="E429" s="29" t="inlineStr">
        <is>
          <t>https://visitasevilla.es/sabias-que-casco-historico-sevilla-conserva-trazado-edad-media/</t>
        </is>
      </c>
      <c r="F429" s="49" t="n">
        <v>46320</v>
      </c>
      <c r="G429" s="29" t="inlineStr">
        <is>
          <t>sevilla:mahalle</t>
        </is>
      </c>
      <c r="H429" s="29" t="inlineStr">
        <is>
          <t>San Lorenzo semtinin Orta Çağ sokak dokusunu koruması.</t>
        </is>
      </c>
      <c r="I429" s="29" t="inlineStr">
        <is>
          <t>Evet</t>
        </is>
      </c>
      <c r="J429" s="29" t="inlineStr">
        <is>
          <t>Lisans kanıtları/48eab9be1e73583790f59d21765e6f60cf2ef615cf9d7f02fa6e1e62c0a81fd4.html</t>
        </is>
      </c>
      <c r="K429" s="29" t="inlineStr">
        <is>
          <t>48eab9be1e73583790f59d21765e6f60cf2ef615cf9d7f02fa6e1e62c0a81fd4</t>
        </is>
      </c>
    </row>
    <row r="430" ht="54" customHeight="1">
      <c r="A430" s="29" t="inlineStr">
        <is>
          <t>sevilla:kaynak:452</t>
        </is>
      </c>
      <c r="B430" s="29" t="inlineStr">
        <is>
          <t>sevilla</t>
        </is>
      </c>
      <c r="C430" s="29" t="inlineStr">
        <is>
          <t>Cine Cervantes</t>
        </is>
      </c>
      <c r="D430" s="29" t="inlineStr">
        <is>
          <t>Junta de Andalucía - Agenda Cultural de Andalucía</t>
        </is>
      </c>
      <c r="E430" s="29" t="inlineStr">
        <is>
          <t>https://www.juntadeandalucia.es/cultura/agendaculturaldeandalucia/espacios/cine-cervantes</t>
        </is>
      </c>
      <c r="F430" s="49" t="n">
        <v>46320</v>
      </c>
      <c r="G430" s="29" t="inlineStr">
        <is>
          <t>sevilla:kesif</t>
        </is>
      </c>
      <c r="H430" s="29" t="inlineStr">
        <is>
          <t>Sevilla'nin en eski sinemasi, Filmoteca de Andalucía sedesi; Junta espacio sayfasinda adres</t>
        </is>
      </c>
      <c r="I430" s="29" t="inlineStr">
        <is>
          <t>Evet</t>
        </is>
      </c>
      <c r="J430" s="29" t="inlineStr">
        <is>
          <t>Lisans kanıtları/94b018d433c707721e6b64954493cae12e69e2b88be31b123dd931bafdb9220c.html</t>
        </is>
      </c>
      <c r="K430" s="29" t="inlineStr">
        <is>
          <t>94b018d433c707721e6b64954493cae12e69e2b88be31b123dd931bafdb9220c</t>
        </is>
      </c>
    </row>
    <row r="431" ht="54" customHeight="1">
      <c r="A431" s="29" t="inlineStr">
        <is>
          <t>sevilla:kaynak:453</t>
        </is>
      </c>
      <c r="B431" s="29" t="inlineStr">
        <is>
          <t>sevilla</t>
        </is>
      </c>
      <c r="C431" s="29" t="inlineStr">
        <is>
          <t>Teatro La Fundición</t>
        </is>
      </c>
      <c r="D431" s="29" t="inlineStr">
        <is>
          <t>Junta de Andalucía - Agenda Cultural de Andalucía</t>
        </is>
      </c>
      <c r="E431" s="29" t="inlineStr">
        <is>
          <t>https://www.juntadeandalucia.es/cultura/agendaculturaldeandalucia/espacios/teatro-la-fundicion</t>
        </is>
      </c>
      <c r="F431" s="49" t="n">
        <v>46320</v>
      </c>
      <c r="G431" s="29" t="inlineStr">
        <is>
          <t>sevilla:kesif</t>
        </is>
      </c>
      <c r="H431" s="29" t="inlineStr">
        <is>
          <t>Casa de la Moneda'nin eski dokumhanesinde tiyatro; yetiskin, aile ve dans programi</t>
        </is>
      </c>
      <c r="I431" s="29" t="inlineStr">
        <is>
          <t>Evet</t>
        </is>
      </c>
      <c r="J431" s="29" t="inlineStr">
        <is>
          <t>Lisans kanıtları/3e948b74137d32953e4dcf8270064b0d703060d87b2a5ee65fa8f296efb46a36.html</t>
        </is>
      </c>
      <c r="K431" s="29" t="inlineStr">
        <is>
          <t>3e948b74137d32953e4dcf8270064b0d703060d87b2a5ee65fa8f296efb46a36</t>
        </is>
      </c>
    </row>
    <row r="432" ht="54" customHeight="1">
      <c r="A432" s="29" t="inlineStr">
        <is>
          <t>sevilla:kaynak:454</t>
        </is>
      </c>
      <c r="B432" s="29" t="inlineStr">
        <is>
          <t>sevilla</t>
        </is>
      </c>
      <c r="C432" s="29" t="inlineStr">
        <is>
          <t>Sala Cero Teatro</t>
        </is>
      </c>
      <c r="D432" s="29" t="inlineStr">
        <is>
          <t>Junta de Andalucía - Agenda Cultural de Andalucía</t>
        </is>
      </c>
      <c r="E432" s="29" t="inlineStr">
        <is>
          <t>https://www.juntadeandalucia.es/cultura/agendaculturaldeandalucia/espacios/sala-cero-teatro</t>
        </is>
      </c>
      <c r="F432" s="49" t="n">
        <v>46320</v>
      </c>
      <c r="G432" s="29" t="inlineStr">
        <is>
          <t>sevilla:kesif</t>
        </is>
      </c>
      <c r="H432" s="29" t="inlineStr">
        <is>
          <t>Santa Catalina semtinde bagimsiz tiyatro salonu</t>
        </is>
      </c>
      <c r="I432" s="29" t="inlineStr">
        <is>
          <t>Evet</t>
        </is>
      </c>
      <c r="J432" s="29" t="inlineStr">
        <is>
          <t>Lisans kanıtları/47acc06a7b2d86bd784d2c4ab07ad860418a2a78dfce32c94e0c80c9f0627c5c.html</t>
        </is>
      </c>
      <c r="K432" s="29" t="inlineStr">
        <is>
          <t>47acc06a7b2d86bd784d2c4ab07ad860418a2a78dfce32c94e0c80c9f0627c5c</t>
        </is>
      </c>
    </row>
    <row r="433" ht="54" customHeight="1">
      <c r="A433" s="29" t="inlineStr">
        <is>
          <t>sevilla:kaynak:455</t>
        </is>
      </c>
      <c r="B433" s="29" t="inlineStr">
        <is>
          <t>sevilla</t>
        </is>
      </c>
      <c r="C433" s="29" t="inlineStr">
        <is>
          <t>Teatro Alameda</t>
        </is>
      </c>
      <c r="D433" s="29" t="inlineStr">
        <is>
          <t>Junta de Andalucía - Agenda Cultural de Andalucía</t>
        </is>
      </c>
      <c r="E433" s="29" t="inlineStr">
        <is>
          <t>https://www.juntadeandalucia.es/cultura/agendaculturaldeandalucia/espacios/teatro-alameda</t>
        </is>
      </c>
      <c r="F433" s="49" t="n">
        <v>46320</v>
      </c>
      <c r="G433" s="29" t="inlineStr">
        <is>
          <t>sevilla:kesif</t>
        </is>
      </c>
      <c r="H433" s="29" t="inlineStr">
        <is>
          <t>ICAS belediye tiyatrosu; cocuk, genc ve aile tiyatrosu (El Teatro y la Familia), Feria del Titere</t>
        </is>
      </c>
      <c r="I433" s="29" t="inlineStr">
        <is>
          <t>Evet</t>
        </is>
      </c>
      <c r="J433" s="29" t="inlineStr">
        <is>
          <t>Lisans kanıtları/2d1f13dbec7ad4d8e2d94fc311d960e7e92595736e6e00263781a32ff80b85aa.html</t>
        </is>
      </c>
      <c r="K433" s="29" t="inlineStr">
        <is>
          <t>2d1f13dbec7ad4d8e2d94fc311d960e7e92595736e6e00263781a32ff80b85aa</t>
        </is>
      </c>
    </row>
    <row r="434" ht="54" customHeight="1">
      <c r="A434" s="29" t="inlineStr">
        <is>
          <t>sevilla:kaynak:456</t>
        </is>
      </c>
      <c r="B434" s="29" t="inlineStr">
        <is>
          <t>sevilla</t>
        </is>
      </c>
      <c r="C434" s="29" t="inlineStr">
        <is>
          <t>Cervecería Giralda - Cervecería Giralda Sevilla</t>
        </is>
      </c>
      <c r="D434" s="29" t="inlineStr">
        <is>
          <t>Cervecería Giralda (resmî site)</t>
        </is>
      </c>
      <c r="E434" s="29" t="inlineStr">
        <is>
          <t>https://www.cerveceriagiralda.com/</t>
        </is>
      </c>
      <c r="F434" s="49" t="n">
        <v>46320</v>
      </c>
      <c r="G434" s="29" t="inlineStr">
        <is>
          <t>sevilla:kesif</t>
        </is>
      </c>
      <c r="H434" s="29" t="inlineStr">
        <is>
          <t>Eski Arap hamami binasinda tarihi bar, Giralda dibinde</t>
        </is>
      </c>
      <c r="I434" s="29" t="inlineStr">
        <is>
          <t>Evet</t>
        </is>
      </c>
      <c r="J434" s="29" t="inlineStr">
        <is>
          <t>Lisans kanıtları/247da176346eff2d8afe53fc5f0d1f33cd31e666b34f00542e37440e769013b8.html</t>
        </is>
      </c>
      <c r="K434" s="29" t="inlineStr">
        <is>
          <t>247da176346eff2d8afe53fc5f0d1f33cd31e666b34f00542e37440e769013b8</t>
        </is>
      </c>
    </row>
    <row r="435" ht="54" customHeight="1">
      <c r="A435" s="29" t="inlineStr">
        <is>
          <t>sevilla:kaynak:457</t>
        </is>
      </c>
      <c r="B435" s="29" t="inlineStr">
        <is>
          <t>sevilla</t>
        </is>
      </c>
      <c r="C435" s="29" t="inlineStr">
        <is>
          <t>Bodega Dos de Mayo - Comer de Tapas en Sevilla</t>
        </is>
      </c>
      <c r="D435" s="29" t="inlineStr">
        <is>
          <t>Bodega Dos de Mayo (resmî site)</t>
        </is>
      </c>
      <c r="E435" s="29" t="inlineStr">
        <is>
          <t>https://www.bodegadosdemayo.com/</t>
        </is>
      </c>
      <c r="F435" s="49" t="n">
        <v>46320</v>
      </c>
      <c r="G435" s="29" t="inlineStr">
        <is>
          <t>sevilla:kesif</t>
        </is>
      </c>
      <c r="H435" s="29" t="inlineStr">
        <is>
          <t>Plaza de la Gavidia'da klasik Sevilla bodegasi ve tapas</t>
        </is>
      </c>
      <c r="I435" s="29" t="inlineStr">
        <is>
          <t>Evet</t>
        </is>
      </c>
      <c r="J435" s="29" t="inlineStr">
        <is>
          <t>Lisans kanıtları/2198c598356f557ecc7f6a8dcd219be3dbfca31313e3908c81c80271f35b10f6.html</t>
        </is>
      </c>
      <c r="K435" s="29" t="inlineStr">
        <is>
          <t>2198c598356f557ecc7f6a8dcd219be3dbfca31313e3908c81c80271f35b10f6</t>
        </is>
      </c>
    </row>
    <row r="436" ht="54" customHeight="1">
      <c r="A436" s="29" t="inlineStr">
        <is>
          <t>sevilla:kaynak:458</t>
        </is>
      </c>
      <c r="B436" s="29" t="inlineStr">
        <is>
          <t>sevilla</t>
        </is>
      </c>
      <c r="C436" s="29" t="inlineStr">
        <is>
          <t>Parque Magallanes</t>
        </is>
      </c>
      <c r="D436" s="29" t="inlineStr">
        <is>
          <t>Junta de Andalucía - Agenda Cultural de Andalucía</t>
        </is>
      </c>
      <c r="E436" s="29" t="inlineStr">
        <is>
          <t>https://www.juntadeandalucia.es/cultura/agendaculturaldeandalucia/espacios/parque-magallanes</t>
        </is>
      </c>
      <c r="F436" s="49" t="n">
        <v>46320</v>
      </c>
      <c r="G436" s="29" t="inlineStr">
        <is>
          <t>sevilla:kesif</t>
        </is>
      </c>
      <c r="H436" s="29" t="inlineStr">
        <is>
          <t>Torre Sevilla yaninda 40.000 m2 yeni park (I. Dunya Turu 500. yil); 7-22 yaz, 8-20 kis, ucretsiz</t>
        </is>
      </c>
      <c r="I436" s="29" t="inlineStr">
        <is>
          <t>Evet</t>
        </is>
      </c>
      <c r="J436" s="29" t="inlineStr">
        <is>
          <t>Lisans kanıtları/d9ad0f966dbf4f93bc7f60ac3d44cf4b10c28fc0283b86b806ee7cc6ee919905.html</t>
        </is>
      </c>
      <c r="K436" s="29" t="inlineStr">
        <is>
          <t>d9ad0f966dbf4f93bc7f60ac3d44cf4b10c28fc0283b86b806ee7cc6ee919905</t>
        </is>
      </c>
    </row>
    <row r="437" ht="54" customHeight="1">
      <c r="A437" s="29" t="inlineStr">
        <is>
          <t>sevilla:kaynak:459</t>
        </is>
      </c>
      <c r="B437" s="29" t="inlineStr">
        <is>
          <t>sevilla</t>
        </is>
      </c>
      <c r="C437" s="29" t="inlineStr">
        <is>
          <t>CartujaQanat</t>
        </is>
      </c>
      <c r="D437" s="29" t="inlineStr">
        <is>
          <t>Cartuja Qanat (resmî site)</t>
        </is>
      </c>
      <c r="E437" s="29" t="inlineStr">
        <is>
          <t>https://www.cartujaqanat.com/</t>
        </is>
      </c>
      <c r="F437" s="49" t="n">
        <v>46320</v>
      </c>
      <c r="G437" s="29" t="inlineStr">
        <is>
          <t>sevilla:kesif</t>
        </is>
      </c>
      <c r="H437" s="29" t="inlineStr">
        <is>
          <t>Cartuja Teknopark'inda su ve golgelikli acik hava kentsel alan (Agora ve Anfiteatro)</t>
        </is>
      </c>
      <c r="I437" s="29" t="inlineStr">
        <is>
          <t>Evet</t>
        </is>
      </c>
      <c r="J437" s="29" t="inlineStr">
        <is>
          <t>Lisans kanıtları/0edceef538b0bafd885467d04dd38bd62248b74fa77b823fd552a73f8bd0cbaa.html</t>
        </is>
      </c>
      <c r="K437" s="29" t="inlineStr">
        <is>
          <t>0edceef538b0bafd885467d04dd38bd62248b74fa77b823fd552a73f8bd0cbaa</t>
        </is>
      </c>
    </row>
    <row r="438" ht="54" customHeight="1">
      <c r="A438" s="29" t="inlineStr">
        <is>
          <t>sevilla:kaynak:460</t>
        </is>
      </c>
      <c r="B438" s="29" t="inlineStr">
        <is>
          <t>sevilla</t>
        </is>
      </c>
      <c r="C438" s="29" t="inlineStr">
        <is>
          <t>Muelle de la Sal</t>
        </is>
      </c>
      <c r="D438" s="29" t="inlineStr">
        <is>
          <t>Junta de Andalucía - Agenda Cultural de Andalucía</t>
        </is>
      </c>
      <c r="E438" s="29" t="inlineStr">
        <is>
          <t>https://www.juntadeandalucia.es/cultura/agendaculturaldeandalucia/espacios/muelle-de-la-sal</t>
        </is>
      </c>
      <c r="F438" s="49" t="n">
        <v>46320</v>
      </c>
      <c r="G438" s="29" t="inlineStr">
        <is>
          <t>sevilla:kesif</t>
        </is>
      </c>
      <c r="H438" s="29" t="inlineStr">
        <is>
          <t>Isabel II (Triana) kopru basinda Guadalquivir kiyisinda rihtim</t>
        </is>
      </c>
      <c r="I438" s="29" t="inlineStr">
        <is>
          <t>Evet</t>
        </is>
      </c>
      <c r="J438" s="29" t="inlineStr">
        <is>
          <t>Lisans kanıtları/ec3a2c4e97fb48ac0a0ff7660880ccf0bcfccea14eaded7964eab79898903317.html</t>
        </is>
      </c>
      <c r="K438" s="29" t="inlineStr">
        <is>
          <t>ec3a2c4e97fb48ac0a0ff7660880ccf0bcfccea14eaded7964eab79898903317</t>
        </is>
      </c>
    </row>
    <row r="439" ht="54" customHeight="1">
      <c r="A439" s="29" t="inlineStr">
        <is>
          <t>sevilla:kaynak:461</t>
        </is>
      </c>
      <c r="B439" s="29" t="inlineStr">
        <is>
          <t>sevilla</t>
        </is>
      </c>
      <c r="C439" s="29" t="inlineStr">
        <is>
          <t>Parroquia de Santa Ana - Visita Sevilla</t>
        </is>
      </c>
      <c r="D439" s="29" t="inlineStr">
        <is>
          <t>Turismo de Sevilla (visitasevilla.es)</t>
        </is>
      </c>
      <c r="E439" s="29" t="inlineStr">
        <is>
          <t>https://visitasevilla.es/parroquia-de-santa-ana/</t>
        </is>
      </c>
      <c r="F439" s="49" t="n">
        <v>46320</v>
      </c>
      <c r="G439" s="29" t="inlineStr">
        <is>
          <t>sevilla:kesif</t>
        </is>
      </c>
      <c r="H439" s="29" t="inlineStr">
        <is>
          <t>Triana'nın 'Catedral de Triana' denen, 1276'da Alfonso X'in kurduğu gotik-mudéjar kilisesi; hafta içi ziyarete açık</t>
        </is>
      </c>
      <c r="I439" s="29" t="inlineStr">
        <is>
          <t>Evet</t>
        </is>
      </c>
      <c r="J439" s="29" t="inlineStr">
        <is>
          <t>Lisans kanıtları/293ddf142a533e5716cc1b25f28955a316f25b9a540b487103755934596af4d2.html</t>
        </is>
      </c>
      <c r="K439" s="29" t="inlineStr">
        <is>
          <t>293ddf142a533e5716cc1b25f28955a316f25b9a540b487103755934596af4d2</t>
        </is>
      </c>
    </row>
    <row r="440" ht="54" customHeight="1">
      <c r="A440" s="29" t="inlineStr">
        <is>
          <t>sevilla:kaynak:462</t>
        </is>
      </c>
      <c r="B440" s="29" t="inlineStr">
        <is>
          <t>sevilla</t>
        </is>
      </c>
      <c r="C440" s="29" t="inlineStr">
        <is>
          <t>Iglesia del Valle - Visita Sevilla</t>
        </is>
      </c>
      <c r="D440" s="29" t="inlineStr">
        <is>
          <t>Turismo de Sevilla (visitasevilla.es)</t>
        </is>
      </c>
      <c r="E440" s="29" t="inlineStr">
        <is>
          <t>https://visitasevilla.es/iglesia-del-valle/</t>
        </is>
      </c>
      <c r="F440" s="49" t="n">
        <v>46320</v>
      </c>
      <c r="G440" s="29" t="inlineStr">
        <is>
          <t>sevilla:kesif</t>
        </is>
      </c>
      <c r="H440" s="29" t="inlineStr">
        <is>
          <t>Gitanos kardeşliğinin santuarisi olan eski Valle manastırı kilisesi; sabah ve akşam ziyarete açık</t>
        </is>
      </c>
      <c r="I440" s="29" t="inlineStr">
        <is>
          <t>Evet</t>
        </is>
      </c>
      <c r="J440" s="29" t="inlineStr">
        <is>
          <t>Lisans kanıtları/51144f055a6c6df6395324814b1dbf641ad915fbe6d85d2ac20cd74802fae7c1.html</t>
        </is>
      </c>
      <c r="K440" s="29" t="inlineStr">
        <is>
          <t>51144f055a6c6df6395324814b1dbf641ad915fbe6d85d2ac20cd74802fae7c1</t>
        </is>
      </c>
    </row>
    <row r="441" ht="54" customHeight="1">
      <c r="A441" s="29" t="inlineStr">
        <is>
          <t>sevilla:kaynak:463</t>
        </is>
      </c>
      <c r="B441" s="29" t="inlineStr">
        <is>
          <t>sevilla</t>
        </is>
      </c>
      <c r="C441" s="29" t="inlineStr">
        <is>
          <t>Parroquia de la O - Visita Sevilla</t>
        </is>
      </c>
      <c r="D441" s="29" t="inlineStr">
        <is>
          <t>Turismo de Sevilla (visitasevilla.es)</t>
        </is>
      </c>
      <c r="E441" s="29" t="inlineStr">
        <is>
          <t>https://visitasevilla.es/parroquia-de-la-o/</t>
        </is>
      </c>
      <c r="F441" s="49" t="n">
        <v>46319</v>
      </c>
      <c r="G441" s="29" t="inlineStr">
        <is>
          <t>sevilla:kesif</t>
        </is>
      </c>
      <c r="H441" s="29" t="inlineStr">
        <is>
          <t>Barok dönemi (1702) kilise, Triana'daki Calle Castilla'da; kardeşliğin özel mülkiyetindeki tek parroquia</t>
        </is>
      </c>
      <c r="I441" s="29" t="inlineStr">
        <is>
          <t>Evet</t>
        </is>
      </c>
      <c r="J441" s="29" t="inlineStr">
        <is>
          <t>Lisans kanıtları/576c97e0d1c55a7ce94dc8e2b4fed672449069e6ed170c8930b03bcd5529e3b4.html</t>
        </is>
      </c>
      <c r="K441" s="29" t="inlineStr">
        <is>
          <t>576c97e0d1c55a7ce94dc8e2b4fed672449069e6ed170c8930b03bcd5529e3b4</t>
        </is>
      </c>
    </row>
    <row r="442" ht="54" customHeight="1">
      <c r="A442" s="29" t="inlineStr">
        <is>
          <t>sevilla:kaynak:464</t>
        </is>
      </c>
      <c r="B442" s="29" t="inlineStr">
        <is>
          <t>sevilla</t>
        </is>
      </c>
      <c r="C442" s="29" t="inlineStr">
        <is>
          <t>Monasterio San Jerónimo - Visita Sevilla</t>
        </is>
      </c>
      <c r="D442" s="29" t="inlineStr">
        <is>
          <t>Turismo de Sevilla (visitasevilla.es)</t>
        </is>
      </c>
      <c r="E442" s="29" t="inlineStr">
        <is>
          <t>https://visitasevilla.es/monasterio-san-jeronimo/</t>
        </is>
      </c>
      <c r="F442" s="49" t="n">
        <v>46319</v>
      </c>
      <c r="G442" s="29" t="inlineStr">
        <is>
          <t>sevilla:kesif</t>
        </is>
      </c>
      <c r="H442" s="29" t="inlineStr">
        <is>
          <t>1414 kuruluşlu manastır; rönesans avlusu ve çan kulesiyle bugün kültür merkezi</t>
        </is>
      </c>
      <c r="I442" s="29" t="inlineStr">
        <is>
          <t>Evet</t>
        </is>
      </c>
      <c r="J442" s="29" t="inlineStr">
        <is>
          <t>Lisans kanıtları/08c5f8ea8e4d902d8149a54b5df787e620396d6e72c282f2f68a0ed8cb85d57f.html</t>
        </is>
      </c>
      <c r="K442" s="29" t="inlineStr">
        <is>
          <t>08c5f8ea8e4d902d8149a54b5df787e620396d6e72c282f2f68a0ed8cb85d57f</t>
        </is>
      </c>
    </row>
    <row r="443" ht="54" customHeight="1">
      <c r="A443" s="29" t="inlineStr">
        <is>
          <t>sevilla:kaynak:465</t>
        </is>
      </c>
      <c r="B443" s="29" t="inlineStr">
        <is>
          <t>sevilla</t>
        </is>
      </c>
      <c r="C443" s="29" t="inlineStr">
        <is>
          <t>Iglesia de Santa Marina - Visita Sevilla</t>
        </is>
      </c>
      <c r="D443" s="29" t="inlineStr">
        <is>
          <t>Turismo de Sevilla (visitasevilla.es)</t>
        </is>
      </c>
      <c r="E443" s="29" t="inlineStr">
        <is>
          <t>https://visitasevilla.es/iglesia-de-santa-marina/</t>
        </is>
      </c>
      <c r="F443" s="49" t="n">
        <v>46319</v>
      </c>
      <c r="G443" s="29" t="inlineStr">
        <is>
          <t>sevilla:kesif</t>
        </is>
      </c>
      <c r="H443" s="29" t="inlineStr">
        <is>
          <t>1265 civarı kurulmuş, Sevilla'nın en eski gotik-mudéjar kiliselerinden; Resurrección kardeşliği sedesi</t>
        </is>
      </c>
      <c r="I443" s="29" t="inlineStr">
        <is>
          <t>Evet</t>
        </is>
      </c>
      <c r="J443" s="29" t="inlineStr">
        <is>
          <t>Lisans kanıtları/b1cc205cc741fd74e265ad4c0e084882ebfa73dd016e1d43d950f8c3f3beead1.html</t>
        </is>
      </c>
      <c r="K443" s="29" t="inlineStr">
        <is>
          <t>b1cc205cc741fd74e265ad4c0e084882ebfa73dd016e1d43d950f8c3f3beead1</t>
        </is>
      </c>
    </row>
    <row r="444" ht="54" customHeight="1">
      <c r="A444" s="29" t="inlineStr">
        <is>
          <t>sevilla:kaynak:466</t>
        </is>
      </c>
      <c r="B444" s="29" t="inlineStr">
        <is>
          <t>sevilla</t>
        </is>
      </c>
      <c r="C444" s="29" t="inlineStr">
        <is>
          <t>Parroquia de San Sebastián de Sevilla – Toda la información de la Parroquia</t>
        </is>
      </c>
      <c r="D444" s="29" t="inlineStr">
        <is>
          <t>Parroquia de San Sebastián (resmî site)</t>
        </is>
      </c>
      <c r="E444" s="29" t="inlineStr">
        <is>
          <t>https://www.parroquiasansebastiansevilla.es/</t>
        </is>
      </c>
      <c r="F444" s="49" t="n">
        <v>46320</v>
      </c>
      <c r="G444" s="29" t="inlineStr">
        <is>
          <t>sevilla:kesif</t>
        </is>
      </c>
      <c r="H444" s="29" t="inlineStr">
        <is>
          <t>Prado de San Sebastián çevresindeki mahalle kilisesi; kendi sitesinde adres ve ayin saatleri</t>
        </is>
      </c>
      <c r="I444" s="29" t="inlineStr">
        <is>
          <t>Evet</t>
        </is>
      </c>
      <c r="J444" s="29" t="inlineStr">
        <is>
          <t>Lisans kanıtları/93a1f176c5b81ebbd9ace3805ba5a0765653d22974053265d58527723bb13799.html</t>
        </is>
      </c>
      <c r="K444" s="29" t="inlineStr">
        <is>
          <t>93a1f176c5b81ebbd9ace3805ba5a0765653d22974053265d58527723bb13799</t>
        </is>
      </c>
    </row>
    <row r="445" ht="54" customHeight="1">
      <c r="A445" s="29" t="inlineStr">
        <is>
          <t>sevilla:kaynak:467</t>
        </is>
      </c>
      <c r="B445" s="29" t="inlineStr">
        <is>
          <t>sevilla</t>
        </is>
      </c>
      <c r="C445" s="29" t="inlineStr">
        <is>
          <t>Archivo Histórico Provincial de Sevilla - Centros culturales - Junta de Andalucía</t>
        </is>
      </c>
      <c r="D445" s="29" t="inlineStr">
        <is>
          <t>Junta de Andalucía - Consejería de Cultura</t>
        </is>
      </c>
      <c r="E445" s="29" t="inlineStr">
        <is>
          <t>https://www.juntadeandalucia.es/organismos/culturaydeporte/servicios/directorio-instituciones/detalle/1196.html</t>
        </is>
      </c>
      <c r="F445" s="49" t="n">
        <v>46320</v>
      </c>
      <c r="G445" s="29" t="inlineStr">
        <is>
          <t>sevilla:kesif</t>
        </is>
      </c>
      <c r="H445" s="29" t="inlineStr">
        <is>
          <t>Palacio de los Archivos'ta tarihî belge arşivi; hafta içi halka açık, sergi programı var</t>
        </is>
      </c>
      <c r="I445" s="29" t="inlineStr">
        <is>
          <t>Evet</t>
        </is>
      </c>
      <c r="J445" s="29" t="inlineStr">
        <is>
          <t>Lisans kanıtları/f51e9ac7597b67333f723ba9704d95c505742f27e54d10b519b543eaaab69767.html</t>
        </is>
      </c>
      <c r="K445" s="29" t="inlineStr">
        <is>
          <t>f51e9ac7597b67333f723ba9704d95c505742f27e54d10b519b543eaaab69767</t>
        </is>
      </c>
    </row>
    <row r="446" ht="54" customHeight="1">
      <c r="A446" s="29" t="inlineStr">
        <is>
          <t>sevilla:kaynak:468</t>
        </is>
      </c>
      <c r="B446" s="29" t="inlineStr">
        <is>
          <t>sevilla</t>
        </is>
      </c>
      <c r="C446" s="29" t="inlineStr">
        <is>
          <t>Sede - Biblioteca Pública del Estado - Biblioteca Provincial de Sevilla</t>
        </is>
      </c>
      <c r="D446" s="29" t="inlineStr">
        <is>
          <t>Junta de Andalucía - Bibliotecas de Andalucía</t>
        </is>
      </c>
      <c r="E446" s="29" t="inlineStr">
        <is>
          <t>https://www.bibliotecasdeandalucia.es/web/biblioteca-del-estado-publica-provincial-de-sevilla/informacion/datos-practicos/sede</t>
        </is>
      </c>
      <c r="F446" s="49" t="n">
        <v>46320</v>
      </c>
      <c r="G446" s="29" t="inlineStr">
        <is>
          <t>sevilla:kesif</t>
        </is>
      </c>
      <c r="H446" s="29" t="inlineStr">
        <is>
          <t>Antonio Cruz ve Antonio Ortiz'in 1999 tasarımı kamu kütüphanesi; María Luisa Parkı karşısında</t>
        </is>
      </c>
      <c r="I446" s="29" t="inlineStr">
        <is>
          <t>Evet</t>
        </is>
      </c>
      <c r="J446" s="29" t="inlineStr">
        <is>
          <t>Lisans kanıtları/faa4905396818f4aafa9248e645e8ca62bd91038940b615504dde3e9576f7b57.html</t>
        </is>
      </c>
      <c r="K446" s="29" t="inlineStr">
        <is>
          <t>faa4905396818f4aafa9248e645e8ca62bd91038940b615504dde3e9576f7b57</t>
        </is>
      </c>
    </row>
    <row r="447" ht="54" customHeight="1">
      <c r="A447" s="29" t="inlineStr">
        <is>
          <t>sevilla:kaynak:469</t>
        </is>
      </c>
      <c r="B447" s="29" t="inlineStr">
        <is>
          <t>sevilla</t>
        </is>
      </c>
      <c r="C447" s="29" t="inlineStr">
        <is>
          <t>Hospital de los Venerables - Visita Sevilla</t>
        </is>
      </c>
      <c r="D447" s="29" t="inlineStr">
        <is>
          <t>Turismo de Sevilla (visitasevilla.es)</t>
        </is>
      </c>
      <c r="E447" s="29" t="inlineStr">
        <is>
          <t>https://visitasevilla.es/hospital-de-los-venerables-2/</t>
        </is>
      </c>
      <c r="F447" s="49" t="n">
        <v>46319</v>
      </c>
      <c r="G447" s="29" t="inlineStr">
        <is>
          <t>sevilla:kesif</t>
        </is>
      </c>
      <c r="H447" s="29" t="inlineStr">
        <is>
          <t>Barok hastane-kilise, bugün Fundación Focus sanat merkezi ve Centro Velázquez</t>
        </is>
      </c>
      <c r="I447" s="29" t="inlineStr">
        <is>
          <t>Evet</t>
        </is>
      </c>
      <c r="J447" s="29" t="inlineStr">
        <is>
          <t>Lisans kanıtları/e1b8ade625c73e35084f34de96fa3e9929cd2e0ce058cbdeb50bbb2f9d09c9c3.html</t>
        </is>
      </c>
      <c r="K447" s="29" t="inlineStr">
        <is>
          <t>e1b8ade625c73e35084f34de96fa3e9929cd2e0ce058cbdeb50bbb2f9d09c9c3</t>
        </is>
      </c>
    </row>
    <row r="448" ht="54" customHeight="1">
      <c r="A448" s="29" t="inlineStr">
        <is>
          <t>sevilla:kaynak:470</t>
        </is>
      </c>
      <c r="B448" s="29" t="inlineStr">
        <is>
          <t>sevilla</t>
        </is>
      </c>
      <c r="C448" s="29" t="inlineStr">
        <is>
          <t>Tu visita - La Fundición Teatro de Sevilla</t>
        </is>
      </c>
      <c r="D448" s="29" t="inlineStr">
        <is>
          <t>La Fundición Teatro de Sevilla (resmî site)</t>
        </is>
      </c>
      <c r="E448" s="29" t="inlineStr">
        <is>
          <t>https://fundiciondesevilla.es/tu-visita/</t>
        </is>
      </c>
      <c r="F448" s="49" t="n">
        <v>46320</v>
      </c>
      <c r="G448" s="29" t="inlineStr">
        <is>
          <t>sevilla:kesif</t>
        </is>
      </c>
      <c r="H448" s="29" t="inlineStr">
        <is>
          <t>Teatro La Fundición ziyaret sayfası: adres, gişe saatleri, bilet fiyatları.</t>
        </is>
      </c>
      <c r="I448" s="29" t="inlineStr">
        <is>
          <t>Evet</t>
        </is>
      </c>
      <c r="J448" s="29" t="inlineStr">
        <is>
          <t>Lisans kanıtları/6d384d35c2580a528dff0ddbfb0418f2bb26fae67236253108763e04cdb50b34.html</t>
        </is>
      </c>
      <c r="K448" s="29" t="inlineStr">
        <is>
          <t>6d384d35c2580a528dff0ddbfb0418f2bb26fae67236253108763e04cdb50b34</t>
        </is>
      </c>
    </row>
    <row r="449" ht="54" customHeight="1">
      <c r="A449" s="29" t="inlineStr">
        <is>
          <t>sevilla:kaynak:471</t>
        </is>
      </c>
      <c r="B449" s="29" t="inlineStr">
        <is>
          <t>sevilla</t>
        </is>
      </c>
      <c r="C449" s="29" t="inlineStr">
        <is>
          <t>Contacto - Cervecería Giralda Sevilla</t>
        </is>
      </c>
      <c r="D449" s="29" t="inlineStr">
        <is>
          <t>Cervecería Giralda (resmî site)</t>
        </is>
      </c>
      <c r="E449" s="29" t="inlineStr">
        <is>
          <t>https://cerveceriagiralda.es/contacto/</t>
        </is>
      </c>
      <c r="F449" s="49" t="n">
        <v>46320</v>
      </c>
      <c r="G449" s="29" t="inlineStr">
        <is>
          <t>sevilla:kesif</t>
        </is>
      </c>
      <c r="H449" s="29" t="inlineStr">
        <is>
          <t>Cervecería Giralda iletişim sayfası: adres, saat, rezervasyon kuralı.</t>
        </is>
      </c>
      <c r="I449" s="29" t="inlineStr">
        <is>
          <t>Evet</t>
        </is>
      </c>
      <c r="J449" s="29" t="inlineStr">
        <is>
          <t>Lisans kanıtları/fde1c71c172503276d8e053b9c5772fd4b0fe802581e34f214bc83e22d6ad7b7.html</t>
        </is>
      </c>
      <c r="K449" s="29" t="inlineStr">
        <is>
          <t>fde1c71c172503276d8e053b9c5772fd4b0fe802581e34f214bc83e22d6ad7b7</t>
        </is>
      </c>
    </row>
    <row r="450" ht="54" customHeight="1">
      <c r="A450" s="29" t="inlineStr">
        <is>
          <t>sevilla:kaynak:472</t>
        </is>
      </c>
      <c r="B450" s="29" t="inlineStr">
        <is>
          <t>sevilla</t>
        </is>
      </c>
      <c r="C450" s="29" t="inlineStr">
        <is>
          <t>Aquí estamos - Bodega Dos de Mayo</t>
        </is>
      </c>
      <c r="D450" s="29" t="inlineStr">
        <is>
          <t>Bodega Dos de Mayo (resmî site)</t>
        </is>
      </c>
      <c r="E450" s="29" t="inlineStr">
        <is>
          <t>https://bodegadosdemayo.com/ubicacion/</t>
        </is>
      </c>
      <c r="F450" s="49" t="n">
        <v>46320</v>
      </c>
      <c r="G450" s="29" t="inlineStr">
        <is>
          <t>sevilla:kesif</t>
        </is>
      </c>
      <c r="H450" s="29" t="inlineStr">
        <is>
          <t>Bodega Dos de Mayo konum sayfası: adres, çalışma saatleri.</t>
        </is>
      </c>
      <c r="I450" s="29" t="inlineStr">
        <is>
          <t>Evet</t>
        </is>
      </c>
      <c r="J450" s="29" t="inlineStr">
        <is>
          <t>Lisans kanıtları/b1491cc02dcfe4fcdf92f19f3be0b0d8b6d1b58d84035bf4c5e488b9317e55d6.html</t>
        </is>
      </c>
      <c r="K450" s="29" t="inlineStr">
        <is>
          <t>b1491cc02dcfe4fcdf92f19f3be0b0d8b6d1b58d84035bf4c5e488b9317e55d6</t>
        </is>
      </c>
    </row>
    <row r="451" ht="54" customHeight="1">
      <c r="A451" s="29" t="inlineStr">
        <is>
          <t>sevilla:kaynak:473</t>
        </is>
      </c>
      <c r="B451" s="29" t="inlineStr">
        <is>
          <t>sevilla</t>
        </is>
      </c>
      <c r="C451" s="29" t="inlineStr">
        <is>
          <t>Cartuja Qanat</t>
        </is>
      </c>
      <c r="D451" s="29" t="inlineStr">
        <is>
          <t>Junta de Andalucía - Agenda Cultural de Andalucía</t>
        </is>
      </c>
      <c r="E451" s="29" t="inlineStr">
        <is>
          <t>https://www.juntadeandalucia.es/cultura/agendaculturaldeandalucia/espacios/cartuja-qanat</t>
        </is>
      </c>
      <c r="F451" s="49" t="n">
        <v>46320</v>
      </c>
      <c r="G451" s="29" t="inlineStr">
        <is>
          <t>sevilla:kesif</t>
        </is>
      </c>
      <c r="H451" s="29" t="inlineStr">
        <is>
          <t>Cartuja Qanat için Junta kültür ajandası mekân sayfası.</t>
        </is>
      </c>
      <c r="I451" s="29" t="inlineStr">
        <is>
          <t>Evet</t>
        </is>
      </c>
      <c r="J451" s="29" t="inlineStr">
        <is>
          <t>Lisans kanıtları/3638241e1d84cd7ac409c5a7216ff84c1ab30c8ff776c912a0fc8498b006e4de.html</t>
        </is>
      </c>
      <c r="K451" s="29" t="inlineStr">
        <is>
          <t>3638241e1d84cd7ac409c5a7216ff84c1ab30c8ff776c912a0fc8498b006e4de</t>
        </is>
      </c>
    </row>
    <row r="452" ht="54" customHeight="1">
      <c r="A452" s="29" t="inlineStr">
        <is>
          <t>sevilla:kaynak:474</t>
        </is>
      </c>
      <c r="B452" s="29" t="inlineStr">
        <is>
          <t>sevilla</t>
        </is>
      </c>
      <c r="C452" s="29" t="inlineStr">
        <is>
          <t>HORARIOS DE APERTURA DE LOS BIENES BIC DE LA IGLESIA (Sevilla capital) - Archidiócesis de Sevilla</t>
        </is>
      </c>
      <c r="D452" s="29" t="inlineStr">
        <is>
          <t>Archidiócesis de Sevilla (archisevilla.org)</t>
        </is>
      </c>
      <c r="E452" s="29" t="inlineStr">
        <is>
          <t>https://www.archisevilla.org/horarios-de-apertura-de-los-bienes-bic-de-la-iglesia-sevilla-capital/</t>
        </is>
      </c>
      <c r="F452" s="49" t="n">
        <v>46320</v>
      </c>
      <c r="G452" s="29" t="inlineStr">
        <is>
          <t>sevilla:kesif</t>
        </is>
      </c>
      <c r="H452" s="29" t="inlineStr">
        <is>
          <t>Archidiocesis'in resmi acilis saatleri listesi; Santa Marina, San Sebastian, Nuestra Senora de la O ve Santa Ana kiliselerinin ziyaret ve ayin saatleri</t>
        </is>
      </c>
      <c r="I452" s="29" t="inlineStr">
        <is>
          <t>Evet</t>
        </is>
      </c>
      <c r="J452" s="29" t="inlineStr">
        <is>
          <t>Lisans kanıtları/6a4c92e1d2c703c9aa5499b4a9b2bf46a680c9d24d18f9a4e495d591fb331fdd.html</t>
        </is>
      </c>
      <c r="K452" s="29" t="inlineStr">
        <is>
          <t>6a4c92e1d2c703c9aa5499b4a9b2bf46a680c9d24d18f9a4e495d591fb331fdd</t>
        </is>
      </c>
    </row>
    <row r="453" ht="54" customHeight="1">
      <c r="A453" s="29" t="inlineStr">
        <is>
          <t>sevilla:kaynak:475</t>
        </is>
      </c>
      <c r="B453" s="29" t="inlineStr">
        <is>
          <t>sevilla</t>
        </is>
      </c>
      <c r="C453" s="29" t="inlineStr">
        <is>
          <t>Exposición: Patrimonio en Tránsito | CICUS</t>
        </is>
      </c>
      <c r="D453" s="29" t="inlineStr">
        <is>
          <t>Universidad de Sevilla (cicus.us.es)</t>
        </is>
      </c>
      <c r="E453" s="29" t="inlineStr">
        <is>
          <t>https://cicus.us.es/detalle-exposicion/patrimonio-en-transito</t>
        </is>
      </c>
      <c r="F453" s="49" t="n">
        <v>46320</v>
      </c>
      <c r="G453" s="29" t="inlineStr">
        <is>
          <t>sevilla:kesif</t>
        </is>
      </c>
      <c r="H453" s="29" t="inlineStr">
        <is>
          <t>CICUS sergi salonu EP1 icin guncel sergi, tarih ve ziyaret saatleri</t>
        </is>
      </c>
      <c r="I453" s="29" t="inlineStr">
        <is>
          <t>Evet</t>
        </is>
      </c>
      <c r="J453" s="29" t="inlineStr">
        <is>
          <t>Lisans kanıtları/af4776426def177573b6f8c4bfe7568bbb005b70b217a928080c467323c2a3e4.html</t>
        </is>
      </c>
      <c r="K453" s="29" t="inlineStr">
        <is>
          <t>af4776426def177573b6f8c4bfe7568bbb005b70b217a928080c467323c2a3e4</t>
        </is>
      </c>
    </row>
    <row r="454" ht="54" customHeight="1">
      <c r="A454" s="29" t="n"/>
      <c r="B454" s="29" t="n"/>
      <c r="C454" s="29" t="n"/>
      <c r="D454" s="29" t="n"/>
      <c r="E454" s="29" t="n"/>
      <c r="F454" s="49" t="n"/>
      <c r="G454" s="29" t="n"/>
      <c r="H454" s="29" t="n"/>
      <c r="I454" s="29" t="n"/>
      <c r="J454" s="29" t="n"/>
      <c r="K454" s="29" t="n"/>
    </row>
    <row r="455" ht="54" customHeight="1">
      <c r="A455" s="29" t="n"/>
      <c r="B455" s="29" t="n"/>
      <c r="C455" s="29" t="n"/>
      <c r="D455" s="29" t="n"/>
      <c r="E455" s="29" t="n"/>
      <c r="F455" s="49" t="n"/>
      <c r="G455" s="29" t="n"/>
      <c r="H455" s="29" t="n"/>
      <c r="I455" s="29" t="n"/>
      <c r="J455" s="29" t="n"/>
      <c r="K455" s="29" t="n"/>
    </row>
    <row r="456" ht="54" customHeight="1">
      <c r="A456" s="29" t="n"/>
      <c r="B456" s="29" t="n"/>
      <c r="C456" s="29" t="n"/>
      <c r="D456" s="29" t="n"/>
      <c r="E456" s="29" t="n"/>
      <c r="F456" s="49" t="n"/>
      <c r="G456" s="29" t="n"/>
      <c r="H456" s="29" t="n"/>
      <c r="I456" s="29" t="n"/>
      <c r="J456" s="29" t="n"/>
      <c r="K456" s="29" t="n"/>
    </row>
    <row r="457" ht="54" customHeight="1">
      <c r="A457" s="29" t="n"/>
      <c r="B457" s="29" t="n"/>
      <c r="C457" s="29" t="n"/>
      <c r="D457" s="29" t="n"/>
      <c r="E457" s="29" t="n"/>
      <c r="F457" s="49" t="n"/>
      <c r="G457" s="29" t="n"/>
      <c r="H457" s="29" t="n"/>
      <c r="I457" s="29" t="n"/>
      <c r="J457" s="29" t="n"/>
      <c r="K457" s="29" t="n"/>
    </row>
    <row r="458" ht="54" customHeight="1">
      <c r="A458" s="29" t="n"/>
      <c r="B458" s="29" t="n"/>
      <c r="C458" s="29" t="n"/>
      <c r="D458" s="29" t="n"/>
      <c r="E458" s="29" t="n"/>
      <c r="F458" s="49" t="n"/>
      <c r="G458" s="29" t="n"/>
      <c r="H458" s="29" t="n"/>
      <c r="I458" s="29" t="n"/>
      <c r="J458" s="29" t="n"/>
      <c r="K458" s="29" t="n"/>
    </row>
    <row r="459" ht="54" customHeight="1">
      <c r="A459" s="29" t="n"/>
      <c r="B459" s="29" t="n"/>
      <c r="C459" s="29" t="n"/>
      <c r="D459" s="29" t="n"/>
      <c r="E459" s="29" t="n"/>
      <c r="F459" s="49" t="n"/>
      <c r="G459" s="29" t="n"/>
      <c r="H459" s="29" t="n"/>
      <c r="I459" s="29" t="n"/>
      <c r="J459" s="29" t="n"/>
      <c r="K459" s="29" t="n"/>
    </row>
    <row r="460" ht="54" customHeight="1">
      <c r="A460" s="29" t="n"/>
      <c r="B460" s="29" t="n"/>
      <c r="C460" s="29" t="n"/>
      <c r="D460" s="29" t="n"/>
      <c r="E460" s="29" t="n"/>
      <c r="F460" s="49" t="n"/>
      <c r="G460" s="29" t="n"/>
      <c r="H460" s="29" t="n"/>
      <c r="I460" s="29" t="n"/>
      <c r="J460" s="29" t="n"/>
      <c r="K460" s="29" t="n"/>
    </row>
    <row r="461" ht="54" customHeight="1">
      <c r="A461" s="29" t="n"/>
      <c r="B461" s="29" t="n"/>
      <c r="C461" s="29" t="n"/>
      <c r="D461" s="29" t="n"/>
      <c r="E461" s="29" t="n"/>
      <c r="F461" s="49" t="n"/>
      <c r="G461" s="29" t="n"/>
      <c r="H461" s="29" t="n"/>
      <c r="I461" s="29" t="n"/>
      <c r="J461" s="29" t="n"/>
      <c r="K461" s="29" t="n"/>
    </row>
    <row r="462" ht="54" customHeight="1">
      <c r="A462" s="29" t="n"/>
      <c r="B462" s="29" t="n"/>
      <c r="C462" s="29" t="n"/>
      <c r="D462" s="29" t="n"/>
      <c r="E462" s="29" t="n"/>
      <c r="F462" s="49" t="n"/>
      <c r="G462" s="29" t="n"/>
      <c r="H462" s="29" t="n"/>
      <c r="I462" s="29" t="n"/>
      <c r="J462" s="29" t="n"/>
      <c r="K462" s="29" t="n"/>
    </row>
    <row r="463" ht="54" customHeight="1">
      <c r="A463" s="29" t="n"/>
      <c r="B463" s="29" t="n"/>
      <c r="C463" s="29" t="n"/>
      <c r="D463" s="29" t="n"/>
      <c r="E463" s="29" t="n"/>
      <c r="F463" s="49" t="n"/>
      <c r="G463" s="29" t="n"/>
      <c r="H463" s="29" t="n"/>
      <c r="I463" s="29" t="n"/>
      <c r="J463" s="29" t="n"/>
      <c r="K463" s="29" t="n"/>
    </row>
    <row r="464" ht="54" customHeight="1">
      <c r="A464" s="29" t="n"/>
      <c r="B464" s="29" t="n"/>
      <c r="C464" s="29" t="n"/>
      <c r="D464" s="29" t="n"/>
      <c r="E464" s="29" t="n"/>
      <c r="F464" s="49" t="n"/>
      <c r="G464" s="29" t="n"/>
      <c r="H464" s="29" t="n"/>
      <c r="I464" s="29" t="n"/>
      <c r="J464" s="29" t="n"/>
      <c r="K464" s="29" t="n"/>
    </row>
    <row r="465" ht="54" customHeight="1">
      <c r="A465" s="29" t="n"/>
      <c r="B465" s="29" t="n"/>
      <c r="C465" s="29" t="n"/>
      <c r="D465" s="29" t="n"/>
      <c r="E465" s="29" t="n"/>
      <c r="F465" s="49" t="n"/>
      <c r="G465" s="29" t="n"/>
      <c r="H465" s="29" t="n"/>
      <c r="I465" s="29" t="n"/>
      <c r="J465" s="29" t="n"/>
      <c r="K465" s="29" t="n"/>
    </row>
    <row r="466" ht="54" customHeight="1">
      <c r="A466" s="29" t="n"/>
      <c r="B466" s="29" t="n"/>
      <c r="C466" s="29" t="n"/>
      <c r="D466" s="29" t="n"/>
      <c r="E466" s="29" t="n"/>
      <c r="F466" s="49" t="n"/>
      <c r="G466" s="29" t="n"/>
      <c r="H466" s="29" t="n"/>
      <c r="I466" s="29" t="n"/>
      <c r="J466" s="29" t="n"/>
      <c r="K466" s="29" t="n"/>
    </row>
    <row r="467" ht="54" customHeight="1">
      <c r="A467" s="29" t="n"/>
      <c r="B467" s="29" t="n"/>
      <c r="C467" s="29" t="n"/>
      <c r="D467" s="29" t="n"/>
      <c r="E467" s="29" t="n"/>
      <c r="F467" s="49" t="n"/>
      <c r="G467" s="29" t="n"/>
      <c r="H467" s="29" t="n"/>
      <c r="I467" s="29" t="n"/>
      <c r="J467" s="29" t="n"/>
      <c r="K467" s="29" t="n"/>
    </row>
    <row r="468" ht="54" customHeight="1">
      <c r="A468" s="29" t="n"/>
      <c r="B468" s="29" t="n"/>
      <c r="C468" s="29" t="n"/>
      <c r="D468" s="29" t="n"/>
      <c r="E468" s="29" t="n"/>
      <c r="F468" s="49" t="n"/>
      <c r="G468" s="29" t="n"/>
      <c r="H468" s="29" t="n"/>
      <c r="I468" s="29" t="n"/>
      <c r="J468" s="29" t="n"/>
      <c r="K468" s="29" t="n"/>
    </row>
    <row r="469" ht="54" customHeight="1">
      <c r="A469" s="29" t="n"/>
      <c r="B469" s="29" t="n"/>
      <c r="C469" s="29" t="n"/>
      <c r="D469" s="29" t="n"/>
      <c r="E469" s="29" t="n"/>
      <c r="F469" s="49" t="n"/>
      <c r="G469" s="29" t="n"/>
      <c r="H469" s="29" t="n"/>
      <c r="I469" s="29" t="n"/>
      <c r="J469" s="29" t="n"/>
      <c r="K469" s="29" t="n"/>
    </row>
    <row r="470" ht="54" customHeight="1">
      <c r="A470" s="29" t="n"/>
      <c r="B470" s="29" t="n"/>
      <c r="C470" s="29" t="n"/>
      <c r="D470" s="29" t="n"/>
      <c r="E470" s="29" t="n"/>
      <c r="F470" s="49" t="n"/>
      <c r="G470" s="29" t="n"/>
      <c r="H470" s="29" t="n"/>
      <c r="I470" s="29" t="n"/>
      <c r="J470" s="29" t="n"/>
      <c r="K470" s="29" t="n"/>
    </row>
    <row r="471" ht="54" customHeight="1">
      <c r="A471" s="29" t="n"/>
      <c r="B471" s="29" t="n"/>
      <c r="C471" s="29" t="n"/>
      <c r="D471" s="29" t="n"/>
      <c r="E471" s="29" t="n"/>
      <c r="F471" s="49" t="n"/>
      <c r="G471" s="29" t="n"/>
      <c r="H471" s="29" t="n"/>
      <c r="I471" s="29" t="n"/>
      <c r="J471" s="29" t="n"/>
      <c r="K471" s="29" t="n"/>
    </row>
    <row r="472" ht="54" customHeight="1">
      <c r="A472" s="29" t="n"/>
      <c r="B472" s="29" t="n"/>
      <c r="C472" s="29" t="n"/>
      <c r="D472" s="29" t="n"/>
      <c r="E472" s="29" t="n"/>
      <c r="F472" s="49" t="n"/>
      <c r="G472" s="29" t="n"/>
      <c r="H472" s="29" t="n"/>
      <c r="I472" s="29" t="n"/>
      <c r="J472" s="29" t="n"/>
      <c r="K472" s="29" t="n"/>
    </row>
    <row r="473" ht="54" customHeight="1">
      <c r="A473" s="29" t="n"/>
      <c r="B473" s="29" t="n"/>
      <c r="C473" s="29" t="n"/>
      <c r="D473" s="29" t="n"/>
      <c r="E473" s="29" t="n"/>
      <c r="F473" s="49" t="n"/>
      <c r="G473" s="29" t="n"/>
      <c r="H473" s="29" t="n"/>
      <c r="I473" s="29" t="n"/>
      <c r="J473" s="29" t="n"/>
      <c r="K473" s="29" t="n"/>
    </row>
    <row r="474" ht="54" customHeight="1">
      <c r="A474" s="29" t="n"/>
      <c r="B474" s="29" t="n"/>
      <c r="C474" s="29" t="n"/>
      <c r="D474" s="29" t="n"/>
      <c r="E474" s="29" t="n"/>
      <c r="F474" s="49" t="n"/>
      <c r="G474" s="29" t="n"/>
      <c r="H474" s="29" t="n"/>
      <c r="I474" s="29" t="n"/>
      <c r="J474" s="29" t="n"/>
      <c r="K474" s="29" t="n"/>
    </row>
    <row r="475" ht="54" customHeight="1">
      <c r="A475" s="29" t="n"/>
      <c r="B475" s="29" t="n"/>
      <c r="C475" s="29" t="n"/>
      <c r="D475" s="29" t="n"/>
      <c r="E475" s="29" t="n"/>
      <c r="F475" s="49" t="n"/>
      <c r="G475" s="29" t="n"/>
      <c r="H475" s="29" t="n"/>
      <c r="I475" s="29" t="n"/>
      <c r="J475" s="29" t="n"/>
      <c r="K475" s="29" t="n"/>
    </row>
    <row r="476" ht="54" customHeight="1">
      <c r="A476" s="29" t="n"/>
      <c r="B476" s="29" t="n"/>
      <c r="C476" s="29" t="n"/>
      <c r="D476" s="29" t="n"/>
      <c r="E476" s="29" t="n"/>
      <c r="F476" s="49" t="n"/>
      <c r="G476" s="29" t="n"/>
      <c r="H476" s="29" t="n"/>
      <c r="I476" s="29" t="n"/>
      <c r="J476" s="29" t="n"/>
      <c r="K476" s="29" t="n"/>
    </row>
    <row r="477" ht="54" customHeight="1">
      <c r="A477" s="29" t="n"/>
      <c r="B477" s="29" t="n"/>
      <c r="C477" s="29" t="n"/>
      <c r="D477" s="29" t="n"/>
      <c r="E477" s="29" t="n"/>
      <c r="F477" s="49" t="n"/>
      <c r="G477" s="29" t="n"/>
      <c r="H477" s="29" t="n"/>
      <c r="I477" s="29" t="n"/>
      <c r="J477" s="29" t="n"/>
      <c r="K477" s="29" t="n"/>
    </row>
    <row r="478" ht="54" customHeight="1">
      <c r="A478" s="29" t="n"/>
      <c r="B478" s="29" t="n"/>
      <c r="C478" s="29" t="n"/>
      <c r="D478" s="29" t="n"/>
      <c r="E478" s="29" t="n"/>
      <c r="F478" s="49" t="n"/>
      <c r="G478" s="29" t="n"/>
      <c r="H478" s="29" t="n"/>
      <c r="I478" s="29" t="n"/>
      <c r="J478" s="29" t="n"/>
      <c r="K478" s="29" t="n"/>
    </row>
    <row r="479" ht="54" customHeight="1">
      <c r="A479" s="29" t="n"/>
      <c r="B479" s="29" t="n"/>
      <c r="C479" s="29" t="n"/>
      <c r="D479" s="29" t="n"/>
      <c r="E479" s="29" t="n"/>
      <c r="F479" s="49" t="n"/>
      <c r="G479" s="29" t="n"/>
      <c r="H479" s="29" t="n"/>
      <c r="I479" s="29" t="n"/>
      <c r="J479" s="29" t="n"/>
      <c r="K479" s="29" t="n"/>
    </row>
    <row r="480" ht="54" customHeight="1">
      <c r="A480" s="29" t="n"/>
      <c r="B480" s="29" t="n"/>
      <c r="C480" s="29" t="n"/>
      <c r="D480" s="29" t="n"/>
      <c r="E480" s="29" t="n"/>
      <c r="F480" s="49" t="n"/>
      <c r="G480" s="29" t="n"/>
      <c r="H480" s="29" t="n"/>
      <c r="I480" s="29" t="n"/>
      <c r="J480" s="29" t="n"/>
      <c r="K480" s="29" t="n"/>
    </row>
    <row r="481" ht="54" customHeight="1">
      <c r="A481" s="29" t="n"/>
      <c r="B481" s="29" t="n"/>
      <c r="C481" s="29" t="n"/>
      <c r="D481" s="29" t="n"/>
      <c r="E481" s="29" t="n"/>
      <c r="F481" s="49" t="n"/>
      <c r="G481" s="29" t="n"/>
      <c r="H481" s="29" t="n"/>
      <c r="I481" s="29" t="n"/>
      <c r="J481" s="29" t="n"/>
      <c r="K481" s="29" t="n"/>
    </row>
    <row r="482" ht="54" customHeight="1">
      <c r="A482" s="29" t="n"/>
      <c r="B482" s="29" t="n"/>
      <c r="C482" s="29" t="n"/>
      <c r="D482" s="29" t="n"/>
      <c r="E482" s="29" t="n"/>
      <c r="F482" s="49" t="n"/>
      <c r="G482" s="29" t="n"/>
      <c r="H482" s="29" t="n"/>
      <c r="I482" s="29" t="n"/>
      <c r="J482" s="29" t="n"/>
      <c r="K482" s="29" t="n"/>
    </row>
    <row r="483" ht="54" customHeight="1">
      <c r="A483" s="29" t="n"/>
      <c r="B483" s="29" t="n"/>
      <c r="C483" s="29" t="n"/>
      <c r="D483" s="29" t="n"/>
      <c r="E483" s="29" t="n"/>
      <c r="F483" s="49" t="n"/>
      <c r="G483" s="29" t="n"/>
      <c r="H483" s="29" t="n"/>
      <c r="I483" s="29" t="n"/>
      <c r="J483" s="29" t="n"/>
      <c r="K483" s="29" t="n"/>
    </row>
    <row r="484" ht="54" customHeight="1">
      <c r="A484" s="29" t="n"/>
      <c r="B484" s="29" t="n"/>
      <c r="C484" s="29" t="n"/>
      <c r="D484" s="29" t="n"/>
      <c r="E484" s="29" t="n"/>
      <c r="F484" s="49" t="n"/>
      <c r="G484" s="29" t="n"/>
      <c r="H484" s="29" t="n"/>
      <c r="I484" s="29" t="n"/>
      <c r="J484" s="29" t="n"/>
      <c r="K484" s="29" t="n"/>
    </row>
    <row r="485" ht="54" customHeight="1">
      <c r="A485" s="29" t="n"/>
      <c r="B485" s="29" t="n"/>
      <c r="C485" s="29" t="n"/>
      <c r="D485" s="29" t="n"/>
      <c r="E485" s="29" t="n"/>
      <c r="F485" s="49" t="n"/>
      <c r="G485" s="29" t="n"/>
      <c r="H485" s="29" t="n"/>
      <c r="I485" s="29" t="n"/>
      <c r="J485" s="29" t="n"/>
      <c r="K485" s="29" t="n"/>
    </row>
    <row r="486" ht="54" customHeight="1">
      <c r="A486" s="29" t="n"/>
      <c r="B486" s="29" t="n"/>
      <c r="C486" s="29" t="n"/>
      <c r="D486" s="29" t="n"/>
      <c r="E486" s="29" t="n"/>
      <c r="F486" s="49" t="n"/>
      <c r="G486" s="29" t="n"/>
      <c r="H486" s="29" t="n"/>
      <c r="I486" s="29" t="n"/>
      <c r="J486" s="29" t="n"/>
      <c r="K486" s="29" t="n"/>
    </row>
    <row r="487" ht="54" customHeight="1">
      <c r="A487" s="29" t="n"/>
      <c r="B487" s="29" t="n"/>
      <c r="C487" s="29" t="n"/>
      <c r="D487" s="29" t="n"/>
      <c r="E487" s="29" t="n"/>
      <c r="F487" s="49" t="n"/>
      <c r="G487" s="29" t="n"/>
      <c r="H487" s="29" t="n"/>
      <c r="I487" s="29" t="n"/>
      <c r="J487" s="29" t="n"/>
      <c r="K487" s="29" t="n"/>
    </row>
    <row r="488" ht="54" customHeight="1">
      <c r="A488" s="29" t="n"/>
      <c r="B488" s="29" t="n"/>
      <c r="C488" s="29" t="n"/>
      <c r="D488" s="29" t="n"/>
      <c r="E488" s="29" t="n"/>
      <c r="F488" s="49" t="n"/>
      <c r="G488" s="29" t="n"/>
      <c r="H488" s="29" t="n"/>
      <c r="I488" s="29" t="n"/>
      <c r="J488" s="29" t="n"/>
      <c r="K488" s="29" t="n"/>
    </row>
    <row r="489" ht="54" customHeight="1">
      <c r="A489" s="29" t="n"/>
      <c r="B489" s="29" t="n"/>
      <c r="C489" s="29" t="n"/>
      <c r="D489" s="29" t="n"/>
      <c r="E489" s="29" t="n"/>
      <c r="F489" s="49" t="n"/>
      <c r="G489" s="29" t="n"/>
      <c r="H489" s="29" t="n"/>
      <c r="I489" s="29" t="n"/>
      <c r="J489" s="29" t="n"/>
      <c r="K489" s="29" t="n"/>
    </row>
    <row r="490" ht="54" customHeight="1">
      <c r="A490" s="29" t="n"/>
      <c r="B490" s="29" t="n"/>
      <c r="C490" s="29" t="n"/>
      <c r="D490" s="29" t="n"/>
      <c r="E490" s="29" t="n"/>
      <c r="F490" s="49" t="n"/>
      <c r="G490" s="29" t="n"/>
      <c r="H490" s="29" t="n"/>
      <c r="I490" s="29" t="n"/>
      <c r="J490" s="29" t="n"/>
      <c r="K490" s="29" t="n"/>
    </row>
    <row r="491" ht="54" customHeight="1">
      <c r="A491" s="29" t="n"/>
      <c r="B491" s="29" t="n"/>
      <c r="C491" s="29" t="n"/>
      <c r="D491" s="29" t="n"/>
      <c r="E491" s="29" t="n"/>
      <c r="F491" s="49" t="n"/>
      <c r="G491" s="29" t="n"/>
      <c r="H491" s="29" t="n"/>
      <c r="I491" s="29" t="n"/>
      <c r="J491" s="29" t="n"/>
      <c r="K491" s="29" t="n"/>
    </row>
    <row r="492" ht="54" customHeight="1">
      <c r="A492" s="29" t="n"/>
      <c r="B492" s="29" t="n"/>
      <c r="C492" s="29" t="n"/>
      <c r="D492" s="29" t="n"/>
      <c r="E492" s="29" t="n"/>
      <c r="F492" s="49" t="n"/>
      <c r="G492" s="29" t="n"/>
      <c r="H492" s="29" t="n"/>
      <c r="I492" s="29" t="n"/>
      <c r="J492" s="29" t="n"/>
      <c r="K492" s="29" t="n"/>
    </row>
    <row r="493" ht="54" customHeight="1">
      <c r="A493" s="29" t="n"/>
      <c r="B493" s="29" t="n"/>
      <c r="C493" s="29" t="n"/>
      <c r="D493" s="29" t="n"/>
      <c r="E493" s="29" t="n"/>
      <c r="F493" s="49" t="n"/>
      <c r="G493" s="29" t="n"/>
      <c r="H493" s="29" t="n"/>
      <c r="I493" s="29" t="n"/>
      <c r="J493" s="29" t="n"/>
      <c r="K493" s="29" t="n"/>
    </row>
    <row r="494" ht="54" customHeight="1">
      <c r="A494" s="29" t="n"/>
      <c r="B494" s="29" t="n"/>
      <c r="C494" s="29" t="n"/>
      <c r="D494" s="29" t="n"/>
      <c r="E494" s="29" t="n"/>
      <c r="F494" s="49" t="n"/>
      <c r="G494" s="29" t="n"/>
      <c r="H494" s="29" t="n"/>
      <c r="I494" s="29" t="n"/>
      <c r="J494" s="29" t="n"/>
      <c r="K494" s="29" t="n"/>
    </row>
    <row r="495" ht="54" customHeight="1">
      <c r="A495" s="29" t="n"/>
      <c r="B495" s="29" t="n"/>
      <c r="C495" s="29" t="n"/>
      <c r="D495" s="29" t="n"/>
      <c r="E495" s="29" t="n"/>
      <c r="F495" s="49" t="n"/>
      <c r="G495" s="29" t="n"/>
      <c r="H495" s="29" t="n"/>
      <c r="I495" s="29" t="n"/>
      <c r="J495" s="29" t="n"/>
      <c r="K495" s="29" t="n"/>
    </row>
    <row r="496" ht="54" customHeight="1">
      <c r="A496" s="29" t="n"/>
      <c r="B496" s="29" t="n"/>
      <c r="C496" s="29" t="n"/>
      <c r="D496" s="29" t="n"/>
      <c r="E496" s="29" t="n"/>
      <c r="F496" s="49" t="n"/>
      <c r="G496" s="29" t="n"/>
      <c r="H496" s="29" t="n"/>
      <c r="I496" s="29" t="n"/>
      <c r="J496" s="29" t="n"/>
      <c r="K496" s="29" t="n"/>
    </row>
    <row r="497" ht="54" customHeight="1">
      <c r="A497" s="29" t="n"/>
      <c r="B497" s="29" t="n"/>
      <c r="C497" s="29" t="n"/>
      <c r="D497" s="29" t="n"/>
      <c r="E497" s="29" t="n"/>
      <c r="F497" s="49" t="n"/>
      <c r="G497" s="29" t="n"/>
      <c r="H497" s="29" t="n"/>
      <c r="I497" s="29" t="n"/>
      <c r="J497" s="29" t="n"/>
      <c r="K497" s="29" t="n"/>
    </row>
    <row r="498" ht="54" customHeight="1">
      <c r="A498" s="29" t="n"/>
      <c r="B498" s="29" t="n"/>
      <c r="C498" s="29" t="n"/>
      <c r="D498" s="29" t="n"/>
      <c r="E498" s="29" t="n"/>
      <c r="F498" s="49" t="n"/>
      <c r="G498" s="29" t="n"/>
      <c r="H498" s="29" t="n"/>
      <c r="I498" s="29" t="n"/>
      <c r="J498" s="29" t="n"/>
      <c r="K498" s="29" t="n"/>
    </row>
    <row r="499" ht="54" customHeight="1">
      <c r="A499" s="29" t="n"/>
      <c r="B499" s="29" t="n"/>
      <c r="C499" s="29" t="n"/>
      <c r="D499" s="29" t="n"/>
      <c r="E499" s="29" t="n"/>
      <c r="F499" s="49" t="n"/>
      <c r="G499" s="29" t="n"/>
      <c r="H499" s="29" t="n"/>
      <c r="I499" s="29" t="n"/>
      <c r="J499" s="29" t="n"/>
      <c r="K499" s="29" t="n"/>
    </row>
    <row r="500" ht="54" customHeight="1">
      <c r="A500" s="29" t="n"/>
      <c r="B500" s="29" t="n"/>
      <c r="C500" s="29" t="n"/>
      <c r="D500" s="29" t="n"/>
      <c r="E500" s="29" t="n"/>
      <c r="F500" s="49" t="n"/>
      <c r="G500" s="29" t="n"/>
      <c r="H500" s="29" t="n"/>
      <c r="I500" s="29" t="n"/>
      <c r="J500" s="29" t="n"/>
      <c r="K500" s="29" t="n"/>
    </row>
    <row r="501" ht="54" customHeight="1">
      <c r="A501" s="29" t="n"/>
      <c r="B501" s="29" t="n"/>
      <c r="C501" s="29" t="n"/>
      <c r="D501" s="29" t="n"/>
      <c r="E501" s="29" t="n"/>
      <c r="F501" s="49" t="n"/>
      <c r="G501" s="29" t="n"/>
      <c r="H501" s="29" t="n"/>
      <c r="I501" s="29" t="n"/>
      <c r="J501" s="29" t="n"/>
      <c r="K501" s="29" t="n"/>
    </row>
    <row r="502" ht="54" customHeight="1">
      <c r="A502" s="29" t="n"/>
      <c r="B502" s="29" t="n"/>
      <c r="C502" s="29" t="n"/>
      <c r="D502" s="29" t="n"/>
      <c r="E502" s="29" t="n"/>
      <c r="F502" s="49" t="n"/>
      <c r="G502" s="29" t="n"/>
      <c r="H502" s="29" t="n"/>
      <c r="I502" s="29" t="n"/>
      <c r="J502" s="29" t="n"/>
      <c r="K502" s="29" t="n"/>
    </row>
    <row r="503" ht="54" customHeight="1">
      <c r="A503" s="29" t="n"/>
      <c r="B503" s="29" t="n"/>
      <c r="C503" s="29" t="n"/>
      <c r="D503" s="29" t="n"/>
      <c r="E503" s="29" t="n"/>
      <c r="F503" s="49" t="n"/>
      <c r="G503" s="29" t="n"/>
      <c r="H503" s="29" t="n"/>
      <c r="I503" s="29" t="n"/>
      <c r="J503" s="29" t="n"/>
      <c r="K503" s="29" t="n"/>
    </row>
    <row r="504" ht="54" customHeight="1">
      <c r="A504" s="29" t="n"/>
      <c r="B504" s="29" t="n"/>
      <c r="C504" s="29" t="n"/>
      <c r="D504" s="29" t="n"/>
      <c r="E504" s="29" t="n"/>
      <c r="F504" s="49" t="n"/>
      <c r="G504" s="29" t="n"/>
      <c r="H504" s="29" t="n"/>
      <c r="I504" s="29" t="n"/>
      <c r="J504" s="29" t="n"/>
      <c r="K504" s="29" t="n"/>
    </row>
    <row r="505" ht="54" customHeight="1">
      <c r="A505" s="29" t="n"/>
      <c r="B505" s="29" t="n"/>
      <c r="C505" s="29" t="n"/>
      <c r="D505" s="29" t="n"/>
      <c r="E505" s="29" t="n"/>
      <c r="F505" s="49" t="n"/>
      <c r="G505" s="29" t="n"/>
      <c r="H505" s="29" t="n"/>
      <c r="I505" s="29" t="n"/>
      <c r="J505" s="29" t="n"/>
      <c r="K505" s="29" t="n"/>
    </row>
    <row r="506" ht="54" customHeight="1">
      <c r="A506" s="29" t="n"/>
      <c r="B506" s="29" t="n"/>
      <c r="C506" s="29" t="n"/>
      <c r="D506" s="29" t="n"/>
      <c r="E506" s="29" t="n"/>
      <c r="F506" s="49" t="n"/>
      <c r="G506" s="29" t="n"/>
      <c r="H506" s="29" t="n"/>
      <c r="I506" s="29" t="n"/>
      <c r="J506" s="29" t="n"/>
      <c r="K506" s="29" t="n"/>
    </row>
    <row r="507" ht="54" customHeight="1">
      <c r="A507" s="29" t="n"/>
      <c r="B507" s="29" t="n"/>
      <c r="C507" s="29" t="n"/>
      <c r="D507" s="29" t="n"/>
      <c r="E507" s="29" t="n"/>
      <c r="F507" s="49" t="n"/>
      <c r="G507" s="29" t="n"/>
      <c r="H507" s="29" t="n"/>
      <c r="I507" s="29" t="n"/>
      <c r="J507" s="29" t="n"/>
      <c r="K507" s="29" t="n"/>
    </row>
  </sheetData>
  <mergeCells count="1">
    <mergeCell ref="A3:H3"/>
  </mergeCells>
  <conditionalFormatting sqref="A8:A507">
    <cfRule type="expression" priority="1" dxfId="1">
      <formula>AND($A8&lt;&gt;"",ISBLANK(A8))</formula>
    </cfRule>
  </conditionalFormatting>
  <conditionalFormatting sqref="B8:B507">
    <cfRule type="expression" priority="2" dxfId="1">
      <formula>AND($A8&lt;&gt;"",ISBLANK(B8))</formula>
    </cfRule>
  </conditionalFormatting>
  <conditionalFormatting sqref="C8:C507">
    <cfRule type="expression" priority="3" dxfId="1">
      <formula>AND($A8&lt;&gt;"",ISBLANK(C8))</formula>
    </cfRule>
  </conditionalFormatting>
  <conditionalFormatting sqref="D8:D507">
    <cfRule type="expression" priority="4" dxfId="1">
      <formula>AND($A8&lt;&gt;"",ISBLANK(D8))</formula>
    </cfRule>
  </conditionalFormatting>
  <conditionalFormatting sqref="E8:E507">
    <cfRule type="expression" priority="5" dxfId="1">
      <formula>AND($A8&lt;&gt;"",ISBLANK(E8))</formula>
    </cfRule>
  </conditionalFormatting>
  <conditionalFormatting sqref="F8:F507">
    <cfRule type="expression" priority="6" dxfId="1">
      <formula>AND($A8&lt;&gt;"",ISBLANK(F8))</formula>
    </cfRule>
  </conditionalFormatting>
  <conditionalFormatting sqref="I8:I507">
    <cfRule type="expression" priority="7" dxfId="1">
      <formula>AND($A8&lt;&gt;"",ISBLANK(I8))</formula>
    </cfRule>
  </conditionalFormatting>
  <dataValidations count="1">
    <dataValidation sqref="I8:I507" showDropDown="0" showInputMessage="0" showErrorMessage="0" allowBlank="0" type="list">
      <formula1>"Evet,Hayır"</formula1>
    </dataValidation>
  </dataValidations>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T6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28" customWidth="1" min="3" max="3"/>
    <col width="32" customWidth="1" min="4" max="4"/>
    <col width="28" customWidth="1" min="5" max="5"/>
    <col width="32" customWidth="1" min="6" max="6"/>
    <col width="28" customWidth="1" min="7" max="7"/>
    <col width="28" customWidth="1" min="8" max="8"/>
    <col width="28" customWidth="1" min="9" max="9"/>
    <col width="48" customWidth="1" min="10" max="10"/>
    <col width="48" customWidth="1" min="11" max="11"/>
    <col width="20" customWidth="1" min="12" max="12"/>
    <col width="20" customWidth="1" min="13" max="13"/>
    <col width="58" customWidth="1" min="14" max="14"/>
    <col width="32" customWidth="1" min="15" max="15"/>
    <col width="28" customWidth="1" min="16" max="16"/>
    <col width="28" customWidth="1" min="17" max="17"/>
    <col width="28" customWidth="1" min="18" max="18"/>
    <col width="26" customWidth="1" min="19" max="19"/>
    <col width="26" customWidth="1" min="20" max="20"/>
  </cols>
  <sheetData>
    <row r="1" ht="30" customHeight="1">
      <c r="A1" s="2" t="n"/>
      <c r="B1" s="2" t="n"/>
      <c r="C1" s="2" t="n"/>
      <c r="D1" s="2" t="n"/>
      <c r="E1" s="2" t="n"/>
      <c r="F1" s="2" t="n"/>
      <c r="G1" s="2" t="n"/>
      <c r="H1" s="2" t="n"/>
      <c r="I1" s="2" t="n"/>
      <c r="J1" s="2" t="n"/>
      <c r="K1" s="2" t="n"/>
      <c r="L1" s="2" t="n"/>
      <c r="M1" s="2" t="n"/>
      <c r="N1" s="2" t="n"/>
      <c r="O1" s="2" t="n"/>
      <c r="P1" s="2" t="n"/>
      <c r="Q1" s="2" t="n"/>
      <c r="R1" s="2" t="n"/>
      <c r="S1" s="2" t="n"/>
      <c r="T1" s="2" t="n"/>
    </row>
    <row r="2" ht="30" customHeight="1">
      <c r="A2" s="19" t="inlineStr">
        <is>
          <t>Corteqs · Gerçek fotoğraf teslimi</t>
        </is>
      </c>
      <c r="B2" s="2" t="n"/>
      <c r="C2" s="2" t="n"/>
      <c r="D2" s="2" t="n"/>
      <c r="E2" s="2" t="n"/>
      <c r="F2" s="2" t="n"/>
      <c r="G2" s="2" t="n"/>
      <c r="H2" s="2" t="n"/>
      <c r="I2" s="2" t="n"/>
      <c r="J2" s="2" t="n"/>
      <c r="K2" s="2" t="n"/>
      <c r="L2" s="2" t="n"/>
      <c r="M2" s="2" t="n"/>
      <c r="N2" s="2" t="n"/>
      <c r="O2" s="2" t="n"/>
      <c r="P2" s="2" t="n"/>
      <c r="Q2" s="2" t="n"/>
      <c r="R2" s="2" t="n"/>
      <c r="S2" s="2" t="n"/>
      <c r="T2" s="2" t="n"/>
    </row>
    <row r="3" ht="36" customHeight="1">
      <c r="A3" s="20" t="inlineStr">
        <is>
          <t>Türkçe başlığı okuyun; veriyi 8. satırdan yazın. 7. satırdaki alan adını ve sayfa adını değiştirmeyin.</t>
        </is>
      </c>
      <c r="I3" s="2" t="n"/>
      <c r="J3" s="2" t="n"/>
      <c r="K3" s="2" t="n"/>
      <c r="L3" s="2" t="n"/>
      <c r="M3" s="2" t="n"/>
      <c r="N3" s="2" t="n"/>
      <c r="O3" s="2" t="n"/>
      <c r="P3" s="2" t="n"/>
      <c r="Q3" s="2" t="n"/>
      <c r="R3" s="2" t="n"/>
      <c r="S3" s="2" t="n"/>
      <c r="T3" s="2" t="n"/>
    </row>
    <row r="4" ht="30" customHeight="1">
      <c r="A4" s="21" t="n"/>
      <c r="B4" s="21" t="n"/>
      <c r="C4" s="21" t="n"/>
      <c r="D4" s="21" t="n"/>
      <c r="E4" s="21" t="n"/>
      <c r="F4" s="21" t="n"/>
      <c r="G4" s="21" t="n"/>
      <c r="H4" s="21" t="n"/>
      <c r="I4" s="21" t="n"/>
      <c r="J4" s="21" t="n"/>
      <c r="K4" s="21" t="n"/>
      <c r="L4" s="21" t="n"/>
      <c r="M4" s="21" t="n"/>
      <c r="N4" s="21" t="n"/>
      <c r="O4" s="21" t="n"/>
      <c r="P4" s="21" t="n"/>
      <c r="Q4" s="21" t="n"/>
      <c r="R4" s="21" t="n"/>
      <c r="S4" s="21" t="n"/>
      <c r="T4" s="21" t="n"/>
    </row>
    <row r="5" ht="26" customHeight="1">
      <c r="A5" s="22" t="inlineStr">
        <is>
          <t>Zorunlu</t>
        </is>
      </c>
      <c r="B5" s="22" t="inlineStr">
        <is>
          <t>Zorunlu</t>
        </is>
      </c>
      <c r="C5" s="22" t="inlineStr">
        <is>
          <t>Zorunlu</t>
        </is>
      </c>
      <c r="D5" s="22" t="inlineStr">
        <is>
          <t>İsteğe bağlı</t>
        </is>
      </c>
      <c r="E5" s="22" t="inlineStr">
        <is>
          <t>Zorunlu</t>
        </is>
      </c>
      <c r="F5" s="22" t="inlineStr">
        <is>
          <t>Zorunlu</t>
        </is>
      </c>
      <c r="G5" s="22" t="inlineStr">
        <is>
          <t>Zorunlu</t>
        </is>
      </c>
      <c r="H5" s="22" t="inlineStr">
        <is>
          <t>Zorunlu</t>
        </is>
      </c>
      <c r="I5" s="22" t="inlineStr">
        <is>
          <t>Zorunlu</t>
        </is>
      </c>
      <c r="J5" s="22" t="inlineStr">
        <is>
          <t>Zorunlu</t>
        </is>
      </c>
      <c r="K5" s="22" t="inlineStr">
        <is>
          <t>Zorunlu</t>
        </is>
      </c>
      <c r="L5" s="22" t="inlineStr">
        <is>
          <t>İsteğe bağlı · tarih</t>
        </is>
      </c>
      <c r="M5" s="22" t="inlineStr">
        <is>
          <t>Zorunlu · tarih</t>
        </is>
      </c>
      <c r="N5" s="22" t="inlineStr">
        <is>
          <t>Zorunlu</t>
        </is>
      </c>
      <c r="O5" s="22" t="inlineStr">
        <is>
          <t>Zorunlu</t>
        </is>
      </c>
      <c r="P5" s="22" t="inlineStr">
        <is>
          <t>Zorunlu</t>
        </is>
      </c>
      <c r="Q5" s="22" t="inlineStr">
        <is>
          <t>Zorunlu</t>
        </is>
      </c>
      <c r="R5" s="22" t="inlineStr">
        <is>
          <t>Zorunlu</t>
        </is>
      </c>
      <c r="S5" s="22" t="inlineStr">
        <is>
          <t>Hesap · değiştirmeyin</t>
        </is>
      </c>
      <c r="T5" s="22" t="inlineStr">
        <is>
          <t>Hesap · değiştirmeyin</t>
        </is>
      </c>
    </row>
    <row r="6" ht="44" customHeight="1">
      <c r="A6" s="25" t="inlineStr">
        <is>
          <t>Fotoğraf kimliği</t>
        </is>
      </c>
      <c r="B6" s="25" t="inlineStr">
        <is>
          <t>Şehir kimliği</t>
        </is>
      </c>
      <c r="C6" s="25" t="inlineStr">
        <is>
          <t>Kullanım</t>
        </is>
      </c>
      <c r="D6" s="25" t="inlineStr">
        <is>
          <t>Mekân / mahalle kimliği</t>
        </is>
      </c>
      <c r="E6" s="25" t="inlineStr">
        <is>
          <t>Görsel dosyası</t>
        </is>
      </c>
      <c r="F6" s="25" t="inlineStr">
        <is>
          <t>Görsel SHA-256</t>
        </is>
      </c>
      <c r="G6" s="25" t="inlineStr">
        <is>
          <t>Türkçe açıklama</t>
        </is>
      </c>
      <c r="H6" s="25" t="inlineStr">
        <is>
          <t>Fotoğrafçı / atıf</t>
        </is>
      </c>
      <c r="I6" s="25" t="inlineStr">
        <is>
          <t>Ücretsiz ticari lisans</t>
        </is>
      </c>
      <c r="J6" s="25" t="inlineStr">
        <is>
          <t>Lisans bağlantısı</t>
        </is>
      </c>
      <c r="K6" s="25" t="inlineStr">
        <is>
          <t>Fotoğraf kaynak sayfası</t>
        </is>
      </c>
      <c r="L6" s="25" t="inlineStr">
        <is>
          <t>Varsa çekim tarihi</t>
        </is>
      </c>
      <c r="M6" s="25" t="inlineStr">
        <is>
          <t>Hak / kaynak kontrol tarihi</t>
        </is>
      </c>
      <c r="N6" s="25" t="inlineStr">
        <is>
          <t>Yapılan değişiklikler</t>
        </is>
      </c>
      <c r="O6" s="25" t="inlineStr">
        <is>
          <t>Kanıt kimliği</t>
        </is>
      </c>
      <c r="P6" s="25" t="inlineStr">
        <is>
          <t>Sayımda kullanılabilir</t>
        </is>
      </c>
      <c r="Q6" s="25" t="inlineStr">
        <is>
          <t>Galeri sırası</t>
        </is>
      </c>
      <c r="R6" s="25" t="inlineStr">
        <is>
          <t>Editör durumu</t>
        </is>
      </c>
      <c r="S6" s="25" t="inlineStr">
        <is>
          <t>Farklı mekân fotoğrafı (hesap)</t>
        </is>
      </c>
      <c r="T6" s="25" t="inlineStr">
        <is>
          <t>Farklı kapak fotoğrafı (hesap)</t>
        </is>
      </c>
    </row>
    <row r="7" ht="32" customHeight="1">
      <c r="A7" s="28" t="inlineStr">
        <is>
          <t>photo_id</t>
        </is>
      </c>
      <c r="B7" s="28" t="inlineStr">
        <is>
          <t>city_id</t>
        </is>
      </c>
      <c r="C7" s="28" t="inlineStr">
        <is>
          <t>role</t>
        </is>
      </c>
      <c r="D7" s="28" t="inlineStr">
        <is>
          <t>entry_id</t>
        </is>
      </c>
      <c r="E7" s="28" t="inlineStr">
        <is>
          <t>file</t>
        </is>
      </c>
      <c r="F7" s="28" t="inlineStr">
        <is>
          <t>sha256</t>
        </is>
      </c>
      <c r="G7" s="28" t="inlineStr">
        <is>
          <t>caption</t>
        </is>
      </c>
      <c r="H7" s="28" t="inlineStr">
        <is>
          <t>author</t>
        </is>
      </c>
      <c r="I7" s="28" t="inlineStr">
        <is>
          <t>license</t>
        </is>
      </c>
      <c r="J7" s="28" t="inlineStr">
        <is>
          <t>license_url</t>
        </is>
      </c>
      <c r="K7" s="28" t="inlineStr">
        <is>
          <t>source_url</t>
        </is>
      </c>
      <c r="L7" s="28" t="inlineStr">
        <is>
          <t>capture_date</t>
        </is>
      </c>
      <c r="M7" s="28" t="inlineStr">
        <is>
          <t>source_checked_on</t>
        </is>
      </c>
      <c r="N7" s="28" t="inlineStr">
        <is>
          <t>modifications</t>
        </is>
      </c>
      <c r="O7" s="28" t="inlineStr">
        <is>
          <t>evidence_id</t>
        </is>
      </c>
      <c r="P7" s="28" t="inlineStr">
        <is>
          <t>completion_credit</t>
        </is>
      </c>
      <c r="Q7" s="28" t="inlineStr">
        <is>
          <t>order</t>
        </is>
      </c>
      <c r="R7" s="28" t="inlineStr">
        <is>
          <t>editorial_status</t>
        </is>
      </c>
      <c r="S7" s="28" t="inlineStr">
        <is>
          <t>unique_venue_count</t>
        </is>
      </c>
      <c r="T7" s="28" t="inlineStr">
        <is>
          <t>unique_hero_count</t>
        </is>
      </c>
    </row>
    <row r="8" ht="54" customHeight="1">
      <c r="A8" s="29" t="inlineStr">
        <is>
          <t>sevilla:photo:real-alcazar-de-sevilla-01</t>
        </is>
      </c>
      <c r="B8" s="29" t="inlineStr">
        <is>
          <t>sevilla</t>
        </is>
      </c>
      <c r="C8" s="29" t="inlineStr">
        <is>
          <t>Mekân</t>
        </is>
      </c>
      <c r="D8" s="29" t="inlineStr">
        <is>
          <t>sevilla:real-alcazar-de-sevilla</t>
        </is>
      </c>
      <c r="E8" s="29" t="inlineStr">
        <is>
          <t>Fotoğraflar/sevilla_real-alcazar-de-sevilla_01.jpg</t>
        </is>
      </c>
      <c r="F8" s="29" t="inlineStr">
        <is>
          <t>afb9263290c4c5ffae2c1e317e1050822edca3443ee7ef63cd50d2a470ddeb8d</t>
        </is>
      </c>
      <c r="G8" s="29" t="inlineStr">
        <is>
          <t>Ağaçların arasından Alcázar'ın mazgallı surları; arkada Giralda kulesi yükseliyor.</t>
        </is>
      </c>
      <c r="H8" s="29" t="inlineStr">
        <is>
          <t>Holger Uwe Schmitt</t>
        </is>
      </c>
      <c r="I8" s="29" t="inlineStr">
        <is>
          <t>CC BY-SA 4.0</t>
        </is>
      </c>
      <c r="J8" s="29" t="inlineStr">
        <is>
          <t>https://creativecommons.org/licenses/by-sa/4.0/</t>
        </is>
      </c>
      <c r="K8" s="29" t="inlineStr">
        <is>
          <t>https://commons.wikimedia.org/wiki/File:%22Der_Palast_ist_eines_der_am_besten_erhaltenen_Beispiele_f%C3%BCr_die_Mude%C2%B4jar-Architektur._06.jpg</t>
        </is>
      </c>
      <c r="L8" s="49" t="n">
        <v>45582</v>
      </c>
      <c r="M8" s="49" t="n">
        <v>46320</v>
      </c>
      <c r="N8" s="29" t="inlineStr">
        <is>
          <t>Wikimedia Commons'taki ""Der Palast ist eines der am besten erhaltenen Beispiele für die Mude´jar-Architektur. 06." (4359×7060 px) özgün dosyasının 1280×2073 px küçültülmüş kopyası indirildi; kırpma, rötuş ve renk düzeltmesi yapılmadı. Teslim dosyası: sevilla_real-alcazar-de-sevilla_01.jpg (SHA-256 afb9263290c4).</t>
        </is>
      </c>
      <c r="O8" s="29" t="inlineStr">
        <is>
          <t>sevilla:evidence:real-alcazar-de-sevilla-01</t>
        </is>
      </c>
      <c r="P8" s="29" t="inlineStr">
        <is>
          <t>Evet</t>
        </is>
      </c>
      <c r="Q8" s="51" t="n">
        <v>1</v>
      </c>
      <c r="R8" s="29" t="inlineStr">
        <is>
          <t>Taslak</t>
        </is>
      </c>
      <c r="S8" s="52">
        <f>IF(OR(A8="",F8="",C8&lt;&gt;"Mekân"),0,IF(COUNTIFS($F$8:F8,F8,$C$8:C8,"Mekân")=1,1,0))</f>
        <v/>
      </c>
      <c r="T8" s="52">
        <f>IF(OR(A8="",F8="",C8&lt;&gt;"Kapak"),0,IF(COUNTIFS($F$8:F8,F8,$C$8:C8,"Kapak")=1,1,0))</f>
        <v/>
      </c>
    </row>
    <row r="9" ht="54" customHeight="1">
      <c r="A9" s="29" t="inlineStr">
        <is>
          <t>sevilla:photo:real-alcazar-de-sevilla-02</t>
        </is>
      </c>
      <c r="B9" s="29" t="inlineStr">
        <is>
          <t>sevilla</t>
        </is>
      </c>
      <c r="C9" s="29" t="inlineStr">
        <is>
          <t>Mekân</t>
        </is>
      </c>
      <c r="D9" s="29" t="inlineStr">
        <is>
          <t>sevilla:real-alcazar-de-sevilla</t>
        </is>
      </c>
      <c r="E9" s="29" t="inlineStr">
        <is>
          <t>Fotoğraflar/sevilla_real-alcazar-de-sevilla_02.jpg</t>
        </is>
      </c>
      <c r="F9" s="29" t="inlineStr">
        <is>
          <t>fbf353be6a7eb2c69a710ca2dd2c4453dae594913c962588be2b703c97f89a81</t>
        </is>
      </c>
      <c r="G9" s="29" t="inlineStr">
        <is>
          <t>Alcázar'da altın yaldızlı, oymalı kubbe tavan ve çevresindeki çini işlemeli duvarlar.</t>
        </is>
      </c>
      <c r="H9" s="29" t="inlineStr">
        <is>
          <t>Alvesgaspar</t>
        </is>
      </c>
      <c r="I9" s="29" t="inlineStr">
        <is>
          <t>CC BY-SA 4.0</t>
        </is>
      </c>
      <c r="J9" s="29" t="inlineStr">
        <is>
          <t>https://creativecommons.org/licenses/by-sa/4.0/</t>
        </is>
      </c>
      <c r="K9" s="29" t="inlineStr">
        <is>
          <t>https://commons.wikimedia.org/wiki/File:Alc%C3%A1zar_Seville_April_2019-11.jpg</t>
        </is>
      </c>
      <c r="L9" s="49" t="n">
        <v>43594</v>
      </c>
      <c r="M9" s="49" t="n">
        <v>46320</v>
      </c>
      <c r="N9" s="29" t="inlineStr">
        <is>
          <t>Wikimedia Commons'taki "Alcázar Seville April 2019-11.jpg" (6375×6375 px) özgün dosyasının 1280×1280 px küçültülmüş kopyası indirildi; kırpma, rötuş ve renk düzeltmesi yapılmadı. Teslim dosyası: sevilla_real-alcazar-de-sevilla_02.jpg (SHA-256 fbf353be6a7e).</t>
        </is>
      </c>
      <c r="O9" s="29" t="inlineStr">
        <is>
          <t>sevilla:evidence:real-alcazar-de-sevilla-02</t>
        </is>
      </c>
      <c r="P9" s="29" t="inlineStr">
        <is>
          <t>Evet</t>
        </is>
      </c>
      <c r="Q9" s="51" t="n">
        <v>2</v>
      </c>
      <c r="R9" s="29" t="inlineStr">
        <is>
          <t>Taslak</t>
        </is>
      </c>
      <c r="S9" s="52">
        <f>IF(OR(A9="",F9="",C9&lt;&gt;"Mekân"),0,IF(COUNTIFS($F$8:F9,F9,$C$8:C9,"Mekân")=1,1,0))</f>
        <v/>
      </c>
      <c r="T9" s="52">
        <f>IF(OR(A9="",F9="",C9&lt;&gt;"Kapak"),0,IF(COUNTIFS($F$8:F9,F9,$C$8:C9,"Kapak")=1,1,0))</f>
        <v/>
      </c>
    </row>
    <row r="10" ht="54" customHeight="1">
      <c r="A10" s="29" t="inlineStr">
        <is>
          <t>sevilla:photo:real-alcazar-de-sevilla-03</t>
        </is>
      </c>
      <c r="B10" s="29" t="inlineStr">
        <is>
          <t>sevilla</t>
        </is>
      </c>
      <c r="C10" s="29" t="inlineStr">
        <is>
          <t>Mekân</t>
        </is>
      </c>
      <c r="D10" s="29" t="inlineStr">
        <is>
          <t>sevilla:real-alcazar-de-sevilla</t>
        </is>
      </c>
      <c r="E10" s="29" t="inlineStr">
        <is>
          <t>Fotoğraflar/sevilla_real-alcazar-de-sevilla_03.jpg</t>
        </is>
      </c>
      <c r="F10" s="29" t="inlineStr">
        <is>
          <t>8312a07ca3a86ca812a4be6e21825d29c80703be53e9585fd4684164e18bfbc4</t>
        </is>
      </c>
      <c r="G10" s="29" t="inlineStr">
        <is>
          <t>Alcázar'da her basamağı renkli çinilerle kaplı dar merdiven.</t>
        </is>
      </c>
      <c r="H10" s="29" t="inlineStr">
        <is>
          <t>Jebulon</t>
        </is>
      </c>
      <c r="I10" s="29" t="inlineStr">
        <is>
          <t>CC0 1.0</t>
        </is>
      </c>
      <c r="J10" s="29" t="inlineStr">
        <is>
          <t>https://creativecommons.org/publicdomain/zero/1.0/</t>
        </is>
      </c>
      <c r="K10" s="29" t="inlineStr">
        <is>
          <t>https://commons.wikimedia.org/wiki/File:Escalier_Castille_Leon_Alcazar_Seville_Spain.jpg</t>
        </is>
      </c>
      <c r="L10" s="49" t="n">
        <v>41128</v>
      </c>
      <c r="M10" s="49" t="n">
        <v>46320</v>
      </c>
      <c r="N10" s="29" t="inlineStr">
        <is>
          <t>Wikimedia Commons'taki "Escalier Castille Leon Alcazar Seville Spain.jpg" (3065×2040 px) özgün dosyasının 1280×852 px küçültülmüş kopyası indirildi; kırpma, rötuş ve renk düzeltmesi yapılmadı. Teslim dosyası: sevilla_real-alcazar-de-sevilla_03.jpg (SHA-256 8312a07ca3a8).</t>
        </is>
      </c>
      <c r="O10" s="29" t="inlineStr">
        <is>
          <t>sevilla:evidence:real-alcazar-de-sevilla-03</t>
        </is>
      </c>
      <c r="P10" s="29" t="inlineStr">
        <is>
          <t>Evet</t>
        </is>
      </c>
      <c r="Q10" s="51" t="n">
        <v>3</v>
      </c>
      <c r="R10" s="29" t="inlineStr">
        <is>
          <t>Taslak</t>
        </is>
      </c>
      <c r="S10" s="52">
        <f>IF(OR(A10="",F10="",C10&lt;&gt;"Mekân"),0,IF(COUNTIFS($F$8:F10,F10,$C$8:C10,"Mekân")=1,1,0))</f>
        <v/>
      </c>
      <c r="T10" s="52">
        <f>IF(OR(A10="",F10="",C10&lt;&gt;"Kapak"),0,IF(COUNTIFS($F$8:F10,F10,$C$8:C10,"Kapak")=1,1,0))</f>
        <v/>
      </c>
    </row>
    <row r="11" ht="54" customHeight="1">
      <c r="A11" s="29" t="inlineStr">
        <is>
          <t>sevilla:photo:palacio-de-las-duenas-01</t>
        </is>
      </c>
      <c r="B11" s="29" t="inlineStr">
        <is>
          <t>sevilla</t>
        </is>
      </c>
      <c r="C11" s="29" t="inlineStr">
        <is>
          <t>Mekân</t>
        </is>
      </c>
      <c r="D11" s="29" t="inlineStr">
        <is>
          <t>sevilla:palacio-de-las-duenas</t>
        </is>
      </c>
      <c r="E11" s="29" t="inlineStr">
        <is>
          <t>Fotoğraflar/sevilla_palacio-de-las-duenas_01.jpg</t>
        </is>
      </c>
      <c r="F11" s="29" t="inlineStr">
        <is>
          <t>88ca76ab9ad478a0f6b4c282eb829a49395f7707b338bb5afdb408a7d6e31154</t>
        </is>
      </c>
      <c r="G11" s="29" t="inlineStr">
        <is>
          <t>Dueñas Sarayı'nda geometrik desenli, oymalı ahşap tavan.</t>
        </is>
      </c>
      <c r="H11" s="29" t="inlineStr">
        <is>
          <t>Benjamín Núñez González</t>
        </is>
      </c>
      <c r="I11" s="29" t="inlineStr">
        <is>
          <t>CC BY-SA 4.0</t>
        </is>
      </c>
      <c r="J11" s="29" t="inlineStr">
        <is>
          <t>https://creativecommons.org/licenses/by-sa/4.0/</t>
        </is>
      </c>
      <c r="K11" s="29" t="inlineStr">
        <is>
          <t>https://commons.wikimedia.org/wiki/File:Artesonado,_Palacio_de_las_Due%C3%B1as,_Sevilla,_Espa%C3%B1a,_2016_01.JPG</t>
        </is>
      </c>
      <c r="L11" s="49" t="n">
        <v>42457</v>
      </c>
      <c r="M11" s="49" t="n">
        <v>46320</v>
      </c>
      <c r="N11" s="29" t="inlineStr">
        <is>
          <t>Wikimedia Commons'taki "Artesonado, Palacio de las Dueñas, Sevilla, España, 2016 01.JPG" (4000×3000 px) özgün dosyasının 1280×960 px küçültülmüş kopyası indirildi; kırpma, rötuş ve renk düzeltmesi yapılmadı. Teslim dosyası: sevilla_palacio-de-las-duenas_01.jpg (SHA-256 88ca76ab9ad4).</t>
        </is>
      </c>
      <c r="O11" s="29" t="inlineStr">
        <is>
          <t>sevilla:evidence:palacio-de-las-duenas-01</t>
        </is>
      </c>
      <c r="P11" s="29" t="inlineStr">
        <is>
          <t>Evet</t>
        </is>
      </c>
      <c r="Q11" s="51" t="n">
        <v>1</v>
      </c>
      <c r="R11" s="29" t="inlineStr">
        <is>
          <t>Taslak</t>
        </is>
      </c>
      <c r="S11" s="52">
        <f>IF(OR(A11="",F11="",C11&lt;&gt;"Mekân"),0,IF(COUNTIFS($F$8:F11,F11,$C$8:C11,"Mekân")=1,1,0))</f>
        <v/>
      </c>
      <c r="T11" s="52">
        <f>IF(OR(A11="",F11="",C11&lt;&gt;"Kapak"),0,IF(COUNTIFS($F$8:F11,F11,$C$8:C11,"Kapak")=1,1,0))</f>
        <v/>
      </c>
    </row>
    <row r="12" ht="54" customHeight="1">
      <c r="A12" s="29" t="inlineStr">
        <is>
          <t>sevilla:photo:palacio-de-las-duenas-02</t>
        </is>
      </c>
      <c r="B12" s="29" t="inlineStr">
        <is>
          <t>sevilla</t>
        </is>
      </c>
      <c r="C12" s="29" t="inlineStr">
        <is>
          <t>Mekân</t>
        </is>
      </c>
      <c r="D12" s="29" t="inlineStr">
        <is>
          <t>sevilla:palacio-de-las-duenas</t>
        </is>
      </c>
      <c r="E12" s="29" t="inlineStr">
        <is>
          <t>Fotoğraflar/sevilla_palacio-de-las-duenas_02.jpg</t>
        </is>
      </c>
      <c r="F12" s="29" t="inlineStr">
        <is>
          <t>23e4a931bf12bed6003dd0d0d8e223e68a1c037ee24f1ae84104147e010e92b8</t>
        </is>
      </c>
      <c r="G12" s="29" t="inlineStr">
        <is>
          <t>Dueñas Sarayı'nın beyaz duvarlı giriş kapısı ve önündeki ziyaretçiler.</t>
        </is>
      </c>
      <c r="H12" s="29" t="inlineStr">
        <is>
          <t>Alonso de Mendoza</t>
        </is>
      </c>
      <c r="I12" s="29" t="inlineStr">
        <is>
          <t>CC BY-SA 4.0</t>
        </is>
      </c>
      <c r="J12" s="29" t="inlineStr">
        <is>
          <t>https://creativecommons.org/licenses/by-sa/4.0/</t>
        </is>
      </c>
      <c r="K12" s="29" t="inlineStr">
        <is>
          <t>https://commons.wikimedia.org/wiki/File:Entrada_al_Palacio_de_las_Due%C3%B1as,_Sevilla.jpg</t>
        </is>
      </c>
      <c r="L12" s="49" t="n">
        <v>43826</v>
      </c>
      <c r="M12" s="49" t="n">
        <v>46320</v>
      </c>
      <c r="N12" s="29" t="inlineStr">
        <is>
          <t>Wikimedia Commons'taki "Entrada al Palacio de las Dueñas, Sevilla.jpg" (3024×3024 px) özgün dosyasının 1280×1280 px küçültülmüş kopyası indirildi; kırpma, rötuş ve renk düzeltmesi yapılmadı. Teslim dosyası: sevilla_palacio-de-las-duenas_02.jpg (SHA-256 23e4a931bf12).</t>
        </is>
      </c>
      <c r="O12" s="29" t="inlineStr">
        <is>
          <t>sevilla:evidence:palacio-de-las-duenas-02</t>
        </is>
      </c>
      <c r="P12" s="29" t="inlineStr">
        <is>
          <t>Evet</t>
        </is>
      </c>
      <c r="Q12" s="51" t="n">
        <v>2</v>
      </c>
      <c r="R12" s="29" t="inlineStr">
        <is>
          <t>Taslak</t>
        </is>
      </c>
      <c r="S12" s="52">
        <f>IF(OR(A12="",F12="",C12&lt;&gt;"Mekân"),0,IF(COUNTIFS($F$8:F12,F12,$C$8:C12,"Mekân")=1,1,0))</f>
        <v/>
      </c>
      <c r="T12" s="52">
        <f>IF(OR(A12="",F12="",C12&lt;&gt;"Kapak"),0,IF(COUNTIFS($F$8:F12,F12,$C$8:C12,"Kapak")=1,1,0))</f>
        <v/>
      </c>
    </row>
    <row r="13" ht="54" customHeight="1">
      <c r="A13" s="29" t="inlineStr">
        <is>
          <t>sevilla:photo:palacio-de-las-duenas-03</t>
        </is>
      </c>
      <c r="B13" s="29" t="inlineStr">
        <is>
          <t>sevilla</t>
        </is>
      </c>
      <c r="C13" s="29" t="inlineStr">
        <is>
          <t>Mekân</t>
        </is>
      </c>
      <c r="D13" s="29" t="inlineStr">
        <is>
          <t>sevilla:palacio-de-las-duenas</t>
        </is>
      </c>
      <c r="E13" s="29" t="inlineStr">
        <is>
          <t>Fotoğraflar/sevilla_palacio-de-las-duenas_03.jpg</t>
        </is>
      </c>
      <c r="F13" s="29" t="inlineStr">
        <is>
          <t>ee111d6de0eeb4db60cce24fbd3e4ef3a82cd6f50fa029c6840997cdb767d2b1</t>
        </is>
      </c>
      <c r="G13" s="29" t="inlineStr">
        <is>
          <t>Dueñas Sarayı'nda kemerli galeri ve yeşillikli avlu.</t>
        </is>
      </c>
      <c r="H13" s="29" t="inlineStr">
        <is>
          <t>Jl FilpoC</t>
        </is>
      </c>
      <c r="I13" s="29" t="inlineStr">
        <is>
          <t>CC BY-SA 4.0</t>
        </is>
      </c>
      <c r="J13" s="29" t="inlineStr">
        <is>
          <t>https://creativecommons.org/licenses/by-sa/4.0/</t>
        </is>
      </c>
      <c r="K13" s="29" t="inlineStr">
        <is>
          <t>https://commons.wikimedia.org/wiki/File:Galer%C3%ADa_norte_del_patio_principal,_Palacio_de_las_Due%C3%B1as_(Sevilla).jpg</t>
        </is>
      </c>
      <c r="L13" s="49" t="n">
        <v>44165</v>
      </c>
      <c r="M13" s="49" t="n">
        <v>46320</v>
      </c>
      <c r="N13" s="29" t="inlineStr">
        <is>
          <t>Wikimedia Commons'taki "Galería norte del patio principal, Palacio de las Dueñas (Sevilla).jpg" (3088×4112 px) özgün dosyasının 1280×1704 px küçültülmüş kopyası indirildi; kırpma, rötuş ve renk düzeltmesi yapılmadı. Teslim dosyası: sevilla_palacio-de-las-duenas_03.jpg (SHA-256 ee111d6de0ee).</t>
        </is>
      </c>
      <c r="O13" s="29" t="inlineStr">
        <is>
          <t>sevilla:evidence:palacio-de-las-duenas-03</t>
        </is>
      </c>
      <c r="P13" s="29" t="inlineStr">
        <is>
          <t>Evet</t>
        </is>
      </c>
      <c r="Q13" s="51" t="n">
        <v>3</v>
      </c>
      <c r="R13" s="29" t="inlineStr">
        <is>
          <t>Taslak</t>
        </is>
      </c>
      <c r="S13" s="52">
        <f>IF(OR(A13="",F13="",C13&lt;&gt;"Mekân"),0,IF(COUNTIFS($F$8:F13,F13,$C$8:C13,"Mekân")=1,1,0))</f>
        <v/>
      </c>
      <c r="T13" s="52">
        <f>IF(OR(A13="",F13="",C13&lt;&gt;"Kapak"),0,IF(COUNTIFS($F$8:F13,F13,$C$8:C13,"Kapak")=1,1,0))</f>
        <v/>
      </c>
    </row>
    <row r="14" ht="54" customHeight="1">
      <c r="A14" s="29" t="inlineStr">
        <is>
          <t>sevilla:photo:palacio-de-la-condesa-de-lebrija-01</t>
        </is>
      </c>
      <c r="B14" s="29" t="inlineStr">
        <is>
          <t>sevilla</t>
        </is>
      </c>
      <c r="C14" s="29" t="inlineStr">
        <is>
          <t>Mekân</t>
        </is>
      </c>
      <c r="D14" s="29" t="inlineStr">
        <is>
          <t>sevilla:palacio-de-la-condesa-de-lebrija</t>
        </is>
      </c>
      <c r="E14" s="29" t="inlineStr">
        <is>
          <t>Fotoğraflar/sevilla_palacio-de-la-condesa-de-lebrija_01.jpg</t>
        </is>
      </c>
      <c r="F14" s="29" t="inlineStr">
        <is>
          <t>4869719814a29ac8565ac365e28b64cfda5a74583cf6b754174d7ebf1864119b</t>
        </is>
      </c>
      <c r="G14" s="29" t="inlineStr">
        <is>
          <t>Lebrija Sarayı'nın kemerli avlusu, saksı bitkileri ve mozaik zemin.</t>
        </is>
      </c>
      <c r="H14" s="29" t="inlineStr">
        <is>
          <t>Michel wal</t>
        </is>
      </c>
      <c r="I14" s="29" t="inlineStr">
        <is>
          <t>CC BY-SA 3.0</t>
        </is>
      </c>
      <c r="J14" s="29" t="inlineStr">
        <is>
          <t>https://creativecommons.org/licenses/by-sa/3.0/</t>
        </is>
      </c>
      <c r="K14" s="29" t="inlineStr">
        <is>
          <t>https://commons.wikimedia.org/wiki/File:Palacio_Lebrija_Sevilla_1101.jpg</t>
        </is>
      </c>
      <c r="L14" s="49" t="n">
        <v>40681</v>
      </c>
      <c r="M14" s="49" t="n">
        <v>46320</v>
      </c>
      <c r="N14" s="29" t="inlineStr">
        <is>
          <t>Wikimedia Commons'taki "Palacio Lebrija Sevilla 1101.jpg" (2592×3888 px) özgün dosyasının 1280×1920 px küçültülmüş kopyası indirildi; kırpma, rötuş ve renk düzeltmesi yapılmadı. Teslim dosyası: sevilla_palacio-de-la-condesa-de-lebrija_01.jpg (SHA-256 4869719814a2).</t>
        </is>
      </c>
      <c r="O14" s="29" t="inlineStr">
        <is>
          <t>sevilla:evidence:palacio-de-la-condesa-de-lebrija-01</t>
        </is>
      </c>
      <c r="P14" s="29" t="inlineStr">
        <is>
          <t>Evet</t>
        </is>
      </c>
      <c r="Q14" s="51" t="n">
        <v>1</v>
      </c>
      <c r="R14" s="29" t="inlineStr">
        <is>
          <t>Taslak</t>
        </is>
      </c>
      <c r="S14" s="52">
        <f>IF(OR(A14="",F14="",C14&lt;&gt;"Mekân"),0,IF(COUNTIFS($F$8:F14,F14,$C$8:C14,"Mekân")=1,1,0))</f>
        <v/>
      </c>
      <c r="T14" s="52">
        <f>IF(OR(A14="",F14="",C14&lt;&gt;"Kapak"),0,IF(COUNTIFS($F$8:F14,F14,$C$8:C14,"Kapak")=1,1,0))</f>
        <v/>
      </c>
    </row>
    <row r="15" ht="54" customHeight="1">
      <c r="A15" s="29" t="inlineStr">
        <is>
          <t>sevilla:photo:palacio-de-la-condesa-de-lebrija-02</t>
        </is>
      </c>
      <c r="B15" s="29" t="inlineStr">
        <is>
          <t>sevilla</t>
        </is>
      </c>
      <c r="C15" s="29" t="inlineStr">
        <is>
          <t>Mekân</t>
        </is>
      </c>
      <c r="D15" s="29" t="inlineStr">
        <is>
          <t>sevilla:palacio-de-la-condesa-de-lebrija</t>
        </is>
      </c>
      <c r="E15" s="29" t="inlineStr">
        <is>
          <t>Fotoğraflar/sevilla_palacio-de-la-condesa-de-lebrija_02.jpg</t>
        </is>
      </c>
      <c r="F15" s="29" t="inlineStr">
        <is>
          <t>c2c9c36c84db05ee0cdf16302d5c305f71ec42fbc7b4007e5b67035364644a0b</t>
        </is>
      </c>
      <c r="G15" s="29" t="inlineStr">
        <is>
          <t>Lebrija Sarayı'nın zeminindeki Roma dönemi mozaiğinden geometrik desenler.</t>
        </is>
      </c>
      <c r="H15" s="29" t="inlineStr">
        <is>
          <t>Michel wal</t>
        </is>
      </c>
      <c r="I15" s="29" t="inlineStr">
        <is>
          <t>CC BY-SA 3.0</t>
        </is>
      </c>
      <c r="J15" s="29" t="inlineStr">
        <is>
          <t>https://creativecommons.org/licenses/by-sa/3.0/</t>
        </is>
      </c>
      <c r="K15" s="29" t="inlineStr">
        <is>
          <t>https://commons.wikimedia.org/wiki/File:Palacio_Lebrija_Sevilla_1106.jpg</t>
        </is>
      </c>
      <c r="L15" s="49" t="n">
        <v>40681</v>
      </c>
      <c r="M15" s="49" t="n">
        <v>46320</v>
      </c>
      <c r="N15" s="29" t="inlineStr">
        <is>
          <t>Wikimedia Commons'taki "Palacio Lebrija Sevilla 1106.jpg" (2460×3757 px) özgün dosyasının 1280×1955 px küçültülmüş kopyası indirildi; kırpma, rötuş ve renk düzeltmesi yapılmadı. Teslim dosyası: sevilla_palacio-de-la-condesa-de-lebrija_02.jpg (SHA-256 c2c9c36c84db).</t>
        </is>
      </c>
      <c r="O15" s="29" t="inlineStr">
        <is>
          <t>sevilla:evidence:palacio-de-la-condesa-de-lebrija-02</t>
        </is>
      </c>
      <c r="P15" s="29" t="inlineStr">
        <is>
          <t>Evet</t>
        </is>
      </c>
      <c r="Q15" s="51" t="n">
        <v>2</v>
      </c>
      <c r="R15" s="29" t="inlineStr">
        <is>
          <t>Taslak</t>
        </is>
      </c>
      <c r="S15" s="52">
        <f>IF(OR(A15="",F15="",C15&lt;&gt;"Mekân"),0,IF(COUNTIFS($F$8:F15,F15,$C$8:C15,"Mekân")=1,1,0))</f>
        <v/>
      </c>
      <c r="T15" s="52">
        <f>IF(OR(A15="",F15="",C15&lt;&gt;"Kapak"),0,IF(COUNTIFS($F$8:F15,F15,$C$8:C15,"Kapak")=1,1,0))</f>
        <v/>
      </c>
    </row>
    <row r="16" ht="54" customHeight="1">
      <c r="A16" s="29" t="inlineStr">
        <is>
          <t>sevilla:photo:palacio-de-la-condesa-de-lebrija-03</t>
        </is>
      </c>
      <c r="B16" s="29" t="inlineStr">
        <is>
          <t>sevilla</t>
        </is>
      </c>
      <c r="C16" s="29" t="inlineStr">
        <is>
          <t>Mekân</t>
        </is>
      </c>
      <c r="D16" s="29" t="inlineStr">
        <is>
          <t>sevilla:palacio-de-la-condesa-de-lebrija</t>
        </is>
      </c>
      <c r="E16" s="29" t="inlineStr">
        <is>
          <t>Fotoğraflar/sevilla_palacio-de-la-condesa-de-lebrija_03.jpg</t>
        </is>
      </c>
      <c r="F16" s="29" t="inlineStr">
        <is>
          <t>ed669e9efbac7861560bfc3184412f2067051bf2a9634c57298fa93d7864f8c8</t>
        </is>
      </c>
      <c r="G16" s="29" t="inlineStr">
        <is>
          <t>Lebrija Sarayı'nın dar sokağa bakan oymalı taş kapısı ve balkonu.</t>
        </is>
      </c>
      <c r="H16" s="29" t="inlineStr">
        <is>
          <t>Emilio J. Rodríguez Posada</t>
        </is>
      </c>
      <c r="I16" s="29" t="inlineStr">
        <is>
          <t>CC BY-SA 3.0 es</t>
        </is>
      </c>
      <c r="J16" s="29" t="inlineStr">
        <is>
          <t>https://creativecommons.org/licenses/by-sa/3.0/es/deed.en/</t>
        </is>
      </c>
      <c r="K16" s="29" t="inlineStr">
        <is>
          <t>https://commons.wikimedia.org/wiki/File:Palacio_de_Lebrija_001.jpg</t>
        </is>
      </c>
      <c r="L16" s="49" t="n">
        <v>40811</v>
      </c>
      <c r="M16" s="49" t="n">
        <v>46320</v>
      </c>
      <c r="N16" s="29" t="inlineStr">
        <is>
          <t>Wikimedia Commons'taki "Palacio de Lebrija 001.jpg" (1920×2560 px) özgün dosyasının 1280×1707 px küçültülmüş kopyası indirildi; kırpma, rötuş ve renk düzeltmesi yapılmadı. Teslim dosyası: sevilla_palacio-de-la-condesa-de-lebrija_03.jpg (SHA-256 ed669e9efbac).</t>
        </is>
      </c>
      <c r="O16" s="29" t="inlineStr">
        <is>
          <t>sevilla:evidence:palacio-de-la-condesa-de-lebrija-03</t>
        </is>
      </c>
      <c r="P16" s="29" t="inlineStr">
        <is>
          <t>Evet</t>
        </is>
      </c>
      <c r="Q16" s="51" t="n">
        <v>3</v>
      </c>
      <c r="R16" s="29" t="inlineStr">
        <is>
          <t>Taslak</t>
        </is>
      </c>
      <c r="S16" s="52">
        <f>IF(OR(A16="",F16="",C16&lt;&gt;"Mekân"),0,IF(COUNTIFS($F$8:F16,F16,$C$8:C16,"Mekân")=1,1,0))</f>
        <v/>
      </c>
      <c r="T16" s="52">
        <f>IF(OR(A16="",F16="",C16&lt;&gt;"Kapak"),0,IF(COUNTIFS($F$8:F16,F16,$C$8:C16,"Kapak")=1,1,0))</f>
        <v/>
      </c>
    </row>
    <row r="17" ht="54" customHeight="1">
      <c r="A17" s="29" t="inlineStr">
        <is>
          <t>sevilla:photo:metropol-parasol-antiquarium-01</t>
        </is>
      </c>
      <c r="B17" s="29" t="inlineStr">
        <is>
          <t>sevilla</t>
        </is>
      </c>
      <c r="C17" s="29" t="inlineStr">
        <is>
          <t>Mekân</t>
        </is>
      </c>
      <c r="D17" s="29" t="inlineStr">
        <is>
          <t>sevilla:metropol-parasol-antiquarium</t>
        </is>
      </c>
      <c r="E17" s="29" t="inlineStr">
        <is>
          <t>Fotoğraflar/sevilla_metropol-parasol-antiquarium_01.jpg</t>
        </is>
      </c>
      <c r="F17" s="29" t="inlineStr">
        <is>
          <t>82c14319446646301c547d41ceac7f4f6ddb7858cb892c10d864be52c49162ef</t>
        </is>
      </c>
      <c r="G17" s="29" t="inlineStr">
        <is>
          <t>Metropol Parasol'ün dev ahşap "mantar" yapısı ve altındaki meydan.</t>
        </is>
      </c>
      <c r="H17" s="29" t="inlineStr">
        <is>
          <t>Holger Uwe Schmitt</t>
        </is>
      </c>
      <c r="I17" s="29" t="inlineStr">
        <is>
          <t>CC BY-SA 4.0</t>
        </is>
      </c>
      <c r="J17" s="29" t="inlineStr">
        <is>
          <t>https://creativecommons.org/licenses/by-sa/4.0/</t>
        </is>
      </c>
      <c r="K17" s="29" t="inlineStr">
        <is>
          <t>https://commons.wikimedia.org/wiki/File:%22Das_gr%C3%B6%C3%9Fte_Holzbauwerk_der_Welt%22._02.jpg</t>
        </is>
      </c>
      <c r="L17" s="49" t="n">
        <v>45581</v>
      </c>
      <c r="M17" s="49" t="n">
        <v>46320</v>
      </c>
      <c r="N17" s="29" t="inlineStr">
        <is>
          <t>Wikimedia Commons'taki ""Das größte Holzbauwerk der Welt". 02.jpg" (2736×4975 px) özgün dosyasının 1280×2327 px küçültülmüş kopyası indirildi; kırpma, rötuş ve renk düzeltmesi yapılmadı. Teslim dosyası: sevilla_metropol-parasol-antiquarium_01.jpg (SHA-256 82c143194466).</t>
        </is>
      </c>
      <c r="O17" s="29" t="inlineStr">
        <is>
          <t>sevilla:evidence:metropol-parasol-antiquarium-01</t>
        </is>
      </c>
      <c r="P17" s="29" t="inlineStr">
        <is>
          <t>Evet</t>
        </is>
      </c>
      <c r="Q17" s="51" t="n">
        <v>1</v>
      </c>
      <c r="R17" s="29" t="inlineStr">
        <is>
          <t>Taslak</t>
        </is>
      </c>
      <c r="S17" s="52">
        <f>IF(OR(A17="",F17="",C17&lt;&gt;"Mekân"),0,IF(COUNTIFS($F$8:F17,F17,$C$8:C17,"Mekân")=1,1,0))</f>
        <v/>
      </c>
      <c r="T17" s="52">
        <f>IF(OR(A17="",F17="",C17&lt;&gt;"Kapak"),0,IF(COUNTIFS($F$8:F17,F17,$C$8:C17,"Kapak")=1,1,0))</f>
        <v/>
      </c>
    </row>
    <row r="18" ht="54" customHeight="1">
      <c r="A18" s="29" t="inlineStr">
        <is>
          <t>sevilla:photo:metropol-parasol-antiquarium-02</t>
        </is>
      </c>
      <c r="B18" s="29" t="inlineStr">
        <is>
          <t>sevilla</t>
        </is>
      </c>
      <c r="C18" s="29" t="inlineStr">
        <is>
          <t>Mekân</t>
        </is>
      </c>
      <c r="D18" s="29" t="inlineStr">
        <is>
          <t>sevilla:metropol-parasol-antiquarium</t>
        </is>
      </c>
      <c r="E18" s="29" t="inlineStr">
        <is>
          <t>Fotoğraflar/sevilla_metropol-parasol-antiquarium_02.jpg</t>
        </is>
      </c>
      <c r="F18" s="29" t="inlineStr">
        <is>
          <t>de554a0b0d05f84fd07b3938d1b53a27f850b1ae13d15b6bd518d62aa7320490</t>
        </is>
      </c>
      <c r="G18" s="29" t="inlineStr">
        <is>
          <t>Metropol Parasol'ün petek biçimli ahşap çatısının altından görünüm.</t>
        </is>
      </c>
      <c r="H18" s="29" t="inlineStr">
        <is>
          <t>Holger Uwe Schmitt</t>
        </is>
      </c>
      <c r="I18" s="29" t="inlineStr">
        <is>
          <t>CC BY-SA 4.0</t>
        </is>
      </c>
      <c r="J18" s="29" t="inlineStr">
        <is>
          <t>https://creativecommons.org/licenses/by-sa/4.0/</t>
        </is>
      </c>
      <c r="K18" s="29" t="inlineStr">
        <is>
          <t>https://commons.wikimedia.org/wiki/File:%22Das_gr%C3%B6%C3%9Fte_Holzbauwerk_der_Welt%22._03.jpg</t>
        </is>
      </c>
      <c r="L18" s="49" t="n">
        <v>45581</v>
      </c>
      <c r="M18" s="49" t="n">
        <v>46320</v>
      </c>
      <c r="N18" s="29" t="inlineStr">
        <is>
          <t>Wikimedia Commons'taki ""Das größte Holzbauwerk der Welt". 03.jpg" (3340×5785 px) özgün dosyasının 1280×2217 px küçültülmüş kopyası indirildi; kırpma, rötuş ve renk düzeltmesi yapılmadı. Teslim dosyası: sevilla_metropol-parasol-antiquarium_02.jpg (SHA-256 de554a0b0d05).</t>
        </is>
      </c>
      <c r="O18" s="29" t="inlineStr">
        <is>
          <t>sevilla:evidence:metropol-parasol-antiquarium-02</t>
        </is>
      </c>
      <c r="P18" s="29" t="inlineStr">
        <is>
          <t>Evet</t>
        </is>
      </c>
      <c r="Q18" s="51" t="n">
        <v>2</v>
      </c>
      <c r="R18" s="29" t="inlineStr">
        <is>
          <t>Taslak</t>
        </is>
      </c>
      <c r="S18" s="52">
        <f>IF(OR(A18="",F18="",C18&lt;&gt;"Mekân"),0,IF(COUNTIFS($F$8:F18,F18,$C$8:C18,"Mekân")=1,1,0))</f>
        <v/>
      </c>
      <c r="T18" s="52">
        <f>IF(OR(A18="",F18="",C18&lt;&gt;"Kapak"),0,IF(COUNTIFS($F$8:F18,F18,$C$8:C18,"Kapak")=1,1,0))</f>
        <v/>
      </c>
    </row>
    <row r="19" ht="54" customHeight="1">
      <c r="A19" s="29" t="inlineStr">
        <is>
          <t>sevilla:photo:metropol-parasol-antiquarium-03</t>
        </is>
      </c>
      <c r="B19" s="29" t="inlineStr">
        <is>
          <t>sevilla</t>
        </is>
      </c>
      <c r="C19" s="29" t="inlineStr">
        <is>
          <t>Mekân</t>
        </is>
      </c>
      <c r="D19" s="29" t="inlineStr">
        <is>
          <t>sevilla:metropol-parasol-antiquarium</t>
        </is>
      </c>
      <c r="E19" s="29" t="inlineStr">
        <is>
          <t>Fotoğraflar/sevilla_metropol-parasol-antiquarium_03.jpg</t>
        </is>
      </c>
      <c r="F19" s="29" t="inlineStr">
        <is>
          <t>bf57fff975735418f6d9a4294ebc859100e49fa92ffa3f13d5549321672e40f0</t>
        </is>
      </c>
      <c r="G19" s="29" t="inlineStr">
        <is>
          <t>Metropol Parasol'ün beyaz ahşap gövdesi ve çatısı, mavi gökyüzü önünde.</t>
        </is>
      </c>
      <c r="H19" s="29" t="inlineStr">
        <is>
          <t>Holger Uwe Schmitt</t>
        </is>
      </c>
      <c r="I19" s="29" t="inlineStr">
        <is>
          <t>CC BY-SA 4.0</t>
        </is>
      </c>
      <c r="J19" s="29" t="inlineStr">
        <is>
          <t>https://creativecommons.org/licenses/by-sa/4.0/</t>
        </is>
      </c>
      <c r="K19" s="29" t="inlineStr">
        <is>
          <t>https://commons.wikimedia.org/wiki/File:%22Das_gr%C3%B6%C3%9Fte_Holzbauwerk_der_Welt%22._04.jpg</t>
        </is>
      </c>
      <c r="L19" s="49" t="n">
        <v>45581</v>
      </c>
      <c r="M19" s="49" t="n">
        <v>46320</v>
      </c>
      <c r="N19" s="29" t="inlineStr">
        <is>
          <t>Wikimedia Commons'taki ""Das größte Holzbauwerk der Welt". 04.jpg" (3393×6262 px) özgün dosyasının 1280×2362 px küçültülmüş kopyası indirildi; kırpma, rötuş ve renk düzeltmesi yapılmadı. Teslim dosyası: sevilla_metropol-parasol-antiquarium_03.jpg (SHA-256 bf57fff97573).</t>
        </is>
      </c>
      <c r="O19" s="29" t="inlineStr">
        <is>
          <t>sevilla:evidence:metropol-parasol-antiquarium-03</t>
        </is>
      </c>
      <c r="P19" s="29" t="inlineStr">
        <is>
          <t>Evet</t>
        </is>
      </c>
      <c r="Q19" s="51" t="n">
        <v>3</v>
      </c>
      <c r="R19" s="29" t="inlineStr">
        <is>
          <t>Taslak</t>
        </is>
      </c>
      <c r="S19" s="52">
        <f>IF(OR(A19="",F19="",C19&lt;&gt;"Mekân"),0,IF(COUNTIFS($F$8:F19,F19,$C$8:C19,"Mekân")=1,1,0))</f>
        <v/>
      </c>
      <c r="T19" s="52">
        <f>IF(OR(A19="",F19="",C19&lt;&gt;"Kapak"),0,IF(COUNTIFS($F$8:F19,F19,$C$8:C19,"Kapak")=1,1,0))</f>
        <v/>
      </c>
    </row>
    <row r="20" ht="54" customHeight="1">
      <c r="A20" s="29" t="inlineStr">
        <is>
          <t>sevilla:photo:palacio-de-san-telmo-01</t>
        </is>
      </c>
      <c r="B20" s="29" t="inlineStr">
        <is>
          <t>sevilla</t>
        </is>
      </c>
      <c r="C20" s="29" t="inlineStr">
        <is>
          <t>Mekân</t>
        </is>
      </c>
      <c r="D20" s="29" t="inlineStr">
        <is>
          <t>sevilla:palacio-de-san-telmo</t>
        </is>
      </c>
      <c r="E20" s="29" t="inlineStr">
        <is>
          <t>Fotoğraflar/sevilla_palacio-de-san-telmo_01.jpg</t>
        </is>
      </c>
      <c r="F20" s="29" t="inlineStr">
        <is>
          <t>f2ac79dc3e274f4498d05757b8751f5febd274cb56f0f92ff23c83d3a12061ae</t>
        </is>
      </c>
      <c r="G20" s="29" t="inlineStr">
        <is>
          <t>San Telmo Sarayı'nın barok taş giriş cephesi.</t>
        </is>
      </c>
      <c r="H20" s="29" t="inlineStr">
        <is>
          <t>Unknown author Unknown author</t>
        </is>
      </c>
      <c r="I20" s="29" t="inlineStr">
        <is>
          <t>CC0 1.0</t>
        </is>
      </c>
      <c r="J20" s="29" t="inlineStr">
        <is>
          <t>https://creativecommons.org/publicdomain/zero/1.0/</t>
        </is>
      </c>
      <c r="K20" s="29" t="inlineStr">
        <is>
          <t>https://commons.wikimedia.org/wiki/File:Architecture-town-building-palace-city-cityscape-338083.jpg</t>
        </is>
      </c>
      <c r="L20" s="49" t="n"/>
      <c r="M20" s="49" t="n">
        <v>46320</v>
      </c>
      <c r="N20" s="29" t="inlineStr">
        <is>
          <t>Wikimedia Commons'taki "Architecture-town-building-palace-city-cityscape-338083.jpg" (3456×5184 px) özgün dosyasının 1280×1920 px küçültülmüş kopyası indirildi; kırpma, rötuş ve renk düzeltmesi yapılmadı. Teslim dosyası: sevilla_palacio-de-san-telmo_01.jpg (SHA-256 f2ac79dc3e27).</t>
        </is>
      </c>
      <c r="O20" s="29" t="inlineStr">
        <is>
          <t>sevilla:evidence:palacio-de-san-telmo-01</t>
        </is>
      </c>
      <c r="P20" s="29" t="inlineStr">
        <is>
          <t>Evet</t>
        </is>
      </c>
      <c r="Q20" s="51" t="n">
        <v>1</v>
      </c>
      <c r="R20" s="29" t="inlineStr">
        <is>
          <t>Taslak</t>
        </is>
      </c>
      <c r="S20" s="52">
        <f>IF(OR(A20="",F20="",C20&lt;&gt;"Mekân"),0,IF(COUNTIFS($F$8:F20,F20,$C$8:C20,"Mekân")=1,1,0))</f>
        <v/>
      </c>
      <c r="T20" s="52">
        <f>IF(OR(A20="",F20="",C20&lt;&gt;"Kapak"),0,IF(COUNTIFS($F$8:F20,F20,$C$8:C20,"Kapak")=1,1,0))</f>
        <v/>
      </c>
    </row>
    <row r="21" ht="54" customHeight="1">
      <c r="A21" s="29" t="inlineStr">
        <is>
          <t>sevilla:photo:palacio-de-san-telmo-02</t>
        </is>
      </c>
      <c r="B21" s="29" t="inlineStr">
        <is>
          <t>sevilla</t>
        </is>
      </c>
      <c r="C21" s="29" t="inlineStr">
        <is>
          <t>Mekân</t>
        </is>
      </c>
      <c r="D21" s="29" t="inlineStr">
        <is>
          <t>sevilla:palacio-de-san-telmo</t>
        </is>
      </c>
      <c r="E21" s="29" t="inlineStr">
        <is>
          <t>Fotoğraflar/sevilla_palacio-de-san-telmo_02.jpg</t>
        </is>
      </c>
      <c r="F21" s="29" t="inlineStr">
        <is>
          <t>3b015c3b3a8c7d5839acbb477cb71cc8b8812983d7ab5fe4ce40057bbfb56aba</t>
        </is>
      </c>
      <c r="G21" s="29" t="inlineStr">
        <is>
          <t>San Telmo Sarayı'nın kırmızı-sarı uzun cephesi ve önündeki kaldırım.</t>
        </is>
      </c>
      <c r="H21" s="29" t="inlineStr">
        <is>
          <t>PEPE GADEIRAS</t>
        </is>
      </c>
      <c r="I21" s="29" t="inlineStr">
        <is>
          <t>CC BY-SA 4.0</t>
        </is>
      </c>
      <c r="J21" s="29" t="inlineStr">
        <is>
          <t>https://creativecommons.org/licenses/by-sa/4.0/</t>
        </is>
      </c>
      <c r="K21" s="29" t="inlineStr">
        <is>
          <t>https://commons.wikimedia.org/wiki/File:Palacio_San_Telmo_de_Sevilla.jpg</t>
        </is>
      </c>
      <c r="L21" s="49" t="n">
        <v>40650</v>
      </c>
      <c r="M21" s="49" t="n">
        <v>46320</v>
      </c>
      <c r="N21" s="29" t="inlineStr">
        <is>
          <t>Wikimedia Commons'taki "Palacio San Telmo de Sevilla.jpg" (5184×3456 px) özgün dosyasının 1280×853 px küçültülmüş kopyası indirildi; kırpma, rötuş ve renk düzeltmesi yapılmadı. Teslim dosyası: sevilla_palacio-de-san-telmo_02.jpg (SHA-256 3b015c3b3a8c).</t>
        </is>
      </c>
      <c r="O21" s="29" t="inlineStr">
        <is>
          <t>sevilla:evidence:palacio-de-san-telmo-02</t>
        </is>
      </c>
      <c r="P21" s="29" t="inlineStr">
        <is>
          <t>Evet</t>
        </is>
      </c>
      <c r="Q21" s="51" t="n">
        <v>2</v>
      </c>
      <c r="R21" s="29" t="inlineStr">
        <is>
          <t>Taslak</t>
        </is>
      </c>
      <c r="S21" s="52">
        <f>IF(OR(A21="",F21="",C21&lt;&gt;"Mekân"),0,IF(COUNTIFS($F$8:F21,F21,$C$8:C21,"Mekân")=1,1,0))</f>
        <v/>
      </c>
      <c r="T21" s="52">
        <f>IF(OR(A21="",F21="",C21&lt;&gt;"Kapak"),0,IF(COUNTIFS($F$8:F21,F21,$C$8:C21,"Kapak")=1,1,0))</f>
        <v/>
      </c>
    </row>
    <row r="22" ht="54" customHeight="1">
      <c r="A22" s="29" t="inlineStr">
        <is>
          <t>sevilla:photo:basilica-del-gran-poder-01</t>
        </is>
      </c>
      <c r="B22" s="29" t="inlineStr">
        <is>
          <t>sevilla</t>
        </is>
      </c>
      <c r="C22" s="29" t="inlineStr">
        <is>
          <t>Mekân</t>
        </is>
      </c>
      <c r="D22" s="29" t="inlineStr">
        <is>
          <t>sevilla:basilica-del-gran-poder</t>
        </is>
      </c>
      <c r="E22" s="29" t="inlineStr">
        <is>
          <t>Fotoğraflar/sevilla_basilica-del-gran-poder_01.jpg</t>
        </is>
      </c>
      <c r="F22" s="29" t="inlineStr">
        <is>
          <t>863bbc6b1f5631fd0625a18783a3f650cd749edfb3743edacd1771c4d9b1fb06</t>
        </is>
      </c>
      <c r="G22" s="29" t="inlineStr">
        <is>
          <t>Gran Poder Bazilikası'nın meydana bakan beyaz taş cephesi ve portakal ağaçları.</t>
        </is>
      </c>
      <c r="H22" s="29" t="inlineStr">
        <is>
          <t>CarlosVdeHabsburgo</t>
        </is>
      </c>
      <c r="I22" s="29" t="inlineStr">
        <is>
          <t>CC BY-SA 4.0</t>
        </is>
      </c>
      <c r="J22" s="29" t="inlineStr">
        <is>
          <t>https://creativecommons.org/licenses/by-sa/4.0/</t>
        </is>
      </c>
      <c r="K22" s="29" t="inlineStr">
        <is>
          <t>https://commons.wikimedia.org/wiki/File:Bas%C3%ADlica_del_Gran_Poder.jpg</t>
        </is>
      </c>
      <c r="L22" s="49" t="n">
        <v>42855</v>
      </c>
      <c r="M22" s="49" t="n">
        <v>46320</v>
      </c>
      <c r="N22" s="29" t="inlineStr">
        <is>
          <t>Wikimedia Commons'taki "Basílica del Gran Poder.jpg" (4320×3240 px) özgün dosyasının 1280×960 px küçültülmüş kopyası indirildi; kırpma, rötuş ve renk düzeltmesi yapılmadı. Teslim dosyası: sevilla_basilica-del-gran-poder_01.jpg (SHA-256 863bbc6b1f56).</t>
        </is>
      </c>
      <c r="O22" s="29" t="inlineStr">
        <is>
          <t>sevilla:evidence:basilica-del-gran-poder-01</t>
        </is>
      </c>
      <c r="P22" s="29" t="inlineStr">
        <is>
          <t>Evet</t>
        </is>
      </c>
      <c r="Q22" s="51" t="n">
        <v>1</v>
      </c>
      <c r="R22" s="29" t="inlineStr">
        <is>
          <t>Taslak</t>
        </is>
      </c>
      <c r="S22" s="52">
        <f>IF(OR(A22="",F22="",C22&lt;&gt;"Mekân"),0,IF(COUNTIFS($F$8:F22,F22,$C$8:C22,"Mekân")=1,1,0))</f>
        <v/>
      </c>
      <c r="T22" s="52">
        <f>IF(OR(A22="",F22="",C22&lt;&gt;"Kapak"),0,IF(COUNTIFS($F$8:F22,F22,$C$8:C22,"Kapak")=1,1,0))</f>
        <v/>
      </c>
    </row>
    <row r="23" ht="54" customHeight="1">
      <c r="A23" s="29" t="inlineStr">
        <is>
          <t>sevilla:photo:basilica-del-gran-poder-02</t>
        </is>
      </c>
      <c r="B23" s="29" t="inlineStr">
        <is>
          <t>sevilla</t>
        </is>
      </c>
      <c r="C23" s="29" t="inlineStr">
        <is>
          <t>Mekân</t>
        </is>
      </c>
      <c r="D23" s="29" t="inlineStr">
        <is>
          <t>sevilla:basilica-del-gran-poder</t>
        </is>
      </c>
      <c r="E23" s="29" t="inlineStr">
        <is>
          <t>Fotoğraflar/sevilla_basilica-del-gran-poder_02.jpg</t>
        </is>
      </c>
      <c r="F23" s="29" t="inlineStr">
        <is>
          <t>d716d44a62c817576944078cc3cdd8c0bf5b6f8665d1eafa83369dce2c174ffd</t>
        </is>
      </c>
      <c r="G23" s="29" t="inlineStr">
        <is>
          <t>Gran Poder Bazilikası'nın barok giriş kapısı ve çan kulesi.</t>
        </is>
      </c>
      <c r="H23" s="29" t="inlineStr">
        <is>
          <t>Pirado</t>
        </is>
      </c>
      <c r="I23" s="29" t="inlineStr">
        <is>
          <t>Public domain</t>
        </is>
      </c>
      <c r="J23" s="29" t="inlineStr">
        <is>
          <t>https://commons.wikimedia.org/wiki/File:Fachada_de_la_bas%C3%ADlica.JPG</t>
        </is>
      </c>
      <c r="K23" s="29" t="inlineStr">
        <is>
          <t>https://commons.wikimedia.org/wiki/File:Fachada_de_la_bas%C3%ADlica.JPG</t>
        </is>
      </c>
      <c r="L23" s="49" t="n"/>
      <c r="M23" s="49" t="n">
        <v>46320</v>
      </c>
      <c r="N23" s="29" t="inlineStr">
        <is>
          <t>Wikimedia Commons'taki "Fachada de la basílica.JPG" (3072×2304 px) özgün dosyasının 1280×960 px küçültülmüş kopyası indirildi; kırpma, rötuş ve renk düzeltmesi yapılmadı. Teslim dosyası: sevilla_basilica-del-gran-poder_02.jpg (SHA-256 d716d44a62c8).</t>
        </is>
      </c>
      <c r="O23" s="29" t="inlineStr">
        <is>
          <t>sevilla:evidence:basilica-del-gran-poder-02</t>
        </is>
      </c>
      <c r="P23" s="29" t="inlineStr">
        <is>
          <t>Evet</t>
        </is>
      </c>
      <c r="Q23" s="51" t="n">
        <v>2</v>
      </c>
      <c r="R23" s="29" t="inlineStr">
        <is>
          <t>Taslak</t>
        </is>
      </c>
      <c r="S23" s="52">
        <f>IF(OR(A23="",F23="",C23&lt;&gt;"Mekân"),0,IF(COUNTIFS($F$8:F23,F23,$C$8:C23,"Mekân")=1,1,0))</f>
        <v/>
      </c>
      <c r="T23" s="52">
        <f>IF(OR(A23="",F23="",C23&lt;&gt;"Kapak"),0,IF(COUNTIFS($F$8:F23,F23,$C$8:C23,"Kapak")=1,1,0))</f>
        <v/>
      </c>
    </row>
    <row r="24" ht="54" customHeight="1">
      <c r="A24" s="29" t="inlineStr">
        <is>
          <t>sevilla:photo:basilica-del-gran-poder-03</t>
        </is>
      </c>
      <c r="B24" s="29" t="inlineStr">
        <is>
          <t>sevilla</t>
        </is>
      </c>
      <c r="C24" s="29" t="inlineStr">
        <is>
          <t>Mekân</t>
        </is>
      </c>
      <c r="D24" s="29" t="inlineStr">
        <is>
          <t>sevilla:basilica-del-gran-poder</t>
        </is>
      </c>
      <c r="E24" s="29" t="inlineStr">
        <is>
          <t>Fotoğraflar/sevilla_basilica-del-gran-poder_03.jpg</t>
        </is>
      </c>
      <c r="F24" s="29" t="inlineStr">
        <is>
          <t>d6a8450c591f68844118ea83782d51c720da0d31946ba633f1875d993b4744d4</t>
        </is>
      </c>
      <c r="G24" s="29" t="inlineStr">
        <is>
          <t>Gran Poder Bazilikası'nın içinde kubbe altında yükselen org.</t>
        </is>
      </c>
      <c r="H24" s="29" t="inlineStr">
        <is>
          <t>CarlosVdeHabsburgo</t>
        </is>
      </c>
      <c r="I24" s="29" t="inlineStr">
        <is>
          <t>CC BY-SA 4.0</t>
        </is>
      </c>
      <c r="J24" s="29" t="inlineStr">
        <is>
          <t>https://creativecommons.org/licenses/by-sa/4.0/</t>
        </is>
      </c>
      <c r="K24" s="29" t="inlineStr">
        <is>
          <t>https://commons.wikimedia.org/wiki/File:%C3%93rgano_(Gran_Poder).jpg</t>
        </is>
      </c>
      <c r="L24" s="49" t="n">
        <v>43431</v>
      </c>
      <c r="M24" s="49" t="n">
        <v>46320</v>
      </c>
      <c r="N24" s="29" t="inlineStr">
        <is>
          <t>Wikimedia Commons'taki "Órgano (Gran Poder).jpg" (3013×4320 px) özgün dosyasının 1280×1835 px küçültülmüş kopyası indirildi; kırpma, rötuş ve renk düzeltmesi yapılmadı. Teslim dosyası: sevilla_basilica-del-gran-poder_03.jpg (SHA-256 d6a8450c591f).</t>
        </is>
      </c>
      <c r="O24" s="29" t="inlineStr">
        <is>
          <t>sevilla:evidence:basilica-del-gran-poder-03</t>
        </is>
      </c>
      <c r="P24" s="29" t="inlineStr">
        <is>
          <t>Evet</t>
        </is>
      </c>
      <c r="Q24" s="51" t="n">
        <v>3</v>
      </c>
      <c r="R24" s="29" t="inlineStr">
        <is>
          <t>Taslak</t>
        </is>
      </c>
      <c r="S24" s="52">
        <f>IF(OR(A24="",F24="",C24&lt;&gt;"Mekân"),0,IF(COUNTIFS($F$8:F24,F24,$C$8:C24,"Mekân")=1,1,0))</f>
        <v/>
      </c>
      <c r="T24" s="52">
        <f>IF(OR(A24="",F24="",C24&lt;&gt;"Kapak"),0,IF(COUNTIFS($F$8:F24,F24,$C$8:C24,"Kapak")=1,1,0))</f>
        <v/>
      </c>
    </row>
    <row r="25" ht="54" customHeight="1">
      <c r="A25" s="29" t="inlineStr">
        <is>
          <t>sevilla:photo:capilla-de-los-marineros-01</t>
        </is>
      </c>
      <c r="B25" s="29" t="inlineStr">
        <is>
          <t>sevilla</t>
        </is>
      </c>
      <c r="C25" s="29" t="inlineStr">
        <is>
          <t>Mekân</t>
        </is>
      </c>
      <c r="D25" s="29" t="inlineStr">
        <is>
          <t>sevilla:capilla-de-los-marineros</t>
        </is>
      </c>
      <c r="E25" s="29" t="inlineStr">
        <is>
          <t>Fotoğraflar/sevilla_capilla-de-los-marineros_01.jpg</t>
        </is>
      </c>
      <c r="F25" s="29" t="inlineStr">
        <is>
          <t>f062bf7ae361dd7905160247cd0e63d9d93be0acf3e1ef89ab529d46a09abf39</t>
        </is>
      </c>
      <c r="G25" s="29" t="inlineStr">
        <is>
          <t>Marineros Şapeli'nin içinde altın yaldızlı sunak ve ortadaki Meryem heykeli.</t>
        </is>
      </c>
      <c r="H25" s="29" t="inlineStr">
        <is>
          <t>CarlosVdeHabsburgo</t>
        </is>
      </c>
      <c r="I25" s="29" t="inlineStr">
        <is>
          <t>CC BY-SA 4.0</t>
        </is>
      </c>
      <c r="J25" s="29" t="inlineStr">
        <is>
          <t>https://creativecommons.org/licenses/by-sa/4.0/</t>
        </is>
      </c>
      <c r="K25" s="29" t="inlineStr">
        <is>
          <t>https://commons.wikimedia.org/wiki/File:C_Marineros.jpg</t>
        </is>
      </c>
      <c r="L25" s="49" t="n">
        <v>42711</v>
      </c>
      <c r="M25" s="49" t="n">
        <v>46320</v>
      </c>
      <c r="N25" s="29" t="inlineStr">
        <is>
          <t>Wikimedia Commons'taki "C Marineros.jpg" (3240×4320 px) özgün dosyasının 1280×1707 px küçültülmüş kopyası indirildi; kırpma, rötuş ve renk düzeltmesi yapılmadı. Teslim dosyası: sevilla_capilla-de-los-marineros_01.jpg (SHA-256 f062bf7ae361).</t>
        </is>
      </c>
      <c r="O25" s="29" t="inlineStr">
        <is>
          <t>sevilla:evidence:capilla-de-los-marineros-01</t>
        </is>
      </c>
      <c r="P25" s="29" t="inlineStr">
        <is>
          <t>Evet</t>
        </is>
      </c>
      <c r="Q25" s="51" t="n">
        <v>1</v>
      </c>
      <c r="R25" s="29" t="inlineStr">
        <is>
          <t>Taslak</t>
        </is>
      </c>
      <c r="S25" s="52">
        <f>IF(OR(A25="",F25="",C25&lt;&gt;"Mekân"),0,IF(COUNTIFS($F$8:F25,F25,$C$8:C25,"Mekân")=1,1,0))</f>
        <v/>
      </c>
      <c r="T25" s="52">
        <f>IF(OR(A25="",F25="",C25&lt;&gt;"Kapak"),0,IF(COUNTIFS($F$8:F25,F25,$C$8:C25,"Kapak")=1,1,0))</f>
        <v/>
      </c>
    </row>
    <row r="26" ht="54" customHeight="1">
      <c r="A26" s="29" t="inlineStr">
        <is>
          <t>sevilla:photo:capilla-de-los-marineros-02</t>
        </is>
      </c>
      <c r="B26" s="29" t="inlineStr">
        <is>
          <t>sevilla</t>
        </is>
      </c>
      <c r="C26" s="29" t="inlineStr">
        <is>
          <t>Mekân</t>
        </is>
      </c>
      <c r="D26" s="29" t="inlineStr">
        <is>
          <t>sevilla:capilla-de-los-marineros</t>
        </is>
      </c>
      <c r="E26" s="29" t="inlineStr">
        <is>
          <t>Fotoğraflar/sevilla_capilla-de-los-marineros_02.jpg</t>
        </is>
      </c>
      <c r="F26" s="29" t="inlineStr">
        <is>
          <t>32b9b2080bcacd777e6e80c92fb549fa3a586700d7f5445b3d29dec6399f27b4</t>
        </is>
      </c>
      <c r="G26" s="29" t="inlineStr">
        <is>
          <t>Triana'da Marineros Şapeli'nin sokağa bakan beyaz-sarı cephesi.</t>
        </is>
      </c>
      <c r="H26" s="29" t="inlineStr">
        <is>
          <t>CarlosVdeHabsburgo</t>
        </is>
      </c>
      <c r="I26" s="29" t="inlineStr">
        <is>
          <t>CC BY-SA 4.0</t>
        </is>
      </c>
      <c r="J26" s="29" t="inlineStr">
        <is>
          <t>https://creativecommons.org/licenses/by-sa/4.0/</t>
        </is>
      </c>
      <c r="K26" s="29" t="inlineStr">
        <is>
          <t>https://commons.wikimedia.org/wiki/File:Capilla_de_los_Marineros_01.jpg</t>
        </is>
      </c>
      <c r="L26" s="49" t="n">
        <v>42955</v>
      </c>
      <c r="M26" s="49" t="n">
        <v>46320</v>
      </c>
      <c r="N26" s="29" t="inlineStr">
        <is>
          <t>Wikimedia Commons'taki "Capilla de los Marineros 01.jpg" (2641×3828 px) özgün dosyasının 1280×1855 px küçültülmüş kopyası indirildi; kırpma, rötuş ve renk düzeltmesi yapılmadı. Teslim dosyası: sevilla_capilla-de-los-marineros_02.jpg (SHA-256 32b9b2080bca).</t>
        </is>
      </c>
      <c r="O26" s="29" t="inlineStr">
        <is>
          <t>sevilla:evidence:capilla-de-los-marineros-02</t>
        </is>
      </c>
      <c r="P26" s="29" t="inlineStr">
        <is>
          <t>Evet</t>
        </is>
      </c>
      <c r="Q26" s="51" t="n">
        <v>2</v>
      </c>
      <c r="R26" s="29" t="inlineStr">
        <is>
          <t>Taslak</t>
        </is>
      </c>
      <c r="S26" s="52">
        <f>IF(OR(A26="",F26="",C26&lt;&gt;"Mekân"),0,IF(COUNTIFS($F$8:F26,F26,$C$8:C26,"Mekân")=1,1,0))</f>
        <v/>
      </c>
      <c r="T26" s="52">
        <f>IF(OR(A26="",F26="",C26&lt;&gt;"Kapak"),0,IF(COUNTIFS($F$8:F26,F26,$C$8:C26,"Kapak")=1,1,0))</f>
        <v/>
      </c>
    </row>
    <row r="27" ht="54" customHeight="1">
      <c r="A27" s="29" t="inlineStr">
        <is>
          <t>sevilla:photo:capilla-de-los-marineros-03</t>
        </is>
      </c>
      <c r="B27" s="29" t="inlineStr">
        <is>
          <t>sevilla</t>
        </is>
      </c>
      <c r="C27" s="29" t="inlineStr">
        <is>
          <t>Mekân</t>
        </is>
      </c>
      <c r="D27" s="29" t="inlineStr">
        <is>
          <t>sevilla:capilla-de-los-marineros</t>
        </is>
      </c>
      <c r="E27" s="29" t="inlineStr">
        <is>
          <t>Fotoğraflar/sevilla_capilla-de-los-marineros_03.jpg</t>
        </is>
      </c>
      <c r="F27" s="29" t="inlineStr">
        <is>
          <t>2918f6cf43b8e6348017012f0585617b9ab28fee477a2ada477c15da6954438b</t>
        </is>
      </c>
      <c r="G27" s="29" t="inlineStr">
        <is>
          <t>Triana'da Marineros Şapeli'nin bulunduğu beyaz cepheli sokak.</t>
        </is>
      </c>
      <c r="H27" s="29" t="inlineStr">
        <is>
          <t>Frobles</t>
        </is>
      </c>
      <c r="I27" s="29" t="inlineStr">
        <is>
          <t>CC BY-SA 4.0</t>
        </is>
      </c>
      <c r="J27" s="29" t="inlineStr">
        <is>
          <t>https://creativecommons.org/licenses/by-sa/4.0/</t>
        </is>
      </c>
      <c r="K27" s="29" t="inlineStr">
        <is>
          <t>https://commons.wikimedia.org/wiki/File:Capilladelosmarinerossevilla.JPG</t>
        </is>
      </c>
      <c r="L27" s="49" t="n">
        <v>40267</v>
      </c>
      <c r="M27" s="49" t="n">
        <v>46320</v>
      </c>
      <c r="N27" s="29" t="inlineStr">
        <is>
          <t>Wikimedia Commons'taki "Capilladelosmarinerossevilla.JPG" (1944×2592 px) özgün dosyasının 1280×1707 px küçültülmüş kopyası indirildi; kırpma, rötuş ve renk düzeltmesi yapılmadı. Teslim dosyası: sevilla_capilla-de-los-marineros_03.jpg (SHA-256 2918f6cf43b8).</t>
        </is>
      </c>
      <c r="O27" s="29" t="inlineStr">
        <is>
          <t>sevilla:evidence:capilla-de-los-marineros-03</t>
        </is>
      </c>
      <c r="P27" s="29" t="inlineStr">
        <is>
          <t>Evet</t>
        </is>
      </c>
      <c r="Q27" s="51" t="n">
        <v>3</v>
      </c>
      <c r="R27" s="29" t="inlineStr">
        <is>
          <t>Taslak</t>
        </is>
      </c>
      <c r="S27" s="52">
        <f>IF(OR(A27="",F27="",C27&lt;&gt;"Mekân"),0,IF(COUNTIFS($F$8:F27,F27,$C$8:C27,"Mekân")=1,1,0))</f>
        <v/>
      </c>
      <c r="T27" s="52">
        <f>IF(OR(A27="",F27="",C27&lt;&gt;"Kapak"),0,IF(COUNTIFS($F$8:F27,F27,$C$8:C27,"Kapak")=1,1,0))</f>
        <v/>
      </c>
    </row>
    <row r="28" ht="54" customHeight="1">
      <c r="A28" s="29" t="inlineStr">
        <is>
          <t>sevilla:photo:basilica-del-cachorro-01</t>
        </is>
      </c>
      <c r="B28" s="29" t="inlineStr">
        <is>
          <t>sevilla</t>
        </is>
      </c>
      <c r="C28" s="29" t="inlineStr">
        <is>
          <t>Mekân</t>
        </is>
      </c>
      <c r="D28" s="29" t="inlineStr">
        <is>
          <t>sevilla:basilica-del-cachorro</t>
        </is>
      </c>
      <c r="E28" s="29" t="inlineStr">
        <is>
          <t>Fotoğraflar/sevilla_basilica-del-cachorro_01.jpg</t>
        </is>
      </c>
      <c r="F28" s="29" t="inlineStr">
        <is>
          <t>a9b6a49e72b8d02d48dd14e845ca9e607b90e9711da9534c5a5bbd9a25c3d70d</t>
        </is>
      </c>
      <c r="G28" s="29" t="inlineStr">
        <is>
          <t>Cachorro Bazilikası'nın çini süslemeli kemerli girişi ve beyaz çan kulesi.</t>
        </is>
      </c>
      <c r="H28" s="29" t="inlineStr">
        <is>
          <t>Zarateman</t>
        </is>
      </c>
      <c r="I28" s="29" t="inlineStr">
        <is>
          <t>CC0 1.0</t>
        </is>
      </c>
      <c r="J28" s="29" t="inlineStr">
        <is>
          <t>https://creativecommons.org/publicdomain/zero/1.0/</t>
        </is>
      </c>
      <c r="K28" s="29" t="inlineStr">
        <is>
          <t>https://commons.wikimedia.org/wiki/File:Sevilla_-_Triana,_Bas%C3%ADlica_del_Sant%C3%ADsimo_Cristo_de_la_Expiraci%C3%B3n_03.jpg</t>
        </is>
      </c>
      <c r="L28" s="49" t="n">
        <v>44787</v>
      </c>
      <c r="M28" s="49" t="n">
        <v>46320</v>
      </c>
      <c r="N28" s="29" t="inlineStr">
        <is>
          <t>Wikimedia Commons'taki "Sevilla - Triana, Basílica del Santísimo Cristo de la Expiración 03.jpg" (1500×1980 px) özgün dosyasının 1280×1690 px küçültülmüş kopyası indirildi; kırpma, rötuş ve renk düzeltmesi yapılmadı. Teslim dosyası: sevilla_basilica-del-cachorro_01.jpg (SHA-256 a9b6a49e72b8).</t>
        </is>
      </c>
      <c r="O28" s="29" t="inlineStr">
        <is>
          <t>sevilla:evidence:basilica-del-cachorro-01</t>
        </is>
      </c>
      <c r="P28" s="29" t="inlineStr">
        <is>
          <t>Evet</t>
        </is>
      </c>
      <c r="Q28" s="51" t="n">
        <v>1</v>
      </c>
      <c r="R28" s="29" t="inlineStr">
        <is>
          <t>Taslak</t>
        </is>
      </c>
      <c r="S28" s="52">
        <f>IF(OR(A28="",F28="",C28&lt;&gt;"Mekân"),0,IF(COUNTIFS($F$8:F28,F28,$C$8:C28,"Mekân")=1,1,0))</f>
        <v/>
      </c>
      <c r="T28" s="52">
        <f>IF(OR(A28="",F28="",C28&lt;&gt;"Kapak"),0,IF(COUNTIFS($F$8:F28,F28,$C$8:C28,"Kapak")=1,1,0))</f>
        <v/>
      </c>
    </row>
    <row r="29" ht="54" customHeight="1">
      <c r="A29" s="29" t="inlineStr">
        <is>
          <t>sevilla:photo:plaza-de-espana-01</t>
        </is>
      </c>
      <c r="B29" s="29" t="inlineStr">
        <is>
          <t>sevilla</t>
        </is>
      </c>
      <c r="C29" s="29" t="inlineStr">
        <is>
          <t>Mekân</t>
        </is>
      </c>
      <c r="D29" s="29" t="inlineStr">
        <is>
          <t>sevilla:plaza-de-espana</t>
        </is>
      </c>
      <c r="E29" s="29" t="inlineStr">
        <is>
          <t>Fotoğraflar/sevilla_plaza-de-espana_01.jpg</t>
        </is>
      </c>
      <c r="F29" s="29" t="inlineStr">
        <is>
          <t>a385a899f4678953594041a452869452e4ce69dc41668cd534f4f6913ed39fe4</t>
        </is>
      </c>
      <c r="G29" s="29" t="inlineStr">
        <is>
          <t>Plaza de España'nın tuğla binası, kulesi ve oymalı sütun kemeri.</t>
        </is>
      </c>
      <c r="H29" s="29" t="inlineStr">
        <is>
          <t>KikeMad</t>
        </is>
      </c>
      <c r="I29" s="29" t="inlineStr">
        <is>
          <t>CC BY-SA 3.0 es</t>
        </is>
      </c>
      <c r="J29" s="29" t="inlineStr">
        <is>
          <t>https://creativecommons.org/licenses/by-sa/3.0/es/deed.en/</t>
        </is>
      </c>
      <c r="K29" s="29" t="inlineStr">
        <is>
          <t>https://commons.wikimedia.org/wiki/File:016-Edificio_de_la_Antigua_Capitan%C3%ADa_General(RI-51-0003936).jpg</t>
        </is>
      </c>
      <c r="L29" s="49" t="n">
        <v>39948</v>
      </c>
      <c r="M29" s="49" t="n">
        <v>46320</v>
      </c>
      <c r="N29" s="29" t="inlineStr">
        <is>
          <t>Wikimedia Commons'taki "016-Edificio de la Antigua Capitanía General(RI-51-0003936).jpg" (3072×2304 px) özgün dosyasının 1280×960 px küçültülmüş kopyası indirildi; kırpma, rötuş ve renk düzeltmesi yapılmadı. Teslim dosyası: sevilla_plaza-de-espana_01.jpg (SHA-256 a385a899f467).</t>
        </is>
      </c>
      <c r="O29" s="29" t="inlineStr">
        <is>
          <t>sevilla:evidence:plaza-de-espana-01</t>
        </is>
      </c>
      <c r="P29" s="29" t="inlineStr">
        <is>
          <t>Evet</t>
        </is>
      </c>
      <c r="Q29" s="51" t="n">
        <v>1</v>
      </c>
      <c r="R29" s="29" t="inlineStr">
        <is>
          <t>Taslak</t>
        </is>
      </c>
      <c r="S29" s="52">
        <f>IF(OR(A29="",F29="",C29&lt;&gt;"Mekân"),0,IF(COUNTIFS($F$8:F29,F29,$C$8:C29,"Mekân")=1,1,0))</f>
        <v/>
      </c>
      <c r="T29" s="52">
        <f>IF(OR(A29="",F29="",C29&lt;&gt;"Kapak"),0,IF(COUNTIFS($F$8:F29,F29,$C$8:C29,"Kapak")=1,1,0))</f>
        <v/>
      </c>
    </row>
    <row r="30" ht="54" customHeight="1">
      <c r="A30" s="29" t="inlineStr">
        <is>
          <t>sevilla:photo:plaza-de-espana-02</t>
        </is>
      </c>
      <c r="B30" s="29" t="inlineStr">
        <is>
          <t>sevilla</t>
        </is>
      </c>
      <c r="C30" s="29" t="inlineStr">
        <is>
          <t>Mekân</t>
        </is>
      </c>
      <c r="D30" s="29" t="inlineStr">
        <is>
          <t>sevilla:plaza-de-espana</t>
        </is>
      </c>
      <c r="E30" s="29" t="inlineStr">
        <is>
          <t>Fotoğraflar/sevilla_plaza-de-espana_02.jpg</t>
        </is>
      </c>
      <c r="F30" s="29" t="inlineStr">
        <is>
          <t>5d6fd8687d6364544a51d0caea76501ce71c8509ab7f270eb9187c5adc12a408</t>
        </is>
      </c>
      <c r="G30" s="29" t="inlineStr">
        <is>
          <t>Plaza de España'nın kulesi, tuğla kemerin arasından görünüyor.</t>
        </is>
      </c>
      <c r="H30" s="29" t="inlineStr">
        <is>
          <t>KikeMad</t>
        </is>
      </c>
      <c r="I30" s="29" t="inlineStr">
        <is>
          <t>CC BY-SA 3.0 es</t>
        </is>
      </c>
      <c r="J30" s="29" t="inlineStr">
        <is>
          <t>https://creativecommons.org/licenses/by-sa/3.0/es/deed.en/</t>
        </is>
      </c>
      <c r="K30" s="29" t="inlineStr">
        <is>
          <t>https://commons.wikimedia.org/wiki/File:017-Torre_Sur-Edificio_de_la_Antigua_Capitan%C3%ADa_General-Sevilla(RI-51-0003936).jpg</t>
        </is>
      </c>
      <c r="L30" s="49" t="n">
        <v>39948</v>
      </c>
      <c r="M30" s="49" t="n">
        <v>46320</v>
      </c>
      <c r="N30" s="29" t="inlineStr">
        <is>
          <t>Wikimedia Commons'taki "017-Torre Sur-Edificio de la Antigua Capitanía General-Sevilla(RI-51-0003936).jpg" (2048×3072 px) özgün dosyasının 1280×1920 px küçültülmüş kopyası indirildi; kırpma, rötuş ve renk düzeltmesi yapılmadı. Teslim dosyası: sevilla_plaza-de-espana_02.jpg (SHA-256 5d6fd8687d63).</t>
        </is>
      </c>
      <c r="O30" s="29" t="inlineStr">
        <is>
          <t>sevilla:evidence:plaza-de-espana-02</t>
        </is>
      </c>
      <c r="P30" s="29" t="inlineStr">
        <is>
          <t>Evet</t>
        </is>
      </c>
      <c r="Q30" s="51" t="n">
        <v>2</v>
      </c>
      <c r="R30" s="29" t="inlineStr">
        <is>
          <t>Taslak</t>
        </is>
      </c>
      <c r="S30" s="52">
        <f>IF(OR(A30="",F30="",C30&lt;&gt;"Mekân"),0,IF(COUNTIFS($F$8:F30,F30,$C$8:C30,"Mekân")=1,1,0))</f>
        <v/>
      </c>
      <c r="T30" s="52">
        <f>IF(OR(A30="",F30="",C30&lt;&gt;"Kapak"),0,IF(COUNTIFS($F$8:F30,F30,$C$8:C30,"Kapak")=1,1,0))</f>
        <v/>
      </c>
    </row>
    <row r="31" ht="54" customHeight="1">
      <c r="A31" s="29" t="inlineStr">
        <is>
          <t>sevilla:photo:plaza-de-espana-03</t>
        </is>
      </c>
      <c r="B31" s="29" t="inlineStr">
        <is>
          <t>sevilla</t>
        </is>
      </c>
      <c r="C31" s="29" t="inlineStr">
        <is>
          <t>Mekân</t>
        </is>
      </c>
      <c r="D31" s="29" t="inlineStr">
        <is>
          <t>sevilla:plaza-de-espana</t>
        </is>
      </c>
      <c r="E31" s="29" t="inlineStr">
        <is>
          <t>Fotoğraflar/sevilla_plaza-de-espana_03.jpg</t>
        </is>
      </c>
      <c r="F31" s="29" t="inlineStr">
        <is>
          <t>931993f5b1e06c6f5e9a5ecdaff97804bf4bfb6fb5048f40695d1f5246dd6e2b</t>
        </is>
      </c>
      <c r="G31" s="29" t="inlineStr">
        <is>
          <t>Plaza de España'nın yarım daire kemerli galerisi ve geniş meydanı.</t>
        </is>
      </c>
      <c r="H31" s="29" t="inlineStr">
        <is>
          <t>Holger Uwe Schmitt</t>
        </is>
      </c>
      <c r="I31" s="29" t="inlineStr">
        <is>
          <t>CC BY-SA 4.0</t>
        </is>
      </c>
      <c r="J31" s="29" t="inlineStr">
        <is>
          <t>https://creativecommons.org/licenses/by-sa/4.0/</t>
        </is>
      </c>
      <c r="K31" s="29" t="inlineStr">
        <is>
          <t>https://commons.wikimedia.org/wiki/File:9._Mai_1929,_an_diesem_Tag_wurde_die_Iberoamerikanische_Ausstellung_in_Sevilla_er%C3%B6ffnet._01.jpg</t>
        </is>
      </c>
      <c r="L31" s="49" t="n">
        <v>44560</v>
      </c>
      <c r="M31" s="49" t="n">
        <v>46320</v>
      </c>
      <c r="N31" s="29" t="inlineStr">
        <is>
          <t>Wikimedia Commons'taki "9. Mai 1929, an diesem Tag wurde die Iberoamerikanische Ausstellung in Sevilla eröffnet. 0" (6677×2995 px) özgün dosyasının 1280×574 px küçültülmüş kopyası indirildi; kırpma, rötuş ve renk düzeltmesi yapılmadı. Teslim dosyası: sevilla_plaza-de-espana_03.jpg (SHA-256 931993f5b1e0).</t>
        </is>
      </c>
      <c r="O31" s="29" t="inlineStr">
        <is>
          <t>sevilla:evidence:plaza-de-espana-03</t>
        </is>
      </c>
      <c r="P31" s="29" t="inlineStr">
        <is>
          <t>Evet</t>
        </is>
      </c>
      <c r="Q31" s="51" t="n">
        <v>3</v>
      </c>
      <c r="R31" s="29" t="inlineStr">
        <is>
          <t>Taslak</t>
        </is>
      </c>
      <c r="S31" s="52">
        <f>IF(OR(A31="",F31="",C31&lt;&gt;"Mekân"),0,IF(COUNTIFS($F$8:F31,F31,$C$8:C31,"Mekân")=1,1,0))</f>
        <v/>
      </c>
      <c r="T31" s="52">
        <f>IF(OR(A31="",F31="",C31&lt;&gt;"Kapak"),0,IF(COUNTIFS($F$8:F31,F31,$C$8:C31,"Kapak")=1,1,0))</f>
        <v/>
      </c>
    </row>
    <row r="32" ht="54" customHeight="1">
      <c r="A32" s="29" t="inlineStr">
        <is>
          <t>sevilla:photo:archivo-general-de-indias-01</t>
        </is>
      </c>
      <c r="B32" s="29" t="inlineStr">
        <is>
          <t>sevilla</t>
        </is>
      </c>
      <c r="C32" s="29" t="inlineStr">
        <is>
          <t>Mekân</t>
        </is>
      </c>
      <c r="D32" s="29" t="inlineStr">
        <is>
          <t>sevilla:archivo-general-de-indias</t>
        </is>
      </c>
      <c r="E32" s="29" t="inlineStr">
        <is>
          <t>Fotoğraflar/sevilla_archivo-general-de-indias_01.jpg</t>
        </is>
      </c>
      <c r="F32" s="29" t="inlineStr">
        <is>
          <t>2ddc9a2bacd2c15483762cb3b42cccf5f5676bc5dcbdb666e4d7fab9a49a653a</t>
        </is>
      </c>
      <c r="G32" s="29" t="inlineStr">
        <is>
          <t>Archivo General de Indias'ta kesme taş, kasetli tonoz tavan.</t>
        </is>
      </c>
      <c r="H32" s="29" t="inlineStr">
        <is>
          <t>José Luis Filpo Cabana</t>
        </is>
      </c>
      <c r="I32" s="29" t="inlineStr">
        <is>
          <t>CC BY-SA 4.0</t>
        </is>
      </c>
      <c r="J32" s="29" t="inlineStr">
        <is>
          <t>https://creativecommons.org/licenses/by-sa/4.0/</t>
        </is>
      </c>
      <c r="K32" s="29" t="inlineStr">
        <is>
          <t>https://commons.wikimedia.org/wiki/File:B%C3%B3veda_del_Archivo_de_Indias_(Sevilla).jpg</t>
        </is>
      </c>
      <c r="L32" s="49" t="n">
        <v>43257</v>
      </c>
      <c r="M32" s="49" t="n">
        <v>46320</v>
      </c>
      <c r="N32" s="29" t="inlineStr">
        <is>
          <t>Wikimedia Commons'taki "Bóveda del Archivo de Indias (Sevilla).jpg" (3171×2114 px) özgün dosyasının 1280×853 px küçültülmüş kopyası indirildi; kırpma, rötuş ve renk düzeltmesi yapılmadı. Teslim dosyası: sevilla_archivo-general-de-indias_01.jpg (SHA-256 2ddc9a2bacd2).</t>
        </is>
      </c>
      <c r="O32" s="29" t="inlineStr">
        <is>
          <t>sevilla:evidence:archivo-general-de-indias-01</t>
        </is>
      </c>
      <c r="P32" s="29" t="inlineStr">
        <is>
          <t>Evet</t>
        </is>
      </c>
      <c r="Q32" s="51" t="n">
        <v>1</v>
      </c>
      <c r="R32" s="29" t="inlineStr">
        <is>
          <t>Taslak</t>
        </is>
      </c>
      <c r="S32" s="52">
        <f>IF(OR(A32="",F32="",C32&lt;&gt;"Mekân"),0,IF(COUNTIFS($F$8:F32,F32,$C$8:C32,"Mekân")=1,1,0))</f>
        <v/>
      </c>
      <c r="T32" s="52">
        <f>IF(OR(A32="",F32="",C32&lt;&gt;"Kapak"),0,IF(COUNTIFS($F$8:F32,F32,$C$8:C32,"Kapak")=1,1,0))</f>
        <v/>
      </c>
    </row>
    <row r="33" ht="54" customHeight="1">
      <c r="A33" s="29" t="inlineStr">
        <is>
          <t>sevilla:photo:archivo-general-de-indias-02</t>
        </is>
      </c>
      <c r="B33" s="29" t="inlineStr">
        <is>
          <t>sevilla</t>
        </is>
      </c>
      <c r="C33" s="29" t="inlineStr">
        <is>
          <t>Mekân</t>
        </is>
      </c>
      <c r="D33" s="29" t="inlineStr">
        <is>
          <t>sevilla:archivo-general-de-indias</t>
        </is>
      </c>
      <c r="E33" s="29" t="inlineStr">
        <is>
          <t>Fotoğraflar/sevilla_archivo-general-de-indias_02.jpg</t>
        </is>
      </c>
      <c r="F33" s="29" t="inlineStr">
        <is>
          <t>80422ce8f35e27bfa153cf023cfb4c6bf11d944532c8946da3155427a1029b34</t>
        </is>
      </c>
      <c r="G33" s="29" t="inlineStr">
        <is>
          <t>Archivo General de Indias binasının kemerli pencereli iç avlusu ve damalı zemin.</t>
        </is>
      </c>
      <c r="H33" s="29" t="inlineStr">
        <is>
          <t>Jose Luis Filpo Cabana</t>
        </is>
      </c>
      <c r="I33" s="29" t="inlineStr">
        <is>
          <t>CC BY 3.0</t>
        </is>
      </c>
      <c r="J33" s="29" t="inlineStr">
        <is>
          <t>https://creativecommons.org/licenses/by/3.0/</t>
        </is>
      </c>
      <c r="K33" s="29" t="inlineStr">
        <is>
          <t>https://commons.wikimedia.org/wiki/File:Casa_Lonja_de_Mercaderes_(Sevilla)._Patio.jpg</t>
        </is>
      </c>
      <c r="L33" s="49" t="n"/>
      <c r="M33" s="49" t="n">
        <v>46320</v>
      </c>
      <c r="N33" s="29" t="inlineStr">
        <is>
          <t>Wikimedia Commons'taki "Casa Lonja de Mercaderes (Sevilla). Patio.jpg" (3471×2314 px) özgün dosyasının 1280×853 px küçültülmüş kopyası indirildi; kırpma, rötuş ve renk düzeltmesi yapılmadı. Teslim dosyası: sevilla_archivo-general-de-indias_02.jpg (SHA-256 80422ce8f35e).</t>
        </is>
      </c>
      <c r="O33" s="29" t="inlineStr">
        <is>
          <t>sevilla:evidence:archivo-general-de-indias-02</t>
        </is>
      </c>
      <c r="P33" s="29" t="inlineStr">
        <is>
          <t>Evet</t>
        </is>
      </c>
      <c r="Q33" s="51" t="n">
        <v>2</v>
      </c>
      <c r="R33" s="29" t="inlineStr">
        <is>
          <t>Taslak</t>
        </is>
      </c>
      <c r="S33" s="52">
        <f>IF(OR(A33="",F33="",C33&lt;&gt;"Mekân"),0,IF(COUNTIFS($F$8:F33,F33,$C$8:C33,"Mekân")=1,1,0))</f>
        <v/>
      </c>
      <c r="T33" s="52">
        <f>IF(OR(A33="",F33="",C33&lt;&gt;"Kapak"),0,IF(COUNTIFS($F$8:F33,F33,$C$8:C33,"Kapak")=1,1,0))</f>
        <v/>
      </c>
    </row>
    <row r="34" ht="54" customHeight="1">
      <c r="A34" s="29" t="inlineStr">
        <is>
          <t>sevilla:photo:puente-de-triana-01</t>
        </is>
      </c>
      <c r="B34" s="29" t="inlineStr">
        <is>
          <t>sevilla</t>
        </is>
      </c>
      <c r="C34" s="29" t="inlineStr">
        <is>
          <t>Mekân</t>
        </is>
      </c>
      <c r="D34" s="29" t="inlineStr">
        <is>
          <t>sevilla:puente-de-triana</t>
        </is>
      </c>
      <c r="E34" s="29" t="inlineStr">
        <is>
          <t>Fotoğraflar/sevilla_puente-de-triana_01.jpg</t>
        </is>
      </c>
      <c r="F34" s="29" t="inlineStr">
        <is>
          <t>3ef99414f915c060326e46c7dfc55c3d0c8644fc91f582ec19cd1d6f97ae3d5b</t>
        </is>
      </c>
      <c r="G34" s="29" t="inlineStr">
        <is>
          <t>Mor çiçekli jakaranda ağacının arkasında Triana Köprüsü'nün demir kemerleri.</t>
        </is>
      </c>
      <c r="H34" s="29" t="inlineStr">
        <is>
          <t>Adam Jones, Ph.D.</t>
        </is>
      </c>
      <c r="I34" s="29" t="inlineStr">
        <is>
          <t>CC BY-SA 3.0</t>
        </is>
      </c>
      <c r="J34" s="29" t="inlineStr">
        <is>
          <t>https://creativecommons.org/licenses/by-sa/3.0/</t>
        </is>
      </c>
      <c r="K34" s="29" t="inlineStr">
        <is>
          <t>https://commons.wikimedia.org/wiki/File:Bridge_with_Jacaranda_Tree_in_Bloom_-_Seville_-_Spain.jpg</t>
        </is>
      </c>
      <c r="L34" s="49" t="n">
        <v>40312</v>
      </c>
      <c r="M34" s="49" t="n">
        <v>46320</v>
      </c>
      <c r="N34" s="29" t="inlineStr">
        <is>
          <t>Wikimedia Commons'taki "Bridge with Jacaranda Tree in Bloom - Seville - Spain.jpg" (3456×2304 px) özgün dosyasının 1280×853 px küçültülmüş kopyası indirildi; kırpma, rötuş ve renk düzeltmesi yapılmadı. Teslim dosyası: sevilla_puente-de-triana_01.jpg (SHA-256 3ef99414f915).</t>
        </is>
      </c>
      <c r="O34" s="29" t="inlineStr">
        <is>
          <t>sevilla:evidence:puente-de-triana-01</t>
        </is>
      </c>
      <c r="P34" s="29" t="inlineStr">
        <is>
          <t>Evet</t>
        </is>
      </c>
      <c r="Q34" s="51" t="n">
        <v>1</v>
      </c>
      <c r="R34" s="29" t="inlineStr">
        <is>
          <t>Taslak</t>
        </is>
      </c>
      <c r="S34" s="52">
        <f>IF(OR(A34="",F34="",C34&lt;&gt;"Mekân"),0,IF(COUNTIFS($F$8:F34,F34,$C$8:C34,"Mekân")=1,1,0))</f>
        <v/>
      </c>
      <c r="T34" s="52">
        <f>IF(OR(A34="",F34="",C34&lt;&gt;"Kapak"),0,IF(COUNTIFS($F$8:F34,F34,$C$8:C34,"Kapak")=1,1,0))</f>
        <v/>
      </c>
    </row>
    <row r="35" ht="54" customHeight="1">
      <c r="A35" s="29" t="inlineStr">
        <is>
          <t>sevilla:photo:muralla-de-la-macarena-01</t>
        </is>
      </c>
      <c r="B35" s="29" t="inlineStr">
        <is>
          <t>sevilla</t>
        </is>
      </c>
      <c r="C35" s="29" t="inlineStr">
        <is>
          <t>Mekân</t>
        </is>
      </c>
      <c r="D35" s="29" t="inlineStr">
        <is>
          <t>sevilla:muralla-de-la-macarena</t>
        </is>
      </c>
      <c r="E35" s="29" t="inlineStr">
        <is>
          <t>Fotoğraflar/sevilla_muralla-de-la-macarena_01.jpg</t>
        </is>
      </c>
      <c r="F35" s="29" t="inlineStr">
        <is>
          <t>d639aca9ad998250b64334b86ea0a012f581a97cbc2a64864a4aa9577c2f7af2</t>
        </is>
      </c>
      <c r="G35" s="29" t="inlineStr">
        <is>
          <t>Macarena Kapısı'nın sarı boyalı kemerli girişi ve yanındaki sur.</t>
        </is>
      </c>
      <c r="H35" s="29" t="inlineStr">
        <is>
          <t>Manuel López Gutiérrez (Logut)</t>
        </is>
      </c>
      <c r="I35" s="29" t="inlineStr">
        <is>
          <t>CC BY-SA 3.0 es</t>
        </is>
      </c>
      <c r="J35" s="29" t="inlineStr">
        <is>
          <t>https://creativecommons.org/licenses/by-sa/3.0/es/deed.en/</t>
        </is>
      </c>
      <c r="K35" s="29" t="inlineStr">
        <is>
          <t>https://commons.wikimedia.org/wiki/File:Arco_de_la_Macarena_de_Sevilla.JPG</t>
        </is>
      </c>
      <c r="L35" s="49" t="n">
        <v>41744</v>
      </c>
      <c r="M35" s="49" t="n">
        <v>46320</v>
      </c>
      <c r="N35" s="29" t="inlineStr">
        <is>
          <t>Wikimedia Commons'taki "Arco de la Macarena de Sevilla.JPG" (6016×4000 px) özgün dosyasının 1280×851 px küçültülmüş kopyası indirildi; kırpma, rötuş ve renk düzeltmesi yapılmadı. Teslim dosyası: sevilla_muralla-de-la-macarena_01.jpg (SHA-256 d639aca9ad99).</t>
        </is>
      </c>
      <c r="O35" s="29" t="inlineStr">
        <is>
          <t>sevilla:evidence:muralla-de-la-macarena-01</t>
        </is>
      </c>
      <c r="P35" s="29" t="inlineStr">
        <is>
          <t>Evet</t>
        </is>
      </c>
      <c r="Q35" s="51" t="n">
        <v>1</v>
      </c>
      <c r="R35" s="29" t="inlineStr">
        <is>
          <t>Taslak</t>
        </is>
      </c>
      <c r="S35" s="52">
        <f>IF(OR(A35="",F35="",C35&lt;&gt;"Mekân"),0,IF(COUNTIFS($F$8:F35,F35,$C$8:C35,"Mekân")=1,1,0))</f>
        <v/>
      </c>
      <c r="T35" s="52">
        <f>IF(OR(A35="",F35="",C35&lt;&gt;"Kapak"),0,IF(COUNTIFS($F$8:F35,F35,$C$8:C35,"Kapak")=1,1,0))</f>
        <v/>
      </c>
    </row>
    <row r="36" ht="54" customHeight="1">
      <c r="A36" s="29" t="inlineStr">
        <is>
          <t>sevilla:photo:muralla-de-la-macarena-02</t>
        </is>
      </c>
      <c r="B36" s="29" t="inlineStr">
        <is>
          <t>sevilla</t>
        </is>
      </c>
      <c r="C36" s="29" t="inlineStr">
        <is>
          <t>Mekân</t>
        </is>
      </c>
      <c r="D36" s="29" t="inlineStr">
        <is>
          <t>sevilla:muralla-de-la-macarena</t>
        </is>
      </c>
      <c r="E36" s="29" t="inlineStr">
        <is>
          <t>Fotoğraflar/sevilla_muralla-de-la-macarena_02.jpg</t>
        </is>
      </c>
      <c r="F36" s="29" t="inlineStr">
        <is>
          <t>a484586761ecd84aa469e1ee72df65b907056f23ebab732c489875efca83aeee</t>
        </is>
      </c>
      <c r="G36" s="29" t="inlineStr">
        <is>
          <t>Macarena Kemeri'nin çinili tepeliğiyle cephesi ve arkasındaki sokak.</t>
        </is>
      </c>
      <c r="H36" s="29" t="inlineStr">
        <is>
          <t>Torniego 1947</t>
        </is>
      </c>
      <c r="I36" s="29" t="inlineStr">
        <is>
          <t>CC BY-SA 4.0</t>
        </is>
      </c>
      <c r="J36" s="29" t="inlineStr">
        <is>
          <t>https://creativecommons.org/licenses/by-sa/4.0/</t>
        </is>
      </c>
      <c r="K36" s="29" t="inlineStr">
        <is>
          <t>https://commons.wikimedia.org/wiki/File:Arco_de_la_Macarena.jpg</t>
        </is>
      </c>
      <c r="L36" s="49" t="n">
        <v>44751</v>
      </c>
      <c r="M36" s="49" t="n">
        <v>46320</v>
      </c>
      <c r="N36" s="29" t="inlineStr">
        <is>
          <t>Wikimedia Commons'taki "Arco de la Macarena.jpg" (2771×3145 px) özgün dosyasının 1280×1453 px küçültülmüş kopyası indirildi; kırpma, rötuş ve renk düzeltmesi yapılmadı. Teslim dosyası: sevilla_muralla-de-la-macarena_02.jpg (SHA-256 a484586761ec).</t>
        </is>
      </c>
      <c r="O36" s="29" t="inlineStr">
        <is>
          <t>sevilla:evidence:muralla-de-la-macarena-02</t>
        </is>
      </c>
      <c r="P36" s="29" t="inlineStr">
        <is>
          <t>Evet</t>
        </is>
      </c>
      <c r="Q36" s="51" t="n">
        <v>2</v>
      </c>
      <c r="R36" s="29" t="inlineStr">
        <is>
          <t>Taslak</t>
        </is>
      </c>
      <c r="S36" s="52">
        <f>IF(OR(A36="",F36="",C36&lt;&gt;"Mekân"),0,IF(COUNTIFS($F$8:F36,F36,$C$8:C36,"Mekân")=1,1,0))</f>
        <v/>
      </c>
      <c r="T36" s="52">
        <f>IF(OR(A36="",F36="",C36&lt;&gt;"Kapak"),0,IF(COUNTIFS($F$8:F36,F36,$C$8:C36,"Kapak")=1,1,0))</f>
        <v/>
      </c>
    </row>
    <row r="37" ht="54" customHeight="1">
      <c r="A37" s="29" t="inlineStr">
        <is>
          <t>sevilla:photo:muralla-de-la-macarena-03</t>
        </is>
      </c>
      <c r="B37" s="29" t="inlineStr">
        <is>
          <t>sevilla</t>
        </is>
      </c>
      <c r="C37" s="29" t="inlineStr">
        <is>
          <t>Mekân</t>
        </is>
      </c>
      <c r="D37" s="29" t="inlineStr">
        <is>
          <t>sevilla:muralla-de-la-macarena</t>
        </is>
      </c>
      <c r="E37" s="29" t="inlineStr">
        <is>
          <t>Fotoğraflar/sevilla_muralla-de-la-macarena_03.jpg</t>
        </is>
      </c>
      <c r="F37" s="29" t="inlineStr">
        <is>
          <t>569fd327d36d7e39042497c2e31f629440a4e97082e1fb7e29e6433d09141524</t>
        </is>
      </c>
      <c r="G37" s="29" t="inlineStr">
        <is>
          <t>Macarena Kemeri'nin taş süslemeli kemeri, başka bir açıdan.</t>
        </is>
      </c>
      <c r="H37" s="29" t="inlineStr">
        <is>
          <t>Anual</t>
        </is>
      </c>
      <c r="I37" s="29" t="inlineStr">
        <is>
          <t>CC BY-SA 4.0</t>
        </is>
      </c>
      <c r="J37" s="29" t="inlineStr">
        <is>
          <t>https://creativecommons.org/licenses/by-sa/4.0/</t>
        </is>
      </c>
      <c r="K37" s="29" t="inlineStr">
        <is>
          <t>https://commons.wikimedia.org/wiki/File:Arco_de_la_macarena_002An2022.jpg</t>
        </is>
      </c>
      <c r="L37" s="49" t="n">
        <v>44892</v>
      </c>
      <c r="M37" s="49" t="n">
        <v>46320</v>
      </c>
      <c r="N37" s="29" t="inlineStr">
        <is>
          <t>Wikimedia Commons'taki "Arco de la macarena 002An2022.jpg" (3696×5545 px) özgün dosyasının 1280×1920 px küçültülmüş kopyası indirildi; kırpma, rötuş ve renk düzeltmesi yapılmadı. Teslim dosyası: sevilla_muralla-de-la-macarena_03.jpg (SHA-256 569fd327d36d).</t>
        </is>
      </c>
      <c r="O37" s="29" t="inlineStr">
        <is>
          <t>sevilla:evidence:muralla-de-la-macarena-03</t>
        </is>
      </c>
      <c r="P37" s="29" t="inlineStr">
        <is>
          <t>Evet</t>
        </is>
      </c>
      <c r="Q37" s="51" t="n">
        <v>3</v>
      </c>
      <c r="R37" s="29" t="inlineStr">
        <is>
          <t>Taslak</t>
        </is>
      </c>
      <c r="S37" s="52">
        <f>IF(OR(A37="",F37="",C37&lt;&gt;"Mekân"),0,IF(COUNTIFS($F$8:F37,F37,$C$8:C37,"Mekân")=1,1,0))</f>
        <v/>
      </c>
      <c r="T37" s="52">
        <f>IF(OR(A37="",F37="",C37&lt;&gt;"Kapak"),0,IF(COUNTIFS($F$8:F37,F37,$C$8:C37,"Kapak")=1,1,0))</f>
        <v/>
      </c>
    </row>
    <row r="38" ht="54" customHeight="1">
      <c r="A38" s="29" t="inlineStr">
        <is>
          <t>sevilla:photo:cementerio-de-san-fernando-01</t>
        </is>
      </c>
      <c r="B38" s="29" t="inlineStr">
        <is>
          <t>sevilla</t>
        </is>
      </c>
      <c r="C38" s="29" t="inlineStr">
        <is>
          <t>Mekân</t>
        </is>
      </c>
      <c r="D38" s="29" t="inlineStr">
        <is>
          <t>sevilla:cementerio-de-san-fernando</t>
        </is>
      </c>
      <c r="E38" s="29" t="inlineStr">
        <is>
          <t>Fotoğraflar/sevilla_cementerio-de-san-fernando_01.jpg</t>
        </is>
      </c>
      <c r="F38" s="29" t="inlineStr">
        <is>
          <t>bc775461db98bcbbb58a60fb63ee2472f99623df8035903b9741b57f3979af92</t>
        </is>
      </c>
      <c r="G38" s="29" t="inlineStr">
        <is>
          <t>San Fernando Mezarlığı'nda taş haçlar ve mezar anıtları.</t>
        </is>
      </c>
      <c r="H38" s="29" t="inlineStr">
        <is>
          <t>CarlosVdeHabsburgo</t>
        </is>
      </c>
      <c r="I38" s="29" t="inlineStr">
        <is>
          <t>CC BY-SA 4.0</t>
        </is>
      </c>
      <c r="J38" s="29" t="inlineStr">
        <is>
          <t>https://creativecommons.org/licenses/by-sa/4.0/</t>
        </is>
      </c>
      <c r="K38" s="29" t="inlineStr">
        <is>
          <t>https://commons.wikimedia.org/wiki/File:Cementerio_de_San_Fernando_01.jpg</t>
        </is>
      </c>
      <c r="L38" s="49" t="n">
        <v>43149</v>
      </c>
      <c r="M38" s="49" t="n">
        <v>46320</v>
      </c>
      <c r="N38" s="29" t="inlineStr">
        <is>
          <t>Wikimedia Commons'taki "Cementerio de San Fernando 01.jpg" (4320×3240 px) özgün dosyasının 1280×960 px küçültülmüş kopyası indirildi; kırpma, rötuş ve renk düzeltmesi yapılmadı. Teslim dosyası: sevilla_cementerio-de-san-fernando_01.jpg (SHA-256 bc775461db98).</t>
        </is>
      </c>
      <c r="O38" s="29" t="inlineStr">
        <is>
          <t>sevilla:evidence:cementerio-de-san-fernando-01</t>
        </is>
      </c>
      <c r="P38" s="29" t="inlineStr">
        <is>
          <t>Evet</t>
        </is>
      </c>
      <c r="Q38" s="51" t="n">
        <v>1</v>
      </c>
      <c r="R38" s="29" t="inlineStr">
        <is>
          <t>Taslak</t>
        </is>
      </c>
      <c r="S38" s="52">
        <f>IF(OR(A38="",F38="",C38&lt;&gt;"Mekân"),0,IF(COUNTIFS($F$8:F38,F38,$C$8:C38,"Mekân")=1,1,0))</f>
        <v/>
      </c>
      <c r="T38" s="52">
        <f>IF(OR(A38="",F38="",C38&lt;&gt;"Kapak"),0,IF(COUNTIFS($F$8:F38,F38,$C$8:C38,"Kapak")=1,1,0))</f>
        <v/>
      </c>
    </row>
    <row r="39" ht="54" customHeight="1">
      <c r="A39" s="29" t="inlineStr">
        <is>
          <t>sevilla:photo:cementerio-de-san-fernando-02</t>
        </is>
      </c>
      <c r="B39" s="29" t="inlineStr">
        <is>
          <t>sevilla</t>
        </is>
      </c>
      <c r="C39" s="29" t="inlineStr">
        <is>
          <t>Mekân</t>
        </is>
      </c>
      <c r="D39" s="29" t="inlineStr">
        <is>
          <t>sevilla:cementerio-de-san-fernando</t>
        </is>
      </c>
      <c r="E39" s="29" t="inlineStr">
        <is>
          <t>Fotoğraflar/sevilla_cementerio-de-san-fernando_02.jpg</t>
        </is>
      </c>
      <c r="F39" s="29" t="inlineStr">
        <is>
          <t>4bb3cd1cec4a4d6c884b84bb5561324273f9925a43769f2ece668fd08f109c95</t>
        </is>
      </c>
      <c r="G39" s="29" t="inlineStr">
        <is>
          <t>San Fernando Mezarlığı'nda servi ağaçları arasında beyaz haçlar ve çiçekler.</t>
        </is>
      </c>
      <c r="H39" s="29" t="inlineStr">
        <is>
          <t>CarlosVdeHabsburgo</t>
        </is>
      </c>
      <c r="I39" s="29" t="inlineStr">
        <is>
          <t>CC BY-SA 4.0</t>
        </is>
      </c>
      <c r="J39" s="29" t="inlineStr">
        <is>
          <t>https://creativecommons.org/licenses/by-sa/4.0/</t>
        </is>
      </c>
      <c r="K39" s="29" t="inlineStr">
        <is>
          <t>https://commons.wikimedia.org/wiki/File:Cementerio_de_San_Fernando_02.jpg</t>
        </is>
      </c>
      <c r="L39" s="49" t="n">
        <v>43149</v>
      </c>
      <c r="M39" s="49" t="n">
        <v>46320</v>
      </c>
      <c r="N39" s="29" t="inlineStr">
        <is>
          <t>Wikimedia Commons'taki "Cementerio de San Fernando 02.jpg" (4320×3240 px) özgün dosyasının 1280×960 px küçültülmüş kopyası indirildi; kırpma, rötuş ve renk düzeltmesi yapılmadı. Teslim dosyası: sevilla_cementerio-de-san-fernando_02.jpg (SHA-256 4bb3cd1cec4a).</t>
        </is>
      </c>
      <c r="O39" s="29" t="inlineStr">
        <is>
          <t>sevilla:evidence:cementerio-de-san-fernando-02</t>
        </is>
      </c>
      <c r="P39" s="29" t="inlineStr">
        <is>
          <t>Evet</t>
        </is>
      </c>
      <c r="Q39" s="51" t="n">
        <v>2</v>
      </c>
      <c r="R39" s="29" t="inlineStr">
        <is>
          <t>Taslak</t>
        </is>
      </c>
      <c r="S39" s="52">
        <f>IF(OR(A39="",F39="",C39&lt;&gt;"Mekân"),0,IF(COUNTIFS($F$8:F39,F39,$C$8:C39,"Mekân")=1,1,0))</f>
        <v/>
      </c>
      <c r="T39" s="52">
        <f>IF(OR(A39="",F39="",C39&lt;&gt;"Kapak"),0,IF(COUNTIFS($F$8:F39,F39,$C$8:C39,"Kapak")=1,1,0))</f>
        <v/>
      </c>
    </row>
    <row r="40" ht="54" customHeight="1">
      <c r="A40" s="29" t="inlineStr">
        <is>
          <t>sevilla:photo:cementerio-de-san-fernando-03</t>
        </is>
      </c>
      <c r="B40" s="29" t="inlineStr">
        <is>
          <t>sevilla</t>
        </is>
      </c>
      <c r="C40" s="29" t="inlineStr">
        <is>
          <t>Mekân</t>
        </is>
      </c>
      <c r="D40" s="29" t="inlineStr">
        <is>
          <t>sevilla:cementerio-de-san-fernando</t>
        </is>
      </c>
      <c r="E40" s="29" t="inlineStr">
        <is>
          <t>Fotoğraflar/sevilla_cementerio-de-san-fernando_03.jpg</t>
        </is>
      </c>
      <c r="F40" s="29" t="inlineStr">
        <is>
          <t>d71043e62ee426bd56b241e1d1405cdbefbc06ad63e407fff01f264a0bdb7c5d</t>
        </is>
      </c>
      <c r="G40" s="29" t="inlineStr">
        <is>
          <t>San Fernando Mezarlığı'nda sıra sıra beyaz mermer mezarlar.</t>
        </is>
      </c>
      <c r="H40" s="29" t="inlineStr">
        <is>
          <t>CarlosVdeHabsburgo</t>
        </is>
      </c>
      <c r="I40" s="29" t="inlineStr">
        <is>
          <t>CC BY-SA 4.0</t>
        </is>
      </c>
      <c r="J40" s="29" t="inlineStr">
        <is>
          <t>https://creativecommons.org/licenses/by-sa/4.0/</t>
        </is>
      </c>
      <c r="K40" s="29" t="inlineStr">
        <is>
          <t>https://commons.wikimedia.org/wiki/File:Cementerio_de_San_Fernando_03.jpg</t>
        </is>
      </c>
      <c r="L40" s="49" t="n">
        <v>43149</v>
      </c>
      <c r="M40" s="49" t="n">
        <v>46320</v>
      </c>
      <c r="N40" s="29" t="inlineStr">
        <is>
          <t>Wikimedia Commons'taki "Cementerio de San Fernando 03.jpg" (4320×3240 px) özgün dosyasının 1280×960 px küçültülmüş kopyası indirildi; kırpma, rötuş ve renk düzeltmesi yapılmadı. Teslim dosyası: sevilla_cementerio-de-san-fernando_03.jpg (SHA-256 d71043e62ee4).</t>
        </is>
      </c>
      <c r="O40" s="29" t="inlineStr">
        <is>
          <t>sevilla:evidence:cementerio-de-san-fernando-03</t>
        </is>
      </c>
      <c r="P40" s="29" t="inlineStr">
        <is>
          <t>Evet</t>
        </is>
      </c>
      <c r="Q40" s="51" t="n">
        <v>3</v>
      </c>
      <c r="R40" s="29" t="inlineStr">
        <is>
          <t>Taslak</t>
        </is>
      </c>
      <c r="S40" s="52">
        <f>IF(OR(A40="",F40="",C40&lt;&gt;"Mekân"),0,IF(COUNTIFS($F$8:F40,F40,$C$8:C40,"Mekân")=1,1,0))</f>
        <v/>
      </c>
      <c r="T40" s="52">
        <f>IF(OR(A40="",F40="",C40&lt;&gt;"Kapak"),0,IF(COUNTIFS($F$8:F40,F40,$C$8:C40,"Kapak")=1,1,0))</f>
        <v/>
      </c>
    </row>
    <row r="41" ht="54" customHeight="1">
      <c r="A41" s="29" t="inlineStr">
        <is>
          <t>sevilla:photo:plaza-de-toros-de-la-maestranza-01</t>
        </is>
      </c>
      <c r="B41" s="29" t="inlineStr">
        <is>
          <t>sevilla</t>
        </is>
      </c>
      <c r="C41" s="29" t="inlineStr">
        <is>
          <t>Mekân</t>
        </is>
      </c>
      <c r="D41" s="29" t="inlineStr">
        <is>
          <t>sevilla:plaza-de-toros-de-la-maestranza</t>
        </is>
      </c>
      <c r="E41" s="29" t="inlineStr">
        <is>
          <t>Fotoğraflar/sevilla_plaza-de-toros-de-la-maestranza_01.jpg</t>
        </is>
      </c>
      <c r="F41" s="29" t="inlineStr">
        <is>
          <t>41635123510449125b72ad2e6ae69fd302ac901c331b304329f9fb030e24d63f</t>
        </is>
      </c>
      <c r="G41" s="29" t="inlineStr">
        <is>
          <t>Maestranza Boğa Arenası'nın beyaz-sarı barok giriş cephesi.</t>
        </is>
      </c>
      <c r="H41" s="29" t="inlineStr">
        <is>
          <t>Andrei Dimofte from Stuttgart, Germany</t>
        </is>
      </c>
      <c r="I41" s="29" t="inlineStr">
        <is>
          <t>CC BY 2.0</t>
        </is>
      </c>
      <c r="J41" s="29" t="inlineStr">
        <is>
          <t>https://creativecommons.org/licenses/by/2.0/</t>
        </is>
      </c>
      <c r="K41" s="29" t="inlineStr">
        <is>
          <t>https://commons.wikimedia.org/wiki/File:Andalucia-01-0062_(8086361611).jpg</t>
        </is>
      </c>
      <c r="L41" s="49" t="n">
        <v>41192</v>
      </c>
      <c r="M41" s="49" t="n">
        <v>46320</v>
      </c>
      <c r="N41" s="29" t="inlineStr">
        <is>
          <t>Wikimedia Commons'taki "Andalucia-01-0062 (8086361611).jpg" (3872×2592 px) özgün dosyasının 1280×857 px küçültülmüş kopyası indirildi; kırpma, rötuş ve renk düzeltmesi yapılmadı. Teslim dosyası: sevilla_plaza-de-toros-de-la-maestranza_01.jpg (SHA-256 416351235104).</t>
        </is>
      </c>
      <c r="O41" s="29" t="inlineStr">
        <is>
          <t>sevilla:evidence:plaza-de-toros-de-la-maestranza-01</t>
        </is>
      </c>
      <c r="P41" s="29" t="inlineStr">
        <is>
          <t>Evet</t>
        </is>
      </c>
      <c r="Q41" s="51" t="n">
        <v>1</v>
      </c>
      <c r="R41" s="29" t="inlineStr">
        <is>
          <t>Taslak</t>
        </is>
      </c>
      <c r="S41" s="52">
        <f>IF(OR(A41="",F41="",C41&lt;&gt;"Mekân"),0,IF(COUNTIFS($F$8:F41,F41,$C$8:C41,"Mekân")=1,1,0))</f>
        <v/>
      </c>
      <c r="T41" s="52">
        <f>IF(OR(A41="",F41="",C41&lt;&gt;"Kapak"),0,IF(COUNTIFS($F$8:F41,F41,$C$8:C41,"Kapak")=1,1,0))</f>
        <v/>
      </c>
    </row>
    <row r="42" ht="54" customHeight="1">
      <c r="A42" s="29" t="inlineStr">
        <is>
          <t>sevilla:photo:plaza-de-toros-de-la-maestranza-02</t>
        </is>
      </c>
      <c r="B42" s="29" t="inlineStr">
        <is>
          <t>sevilla</t>
        </is>
      </c>
      <c r="C42" s="29" t="inlineStr">
        <is>
          <t>Mekân</t>
        </is>
      </c>
      <c r="D42" s="29" t="inlineStr">
        <is>
          <t>sevilla:plaza-de-toros-de-la-maestranza</t>
        </is>
      </c>
      <c r="E42" s="29" t="inlineStr">
        <is>
          <t>Fotoğraflar/sevilla_plaza-de-toros-de-la-maestranza_02.jpg</t>
        </is>
      </c>
      <c r="F42" s="29" t="inlineStr">
        <is>
          <t>a3e4cd588fa5cb8b590c2747fc453083ffa892dd2e20491c867c46975eb958a1</t>
        </is>
      </c>
      <c r="G42" s="29" t="inlineStr">
        <is>
          <t>Maestranza Boğa Arenası'nın yola bakan uzun cephesi.</t>
        </is>
      </c>
      <c r="H42" s="29" t="inlineStr">
        <is>
          <t>José Luiz</t>
        </is>
      </c>
      <c r="I42" s="29" t="inlineStr">
        <is>
          <t>CC BY-SA 3.0</t>
        </is>
      </c>
      <c r="J42" s="29" t="inlineStr">
        <is>
          <t>https://creativecommons.org/licenses/by-sa/3.0/</t>
        </is>
      </c>
      <c r="K42" s="29" t="inlineStr">
        <is>
          <t>https://commons.wikimedia.org/wiki/File:La_Maestranza_-_Seville.JPG</t>
        </is>
      </c>
      <c r="L42" s="49" t="n">
        <v>41311</v>
      </c>
      <c r="M42" s="49" t="n">
        <v>46320</v>
      </c>
      <c r="N42" s="29" t="inlineStr">
        <is>
          <t>Wikimedia Commons'taki "La Maestranza - Seville.JPG" (5184×3456 px) özgün dosyasının 1280×853 px küçültülmüş kopyası indirildi; kırpma, rötuş ve renk düzeltmesi yapılmadı. Teslim dosyası: sevilla_plaza-de-toros-de-la-maestranza_02.jpg (SHA-256 a3e4cd588fa5).</t>
        </is>
      </c>
      <c r="O42" s="29" t="inlineStr">
        <is>
          <t>sevilla:evidence:plaza-de-toros-de-la-maestranza-02</t>
        </is>
      </c>
      <c r="P42" s="29" t="inlineStr">
        <is>
          <t>Evet</t>
        </is>
      </c>
      <c r="Q42" s="51" t="n">
        <v>2</v>
      </c>
      <c r="R42" s="29" t="inlineStr">
        <is>
          <t>Taslak</t>
        </is>
      </c>
      <c r="S42" s="52">
        <f>IF(OR(A42="",F42="",C42&lt;&gt;"Mekân"),0,IF(COUNTIFS($F$8:F42,F42,$C$8:C42,"Mekân")=1,1,0))</f>
        <v/>
      </c>
      <c r="T42" s="52">
        <f>IF(OR(A42="",F42="",C42&lt;&gt;"Kapak"),0,IF(COUNTIFS($F$8:F42,F42,$C$8:C42,"Kapak")=1,1,0))</f>
        <v/>
      </c>
    </row>
    <row r="43" ht="54" customHeight="1">
      <c r="A43" s="29" t="inlineStr">
        <is>
          <t>sevilla:photo:costurero-de-la-reina-01</t>
        </is>
      </c>
      <c r="B43" s="29" t="inlineStr">
        <is>
          <t>sevilla</t>
        </is>
      </c>
      <c r="C43" s="29" t="inlineStr">
        <is>
          <t>Mekân</t>
        </is>
      </c>
      <c r="D43" s="29" t="inlineStr">
        <is>
          <t>sevilla:costurero-de-la-reina</t>
        </is>
      </c>
      <c r="E43" s="29" t="inlineStr">
        <is>
          <t>Fotoğraflar/sevilla_costurero-de-la-reina_01.jpg</t>
        </is>
      </c>
      <c r="F43" s="29" t="inlineStr">
        <is>
          <t>f444e934848ccce8c4db5039573fcacc91a7c50d98574329796d499864988a15</t>
        </is>
      </c>
      <c r="G43" s="29" t="inlineStr">
        <is>
          <t>Costurero de la Reina'nın kırmızı-sarı çizgili, mazgallı küçük köşkü.</t>
        </is>
      </c>
      <c r="H43" s="29" t="inlineStr">
        <is>
          <t>CarlosVdeHabsburgo</t>
        </is>
      </c>
      <c r="I43" s="29" t="inlineStr">
        <is>
          <t>CC BY-SA 4.0</t>
        </is>
      </c>
      <c r="J43" s="29" t="inlineStr">
        <is>
          <t>https://creativecommons.org/licenses/by-sa/4.0/</t>
        </is>
      </c>
      <c r="K43" s="29" t="inlineStr">
        <is>
          <t>https://commons.wikimedia.org/wiki/File:Costurero_de_la_Reina_(Sevilla)_01.jpg</t>
        </is>
      </c>
      <c r="L43" s="49" t="n">
        <v>45175</v>
      </c>
      <c r="M43" s="49" t="n">
        <v>46320</v>
      </c>
      <c r="N43" s="29" t="inlineStr">
        <is>
          <t>Wikimedia Commons'taki "Costurero de la Reina (Sevilla) 01.jpg" (2098×3041 px) özgün dosyasının 1280×1855 px küçültülmüş kopyası indirildi; kırpma, rötuş ve renk düzeltmesi yapılmadı. Teslim dosyası: sevilla_costurero-de-la-reina_01.jpg (SHA-256 f444e934848c).</t>
        </is>
      </c>
      <c r="O43" s="29" t="inlineStr">
        <is>
          <t>sevilla:evidence:costurero-de-la-reina-01</t>
        </is>
      </c>
      <c r="P43" s="29" t="inlineStr">
        <is>
          <t>Evet</t>
        </is>
      </c>
      <c r="Q43" s="51" t="n">
        <v>1</v>
      </c>
      <c r="R43" s="29" t="inlineStr">
        <is>
          <t>Taslak</t>
        </is>
      </c>
      <c r="S43" s="52">
        <f>IF(OR(A43="",F43="",C43&lt;&gt;"Mekân"),0,IF(COUNTIFS($F$8:F43,F43,$C$8:C43,"Mekân")=1,1,0))</f>
        <v/>
      </c>
      <c r="T43" s="52">
        <f>IF(OR(A43="",F43="",C43&lt;&gt;"Kapak"),0,IF(COUNTIFS($F$8:F43,F43,$C$8:C43,"Kapak")=1,1,0))</f>
        <v/>
      </c>
    </row>
    <row r="44" ht="54" customHeight="1">
      <c r="A44" s="29" t="inlineStr">
        <is>
          <t>sevilla:photo:costurero-de-la-reina-02</t>
        </is>
      </c>
      <c r="B44" s="29" t="inlineStr">
        <is>
          <t>sevilla</t>
        </is>
      </c>
      <c r="C44" s="29" t="inlineStr">
        <is>
          <t>Mekân</t>
        </is>
      </c>
      <c r="D44" s="29" t="inlineStr">
        <is>
          <t>sevilla:costurero-de-la-reina</t>
        </is>
      </c>
      <c r="E44" s="29" t="inlineStr">
        <is>
          <t>Fotoğraflar/sevilla_costurero-de-la-reina_02.jpg</t>
        </is>
      </c>
      <c r="F44" s="29" t="inlineStr">
        <is>
          <t>a653c92c91cc6b4eadf1d566c0b0b2f661a4a4f6e1e2840fae4114f1096e3975</t>
        </is>
      </c>
      <c r="G44" s="29" t="inlineStr">
        <is>
          <t>Costurero de la Reina köşkü ve çevresindeki ağaçlar.</t>
        </is>
      </c>
      <c r="H44" s="29" t="inlineStr">
        <is>
          <t>CarlosVdeHabsburgo</t>
        </is>
      </c>
      <c r="I44" s="29" t="inlineStr">
        <is>
          <t>CC BY-SA 4.0</t>
        </is>
      </c>
      <c r="J44" s="29" t="inlineStr">
        <is>
          <t>https://creativecommons.org/licenses/by-sa/4.0/</t>
        </is>
      </c>
      <c r="K44" s="29" t="inlineStr">
        <is>
          <t>https://commons.wikimedia.org/wiki/File:Costurero_de_la_Reina_(Sevilla)_02.jpg</t>
        </is>
      </c>
      <c r="L44" s="49" t="n">
        <v>45175</v>
      </c>
      <c r="M44" s="49" t="n">
        <v>46320</v>
      </c>
      <c r="N44" s="29" t="inlineStr">
        <is>
          <t>Wikimedia Commons'taki "Costurero de la Reina (Sevilla) 02.jpg" (4000×3000 px) özgün dosyasının 1280×960 px küçültülmüş kopyası indirildi; kırpma, rötuş ve renk düzeltmesi yapılmadı. Teslim dosyası: sevilla_costurero-de-la-reina_02.jpg (SHA-256 a653c92c91cc).</t>
        </is>
      </c>
      <c r="O44" s="29" t="inlineStr">
        <is>
          <t>sevilla:evidence:costurero-de-la-reina-02</t>
        </is>
      </c>
      <c r="P44" s="29" t="inlineStr">
        <is>
          <t>Evet</t>
        </is>
      </c>
      <c r="Q44" s="51" t="n">
        <v>2</v>
      </c>
      <c r="R44" s="29" t="inlineStr">
        <is>
          <t>Taslak</t>
        </is>
      </c>
      <c r="S44" s="52">
        <f>IF(OR(A44="",F44="",C44&lt;&gt;"Mekân"),0,IF(COUNTIFS($F$8:F44,F44,$C$8:C44,"Mekân")=1,1,0))</f>
        <v/>
      </c>
      <c r="T44" s="52">
        <f>IF(OR(A44="",F44="",C44&lt;&gt;"Kapak"),0,IF(COUNTIFS($F$8:F44,F44,$C$8:C44,"Kapak")=1,1,0))</f>
        <v/>
      </c>
    </row>
    <row r="45" ht="54" customHeight="1">
      <c r="A45" s="29" t="inlineStr">
        <is>
          <t>sevilla:photo:costurero-de-la-reina-03</t>
        </is>
      </c>
      <c r="B45" s="29" t="inlineStr">
        <is>
          <t>sevilla</t>
        </is>
      </c>
      <c r="C45" s="29" t="inlineStr">
        <is>
          <t>Mekân</t>
        </is>
      </c>
      <c r="D45" s="29" t="inlineStr">
        <is>
          <t>sevilla:costurero-de-la-reina</t>
        </is>
      </c>
      <c r="E45" s="29" t="inlineStr">
        <is>
          <t>Fotoğraflar/sevilla_costurero-de-la-reina_03.jpg</t>
        </is>
      </c>
      <c r="F45" s="29" t="inlineStr">
        <is>
          <t>5429b8b20a8eefa6f42c521bb8894af2e44a4d6daabc5a8e266a9097ef8dd2fb</t>
        </is>
      </c>
      <c r="G45" s="29" t="inlineStr">
        <is>
          <t>Costurero de la Reina'nın kuleli cephesi yakından.</t>
        </is>
      </c>
      <c r="H45" s="29" t="inlineStr">
        <is>
          <t>CarlosVdeHabsburgo</t>
        </is>
      </c>
      <c r="I45" s="29" t="inlineStr">
        <is>
          <t>CC BY-SA 4.0</t>
        </is>
      </c>
      <c r="J45" s="29" t="inlineStr">
        <is>
          <t>https://creativecommons.org/licenses/by-sa/4.0/</t>
        </is>
      </c>
      <c r="K45" s="29" t="inlineStr">
        <is>
          <t>https://commons.wikimedia.org/wiki/File:Costurero_de_la_Reina_(Sevilla).jpg</t>
        </is>
      </c>
      <c r="L45" s="49" t="n">
        <v>45175</v>
      </c>
      <c r="M45" s="49" t="n">
        <v>46320</v>
      </c>
      <c r="N45" s="29" t="inlineStr">
        <is>
          <t>Wikimedia Commons'taki "Costurero de la Reina (Sevilla).jpg" (3000×4000 px) özgün dosyasının 1280×1707 px küçültülmüş kopyası indirildi; kırpma, rötuş ve renk düzeltmesi yapılmadı. Teslim dosyası: sevilla_costurero-de-la-reina_03.jpg (SHA-256 5429b8b20a8e).</t>
        </is>
      </c>
      <c r="O45" s="29" t="inlineStr">
        <is>
          <t>sevilla:evidence:costurero-de-la-reina-03</t>
        </is>
      </c>
      <c r="P45" s="29" t="inlineStr">
        <is>
          <t>Evet</t>
        </is>
      </c>
      <c r="Q45" s="51" t="n">
        <v>3</v>
      </c>
      <c r="R45" s="29" t="inlineStr">
        <is>
          <t>Taslak</t>
        </is>
      </c>
      <c r="S45" s="52">
        <f>IF(OR(A45="",F45="",C45&lt;&gt;"Mekân"),0,IF(COUNTIFS($F$8:F45,F45,$C$8:C45,"Mekân")=1,1,0))</f>
        <v/>
      </c>
      <c r="T45" s="52">
        <f>IF(OR(A45="",F45="",C45&lt;&gt;"Kapak"),0,IF(COUNTIFS($F$8:F45,F45,$C$8:C45,"Kapak")=1,1,0))</f>
        <v/>
      </c>
    </row>
    <row r="46" ht="54" customHeight="1">
      <c r="A46" s="29" t="inlineStr">
        <is>
          <t>sevilla:photo:espacio-santa-clara-01</t>
        </is>
      </c>
      <c r="B46" s="29" t="inlineStr">
        <is>
          <t>sevilla</t>
        </is>
      </c>
      <c r="C46" s="29" t="inlineStr">
        <is>
          <t>Mekân</t>
        </is>
      </c>
      <c r="D46" s="29" t="inlineStr">
        <is>
          <t>sevilla:espacio-santa-clara</t>
        </is>
      </c>
      <c r="E46" s="29" t="inlineStr">
        <is>
          <t>Fotoğraflar/sevilla_espacio-santa-clara_01.jpg</t>
        </is>
      </c>
      <c r="F46" s="29" t="inlineStr">
        <is>
          <t>0707b0e008a444912e34669f8f892a29f3006a6d869d7a24db3a811b08e58d5b</t>
        </is>
      </c>
      <c r="G46" s="29" t="inlineStr">
        <is>
          <t>Santa Clara Manastırı'nda hayvan figürlü sarı-mavi çini pano.</t>
        </is>
      </c>
      <c r="H46" s="29" t="inlineStr">
        <is>
          <t>CarlosVdeHabsburgo</t>
        </is>
      </c>
      <c r="I46" s="29" t="inlineStr">
        <is>
          <t>CC BY-SA 3.0</t>
        </is>
      </c>
      <c r="J46" s="29" t="inlineStr">
        <is>
          <t>https://creativecommons.org/licenses/by-sa/3.0/</t>
        </is>
      </c>
      <c r="K46" s="29" t="inlineStr">
        <is>
          <t>https://commons.wikimedia.org/wiki/File:Azulejos_del_Convento_de_Santa_Clara.JPG</t>
        </is>
      </c>
      <c r="L46" s="49" t="n"/>
      <c r="M46" s="49" t="n">
        <v>46320</v>
      </c>
      <c r="N46" s="29" t="inlineStr">
        <is>
          <t>Wikimedia Commons'taki "Azulejos del Convento de Santa Clara.JPG" (2304×3072 px) özgün dosyasının 1280×1707 px küçültülmüş kopyası indirildi; kırpma, rötuş ve renk düzeltmesi yapılmadı. Teslim dosyası: sevilla_espacio-santa-clara_01.jpg (SHA-256 0707b0e008a4).</t>
        </is>
      </c>
      <c r="O46" s="29" t="inlineStr">
        <is>
          <t>sevilla:evidence:espacio-santa-clara-01</t>
        </is>
      </c>
      <c r="P46" s="29" t="inlineStr">
        <is>
          <t>Evet</t>
        </is>
      </c>
      <c r="Q46" s="51" t="n">
        <v>1</v>
      </c>
      <c r="R46" s="29" t="inlineStr">
        <is>
          <t>Taslak</t>
        </is>
      </c>
      <c r="S46" s="52">
        <f>IF(OR(A46="",F46="",C46&lt;&gt;"Mekân"),0,IF(COUNTIFS($F$8:F46,F46,$C$8:C46,"Mekân")=1,1,0))</f>
        <v/>
      </c>
      <c r="T46" s="52">
        <f>IF(OR(A46="",F46="",C46&lt;&gt;"Kapak"),0,IF(COUNTIFS($F$8:F46,F46,$C$8:C46,"Kapak")=1,1,0))</f>
        <v/>
      </c>
    </row>
    <row r="47" ht="54" customHeight="1">
      <c r="A47" s="29" t="inlineStr">
        <is>
          <t>sevilla:photo:espacio-santa-clara-02</t>
        </is>
      </c>
      <c r="B47" s="29" t="inlineStr">
        <is>
          <t>sevilla</t>
        </is>
      </c>
      <c r="C47" s="29" t="inlineStr">
        <is>
          <t>Mekân</t>
        </is>
      </c>
      <c r="D47" s="29" t="inlineStr">
        <is>
          <t>sevilla:espacio-santa-clara</t>
        </is>
      </c>
      <c r="E47" s="29" t="inlineStr">
        <is>
          <t>Fotoğraflar/sevilla_espacio-santa-clara_02.jpg</t>
        </is>
      </c>
      <c r="F47" s="29" t="inlineStr">
        <is>
          <t>8900c3a9814597661812073162fd808bc6f508ebdd75b79aaf3347c607dcfdf5</t>
        </is>
      </c>
      <c r="G47" s="29" t="inlineStr">
        <is>
          <t>Espacio Santa Clara'nın kemerli manastır avlusu ve ortadaki çeşme.</t>
        </is>
      </c>
      <c r="H47" s="29" t="inlineStr">
        <is>
          <t>José Luis Filpo Cabana</t>
        </is>
      </c>
      <c r="I47" s="29" t="inlineStr">
        <is>
          <t>CC BY-SA 4.0</t>
        </is>
      </c>
      <c r="J47" s="29" t="inlineStr">
        <is>
          <t>https://creativecommons.org/licenses/by-sa/4.0/</t>
        </is>
      </c>
      <c r="K47" s="29" t="inlineStr">
        <is>
          <t>https://commons.wikimedia.org/wiki/File:Convento_de_Santa_Clara._Claustro.jpg</t>
        </is>
      </c>
      <c r="L47" s="49" t="n"/>
      <c r="M47" s="49" t="n">
        <v>46320</v>
      </c>
      <c r="N47" s="29" t="inlineStr">
        <is>
          <t>Wikimedia Commons'taki "Convento de Santa Clara. Claustro.jpg" (3968×2232 px) özgün dosyasının 1280×720 px küçültülmüş kopyası indirildi; kırpma, rötuş ve renk düzeltmesi yapılmadı. Teslim dosyası: sevilla_espacio-santa-clara_02.jpg (SHA-256 8900c3a98145).</t>
        </is>
      </c>
      <c r="O47" s="29" t="inlineStr">
        <is>
          <t>sevilla:evidence:espacio-santa-clara-02</t>
        </is>
      </c>
      <c r="P47" s="29" t="inlineStr">
        <is>
          <t>Evet</t>
        </is>
      </c>
      <c r="Q47" s="51" t="n">
        <v>2</v>
      </c>
      <c r="R47" s="29" t="inlineStr">
        <is>
          <t>Taslak</t>
        </is>
      </c>
      <c r="S47" s="52">
        <f>IF(OR(A47="",F47="",C47&lt;&gt;"Mekân"),0,IF(COUNTIFS($F$8:F47,F47,$C$8:C47,"Mekân")=1,1,0))</f>
        <v/>
      </c>
      <c r="T47" s="52">
        <f>IF(OR(A47="",F47="",C47&lt;&gt;"Kapak"),0,IF(COUNTIFS($F$8:F47,F47,$C$8:C47,"Kapak")=1,1,0))</f>
        <v/>
      </c>
    </row>
    <row r="48" ht="54" customHeight="1">
      <c r="A48" s="29" t="inlineStr">
        <is>
          <t>sevilla:photo:espacio-santa-clara-03</t>
        </is>
      </c>
      <c r="B48" s="29" t="inlineStr">
        <is>
          <t>sevilla</t>
        </is>
      </c>
      <c r="C48" s="29" t="inlineStr">
        <is>
          <t>Mekân</t>
        </is>
      </c>
      <c r="D48" s="29" t="inlineStr">
        <is>
          <t>sevilla:espacio-santa-clara</t>
        </is>
      </c>
      <c r="E48" s="29" t="inlineStr">
        <is>
          <t>Fotoğraflar/sevilla_espacio-santa-clara_03.jpg</t>
        </is>
      </c>
      <c r="F48" s="29" t="inlineStr">
        <is>
          <t>e5de0605fae9c7612ca0f77c84a22229045879f068f4b01d0ebf25af86d66b4c</t>
        </is>
      </c>
      <c r="G48" s="29" t="inlineStr">
        <is>
          <t>Espacio Santa Clara'nın sokağa bakan girişi ve tabelası.</t>
        </is>
      </c>
      <c r="H48" s="29" t="inlineStr">
        <is>
          <t>CarlosVdeHabsburgo</t>
        </is>
      </c>
      <c r="I48" s="29" t="inlineStr">
        <is>
          <t>CC BY-SA 3.0</t>
        </is>
      </c>
      <c r="J48" s="29" t="inlineStr">
        <is>
          <t>https://creativecommons.org/licenses/by-sa/3.0/</t>
        </is>
      </c>
      <c r="K48" s="29" t="inlineStr">
        <is>
          <t>https://commons.wikimedia.org/wiki/File:Espacio_Cultural_Santa_Clara.JPG</t>
        </is>
      </c>
      <c r="L48" s="49" t="n"/>
      <c r="M48" s="49" t="n">
        <v>46320</v>
      </c>
      <c r="N48" s="29" t="inlineStr">
        <is>
          <t>Wikimedia Commons'taki "Espacio Cultural Santa Clara.JPG" (2304×3072 px) özgün dosyasının 1280×1707 px küçültülmüş kopyası indirildi; kırpma, rötuş ve renk düzeltmesi yapılmadı. Teslim dosyası: sevilla_espacio-santa-clara_03.jpg (SHA-256 e5de0605fae9).</t>
        </is>
      </c>
      <c r="O48" s="29" t="inlineStr">
        <is>
          <t>sevilla:evidence:espacio-santa-clara-03</t>
        </is>
      </c>
      <c r="P48" s="29" t="inlineStr">
        <is>
          <t>Evet</t>
        </is>
      </c>
      <c r="Q48" s="51" t="n">
        <v>3</v>
      </c>
      <c r="R48" s="29" t="inlineStr">
        <is>
          <t>Taslak</t>
        </is>
      </c>
      <c r="S48" s="52">
        <f>IF(OR(A48="",F48="",C48&lt;&gt;"Mekân"),0,IF(COUNTIFS($F$8:F48,F48,$C$8:C48,"Mekân")=1,1,0))</f>
        <v/>
      </c>
      <c r="T48" s="52">
        <f>IF(OR(A48="",F48="",C48&lt;&gt;"Kapak"),0,IF(COUNTIFS($F$8:F48,F48,$C$8:C48,"Kapak")=1,1,0))</f>
        <v/>
      </c>
    </row>
    <row r="49" ht="54" customHeight="1">
      <c r="A49" s="29" t="inlineStr">
        <is>
          <t>sevilla:photo:parque-de-maria-luisa-01</t>
        </is>
      </c>
      <c r="B49" s="29" t="inlineStr">
        <is>
          <t>sevilla</t>
        </is>
      </c>
      <c r="C49" s="29" t="inlineStr">
        <is>
          <t>Mekân</t>
        </is>
      </c>
      <c r="D49" s="29" t="inlineStr">
        <is>
          <t>sevilla:parque-de-maria-luisa</t>
        </is>
      </c>
      <c r="E49" s="29" t="inlineStr">
        <is>
          <t>Fotoğraflar/sevilla_parque-de-maria-luisa_01.jpg</t>
        </is>
      </c>
      <c r="F49" s="29" t="inlineStr">
        <is>
          <t>6a35efd62fb5f61d58af688d5d72137a1af47a33b0cb859ee686e8469032be30</t>
        </is>
      </c>
      <c r="G49" s="29" t="inlineStr">
        <is>
          <t>María Luisa Parkı'nda portakal ağaçları ve budanmış çit bahçesi.</t>
        </is>
      </c>
      <c r="H49" s="29" t="inlineStr">
        <is>
          <t>Максим Массалитин (Maxim Massalitin)</t>
        </is>
      </c>
      <c r="I49" s="29" t="inlineStr">
        <is>
          <t>CC BY 2.0</t>
        </is>
      </c>
      <c r="J49" s="29" t="inlineStr">
        <is>
          <t>https://creativecommons.org/licenses/by/2.0/</t>
        </is>
      </c>
      <c r="K49" s="29" t="inlineStr">
        <is>
          <t>https://commons.wikimedia.org/wiki/File:Andaluc%C3%ADa,_Sevilla,_plaza_de_America_(16488311286).jpg</t>
        </is>
      </c>
      <c r="L49" s="49" t="n">
        <v>42031</v>
      </c>
      <c r="M49" s="49" t="n">
        <v>46320</v>
      </c>
      <c r="N49" s="29" t="inlineStr">
        <is>
          <t>Wikimedia Commons'taki "Andalucía, Sevilla, plaza de America (16488311286).jpg" (4928×3264 px) özgün dosyasının 1280×848 px küçültülmüş kopyası indirildi; kırpma, rötuş ve renk düzeltmesi yapılmadı. Teslim dosyası: sevilla_parque-de-maria-luisa_01.jpg (SHA-256 6a35efd62fb5).</t>
        </is>
      </c>
      <c r="O49" s="29" t="inlineStr">
        <is>
          <t>sevilla:evidence:parque-de-maria-luisa-01</t>
        </is>
      </c>
      <c r="P49" s="29" t="inlineStr">
        <is>
          <t>Evet</t>
        </is>
      </c>
      <c r="Q49" s="51" t="n">
        <v>1</v>
      </c>
      <c r="R49" s="29" t="inlineStr">
        <is>
          <t>Taslak</t>
        </is>
      </c>
      <c r="S49" s="52">
        <f>IF(OR(A49="",F49="",C49&lt;&gt;"Mekân"),0,IF(COUNTIFS($F$8:F49,F49,$C$8:C49,"Mekân")=1,1,0))</f>
        <v/>
      </c>
      <c r="T49" s="52">
        <f>IF(OR(A49="",F49="",C49&lt;&gt;"Kapak"),0,IF(COUNTIFS($F$8:F49,F49,$C$8:C49,"Kapak")=1,1,0))</f>
        <v/>
      </c>
    </row>
    <row r="50" ht="54" customHeight="1">
      <c r="A50" s="29" t="inlineStr">
        <is>
          <t>sevilla:photo:parque-de-maria-luisa-02</t>
        </is>
      </c>
      <c r="B50" s="29" t="inlineStr">
        <is>
          <t>sevilla</t>
        </is>
      </c>
      <c r="C50" s="29" t="inlineStr">
        <is>
          <t>Mekân</t>
        </is>
      </c>
      <c r="D50" s="29" t="inlineStr">
        <is>
          <t>sevilla:parque-de-maria-luisa</t>
        </is>
      </c>
      <c r="E50" s="29" t="inlineStr">
        <is>
          <t>Fotoğraflar/sevilla_parque-de-maria-luisa_02.jpg</t>
        </is>
      </c>
      <c r="F50" s="29" t="inlineStr">
        <is>
          <t>82b725bee401dfa3208cba356c24fb1b81037f1edb059e9074dbe0b7e87fea3b</t>
        </is>
      </c>
      <c r="G50" s="29" t="inlineStr">
        <is>
          <t>María Luisa Parkı'nda gölgeli patika, taş basamaklar ve yeşillik.</t>
        </is>
      </c>
      <c r="H50" s="29" t="inlineStr">
        <is>
          <t>CarlosVdeHabsburgo</t>
        </is>
      </c>
      <c r="I50" s="29" t="inlineStr">
        <is>
          <t>CC BY-SA 4.0</t>
        </is>
      </c>
      <c r="J50" s="29" t="inlineStr">
        <is>
          <t>https://creativecommons.org/licenses/by-sa/4.0/</t>
        </is>
      </c>
      <c r="K50" s="29" t="inlineStr">
        <is>
          <t>https://commons.wikimedia.org/wiki/File:Arce_y_fuente.jpg</t>
        </is>
      </c>
      <c r="L50" s="49" t="n">
        <v>42664</v>
      </c>
      <c r="M50" s="49" t="n">
        <v>46320</v>
      </c>
      <c r="N50" s="29" t="inlineStr">
        <is>
          <t>Wikimedia Commons'taki "Arce y fuente.jpg" (3240×4320 px) özgün dosyasının 1280×1707 px küçültülmüş kopyası indirildi; kırpma, rötuş ve renk düzeltmesi yapılmadı. Teslim dosyası: sevilla_parque-de-maria-luisa_02.jpg (SHA-256 82b725bee401).</t>
        </is>
      </c>
      <c r="O50" s="29" t="inlineStr">
        <is>
          <t>sevilla:evidence:parque-de-maria-luisa-02</t>
        </is>
      </c>
      <c r="P50" s="29" t="inlineStr">
        <is>
          <t>Evet</t>
        </is>
      </c>
      <c r="Q50" s="51" t="n">
        <v>2</v>
      </c>
      <c r="R50" s="29" t="inlineStr">
        <is>
          <t>Taslak</t>
        </is>
      </c>
      <c r="S50" s="52">
        <f>IF(OR(A50="",F50="",C50&lt;&gt;"Mekân"),0,IF(COUNTIFS($F$8:F50,F50,$C$8:C50,"Mekân")=1,1,0))</f>
        <v/>
      </c>
      <c r="T50" s="52">
        <f>IF(OR(A50="",F50="",C50&lt;&gt;"Kapak"),0,IF(COUNTIFS($F$8:F50,F50,$C$8:C50,"Kapak")=1,1,0))</f>
        <v/>
      </c>
    </row>
    <row r="51" ht="54" customHeight="1">
      <c r="A51" s="29" t="inlineStr">
        <is>
          <t>sevilla:photo:parque-de-maria-luisa-03</t>
        </is>
      </c>
      <c r="B51" s="29" t="inlineStr">
        <is>
          <t>sevilla</t>
        </is>
      </c>
      <c r="C51" s="29" t="inlineStr">
        <is>
          <t>Mekân</t>
        </is>
      </c>
      <c r="D51" s="29" t="inlineStr">
        <is>
          <t>sevilla:parque-de-maria-luisa</t>
        </is>
      </c>
      <c r="E51" s="29" t="inlineStr">
        <is>
          <t>Fotoğraflar/sevilla_parque-de-maria-luisa_03.jpg</t>
        </is>
      </c>
      <c r="F51" s="29" t="inlineStr">
        <is>
          <t>01e0c3966546d9276528820f72ba5481a2afe72afcef24f90dcc4dd00dfa04bc</t>
        </is>
      </c>
      <c r="G51" s="29" t="inlineStr">
        <is>
          <t>María Luisa Parkı'nda fenerli toprak yol ve uzun ağaçlar.</t>
        </is>
      </c>
      <c r="H51" s="29" t="inlineStr">
        <is>
          <t>CarlosVdeHabsburgo</t>
        </is>
      </c>
      <c r="I51" s="29" t="inlineStr">
        <is>
          <t>CC BY-SA 4.0</t>
        </is>
      </c>
      <c r="J51" s="29" t="inlineStr">
        <is>
          <t>https://creativecommons.org/licenses/by-sa/4.0/</t>
        </is>
      </c>
      <c r="K51" s="29" t="inlineStr">
        <is>
          <t>https://commons.wikimedia.org/wiki/File:Camino_parque_M%C2%AA_Luisa_2.jpg</t>
        </is>
      </c>
      <c r="L51" s="49" t="n">
        <v>42664</v>
      </c>
      <c r="M51" s="49" t="n">
        <v>46320</v>
      </c>
      <c r="N51" s="29" t="inlineStr">
        <is>
          <t>Wikimedia Commons'taki "Camino parque Mª Luisa 2.jpg" (3240×4320 px) özgün dosyasının 1280×1707 px küçültülmüş kopyası indirildi; kırpma, rötuş ve renk düzeltmesi yapılmadı. Teslim dosyası: sevilla_parque-de-maria-luisa_03.jpg (SHA-256 01e0c3966546).</t>
        </is>
      </c>
      <c r="O51" s="29" t="inlineStr">
        <is>
          <t>sevilla:evidence:parque-de-maria-luisa-03</t>
        </is>
      </c>
      <c r="P51" s="29" t="inlineStr">
        <is>
          <t>Evet</t>
        </is>
      </c>
      <c r="Q51" s="51" t="n">
        <v>3</v>
      </c>
      <c r="R51" s="29" t="inlineStr">
        <is>
          <t>Taslak</t>
        </is>
      </c>
      <c r="S51" s="52">
        <f>IF(OR(A51="",F51="",C51&lt;&gt;"Mekân"),0,IF(COUNTIFS($F$8:F51,F51,$C$8:C51,"Mekân")=1,1,0))</f>
        <v/>
      </c>
      <c r="T51" s="52">
        <f>IF(OR(A51="",F51="",C51&lt;&gt;"Kapak"),0,IF(COUNTIFS($F$8:F51,F51,$C$8:C51,"Kapak")=1,1,0))</f>
        <v/>
      </c>
    </row>
    <row r="52" ht="54" customHeight="1">
      <c r="A52" s="29" t="inlineStr">
        <is>
          <t>sevilla:photo:jardines-de-la-buhaira-01</t>
        </is>
      </c>
      <c r="B52" s="29" t="inlineStr">
        <is>
          <t>sevilla</t>
        </is>
      </c>
      <c r="C52" s="29" t="inlineStr">
        <is>
          <t>Mekân</t>
        </is>
      </c>
      <c r="D52" s="29" t="inlineStr">
        <is>
          <t>sevilla:jardines-de-la-buhaira</t>
        </is>
      </c>
      <c r="E52" s="29" t="inlineStr">
        <is>
          <t>Fotoğraflar/sevilla_jardines-de-la-buhaira_01.jpg</t>
        </is>
      </c>
      <c r="F52" s="29" t="inlineStr">
        <is>
          <t>588bb021dc54ccaaff58d49720aa236a2d4d8e3274705c35175d5507a05b0cb8</t>
        </is>
      </c>
      <c r="G52" s="29" t="inlineStr">
        <is>
          <t>Buhaira Bahçeleri'nde tarihî su havuzunun tuğla duvarı.</t>
        </is>
      </c>
      <c r="H52" s="29" t="inlineStr">
        <is>
          <t>CarlosVdeHabsburgo</t>
        </is>
      </c>
      <c r="I52" s="29" t="inlineStr">
        <is>
          <t>CC BY-SA 4.0</t>
        </is>
      </c>
      <c r="J52" s="29" t="inlineStr">
        <is>
          <t>https://creativecommons.org/licenses/by-sa/4.0/</t>
        </is>
      </c>
      <c r="K52" s="29" t="inlineStr">
        <is>
          <t>https://commons.wikimedia.org/wiki/File:Alberca_01.jpg</t>
        </is>
      </c>
      <c r="L52" s="49" t="n">
        <v>42679</v>
      </c>
      <c r="M52" s="49" t="n">
        <v>46320</v>
      </c>
      <c r="N52" s="29" t="inlineStr">
        <is>
          <t>Wikimedia Commons'taki "Alberca 01.jpg" (4320×3240 px) özgün dosyasının 1280×960 px küçültülmüş kopyası indirildi; kırpma, rötuş ve renk düzeltmesi yapılmadı. Teslim dosyası: sevilla_jardines-de-la-buhaira_01.jpg (SHA-256 588bb021dc54).</t>
        </is>
      </c>
      <c r="O52" s="29" t="inlineStr">
        <is>
          <t>sevilla:evidence:jardines-de-la-buhaira-01</t>
        </is>
      </c>
      <c r="P52" s="29" t="inlineStr">
        <is>
          <t>Evet</t>
        </is>
      </c>
      <c r="Q52" s="51" t="n">
        <v>1</v>
      </c>
      <c r="R52" s="29" t="inlineStr">
        <is>
          <t>Taslak</t>
        </is>
      </c>
      <c r="S52" s="52">
        <f>IF(OR(A52="",F52="",C52&lt;&gt;"Mekân"),0,IF(COUNTIFS($F$8:F52,F52,$C$8:C52,"Mekân")=1,1,0))</f>
        <v/>
      </c>
      <c r="T52" s="52">
        <f>IF(OR(A52="",F52="",C52&lt;&gt;"Kapak"),0,IF(COUNTIFS($F$8:F52,F52,$C$8:C52,"Kapak")=1,1,0))</f>
        <v/>
      </c>
    </row>
    <row r="53" ht="54" customHeight="1">
      <c r="A53" s="29" t="inlineStr">
        <is>
          <t>sevilla:photo:jardines-de-la-buhaira-02</t>
        </is>
      </c>
      <c r="B53" s="29" t="inlineStr">
        <is>
          <t>sevilla</t>
        </is>
      </c>
      <c r="C53" s="29" t="inlineStr">
        <is>
          <t>Mekân</t>
        </is>
      </c>
      <c r="D53" s="29" t="inlineStr">
        <is>
          <t>sevilla:jardines-de-la-buhaira</t>
        </is>
      </c>
      <c r="E53" s="29" t="inlineStr">
        <is>
          <t>Fotoğraflar/sevilla_jardines-de-la-buhaira_02.jpg</t>
        </is>
      </c>
      <c r="F53" s="29" t="inlineStr">
        <is>
          <t>f777bff2bd6479dcd1efd1804d9f9c2857c75e694b81e47ec80c1e132c8c5aed</t>
        </is>
      </c>
      <c r="G53" s="29" t="inlineStr">
        <is>
          <t>Buhaira Bahçeleri'nde kazı alanı ve eski yapının kalıntıları.</t>
        </is>
      </c>
      <c r="H53" s="29" t="inlineStr">
        <is>
          <t>CarlosVdeHabsburgo</t>
        </is>
      </c>
      <c r="I53" s="29" t="inlineStr">
        <is>
          <t>CC BY-SA 4.0</t>
        </is>
      </c>
      <c r="J53" s="29" t="inlineStr">
        <is>
          <t>https://creativecommons.org/licenses/by-sa/4.0/</t>
        </is>
      </c>
      <c r="K53" s="29" t="inlineStr">
        <is>
          <t>https://commons.wikimedia.org/wiki/File:Alberca_02.jpg</t>
        </is>
      </c>
      <c r="L53" s="49" t="n">
        <v>42679</v>
      </c>
      <c r="M53" s="49" t="n">
        <v>46320</v>
      </c>
      <c r="N53" s="29" t="inlineStr">
        <is>
          <t>Wikimedia Commons'taki "Alberca 02.jpg" (4320×3240 px) özgün dosyasının 1280×960 px küçültülmüş kopyası indirildi; kırpma, rötuş ve renk düzeltmesi yapılmadı. Teslim dosyası: sevilla_jardines-de-la-buhaira_02.jpg (SHA-256 f777bff2bd64).</t>
        </is>
      </c>
      <c r="O53" s="29" t="inlineStr">
        <is>
          <t>sevilla:evidence:jardines-de-la-buhaira-02</t>
        </is>
      </c>
      <c r="P53" s="29" t="inlineStr">
        <is>
          <t>Evet</t>
        </is>
      </c>
      <c r="Q53" s="51" t="n">
        <v>2</v>
      </c>
      <c r="R53" s="29" t="inlineStr">
        <is>
          <t>Taslak</t>
        </is>
      </c>
      <c r="S53" s="52">
        <f>IF(OR(A53="",F53="",C53&lt;&gt;"Mekân"),0,IF(COUNTIFS($F$8:F53,F53,$C$8:C53,"Mekân")=1,1,0))</f>
        <v/>
      </c>
      <c r="T53" s="52">
        <f>IF(OR(A53="",F53="",C53&lt;&gt;"Kapak"),0,IF(COUNTIFS($F$8:F53,F53,$C$8:C53,"Kapak")=1,1,0))</f>
        <v/>
      </c>
    </row>
    <row r="54" ht="54" customHeight="1">
      <c r="A54" s="29" t="inlineStr">
        <is>
          <t>sevilla:photo:jardines-de-la-buhaira-03</t>
        </is>
      </c>
      <c r="B54" s="29" t="inlineStr">
        <is>
          <t>sevilla</t>
        </is>
      </c>
      <c r="C54" s="29" t="inlineStr">
        <is>
          <t>Mekân</t>
        </is>
      </c>
      <c r="D54" s="29" t="inlineStr">
        <is>
          <t>sevilla:jardines-de-la-buhaira</t>
        </is>
      </c>
      <c r="E54" s="29" t="inlineStr">
        <is>
          <t>Fotoğraflar/sevilla_jardines-de-la-buhaira_03.jpg</t>
        </is>
      </c>
      <c r="F54" s="29" t="inlineStr">
        <is>
          <t>5a500f5eb61d35b59bb79fe6905fff52163c0357100b41bc7d303f25e815ad5b</t>
        </is>
      </c>
      <c r="G54" s="29" t="inlineStr">
        <is>
          <t>Buhaira Bahçeleri'nde eski saray yapısı ve önündeki havuzda yansıması.</t>
        </is>
      </c>
      <c r="H54" s="29" t="inlineStr">
        <is>
          <t>anarey</t>
        </is>
      </c>
      <c r="I54" s="29" t="inlineStr">
        <is>
          <t>CC BY-SA 3.0 es</t>
        </is>
      </c>
      <c r="J54" s="29" t="inlineStr">
        <is>
          <t>https://creativecommons.org/licenses/by-sa/3.0/es/deed.en/</t>
        </is>
      </c>
      <c r="K54" s="29" t="inlineStr">
        <is>
          <t>https://commons.wikimedia.org/wiki/File:Antiguos_palacios_de_los_Jardines_de_la_Buhaira.jpg</t>
        </is>
      </c>
      <c r="L54" s="49" t="n">
        <v>40811</v>
      </c>
      <c r="M54" s="49" t="n">
        <v>46320</v>
      </c>
      <c r="N54" s="29" t="inlineStr">
        <is>
          <t>Wikimedia Commons'taki "Antiguos palacios de los Jardines de la Buhaira.jpg" (3872×2592 px) özgün dosyasının 1280×857 px küçültülmüş kopyası indirildi; kırpma, rötuş ve renk düzeltmesi yapılmadı. Teslim dosyası: sevilla_jardines-de-la-buhaira_03.jpg (SHA-256 5a500f5eb61d).</t>
        </is>
      </c>
      <c r="O54" s="29" t="inlineStr">
        <is>
          <t>sevilla:evidence:jardines-de-la-buhaira-03</t>
        </is>
      </c>
      <c r="P54" s="29" t="inlineStr">
        <is>
          <t>Evet</t>
        </is>
      </c>
      <c r="Q54" s="51" t="n">
        <v>3</v>
      </c>
      <c r="R54" s="29" t="inlineStr">
        <is>
          <t>Taslak</t>
        </is>
      </c>
      <c r="S54" s="52">
        <f>IF(OR(A54="",F54="",C54&lt;&gt;"Mekân"),0,IF(COUNTIFS($F$8:F54,F54,$C$8:C54,"Mekân")=1,1,0))</f>
        <v/>
      </c>
      <c r="T54" s="52">
        <f>IF(OR(A54="",F54="",C54&lt;&gt;"Kapak"),0,IF(COUNTIFS($F$8:F54,F54,$C$8:C54,"Kapak")=1,1,0))</f>
        <v/>
      </c>
    </row>
    <row r="55" ht="54" customHeight="1">
      <c r="A55" s="29" t="inlineStr">
        <is>
          <t>sevilla:photo:jardines-de-murillo-01</t>
        </is>
      </c>
      <c r="B55" s="29" t="inlineStr">
        <is>
          <t>sevilla</t>
        </is>
      </c>
      <c r="C55" s="29" t="inlineStr">
        <is>
          <t>Mekân</t>
        </is>
      </c>
      <c r="D55" s="29" t="inlineStr">
        <is>
          <t>sevilla:jardines-de-murillo</t>
        </is>
      </c>
      <c r="E55" s="29" t="inlineStr">
        <is>
          <t>Fotoğraflar/sevilla_jardines-de-murillo_01.jpg</t>
        </is>
      </c>
      <c r="F55" s="29" t="inlineStr">
        <is>
          <t>537ad2d11d8328c91dfa61caaed0e5deffd2a5bc1520e66ffbe6a4aafc91368b</t>
        </is>
      </c>
      <c r="G55" s="29" t="inlineStr">
        <is>
          <t>Murillo Bahçeleri'nde mavi-yeşil damalı çinili bank.</t>
        </is>
      </c>
      <c r="H55" s="29" t="inlineStr">
        <is>
          <t>CarlosVdeHabsburgo</t>
        </is>
      </c>
      <c r="I55" s="29" t="inlineStr">
        <is>
          <t>CC BY-SA 4.0</t>
        </is>
      </c>
      <c r="J55" s="29" t="inlineStr">
        <is>
          <t>https://creativecommons.org/licenses/by-sa/4.0/</t>
        </is>
      </c>
      <c r="K55" s="29" t="inlineStr">
        <is>
          <t>https://commons.wikimedia.org/wiki/File:Azulejos_J_de_Murillo.jpg</t>
        </is>
      </c>
      <c r="L55" s="49" t="n">
        <v>42624</v>
      </c>
      <c r="M55" s="49" t="n">
        <v>46320</v>
      </c>
      <c r="N55" s="29" t="inlineStr">
        <is>
          <t>Wikimedia Commons'taki "Azulejos J de Murillo.jpg" (4320×3240 px) özgün dosyasının 1280×960 px küçültülmüş kopyası indirildi; kırpma, rötuş ve renk düzeltmesi yapılmadı. Teslim dosyası: sevilla_jardines-de-murillo_01.jpg (SHA-256 537ad2d11d83).</t>
        </is>
      </c>
      <c r="O55" s="29" t="inlineStr">
        <is>
          <t>sevilla:evidence:jardines-de-murillo-01</t>
        </is>
      </c>
      <c r="P55" s="29" t="inlineStr">
        <is>
          <t>Evet</t>
        </is>
      </c>
      <c r="Q55" s="51" t="n">
        <v>1</v>
      </c>
      <c r="R55" s="29" t="inlineStr">
        <is>
          <t>Taslak</t>
        </is>
      </c>
      <c r="S55" s="52">
        <f>IF(OR(A55="",F55="",C55&lt;&gt;"Mekân"),0,IF(COUNTIFS($F$8:F55,F55,$C$8:C55,"Mekân")=1,1,0))</f>
        <v/>
      </c>
      <c r="T55" s="52">
        <f>IF(OR(A55="",F55="",C55&lt;&gt;"Kapak"),0,IF(COUNTIFS($F$8:F55,F55,$C$8:C55,"Kapak")=1,1,0))</f>
        <v/>
      </c>
    </row>
    <row r="56" ht="54" customHeight="1">
      <c r="A56" s="29" t="inlineStr">
        <is>
          <t>sevilla:photo:jardines-de-murillo-02</t>
        </is>
      </c>
      <c r="B56" s="29" t="inlineStr">
        <is>
          <t>sevilla</t>
        </is>
      </c>
      <c r="C56" s="29" t="inlineStr">
        <is>
          <t>Mekân</t>
        </is>
      </c>
      <c r="D56" s="29" t="inlineStr">
        <is>
          <t>sevilla:jardines-de-murillo</t>
        </is>
      </c>
      <c r="E56" s="29" t="inlineStr">
        <is>
          <t>Fotoğraflar/sevilla_jardines-de-murillo_02.jpg</t>
        </is>
      </c>
      <c r="F56" s="29" t="inlineStr">
        <is>
          <t>f2ce7bfa8a218f2fe629a67c672482dfcd544e25911e93ac27dc558ff40e55bb</t>
        </is>
      </c>
      <c r="G56" s="29" t="inlineStr">
        <is>
          <t>Murillo Bahçeleri'nde ağaçların altında çinili bank.</t>
        </is>
      </c>
      <c r="H56" s="29" t="inlineStr">
        <is>
          <t>CarlosVdeHabsburgo</t>
        </is>
      </c>
      <c r="I56" s="29" t="inlineStr">
        <is>
          <t>CC BY-SA 4.0</t>
        </is>
      </c>
      <c r="J56" s="29" t="inlineStr">
        <is>
          <t>https://creativecommons.org/licenses/by-sa/4.0/</t>
        </is>
      </c>
      <c r="K56" s="29" t="inlineStr">
        <is>
          <t>https://commons.wikimedia.org/wiki/File:Banco_J_Murillo_02.jpg</t>
        </is>
      </c>
      <c r="L56" s="49" t="n">
        <v>42624</v>
      </c>
      <c r="M56" s="49" t="n">
        <v>46320</v>
      </c>
      <c r="N56" s="29" t="inlineStr">
        <is>
          <t>Wikimedia Commons'taki "Banco J Murillo 02.jpg" (4320×3240 px) özgün dosyasının 1280×960 px küçültülmüş kopyası indirildi; kırpma, rötuş ve renk düzeltmesi yapılmadı. Teslim dosyası: sevilla_jardines-de-murillo_02.jpg (SHA-256 f2ce7bfa8a21).</t>
        </is>
      </c>
      <c r="O56" s="29" t="inlineStr">
        <is>
          <t>sevilla:evidence:jardines-de-murillo-02</t>
        </is>
      </c>
      <c r="P56" s="29" t="inlineStr">
        <is>
          <t>Evet</t>
        </is>
      </c>
      <c r="Q56" s="51" t="n">
        <v>2</v>
      </c>
      <c r="R56" s="29" t="inlineStr">
        <is>
          <t>Taslak</t>
        </is>
      </c>
      <c r="S56" s="52">
        <f>IF(OR(A56="",F56="",C56&lt;&gt;"Mekân"),0,IF(COUNTIFS($F$8:F56,F56,$C$8:C56,"Mekân")=1,1,0))</f>
        <v/>
      </c>
      <c r="T56" s="52">
        <f>IF(OR(A56="",F56="",C56&lt;&gt;"Kapak"),0,IF(COUNTIFS($F$8:F56,F56,$C$8:C56,"Kapak")=1,1,0))</f>
        <v/>
      </c>
    </row>
    <row r="57" ht="54" customHeight="1">
      <c r="A57" s="29" t="inlineStr">
        <is>
          <t>sevilla:photo:jardines-de-las-delicias-01</t>
        </is>
      </c>
      <c r="B57" s="29" t="inlineStr">
        <is>
          <t>sevilla</t>
        </is>
      </c>
      <c r="C57" s="29" t="inlineStr">
        <is>
          <t>Mekân</t>
        </is>
      </c>
      <c r="D57" s="29" t="inlineStr">
        <is>
          <t>sevilla:jardines-de-las-delicias</t>
        </is>
      </c>
      <c r="E57" s="29" t="inlineStr">
        <is>
          <t>Fotoğraflar/sevilla_jardines-de-las-delicias_01.jpg</t>
        </is>
      </c>
      <c r="F57" s="29" t="inlineStr">
        <is>
          <t>e469b5f291184d986a1b447e6942903c967bc94b4983f24b3b89a09038cd55d4</t>
        </is>
      </c>
      <c r="G57" s="29" t="inlineStr">
        <is>
          <t>Delicias Bahçeleri'nde ağaçlı geniş toprak yol.</t>
        </is>
      </c>
      <c r="H57" s="29" t="inlineStr">
        <is>
          <t>Chabe01</t>
        </is>
      </c>
      <c r="I57" s="29" t="inlineStr">
        <is>
          <t>CC BY-SA 4.0</t>
        </is>
      </c>
      <c r="J57" s="29" t="inlineStr">
        <is>
          <t>https://creativecommons.org/licenses/by-sa/4.0/</t>
        </is>
      </c>
      <c r="K57" s="29" t="inlineStr">
        <is>
          <t>https://commons.wikimedia.org/wiki/File:Avenida_Libano_-_S%C3%A9ville_(ES61)_-_2023-04-25_-_1.jpg</t>
        </is>
      </c>
      <c r="L57" s="49" t="n">
        <v>45041</v>
      </c>
      <c r="M57" s="49" t="n">
        <v>46320</v>
      </c>
      <c r="N57" s="29" t="inlineStr">
        <is>
          <t>Wikimedia Commons'taki "Avenida Libano - Séville (ES61) - 2023-04-25 - 1.jpg" (4032×3024 px) özgün dosyasının 1280×960 px küçültülmüş kopyası indirildi; kırpma, rötuş ve renk düzeltmesi yapılmadı. Teslim dosyası: sevilla_jardines-de-las-delicias_01.jpg (SHA-256 e469b5f29118).</t>
        </is>
      </c>
      <c r="O57" s="29" t="inlineStr">
        <is>
          <t>sevilla:evidence:jardines-de-las-delicias-01</t>
        </is>
      </c>
      <c r="P57" s="29" t="inlineStr">
        <is>
          <t>Evet</t>
        </is>
      </c>
      <c r="Q57" s="51" t="n">
        <v>1</v>
      </c>
      <c r="R57" s="29" t="inlineStr">
        <is>
          <t>Taslak</t>
        </is>
      </c>
      <c r="S57" s="52">
        <f>IF(OR(A57="",F57="",C57&lt;&gt;"Mekân"),0,IF(COUNTIFS($F$8:F57,F57,$C$8:C57,"Mekân")=1,1,0))</f>
        <v/>
      </c>
      <c r="T57" s="52">
        <f>IF(OR(A57="",F57="",C57&lt;&gt;"Kapak"),0,IF(COUNTIFS($F$8:F57,F57,$C$8:C57,"Kapak")=1,1,0))</f>
        <v/>
      </c>
    </row>
    <row r="58" ht="54" customHeight="1">
      <c r="A58" s="29" t="inlineStr">
        <is>
          <t>sevilla:photo:jardines-de-las-delicias-02</t>
        </is>
      </c>
      <c r="B58" s="29" t="inlineStr">
        <is>
          <t>sevilla</t>
        </is>
      </c>
      <c r="C58" s="29" t="inlineStr">
        <is>
          <t>Mekân</t>
        </is>
      </c>
      <c r="D58" s="29" t="inlineStr">
        <is>
          <t>sevilla:jardines-de-las-delicias</t>
        </is>
      </c>
      <c r="E58" s="29" t="inlineStr">
        <is>
          <t>Fotoğraflar/sevilla_jardines-de-las-delicias_02.jpg</t>
        </is>
      </c>
      <c r="F58" s="29" t="inlineStr">
        <is>
          <t>3dca11ecf5a3e743b82aaad36c88e969aa8db99a50506638350c722076fce115</t>
        </is>
      </c>
      <c r="G58" s="29" t="inlineStr">
        <is>
          <t>Delicias Bahçeleri'nde gölgeli patika ve uçtaki heykeller.</t>
        </is>
      </c>
      <c r="H58" s="29" t="inlineStr">
        <is>
          <t>Chabe01</t>
        </is>
      </c>
      <c r="I58" s="29" t="inlineStr">
        <is>
          <t>CC BY-SA 4.0</t>
        </is>
      </c>
      <c r="J58" s="29" t="inlineStr">
        <is>
          <t>https://creativecommons.org/licenses/by-sa/4.0/</t>
        </is>
      </c>
      <c r="K58" s="29" t="inlineStr">
        <is>
          <t>https://commons.wikimedia.org/wiki/File:Avenida_Libano_-_S%C3%A9ville_(ES61)_-_2023-04-25_-_2.jpg</t>
        </is>
      </c>
      <c r="L58" s="49" t="n">
        <v>45041</v>
      </c>
      <c r="M58" s="49" t="n">
        <v>46320</v>
      </c>
      <c r="N58" s="29" t="inlineStr">
        <is>
          <t>Wikimedia Commons'taki "Avenida Libano - Séville (ES61) - 2023-04-25 - 2.jpg" (4032×3024 px) özgün dosyasının 1280×960 px küçültülmüş kopyası indirildi; kırpma, rötuş ve renk düzeltmesi yapılmadı. Teslim dosyası: sevilla_jardines-de-las-delicias_02.jpg (SHA-256 3dca11ecf5a3).</t>
        </is>
      </c>
      <c r="O58" s="29" t="inlineStr">
        <is>
          <t>sevilla:evidence:jardines-de-las-delicias-02</t>
        </is>
      </c>
      <c r="P58" s="29" t="inlineStr">
        <is>
          <t>Evet</t>
        </is>
      </c>
      <c r="Q58" s="51" t="n">
        <v>2</v>
      </c>
      <c r="R58" s="29" t="inlineStr">
        <is>
          <t>Taslak</t>
        </is>
      </c>
      <c r="S58" s="52">
        <f>IF(OR(A58="",F58="",C58&lt;&gt;"Mekân"),0,IF(COUNTIFS($F$8:F58,F58,$C$8:C58,"Mekân")=1,1,0))</f>
        <v/>
      </c>
      <c r="T58" s="52">
        <f>IF(OR(A58="",F58="",C58&lt;&gt;"Kapak"),0,IF(COUNTIFS($F$8:F58,F58,$C$8:C58,"Kapak")=1,1,0))</f>
        <v/>
      </c>
    </row>
    <row r="59" ht="54" customHeight="1">
      <c r="A59" s="29" t="inlineStr">
        <is>
          <t>sevilla:photo:jardines-de-las-delicias-03</t>
        </is>
      </c>
      <c r="B59" s="29" t="inlineStr">
        <is>
          <t>sevilla</t>
        </is>
      </c>
      <c r="C59" s="29" t="inlineStr">
        <is>
          <t>Mekân</t>
        </is>
      </c>
      <c r="D59" s="29" t="inlineStr">
        <is>
          <t>sevilla:jardines-de-las-delicias</t>
        </is>
      </c>
      <c r="E59" s="29" t="inlineStr">
        <is>
          <t>Fotoğraflar/sevilla_jardines-de-las-delicias_03.jpg</t>
        </is>
      </c>
      <c r="F59" s="29" t="inlineStr">
        <is>
          <t>2f577c4f0f929dda3a320754714efa76e036a88e058e843a83155d5a21edc0ab</t>
        </is>
      </c>
      <c r="G59" s="29" t="inlineStr">
        <is>
          <t>Delicias Bahçeleri'nde bitkiler arasında heykeller ve arkada eski bir bina.</t>
        </is>
      </c>
      <c r="H59" s="29" t="inlineStr">
        <is>
          <t>CarlosVdeHabsburgo</t>
        </is>
      </c>
      <c r="I59" s="29" t="inlineStr">
        <is>
          <t>CC BY-SA 3.0</t>
        </is>
      </c>
      <c r="J59" s="29" t="inlineStr">
        <is>
          <t>https://creativecommons.org/licenses/by-sa/3.0/</t>
        </is>
      </c>
      <c r="K59" s="29" t="inlineStr">
        <is>
          <t>https://commons.wikimedia.org/wiki/File:Edificio_El_Cano_de_Sevilla_desde_los_Jardines_de_las_Delicias.JPG</t>
        </is>
      </c>
      <c r="L59" s="49" t="n"/>
      <c r="M59" s="49" t="n">
        <v>46320</v>
      </c>
      <c r="N59" s="29" t="inlineStr">
        <is>
          <t>Wikimedia Commons'taki "Edificio El Cano de Sevilla desde los Jardines de las Delicias.JPG" (2304×3072 px) özgün dosyasının 1280×1707 px küçültülmüş kopyası indirildi; kırpma, rötuş ve renk düzeltmesi yapılmadı. Teslim dosyası: sevilla_jardines-de-las-delicias_03.jpg (SHA-256 2f577c4f0f92).</t>
        </is>
      </c>
      <c r="O59" s="29" t="inlineStr">
        <is>
          <t>sevilla:evidence:jardines-de-las-delicias-03</t>
        </is>
      </c>
      <c r="P59" s="29" t="inlineStr">
        <is>
          <t>Evet</t>
        </is>
      </c>
      <c r="Q59" s="51" t="n">
        <v>3</v>
      </c>
      <c r="R59" s="29" t="inlineStr">
        <is>
          <t>Taslak</t>
        </is>
      </c>
      <c r="S59" s="52">
        <f>IF(OR(A59="",F59="",C59&lt;&gt;"Mekân"),0,IF(COUNTIFS($F$8:F59,F59,$C$8:C59,"Mekân")=1,1,0))</f>
        <v/>
      </c>
      <c r="T59" s="52">
        <f>IF(OR(A59="",F59="",C59&lt;&gt;"Kapak"),0,IF(COUNTIFS($F$8:F59,F59,$C$8:C59,"Kapak")=1,1,0))</f>
        <v/>
      </c>
    </row>
    <row r="60" ht="54" customHeight="1">
      <c r="A60" s="29" t="inlineStr">
        <is>
          <t>sevilla:photo:paseo-catalina-de-ribera-01</t>
        </is>
      </c>
      <c r="B60" s="29" t="inlineStr">
        <is>
          <t>sevilla</t>
        </is>
      </c>
      <c r="C60" s="29" t="inlineStr">
        <is>
          <t>Mekân</t>
        </is>
      </c>
      <c r="D60" s="29" t="inlineStr">
        <is>
          <t>sevilla:paseo-catalina-de-ribera</t>
        </is>
      </c>
      <c r="E60" s="29" t="inlineStr">
        <is>
          <t>Fotoğraflar/sevilla_paseo-catalina-de-ribera_01.jpg</t>
        </is>
      </c>
      <c r="F60" s="29" t="inlineStr">
        <is>
          <t>ced3438cce54d6063f261f63ac051725392da7f6edbe08ba0ad078d50c2e3582</t>
        </is>
      </c>
      <c r="G60" s="29" t="inlineStr">
        <is>
          <t>Catalina de Ribera gezi yolunda mavi-sarı çinili bank.</t>
        </is>
      </c>
      <c r="H60" s="29" t="inlineStr">
        <is>
          <t>CarlosVdeHabsburgo</t>
        </is>
      </c>
      <c r="I60" s="29" t="inlineStr">
        <is>
          <t>CC BY-SA 4.0</t>
        </is>
      </c>
      <c r="J60" s="29" t="inlineStr">
        <is>
          <t>https://creativecommons.org/licenses/by-sa/4.0/</t>
        </is>
      </c>
      <c r="K60" s="29" t="inlineStr">
        <is>
          <t>https://commons.wikimedia.org/wiki/File:Banco_Paseo_de_Catalina_de_Rivera.jpg</t>
        </is>
      </c>
      <c r="L60" s="49" t="n">
        <v>42624</v>
      </c>
      <c r="M60" s="49" t="n">
        <v>46320</v>
      </c>
      <c r="N60" s="29" t="inlineStr">
        <is>
          <t>Wikimedia Commons'taki "Banco Paseo de Catalina de Rivera.jpg" (4320×3240 px) özgün dosyasının 1280×960 px küçültülmüş kopyası indirildi; kırpma, rötuş ve renk düzeltmesi yapılmadı. Teslim dosyası: sevilla_paseo-catalina-de-ribera_01.jpg (SHA-256 ced3438cce54).</t>
        </is>
      </c>
      <c r="O60" s="29" t="inlineStr">
        <is>
          <t>sevilla:evidence:paseo-catalina-de-ribera-01</t>
        </is>
      </c>
      <c r="P60" s="29" t="inlineStr">
        <is>
          <t>Evet</t>
        </is>
      </c>
      <c r="Q60" s="51" t="n">
        <v>1</v>
      </c>
      <c r="R60" s="29" t="inlineStr">
        <is>
          <t>Taslak</t>
        </is>
      </c>
      <c r="S60" s="52">
        <f>IF(OR(A60="",F60="",C60&lt;&gt;"Mekân"),0,IF(COUNTIFS($F$8:F60,F60,$C$8:C60,"Mekân")=1,1,0))</f>
        <v/>
      </c>
      <c r="T60" s="52">
        <f>IF(OR(A60="",F60="",C60&lt;&gt;"Kapak"),0,IF(COUNTIFS($F$8:F60,F60,$C$8:C60,"Kapak")=1,1,0))</f>
        <v/>
      </c>
    </row>
    <row r="61" ht="54" customHeight="1">
      <c r="A61" s="29" t="inlineStr">
        <is>
          <t>sevilla:photo:paseo-catalina-de-ribera-02</t>
        </is>
      </c>
      <c r="B61" s="29" t="inlineStr">
        <is>
          <t>sevilla</t>
        </is>
      </c>
      <c r="C61" s="29" t="inlineStr">
        <is>
          <t>Mekân</t>
        </is>
      </c>
      <c r="D61" s="29" t="inlineStr">
        <is>
          <t>sevilla:paseo-catalina-de-ribera</t>
        </is>
      </c>
      <c r="E61" s="29" t="inlineStr">
        <is>
          <t>Fotoğraflar/sevilla_paseo-catalina-de-ribera_02.jpg</t>
        </is>
      </c>
      <c r="F61" s="29" t="inlineStr">
        <is>
          <t>13e8b37f244cfc4d6038da1c7513994bc343e35227cda976005682577c8206e4</t>
        </is>
      </c>
      <c r="G61" s="29" t="inlineStr">
        <is>
          <t>Catalina de Ribera gezi yolunda çimenler arasında çinili bank.</t>
        </is>
      </c>
      <c r="H61" s="29" t="inlineStr">
        <is>
          <t>CarlosVdeHabsburgo</t>
        </is>
      </c>
      <c r="I61" s="29" t="inlineStr">
        <is>
          <t>CC BY-SA 4.0</t>
        </is>
      </c>
      <c r="J61" s="29" t="inlineStr">
        <is>
          <t>https://creativecommons.org/licenses/by-sa/4.0/</t>
        </is>
      </c>
      <c r="K61" s="29" t="inlineStr">
        <is>
          <t>https://commons.wikimedia.org/wiki/File:Bancos_Paseo_de_Cat_02.jpg</t>
        </is>
      </c>
      <c r="L61" s="49" t="n">
        <v>42624</v>
      </c>
      <c r="M61" s="49" t="n">
        <v>46320</v>
      </c>
      <c r="N61" s="29" t="inlineStr">
        <is>
          <t>Wikimedia Commons'taki "Bancos Paseo de Cat 02.jpg" (4320×3240 px) özgün dosyasının 1280×960 px küçültülmüş kopyası indirildi; kırpma, rötuş ve renk düzeltmesi yapılmadı. Teslim dosyası: sevilla_paseo-catalina-de-ribera_02.jpg (SHA-256 13e8b37f244c).</t>
        </is>
      </c>
      <c r="O61" s="29" t="inlineStr">
        <is>
          <t>sevilla:evidence:paseo-catalina-de-ribera-02</t>
        </is>
      </c>
      <c r="P61" s="29" t="inlineStr">
        <is>
          <t>Evet</t>
        </is>
      </c>
      <c r="Q61" s="51" t="n">
        <v>2</v>
      </c>
      <c r="R61" s="29" t="inlineStr">
        <is>
          <t>Taslak</t>
        </is>
      </c>
      <c r="S61" s="52">
        <f>IF(OR(A61="",F61="",C61&lt;&gt;"Mekân"),0,IF(COUNTIFS($F$8:F61,F61,$C$8:C61,"Mekân")=1,1,0))</f>
        <v/>
      </c>
      <c r="T61" s="52">
        <f>IF(OR(A61="",F61="",C61&lt;&gt;"Kapak"),0,IF(COUNTIFS($F$8:F61,F61,$C$8:C61,"Kapak")=1,1,0))</f>
        <v/>
      </c>
    </row>
    <row r="62" ht="54" customHeight="1">
      <c r="A62" s="29" t="inlineStr">
        <is>
          <t>sevilla:photo:paseo-catalina-de-ribera-03</t>
        </is>
      </c>
      <c r="B62" s="29" t="inlineStr">
        <is>
          <t>sevilla</t>
        </is>
      </c>
      <c r="C62" s="29" t="inlineStr">
        <is>
          <t>Mekân</t>
        </is>
      </c>
      <c r="D62" s="29" t="inlineStr">
        <is>
          <t>sevilla:paseo-catalina-de-ribera</t>
        </is>
      </c>
      <c r="E62" s="29" t="inlineStr">
        <is>
          <t>Fotoğraflar/sevilla_paseo-catalina-de-ribera_03.jpg</t>
        </is>
      </c>
      <c r="F62" s="29" t="inlineStr">
        <is>
          <t>e7b3a3629dc79ddde6aee48b817642f7a3a25343a95791976ef026989da7f9da</t>
        </is>
      </c>
      <c r="G62" s="29" t="inlineStr">
        <is>
          <t>Catalina de Ribera bahçelerinde palmiyeler ve çiçekli yol.</t>
        </is>
      </c>
      <c r="H62" s="29" t="inlineStr">
        <is>
          <t>Jorge Franganillo</t>
        </is>
      </c>
      <c r="I62" s="29" t="inlineStr">
        <is>
          <t>CC BY 2.0</t>
        </is>
      </c>
      <c r="J62" s="29" t="inlineStr">
        <is>
          <t>https://creativecommons.org/licenses/by/2.0/</t>
        </is>
      </c>
      <c r="K62" s="29" t="inlineStr">
        <is>
          <t>https://commons.wikimedia.org/wiki/File:Jardines_de_Catalina_de_Ribera_(7304011326).jpg</t>
        </is>
      </c>
      <c r="L62" s="49" t="n"/>
      <c r="M62" s="49" t="n">
        <v>46320</v>
      </c>
      <c r="N62" s="29" t="inlineStr">
        <is>
          <t>Wikimedia Commons'taki "Jardines de Catalina de Ribera (7304011326).jpg" (2679×1785 px) özgün dosyasının 1280×853 px küçültülmüş kopyası indirildi; kırpma, rötuş ve renk düzeltmesi yapılmadı. Teslim dosyası: sevilla_paseo-catalina-de-ribera_03.jpg (SHA-256 e7b3a3629dc7).</t>
        </is>
      </c>
      <c r="O62" s="29" t="inlineStr">
        <is>
          <t>sevilla:evidence:paseo-catalina-de-ribera-03</t>
        </is>
      </c>
      <c r="P62" s="29" t="inlineStr">
        <is>
          <t>Evet</t>
        </is>
      </c>
      <c r="Q62" s="51" t="n">
        <v>3</v>
      </c>
      <c r="R62" s="29" t="inlineStr">
        <is>
          <t>Taslak</t>
        </is>
      </c>
      <c r="S62" s="52">
        <f>IF(OR(A62="",F62="",C62&lt;&gt;"Mekân"),0,IF(COUNTIFS($F$8:F62,F62,$C$8:C62,"Mekân")=1,1,0))</f>
        <v/>
      </c>
      <c r="T62" s="52">
        <f>IF(OR(A62="",F62="",C62&lt;&gt;"Kapak"),0,IF(COUNTIFS($F$8:F62,F62,$C$8:C62,"Kapak")=1,1,0))</f>
        <v/>
      </c>
    </row>
    <row r="63" ht="54" customHeight="1">
      <c r="A63" s="29" t="inlineStr">
        <is>
          <t>sevilla:photo:parque-del-alamillo-01</t>
        </is>
      </c>
      <c r="B63" s="29" t="inlineStr">
        <is>
          <t>sevilla</t>
        </is>
      </c>
      <c r="C63" s="29" t="inlineStr">
        <is>
          <t>Mekân</t>
        </is>
      </c>
      <c r="D63" s="29" t="inlineStr">
        <is>
          <t>sevilla:parque-del-alamillo</t>
        </is>
      </c>
      <c r="E63" s="29" t="inlineStr">
        <is>
          <t>Fotoğraflar/sevilla_parque-del-alamillo_01.jpg</t>
        </is>
      </c>
      <c r="F63" s="29" t="inlineStr">
        <is>
          <t>52f28639cc806c69f10ee7b94fec1b9c814026bc9b4285fc676442778b9f6683</t>
        </is>
      </c>
      <c r="G63" s="29" t="inlineStr">
        <is>
          <t>Alamillo Parkı yakınında geniş yol ve uzakta Alamillo Köprüsü'nün direği.</t>
        </is>
      </c>
      <c r="H63" s="29" t="inlineStr">
        <is>
          <t>Pirado</t>
        </is>
      </c>
      <c r="I63" s="29" t="inlineStr">
        <is>
          <t>Public domain</t>
        </is>
      </c>
      <c r="J63" s="29" t="inlineStr">
        <is>
          <t>https://commons.wikimedia.org/wiki/File:Avenida_alamillo.JPG</t>
        </is>
      </c>
      <c r="K63" s="29" t="inlineStr">
        <is>
          <t>https://commons.wikimedia.org/wiki/File:Avenida_alamillo.JPG</t>
        </is>
      </c>
      <c r="L63" s="49" t="n"/>
      <c r="M63" s="49" t="n">
        <v>46320</v>
      </c>
      <c r="N63" s="29" t="inlineStr">
        <is>
          <t>Wikimedia Commons'taki "Avenida alamillo.JPG" (3072×2304 px) özgün dosyasının 1280×960 px küçültülmüş kopyası indirildi; kırpma, rötuş ve renk düzeltmesi yapılmadı. Teslim dosyası: sevilla_parque-del-alamillo_01.jpg (SHA-256 52f28639cc80).</t>
        </is>
      </c>
      <c r="O63" s="29" t="inlineStr">
        <is>
          <t>sevilla:evidence:parque-del-alamillo-01</t>
        </is>
      </c>
      <c r="P63" s="29" t="inlineStr">
        <is>
          <t>Evet</t>
        </is>
      </c>
      <c r="Q63" s="51" t="n">
        <v>1</v>
      </c>
      <c r="R63" s="29" t="inlineStr">
        <is>
          <t>Taslak</t>
        </is>
      </c>
      <c r="S63" s="52">
        <f>IF(OR(A63="",F63="",C63&lt;&gt;"Mekân"),0,IF(COUNTIFS($F$8:F63,F63,$C$8:C63,"Mekân")=1,1,0))</f>
        <v/>
      </c>
      <c r="T63" s="52">
        <f>IF(OR(A63="",F63="",C63&lt;&gt;"Kapak"),0,IF(COUNTIFS($F$8:F63,F63,$C$8:C63,"Kapak")=1,1,0))</f>
        <v/>
      </c>
    </row>
    <row r="64" ht="54" customHeight="1">
      <c r="A64" s="29" t="inlineStr">
        <is>
          <t>sevilla:photo:parque-del-alamillo-02</t>
        </is>
      </c>
      <c r="B64" s="29" t="inlineStr">
        <is>
          <t>sevilla</t>
        </is>
      </c>
      <c r="C64" s="29" t="inlineStr">
        <is>
          <t>Mekân</t>
        </is>
      </c>
      <c r="D64" s="29" t="inlineStr">
        <is>
          <t>sevilla:parque-del-alamillo</t>
        </is>
      </c>
      <c r="E64" s="29" t="inlineStr">
        <is>
          <t>Fotoğraflar/sevilla_parque-del-alamillo_02.jpg</t>
        </is>
      </c>
      <c r="F64" s="29" t="inlineStr">
        <is>
          <t>fcb2b6302a593ff0ce6d174cae7bd5d253641a39cd79382c1669a263748b7b55</t>
        </is>
      </c>
      <c r="G64" s="29" t="inlineStr">
        <is>
          <t>Alamillo Parkı'nda göl ve üzerindeki su kayağı kablosu.</t>
        </is>
      </c>
      <c r="H64" s="29" t="inlineStr">
        <is>
          <t>CarlosVdeHabsburgo</t>
        </is>
      </c>
      <c r="I64" s="29" t="inlineStr">
        <is>
          <t>CC BY-SA 4.0</t>
        </is>
      </c>
      <c r="J64" s="29" t="inlineStr">
        <is>
          <t>https://creativecommons.org/licenses/by-sa/4.0/</t>
        </is>
      </c>
      <c r="K64" s="29" t="inlineStr">
        <is>
          <t>https://commons.wikimedia.org/wiki/File:Cable_esqu%C3%AD.jpg</t>
        </is>
      </c>
      <c r="L64" s="49" t="n">
        <v>45059</v>
      </c>
      <c r="M64" s="49" t="n">
        <v>46320</v>
      </c>
      <c r="N64" s="29" t="inlineStr">
        <is>
          <t>Wikimedia Commons'taki "Cable esquí.jpg" (4096×3072 px) özgün dosyasının 1280×960 px küçültülmüş kopyası indirildi; kırpma, rötuş ve renk düzeltmesi yapılmadı. Teslim dosyası: sevilla_parque-del-alamillo_02.jpg (SHA-256 fcb2b6302a59).</t>
        </is>
      </c>
      <c r="O64" s="29" t="inlineStr">
        <is>
          <t>sevilla:evidence:parque-del-alamillo-02</t>
        </is>
      </c>
      <c r="P64" s="29" t="inlineStr">
        <is>
          <t>Evet</t>
        </is>
      </c>
      <c r="Q64" s="51" t="n">
        <v>2</v>
      </c>
      <c r="R64" s="29" t="inlineStr">
        <is>
          <t>Taslak</t>
        </is>
      </c>
      <c r="S64" s="52">
        <f>IF(OR(A64="",F64="",C64&lt;&gt;"Mekân"),0,IF(COUNTIFS($F$8:F64,F64,$C$8:C64,"Mekân")=1,1,0))</f>
        <v/>
      </c>
      <c r="T64" s="52">
        <f>IF(OR(A64="",F64="",C64&lt;&gt;"Kapak"),0,IF(COUNTIFS($F$8:F64,F64,$C$8:C64,"Kapak")=1,1,0))</f>
        <v/>
      </c>
    </row>
    <row r="65" ht="54" customHeight="1">
      <c r="A65" s="29" t="inlineStr">
        <is>
          <t>sevilla:photo:parque-del-alamillo-03</t>
        </is>
      </c>
      <c r="B65" s="29" t="inlineStr">
        <is>
          <t>sevilla</t>
        </is>
      </c>
      <c r="C65" s="29" t="inlineStr">
        <is>
          <t>Mekân</t>
        </is>
      </c>
      <c r="D65" s="29" t="inlineStr">
        <is>
          <t>sevilla:parque-del-alamillo</t>
        </is>
      </c>
      <c r="E65" s="29" t="inlineStr">
        <is>
          <t>Fotoğraflar/sevilla_parque-del-alamillo_03.jpg</t>
        </is>
      </c>
      <c r="F65" s="29" t="inlineStr">
        <is>
          <t>6d76c4071de08a15425171d43a8304547bb0a5ae891f9a64268686bc7672b724</t>
        </is>
      </c>
      <c r="G65" s="29" t="inlineStr">
        <is>
          <t>Alamillo Parkı'ndaki beyaz badanalı eski çiftlik binası (cortijo).</t>
        </is>
      </c>
      <c r="H65" s="29" t="inlineStr">
        <is>
          <t>CarlosVdeHabsburgo</t>
        </is>
      </c>
      <c r="I65" s="29" t="inlineStr">
        <is>
          <t>CC BY-SA 4.0</t>
        </is>
      </c>
      <c r="J65" s="29" t="inlineStr">
        <is>
          <t>https://creativecommons.org/licenses/by-sa/4.0/</t>
        </is>
      </c>
      <c r="K65" s="29" t="inlineStr">
        <is>
          <t>https://commons.wikimedia.org/wiki/File:Cortijo_del_Alamillo_(Sevilla).jpg</t>
        </is>
      </c>
      <c r="L65" s="49" t="n">
        <v>44828</v>
      </c>
      <c r="M65" s="49" t="n">
        <v>46320</v>
      </c>
      <c r="N65" s="29" t="inlineStr">
        <is>
          <t>Wikimedia Commons'taki "Cortijo del Alamillo (Sevilla).jpg" (4096×3072 px) özgün dosyasının 1280×960 px küçültülmüş kopyası indirildi; kırpma, rötuş ve renk düzeltmesi yapılmadı. Teslim dosyası: sevilla_parque-del-alamillo_03.jpg (SHA-256 6d76c4071de0).</t>
        </is>
      </c>
      <c r="O65" s="29" t="inlineStr">
        <is>
          <t>sevilla:evidence:parque-del-alamillo-03</t>
        </is>
      </c>
      <c r="P65" s="29" t="inlineStr">
        <is>
          <t>Evet</t>
        </is>
      </c>
      <c r="Q65" s="51" t="n">
        <v>3</v>
      </c>
      <c r="R65" s="29" t="inlineStr">
        <is>
          <t>Taslak</t>
        </is>
      </c>
      <c r="S65" s="52">
        <f>IF(OR(A65="",F65="",C65&lt;&gt;"Mekân"),0,IF(COUNTIFS($F$8:F65,F65,$C$8:C65,"Mekân")=1,1,0))</f>
        <v/>
      </c>
      <c r="T65" s="52">
        <f>IF(OR(A65="",F65="",C65&lt;&gt;"Kapak"),0,IF(COUNTIFS($F$8:F65,F65,$C$8:C65,"Kapak")=1,1,0))</f>
        <v/>
      </c>
    </row>
    <row r="66" ht="54" customHeight="1">
      <c r="A66" s="29" t="inlineStr">
        <is>
          <t>sevilla:photo:parque-infanta-elena-01</t>
        </is>
      </c>
      <c r="B66" s="29" t="inlineStr">
        <is>
          <t>sevilla</t>
        </is>
      </c>
      <c r="C66" s="29" t="inlineStr">
        <is>
          <t>Mekân</t>
        </is>
      </c>
      <c r="D66" s="29" t="inlineStr">
        <is>
          <t>sevilla:parque-infanta-elena</t>
        </is>
      </c>
      <c r="E66" s="29" t="inlineStr">
        <is>
          <t>Fotoğraflar/sevilla_parque-infanta-elena_01.jpg</t>
        </is>
      </c>
      <c r="F66" s="29" t="inlineStr">
        <is>
          <t>44cd3e12a0f907c0a515353a274688afb484636b45b005c5c4b5361151198ff5</t>
        </is>
      </c>
      <c r="G66" s="29" t="inlineStr">
        <is>
          <t>Infanta Elena Parkı'nda göl kıyısı ve yapraksız ağaçlar.</t>
        </is>
      </c>
      <c r="H66" s="29" t="inlineStr">
        <is>
          <t>Mromsan</t>
        </is>
      </c>
      <c r="I66" s="29" t="inlineStr">
        <is>
          <t>CC BY-SA 4.0</t>
        </is>
      </c>
      <c r="J66" s="29" t="inlineStr">
        <is>
          <t>https://creativecommons.org/licenses/by-sa/4.0/</t>
        </is>
      </c>
      <c r="K66" s="29" t="inlineStr">
        <is>
          <t>https://commons.wikimedia.org/wiki/File:Parque_Infanta_Elena_(Sevilla)_01.jpg</t>
        </is>
      </c>
      <c r="L66" s="49" t="n">
        <v>43511</v>
      </c>
      <c r="M66" s="49" t="n">
        <v>46320</v>
      </c>
      <c r="N66" s="29" t="inlineStr">
        <is>
          <t>Wikimedia Commons'taki "Parque Infanta Elena (Sevilla) 01.jpg" (3264×2448 px) özgün dosyasının 1280×960 px küçültülmüş kopyası indirildi; kırpma, rötuş ve renk düzeltmesi yapılmadı. Teslim dosyası: sevilla_parque-infanta-elena_01.jpg (SHA-256 44cd3e12a0f9).</t>
        </is>
      </c>
      <c r="O66" s="29" t="inlineStr">
        <is>
          <t>sevilla:evidence:parque-infanta-elena-01</t>
        </is>
      </c>
      <c r="P66" s="29" t="inlineStr">
        <is>
          <t>Evet</t>
        </is>
      </c>
      <c r="Q66" s="51" t="n">
        <v>1</v>
      </c>
      <c r="R66" s="29" t="inlineStr">
        <is>
          <t>Taslak</t>
        </is>
      </c>
      <c r="S66" s="52">
        <f>IF(OR(A66="",F66="",C66&lt;&gt;"Mekân"),0,IF(COUNTIFS($F$8:F66,F66,$C$8:C66,"Mekân")=1,1,0))</f>
        <v/>
      </c>
      <c r="T66" s="52">
        <f>IF(OR(A66="",F66="",C66&lt;&gt;"Kapak"),0,IF(COUNTIFS($F$8:F66,F66,$C$8:C66,"Kapak")=1,1,0))</f>
        <v/>
      </c>
    </row>
    <row r="67" ht="54" customHeight="1">
      <c r="A67" s="29" t="inlineStr">
        <is>
          <t>sevilla:photo:parque-infanta-elena-02</t>
        </is>
      </c>
      <c r="B67" s="29" t="inlineStr">
        <is>
          <t>sevilla</t>
        </is>
      </c>
      <c r="C67" s="29" t="inlineStr">
        <is>
          <t>Mekân</t>
        </is>
      </c>
      <c r="D67" s="29" t="inlineStr">
        <is>
          <t>sevilla:parque-infanta-elena</t>
        </is>
      </c>
      <c r="E67" s="29" t="inlineStr">
        <is>
          <t>Fotoğraflar/sevilla_parque-infanta-elena_02.jpg</t>
        </is>
      </c>
      <c r="F67" s="29" t="inlineStr">
        <is>
          <t>81f83aef8671581bbf5029530bdfc2c6c5b9c642a9f9d3fabde91086777e720a</t>
        </is>
      </c>
      <c r="G67" s="29" t="inlineStr">
        <is>
          <t>Infanta Elena Parkı'nda sazlıklı göl ve fıskiye.</t>
        </is>
      </c>
      <c r="H67" s="29" t="inlineStr">
        <is>
          <t>Mromsan</t>
        </is>
      </c>
      <c r="I67" s="29" t="inlineStr">
        <is>
          <t>CC BY-SA 4.0</t>
        </is>
      </c>
      <c r="J67" s="29" t="inlineStr">
        <is>
          <t>https://creativecommons.org/licenses/by-sa/4.0/</t>
        </is>
      </c>
      <c r="K67" s="29" t="inlineStr">
        <is>
          <t>https://commons.wikimedia.org/wiki/File:Parque_Infanta_Elena_(Sevilla)_03.jpg</t>
        </is>
      </c>
      <c r="L67" s="49" t="n">
        <v>43511</v>
      </c>
      <c r="M67" s="49" t="n">
        <v>46320</v>
      </c>
      <c r="N67" s="29" t="inlineStr">
        <is>
          <t>Wikimedia Commons'taki "Parque Infanta Elena (Sevilla) 03.jpg" (3264×2448 px) özgün dosyasının 1280×960 px küçültülmüş kopyası indirildi; kırpma, rötuş ve renk düzeltmesi yapılmadı. Teslim dosyası: sevilla_parque-infanta-elena_02.jpg (SHA-256 81f83aef8671).</t>
        </is>
      </c>
      <c r="O67" s="29" t="inlineStr">
        <is>
          <t>sevilla:evidence:parque-infanta-elena-02</t>
        </is>
      </c>
      <c r="P67" s="29" t="inlineStr">
        <is>
          <t>Evet</t>
        </is>
      </c>
      <c r="Q67" s="51" t="n">
        <v>2</v>
      </c>
      <c r="R67" s="29" t="inlineStr">
        <is>
          <t>Taslak</t>
        </is>
      </c>
      <c r="S67" s="52">
        <f>IF(OR(A67="",F67="",C67&lt;&gt;"Mekân"),0,IF(COUNTIFS($F$8:F67,F67,$C$8:C67,"Mekân")=1,1,0))</f>
        <v/>
      </c>
      <c r="T67" s="52">
        <f>IF(OR(A67="",F67="",C67&lt;&gt;"Kapak"),0,IF(COUNTIFS($F$8:F67,F67,$C$8:C67,"Kapak")=1,1,0))</f>
        <v/>
      </c>
    </row>
    <row r="68" ht="54" customHeight="1">
      <c r="A68" s="29" t="inlineStr">
        <is>
          <t>sevilla:photo:parque-infanta-elena-03</t>
        </is>
      </c>
      <c r="B68" s="29" t="inlineStr">
        <is>
          <t>sevilla</t>
        </is>
      </c>
      <c r="C68" s="29" t="inlineStr">
        <is>
          <t>Mekân</t>
        </is>
      </c>
      <c r="D68" s="29" t="inlineStr">
        <is>
          <t>sevilla:parque-infanta-elena</t>
        </is>
      </c>
      <c r="E68" s="29" t="inlineStr">
        <is>
          <t>Fotoğraflar/sevilla_parque-infanta-elena_03.jpg</t>
        </is>
      </c>
      <c r="F68" s="29" t="inlineStr">
        <is>
          <t>3de6f1f3fb1d3c2e5712813e4ac880e152c9b0e69d8da24da99c2c36507e4440</t>
        </is>
      </c>
      <c r="G68" s="29" t="inlineStr">
        <is>
          <t>Infanta Elena Parkı'nda ağaçlarla çevrili gölet.</t>
        </is>
      </c>
      <c r="H68" s="29" t="inlineStr">
        <is>
          <t>Mromsan</t>
        </is>
      </c>
      <c r="I68" s="29" t="inlineStr">
        <is>
          <t>CC BY-SA 4.0</t>
        </is>
      </c>
      <c r="J68" s="29" t="inlineStr">
        <is>
          <t>https://creativecommons.org/licenses/by-sa/4.0/</t>
        </is>
      </c>
      <c r="K68" s="29" t="inlineStr">
        <is>
          <t>https://commons.wikimedia.org/wiki/File:Parque_Infanta_Elena_(Sevilla)_04.jpg</t>
        </is>
      </c>
      <c r="L68" s="49" t="n">
        <v>43511</v>
      </c>
      <c r="M68" s="49" t="n">
        <v>46320</v>
      </c>
      <c r="N68" s="29" t="inlineStr">
        <is>
          <t>Wikimedia Commons'taki "Parque Infanta Elena (Sevilla) 04.jpg" (3264×2448 px) özgün dosyasının 1280×960 px küçültülmüş kopyası indirildi; kırpma, rötuş ve renk düzeltmesi yapılmadı. Teslim dosyası: sevilla_parque-infanta-elena_03.jpg (SHA-256 3de6f1f3fb1d).</t>
        </is>
      </c>
      <c r="O68" s="29" t="inlineStr">
        <is>
          <t>sevilla:evidence:parque-infanta-elena-03</t>
        </is>
      </c>
      <c r="P68" s="29" t="inlineStr">
        <is>
          <t>Evet</t>
        </is>
      </c>
      <c r="Q68" s="51" t="n">
        <v>3</v>
      </c>
      <c r="R68" s="29" t="inlineStr">
        <is>
          <t>Taslak</t>
        </is>
      </c>
      <c r="S68" s="52">
        <f>IF(OR(A68="",F68="",C68&lt;&gt;"Mekân"),0,IF(COUNTIFS($F$8:F68,F68,$C$8:C68,"Mekân")=1,1,0))</f>
        <v/>
      </c>
      <c r="T68" s="52">
        <f>IF(OR(A68="",F68="",C68&lt;&gt;"Kapak"),0,IF(COUNTIFS($F$8:F68,F68,$C$8:C68,"Kapak")=1,1,0))</f>
        <v/>
      </c>
    </row>
    <row r="69" ht="54" customHeight="1">
      <c r="A69" s="29" t="inlineStr">
        <is>
          <t>sevilla:photo:alameda-de-hercules-01</t>
        </is>
      </c>
      <c r="B69" s="29" t="inlineStr">
        <is>
          <t>sevilla</t>
        </is>
      </c>
      <c r="C69" s="29" t="inlineStr">
        <is>
          <t>Mekân</t>
        </is>
      </c>
      <c r="D69" s="29" t="inlineStr">
        <is>
          <t>sevilla:alameda-de-hercules</t>
        </is>
      </c>
      <c r="E69" s="29" t="inlineStr">
        <is>
          <t>Fotoğraflar/sevilla_alameda-de-hercules_01.jpg</t>
        </is>
      </c>
      <c r="F69" s="29" t="inlineStr">
        <is>
          <t>91aec40458df83f8dca447c16aafe6ef8f63f44ebb3a9a0479c75240b724c70b</t>
        </is>
      </c>
      <c r="G69" s="29" t="inlineStr">
        <is>
          <t>Alameda de Hércules'te ağaçlı geniş taş meydan.</t>
        </is>
      </c>
      <c r="H69" s="29" t="inlineStr">
        <is>
          <t>Anual</t>
        </is>
      </c>
      <c r="I69" s="29" t="inlineStr">
        <is>
          <t>CC BY-SA 4.0</t>
        </is>
      </c>
      <c r="J69" s="29" t="inlineStr">
        <is>
          <t>https://creativecommons.org/licenses/by-sa/4.0/</t>
        </is>
      </c>
      <c r="K69" s="29" t="inlineStr">
        <is>
          <t>https://commons.wikimedia.org/wiki/File:20110422_0917_alameda_hercules.jpg</t>
        </is>
      </c>
      <c r="L69" s="49" t="n">
        <v>40655</v>
      </c>
      <c r="M69" s="49" t="n">
        <v>46320</v>
      </c>
      <c r="N69" s="29" t="inlineStr">
        <is>
          <t>Wikimedia Commons'taki "20110422 0917 alameda hercules.jpg" (3872×2592 px) özgün dosyasının 1280×857 px küçültülmüş kopyası indirildi; kırpma, rötuş ve renk düzeltmesi yapılmadı. Teslim dosyası: sevilla_alameda-de-hercules_01.jpg (SHA-256 91aec40458df).</t>
        </is>
      </c>
      <c r="O69" s="29" t="inlineStr">
        <is>
          <t>sevilla:evidence:alameda-de-hercules-01</t>
        </is>
      </c>
      <c r="P69" s="29" t="inlineStr">
        <is>
          <t>Evet</t>
        </is>
      </c>
      <c r="Q69" s="51" t="n">
        <v>1</v>
      </c>
      <c r="R69" s="29" t="inlineStr">
        <is>
          <t>Taslak</t>
        </is>
      </c>
      <c r="S69" s="52">
        <f>IF(OR(A69="",F69="",C69&lt;&gt;"Mekân"),0,IF(COUNTIFS($F$8:F69,F69,$C$8:C69,"Mekân")=1,1,0))</f>
        <v/>
      </c>
      <c r="T69" s="52">
        <f>IF(OR(A69="",F69="",C69&lt;&gt;"Kapak"),0,IF(COUNTIFS($F$8:F69,F69,$C$8:C69,"Kapak")=1,1,0))</f>
        <v/>
      </c>
    </row>
    <row r="70" ht="54" customHeight="1">
      <c r="A70" s="29" t="inlineStr">
        <is>
          <t>sevilla:photo:alameda-de-hercules-02</t>
        </is>
      </c>
      <c r="B70" s="29" t="inlineStr">
        <is>
          <t>sevilla</t>
        </is>
      </c>
      <c r="C70" s="29" t="inlineStr">
        <is>
          <t>Mekân</t>
        </is>
      </c>
      <c r="D70" s="29" t="inlineStr">
        <is>
          <t>sevilla:alameda-de-hercules</t>
        </is>
      </c>
      <c r="E70" s="29" t="inlineStr">
        <is>
          <t>Fotoğraflar/sevilla_alameda-de-hercules_02.jpg</t>
        </is>
      </c>
      <c r="F70" s="29" t="inlineStr">
        <is>
          <t>f0d69c26993dfa07e671917e2607329a20873b7d44b368ea288904370731f868</t>
        </is>
      </c>
      <c r="G70" s="29" t="inlineStr">
        <is>
          <t>Alameda de Hércules'te ağaç gölgesinde meydan ve kafeler.</t>
        </is>
      </c>
      <c r="H70" s="29" t="inlineStr">
        <is>
          <t>Chabe01</t>
        </is>
      </c>
      <c r="I70" s="29" t="inlineStr">
        <is>
          <t>CC BY-SA 4.0</t>
        </is>
      </c>
      <c r="J70" s="29" t="inlineStr">
        <is>
          <t>https://creativecommons.org/licenses/by-sa/4.0/</t>
        </is>
      </c>
      <c r="K70" s="29" t="inlineStr">
        <is>
          <t>https://commons.wikimedia.org/wiki/File:Alameda_H%C3%A9rcules_-_S%C3%A9ville_(ES-SE)_-_2023-04-24_-_1.jpg</t>
        </is>
      </c>
      <c r="L70" s="49" t="n">
        <v>45040</v>
      </c>
      <c r="M70" s="49" t="n">
        <v>46320</v>
      </c>
      <c r="N70" s="29" t="inlineStr">
        <is>
          <t>Wikimedia Commons'taki "Alameda Hércules - Séville (ES-SE) - 2023-04-24 - 1.jpg" (4032×3024 px) özgün dosyasının 1280×960 px küçültülmüş kopyası indirildi; kırpma, rötuş ve renk düzeltmesi yapılmadı. Teslim dosyası: sevilla_alameda-de-hercules_02.jpg (SHA-256 f0d69c26993d).</t>
        </is>
      </c>
      <c r="O70" s="29" t="inlineStr">
        <is>
          <t>sevilla:evidence:alameda-de-hercules-02</t>
        </is>
      </c>
      <c r="P70" s="29" t="inlineStr">
        <is>
          <t>Evet</t>
        </is>
      </c>
      <c r="Q70" s="51" t="n">
        <v>2</v>
      </c>
      <c r="R70" s="29" t="inlineStr">
        <is>
          <t>Taslak</t>
        </is>
      </c>
      <c r="S70" s="52">
        <f>IF(OR(A70="",F70="",C70&lt;&gt;"Mekân"),0,IF(COUNTIFS($F$8:F70,F70,$C$8:C70,"Mekân")=1,1,0))</f>
        <v/>
      </c>
      <c r="T70" s="52">
        <f>IF(OR(A70="",F70="",C70&lt;&gt;"Kapak"),0,IF(COUNTIFS($F$8:F70,F70,$C$8:C70,"Kapak")=1,1,0))</f>
        <v/>
      </c>
    </row>
    <row r="71" ht="54" customHeight="1">
      <c r="A71" s="29" t="inlineStr">
        <is>
          <t>sevilla:photo:alameda-de-hercules-03</t>
        </is>
      </c>
      <c r="B71" s="29" t="inlineStr">
        <is>
          <t>sevilla</t>
        </is>
      </c>
      <c r="C71" s="29" t="inlineStr">
        <is>
          <t>Mekân</t>
        </is>
      </c>
      <c r="D71" s="29" t="inlineStr">
        <is>
          <t>sevilla:alameda-de-hercules</t>
        </is>
      </c>
      <c r="E71" s="29" t="inlineStr">
        <is>
          <t>Fotoğraflar/sevilla_alameda-de-hercules_03.jpg</t>
        </is>
      </c>
      <c r="F71" s="29" t="inlineStr">
        <is>
          <t>09863d54f9e23b273473d3f0945afe12ce1aa0fc234e02e3d60892b1489b3a1c</t>
        </is>
      </c>
      <c r="G71" s="29" t="inlineStr">
        <is>
          <t>Alameda de Hércules'te zemin fıskiyeleri ve oynayan çocuklar.</t>
        </is>
      </c>
      <c r="H71" s="29" t="inlineStr">
        <is>
          <t>Gzzz</t>
        </is>
      </c>
      <c r="I71" s="29" t="inlineStr">
        <is>
          <t>CC BY-SA 3.0</t>
        </is>
      </c>
      <c r="J71" s="29" t="inlineStr">
        <is>
          <t>https://creativecommons.org/licenses/by-sa/3.0/</t>
        </is>
      </c>
      <c r="K71" s="29" t="inlineStr">
        <is>
          <t>https://commons.wikimedia.org/wiki/File:Alameda_de_Hercules_Sevilla_1.JPG</t>
        </is>
      </c>
      <c r="L71" s="49" t="n">
        <v>40104</v>
      </c>
      <c r="M71" s="49" t="n">
        <v>46320</v>
      </c>
      <c r="N71" s="29" t="inlineStr">
        <is>
          <t>Wikimedia Commons'taki "Alameda de Hercules Sevilla 1.JPG" (3264×2448 px) özgün dosyasının 1280×960 px küçültülmüş kopyası indirildi; kırpma, rötuş ve renk düzeltmesi yapılmadı. Teslim dosyası: sevilla_alameda-de-hercules_03.jpg (SHA-256 09863d54f9e2).</t>
        </is>
      </c>
      <c r="O71" s="29" t="inlineStr">
        <is>
          <t>sevilla:evidence:alameda-de-hercules-03</t>
        </is>
      </c>
      <c r="P71" s="29" t="inlineStr">
        <is>
          <t>Evet</t>
        </is>
      </c>
      <c r="Q71" s="51" t="n">
        <v>3</v>
      </c>
      <c r="R71" s="29" t="inlineStr">
        <is>
          <t>Taslak</t>
        </is>
      </c>
      <c r="S71" s="52">
        <f>IF(OR(A71="",F71="",C71&lt;&gt;"Mekân"),0,IF(COUNTIFS($F$8:F71,F71,$C$8:C71,"Mekân")=1,1,0))</f>
        <v/>
      </c>
      <c r="T71" s="52">
        <f>IF(OR(A71="",F71="",C71&lt;&gt;"Kapak"),0,IF(COUNTIFS($F$8:F71,F71,$C$8:C71,"Kapak")=1,1,0))</f>
        <v/>
      </c>
    </row>
    <row r="72" ht="54" customHeight="1">
      <c r="A72" s="29" t="inlineStr">
        <is>
          <t>sevilla:photo:real-alcazar-jardines-01</t>
        </is>
      </c>
      <c r="B72" s="29" t="inlineStr">
        <is>
          <t>sevilla</t>
        </is>
      </c>
      <c r="C72" s="29" t="inlineStr">
        <is>
          <t>Mekân</t>
        </is>
      </c>
      <c r="D72" s="29" t="inlineStr">
        <is>
          <t>sevilla:real-alcazar-jardines</t>
        </is>
      </c>
      <c r="E72" s="29" t="inlineStr">
        <is>
          <t>Fotoğraflar/sevilla_real-alcazar-jardines_01.jpg</t>
        </is>
      </c>
      <c r="F72" s="29" t="inlineStr">
        <is>
          <t>6ba8e8770cdc0d896ebfa337d461a79b6edd68add6c29eefc4658132f59a4dff</t>
        </is>
      </c>
      <c r="G72" s="29" t="inlineStr">
        <is>
          <t>Alcázar Bahçeleri'nde sarmaşıklı kemerin altından inen basamaklar.</t>
        </is>
      </c>
      <c r="H72" s="29" t="inlineStr">
        <is>
          <t>Holger Uwe Schmitt</t>
        </is>
      </c>
      <c r="I72" s="29" t="inlineStr">
        <is>
          <t>CC BY-SA 4.0</t>
        </is>
      </c>
      <c r="J72" s="29" t="inlineStr">
        <is>
          <t>https://creativecommons.org/licenses/by-sa/4.0/</t>
        </is>
      </c>
      <c r="K72" s="29" t="inlineStr">
        <is>
          <t>https://commons.wikimedia.org/wiki/File:%22Ein_Ort_der_Ruhe_und_Sch%C3%B6nheit%22._01.jpg</t>
        </is>
      </c>
      <c r="L72" s="49" t="n">
        <v>45582</v>
      </c>
      <c r="M72" s="49" t="n">
        <v>46320</v>
      </c>
      <c r="N72" s="29" t="inlineStr">
        <is>
          <t>Wikimedia Commons'taki ""Ein Ort der Ruhe und Schönheit". 01.jpg" (7226×4820 px) özgün dosyasının 1280×854 px küçültülmüş kopyası indirildi; kırpma, rötuş ve renk düzeltmesi yapılmadı. Teslim dosyası: sevilla_real-alcazar-jardines_01.jpg (SHA-256 6ba8e8770cdc).</t>
        </is>
      </c>
      <c r="O72" s="29" t="inlineStr">
        <is>
          <t>sevilla:evidence:real-alcazar-jardines-01</t>
        </is>
      </c>
      <c r="P72" s="29" t="inlineStr">
        <is>
          <t>Evet</t>
        </is>
      </c>
      <c r="Q72" s="51" t="n">
        <v>1</v>
      </c>
      <c r="R72" s="29" t="inlineStr">
        <is>
          <t>Taslak</t>
        </is>
      </c>
      <c r="S72" s="52">
        <f>IF(OR(A72="",F72="",C72&lt;&gt;"Mekân"),0,IF(COUNTIFS($F$8:F72,F72,$C$8:C72,"Mekân")=1,1,0))</f>
        <v/>
      </c>
      <c r="T72" s="52">
        <f>IF(OR(A72="",F72="",C72&lt;&gt;"Kapak"),0,IF(COUNTIFS($F$8:F72,F72,$C$8:C72,"Kapak")=1,1,0))</f>
        <v/>
      </c>
    </row>
    <row r="73" ht="54" customHeight="1">
      <c r="A73" s="29" t="inlineStr">
        <is>
          <t>sevilla:photo:real-alcazar-jardines-02</t>
        </is>
      </c>
      <c r="B73" s="29" t="inlineStr">
        <is>
          <t>sevilla</t>
        </is>
      </c>
      <c r="C73" s="29" t="inlineStr">
        <is>
          <t>Mekân</t>
        </is>
      </c>
      <c r="D73" s="29" t="inlineStr">
        <is>
          <t>sevilla:real-alcazar-jardines</t>
        </is>
      </c>
      <c r="E73" s="29" t="inlineStr">
        <is>
          <t>Fotoğraflar/sevilla_real-alcazar-jardines_02.jpg</t>
        </is>
      </c>
      <c r="F73" s="29" t="inlineStr">
        <is>
          <t>fda80cf62ff0d977b926c575cec723b7aa1a7c1992aea1b5842a4fd9b2e249ae</t>
        </is>
      </c>
      <c r="G73" s="29" t="inlineStr">
        <is>
          <t>Alcázar Bahçeleri'nde kemer biçiminde budanmış servi çiti.</t>
        </is>
      </c>
      <c r="H73" s="29" t="inlineStr">
        <is>
          <t>Holger Uwe Schmitt</t>
        </is>
      </c>
      <c r="I73" s="29" t="inlineStr">
        <is>
          <t>CC BY-SA 4.0</t>
        </is>
      </c>
      <c r="J73" s="29" t="inlineStr">
        <is>
          <t>https://creativecommons.org/licenses/by-sa/4.0/</t>
        </is>
      </c>
      <c r="K73" s="29" t="inlineStr">
        <is>
          <t>https://commons.wikimedia.org/wiki/File:%22Ein_Ort_der_Ruhe_und_Sch%C3%B6nheit%22._02.jpg</t>
        </is>
      </c>
      <c r="L73" s="49" t="n">
        <v>45582</v>
      </c>
      <c r="M73" s="49" t="n">
        <v>46320</v>
      </c>
      <c r="N73" s="29" t="inlineStr">
        <is>
          <t>Wikimedia Commons'taki ""Ein Ort der Ruhe und Schönheit". 02.jpg" (3465×6123 px) özgün dosyasının 1280×2262 px küçültülmüş kopyası indirildi; kırpma, rötuş ve renk düzeltmesi yapılmadı. Teslim dosyası: sevilla_real-alcazar-jardines_02.jpg (SHA-256 fda80cf62ff0).</t>
        </is>
      </c>
      <c r="O73" s="29" t="inlineStr">
        <is>
          <t>sevilla:evidence:real-alcazar-jardines-02</t>
        </is>
      </c>
      <c r="P73" s="29" t="inlineStr">
        <is>
          <t>Evet</t>
        </is>
      </c>
      <c r="Q73" s="51" t="n">
        <v>2</v>
      </c>
      <c r="R73" s="29" t="inlineStr">
        <is>
          <t>Taslak</t>
        </is>
      </c>
      <c r="S73" s="52">
        <f>IF(OR(A73="",F73="",C73&lt;&gt;"Mekân"),0,IF(COUNTIFS($F$8:F73,F73,$C$8:C73,"Mekân")=1,1,0))</f>
        <v/>
      </c>
      <c r="T73" s="52">
        <f>IF(OR(A73="",F73="",C73&lt;&gt;"Kapak"),0,IF(COUNTIFS($F$8:F73,F73,$C$8:C73,"Kapak")=1,1,0))</f>
        <v/>
      </c>
    </row>
    <row r="74" ht="54" customHeight="1">
      <c r="A74" s="29" t="inlineStr">
        <is>
          <t>sevilla:photo:real-alcazar-jardines-03</t>
        </is>
      </c>
      <c r="B74" s="29" t="inlineStr">
        <is>
          <t>sevilla</t>
        </is>
      </c>
      <c r="C74" s="29" t="inlineStr">
        <is>
          <t>Mekân</t>
        </is>
      </c>
      <c r="D74" s="29" t="inlineStr">
        <is>
          <t>sevilla:real-alcazar-jardines</t>
        </is>
      </c>
      <c r="E74" s="29" t="inlineStr">
        <is>
          <t>Fotoğraflar/sevilla_real-alcazar-jardines_03.jpg</t>
        </is>
      </c>
      <c r="F74" s="29" t="inlineStr">
        <is>
          <t>0350be77f4aa917c3059861d32dbe81539579eb2e73a3124214d6bf682623ef7</t>
        </is>
      </c>
      <c r="G74" s="29" t="inlineStr">
        <is>
          <t>Alcázar Bahçeleri'nde çinili havuz, ağaçlar ve arkada köşk.</t>
        </is>
      </c>
      <c r="H74" s="29" t="inlineStr">
        <is>
          <t>Holger Uwe Schmitt</t>
        </is>
      </c>
      <c r="I74" s="29" t="inlineStr">
        <is>
          <t>CC BY-SA 4.0</t>
        </is>
      </c>
      <c r="J74" s="29" t="inlineStr">
        <is>
          <t>https://creativecommons.org/licenses/by-sa/4.0/</t>
        </is>
      </c>
      <c r="K74" s="29" t="inlineStr">
        <is>
          <t>https://commons.wikimedia.org/wiki/File:%22Ein_Ort_der_Ruhe_und_Sch%C3%B6nheit%22._03.jpg</t>
        </is>
      </c>
      <c r="L74" s="49" t="n">
        <v>45582</v>
      </c>
      <c r="M74" s="49" t="n">
        <v>46320</v>
      </c>
      <c r="N74" s="29" t="inlineStr">
        <is>
          <t>Wikimedia Commons'taki ""Ein Ort der Ruhe und Schönheit". 03.jpg" (5419×4459 px) özgün dosyasının 1280×1053 px küçültülmüş kopyası indirildi; kırpma, rötuş ve renk düzeltmesi yapılmadı. Teslim dosyası: sevilla_real-alcazar-jardines_03.jpg (SHA-256 0350be77f4aa).</t>
        </is>
      </c>
      <c r="O74" s="29" t="inlineStr">
        <is>
          <t>sevilla:evidence:real-alcazar-jardines-03</t>
        </is>
      </c>
      <c r="P74" s="29" t="inlineStr">
        <is>
          <t>Evet</t>
        </is>
      </c>
      <c r="Q74" s="51" t="n">
        <v>3</v>
      </c>
      <c r="R74" s="29" t="inlineStr">
        <is>
          <t>Taslak</t>
        </is>
      </c>
      <c r="S74" s="52">
        <f>IF(OR(A74="",F74="",C74&lt;&gt;"Mekân"),0,IF(COUNTIFS($F$8:F74,F74,$C$8:C74,"Mekân")=1,1,0))</f>
        <v/>
      </c>
      <c r="T74" s="52">
        <f>IF(OR(A74="",F74="",C74&lt;&gt;"Kapak"),0,IF(COUNTIFS($F$8:F74,F74,$C$8:C74,"Kapak")=1,1,0))</f>
        <v/>
      </c>
    </row>
    <row r="75" ht="54" customHeight="1">
      <c r="A75" s="29" t="inlineStr">
        <is>
          <t>sevilla:photo:museo-de-bellas-artes-de-sevilla-01</t>
        </is>
      </c>
      <c r="B75" s="29" t="inlineStr">
        <is>
          <t>sevilla</t>
        </is>
      </c>
      <c r="C75" s="29" t="inlineStr">
        <is>
          <t>Mekân</t>
        </is>
      </c>
      <c r="D75" s="29" t="inlineStr">
        <is>
          <t>sevilla:museo-de-bellas-artes-de-sevilla</t>
        </is>
      </c>
      <c r="E75" s="29" t="inlineStr">
        <is>
          <t>Fotoğraflar/sevilla_museo-de-bellas-artes-de-sevilla_01.jpg</t>
        </is>
      </c>
      <c r="F75" s="29" t="inlineStr">
        <is>
          <t>90a0d0f54cbdb3e6fad316c852058175caa953d07bb50711224db21fe3d49090</t>
        </is>
      </c>
      <c r="G75" s="29" t="inlineStr">
        <is>
          <t>Güzel Sanatlar Müzesi'nde tavanı süslemeli, tablolarla dolu salon.</t>
        </is>
      </c>
      <c r="H75" s="29" t="inlineStr">
        <is>
          <t>Tirithel</t>
        </is>
      </c>
      <c r="I75" s="29" t="inlineStr">
        <is>
          <t>CC BY-SA 3.0</t>
        </is>
      </c>
      <c r="J75" s="29" t="inlineStr">
        <is>
          <t>https://creativecommons.org/licenses/by-sa/3.0/</t>
        </is>
      </c>
      <c r="K75" s="29" t="inlineStr">
        <is>
          <t>https://commons.wikimedia.org/wiki/File:Museo_Bellas_Artes_Sevilla_20120728.jpg</t>
        </is>
      </c>
      <c r="L75" s="49" t="n">
        <v>41118</v>
      </c>
      <c r="M75" s="49" t="n">
        <v>46320</v>
      </c>
      <c r="N75" s="29" t="inlineStr">
        <is>
          <t>Wikimedia Commons'taki "Museo Bellas Artes Sevilla 20120728.jpg" (3000×4000 px) özgün dosyasının 1280×1707 px küçültülmüş kopyası indirildi; kırpma, rötuş ve renk düzeltmesi yapılmadı. Teslim dosyası: sevilla_museo-de-bellas-artes-de-sevilla_01.jpg (SHA-256 90a0d0f54cbd).</t>
        </is>
      </c>
      <c r="O75" s="29" t="inlineStr">
        <is>
          <t>sevilla:evidence:museo-de-bellas-artes-de-sevilla-01</t>
        </is>
      </c>
      <c r="P75" s="29" t="inlineStr">
        <is>
          <t>Evet</t>
        </is>
      </c>
      <c r="Q75" s="51" t="n">
        <v>1</v>
      </c>
      <c r="R75" s="29" t="inlineStr">
        <is>
          <t>Taslak</t>
        </is>
      </c>
      <c r="S75" s="52">
        <f>IF(OR(A75="",F75="",C75&lt;&gt;"Mekân"),0,IF(COUNTIFS($F$8:F75,F75,$C$8:C75,"Mekân")=1,1,0))</f>
        <v/>
      </c>
      <c r="T75" s="52">
        <f>IF(OR(A75="",F75="",C75&lt;&gt;"Kapak"),0,IF(COUNTIFS($F$8:F75,F75,$C$8:C75,"Kapak")=1,1,0))</f>
        <v/>
      </c>
    </row>
    <row r="76" ht="54" customHeight="1">
      <c r="A76" s="29" t="inlineStr">
        <is>
          <t>sevilla:photo:museo-de-bellas-artes-de-sevilla-02</t>
        </is>
      </c>
      <c r="B76" s="29" t="inlineStr">
        <is>
          <t>sevilla</t>
        </is>
      </c>
      <c r="C76" s="29" t="inlineStr">
        <is>
          <t>Mekân</t>
        </is>
      </c>
      <c r="D76" s="29" t="inlineStr">
        <is>
          <t>sevilla:museo-de-bellas-artes-de-sevilla</t>
        </is>
      </c>
      <c r="E76" s="29" t="inlineStr">
        <is>
          <t>Fotoğraflar/sevilla_museo-de-bellas-artes-de-sevilla_02.jpg</t>
        </is>
      </c>
      <c r="F76" s="29" t="inlineStr">
        <is>
          <t>40d390be27b0f1c7d7c7e69ca0f7194daf0cdf7e9be22132199fd13ece9bc46e</t>
        </is>
      </c>
      <c r="G76" s="29" t="inlineStr">
        <is>
          <t>Güzel Sanatlar Müzesi'nin kemerli iç avlusu.</t>
        </is>
      </c>
      <c r="H76" s="29" t="inlineStr">
        <is>
          <t>José Luis Filpo Cabana</t>
        </is>
      </c>
      <c r="I76" s="29" t="inlineStr">
        <is>
          <t>CC BY 3.0</t>
        </is>
      </c>
      <c r="J76" s="29" t="inlineStr">
        <is>
          <t>https://creativecommons.org/licenses/by/3.0/</t>
        </is>
      </c>
      <c r="K76" s="29" t="inlineStr">
        <is>
          <t>https://commons.wikimedia.org/wiki/File:Museo_de_Bellas_Artes,_Sevilla._Patio.jpg</t>
        </is>
      </c>
      <c r="L76" s="49" t="n"/>
      <c r="M76" s="49" t="n">
        <v>46320</v>
      </c>
      <c r="N76" s="29" t="inlineStr">
        <is>
          <t>Wikimedia Commons'taki "Museo de Bellas Artes, Sevilla. Patio.jpg" (2736×3648 px) özgün dosyasının 1280×1707 px küçültülmüş kopyası indirildi; kırpma, rötuş ve renk düzeltmesi yapılmadı. Teslim dosyası: sevilla_museo-de-bellas-artes-de-sevilla_02.jpg (SHA-256 40d390be27b0).</t>
        </is>
      </c>
      <c r="O76" s="29" t="inlineStr">
        <is>
          <t>sevilla:evidence:museo-de-bellas-artes-de-sevilla-02</t>
        </is>
      </c>
      <c r="P76" s="29" t="inlineStr">
        <is>
          <t>Evet</t>
        </is>
      </c>
      <c r="Q76" s="51" t="n">
        <v>2</v>
      </c>
      <c r="R76" s="29" t="inlineStr">
        <is>
          <t>Taslak</t>
        </is>
      </c>
      <c r="S76" s="52">
        <f>IF(OR(A76="",F76="",C76&lt;&gt;"Mekân"),0,IF(COUNTIFS($F$8:F76,F76,$C$8:C76,"Mekân")=1,1,0))</f>
        <v/>
      </c>
      <c r="T76" s="52">
        <f>IF(OR(A76="",F76="",C76&lt;&gt;"Kapak"),0,IF(COUNTIFS($F$8:F76,F76,$C$8:C76,"Kapak")=1,1,0))</f>
        <v/>
      </c>
    </row>
    <row r="77" ht="54" customHeight="1">
      <c r="A77" s="29" t="inlineStr">
        <is>
          <t>sevilla:photo:museo-de-artes-y-costumbres-populares-01</t>
        </is>
      </c>
      <c r="B77" s="29" t="inlineStr">
        <is>
          <t>sevilla</t>
        </is>
      </c>
      <c r="C77" s="29" t="inlineStr">
        <is>
          <t>Mekân</t>
        </is>
      </c>
      <c r="D77" s="29" t="inlineStr">
        <is>
          <t>sevilla:museo-de-artes-y-costumbres-populares</t>
        </is>
      </c>
      <c r="E77" s="29" t="inlineStr">
        <is>
          <t>Fotoğraflar/sevilla_museo-de-artes-y-costumbres-populares_01.jpg</t>
        </is>
      </c>
      <c r="F77" s="29" t="inlineStr">
        <is>
          <t>df089636b68c419ca918b441bbfd493250e779bd50e704926f724483162dc865</t>
        </is>
      </c>
      <c r="G77" s="29" t="inlineStr">
        <is>
          <t>Halk Sanatları ve Gelenekleri Müzesi'nin bulunduğu çini süslemeli Mudéjar köşkü.</t>
        </is>
      </c>
      <c r="H77" s="29" t="inlineStr">
        <is>
          <t>Alberto-g-rovi</t>
        </is>
      </c>
      <c r="I77" s="29" t="inlineStr">
        <is>
          <t>CC BY 4.0</t>
        </is>
      </c>
      <c r="J77" s="29" t="inlineStr">
        <is>
          <t>https://creativecommons.org/licenses/by/4.0/</t>
        </is>
      </c>
      <c r="K77" s="29" t="inlineStr">
        <is>
          <t>https://commons.wikimedia.org/wiki/File:Museo_de_Artes_y_Costumbres_Populares_de_Sevilla_(1).jpg</t>
        </is>
      </c>
      <c r="L77" s="49" t="n">
        <v>45918</v>
      </c>
      <c r="M77" s="49" t="n">
        <v>46320</v>
      </c>
      <c r="N77" s="29" t="inlineStr">
        <is>
          <t>Wikimedia Commons'taki "Museo de Artes y Costumbres Populares de Sevilla (1).jpg" (4912×7360 px) özgün dosyasının 1280×1918 px küçültülmüş kopyası indirildi; kırpma, rötuş ve renk düzeltmesi yapılmadı. Teslim dosyası: sevilla_museo-de-artes-y-costumbres-populares_01.jpg (SHA-256 df089636b68c).</t>
        </is>
      </c>
      <c r="O77" s="29" t="inlineStr">
        <is>
          <t>sevilla:evidence:museo-de-artes-y-costumbres-populares-01</t>
        </is>
      </c>
      <c r="P77" s="29" t="inlineStr">
        <is>
          <t>Evet</t>
        </is>
      </c>
      <c r="Q77" s="51" t="n">
        <v>1</v>
      </c>
      <c r="R77" s="29" t="inlineStr">
        <is>
          <t>Taslak</t>
        </is>
      </c>
      <c r="S77" s="52">
        <f>IF(OR(A77="",F77="",C77&lt;&gt;"Mekân"),0,IF(COUNTIFS($F$8:F77,F77,$C$8:C77,"Mekân")=1,1,0))</f>
        <v/>
      </c>
      <c r="T77" s="52">
        <f>IF(OR(A77="",F77="",C77&lt;&gt;"Kapak"),0,IF(COUNTIFS($F$8:F77,F77,$C$8:C77,"Kapak")=1,1,0))</f>
        <v/>
      </c>
    </row>
    <row r="78" ht="54" customHeight="1">
      <c r="A78" s="29" t="inlineStr">
        <is>
          <t>sevilla:photo:museo-del-baile-flamenco-01</t>
        </is>
      </c>
      <c r="B78" s="29" t="inlineStr">
        <is>
          <t>sevilla</t>
        </is>
      </c>
      <c r="C78" s="29" t="inlineStr">
        <is>
          <t>Mekân</t>
        </is>
      </c>
      <c r="D78" s="29" t="inlineStr">
        <is>
          <t>sevilla:museo-del-baile-flamenco</t>
        </is>
      </c>
      <c r="E78" s="29" t="inlineStr">
        <is>
          <t>Fotoğraflar/sevilla_museo-del-baile-flamenco_01.jpg</t>
        </is>
      </c>
      <c r="F78" s="29" t="inlineStr">
        <is>
          <t>d858b58950bdac376576edff62c8e1d865b18fb666245912e22c407a7347e30f</t>
        </is>
      </c>
      <c r="G78" s="29" t="inlineStr">
        <is>
          <t>Flamenko Dansı Müzesi'nin avlusunda puantiyeli elbiseyle dans eden flamenko dansçısı ve izleyiciler.</t>
        </is>
      </c>
      <c r="H78" s="29" t="inlineStr">
        <is>
          <t>Schnobby</t>
        </is>
      </c>
      <c r="I78" s="29" t="inlineStr">
        <is>
          <t>CC BY-SA 4.0</t>
        </is>
      </c>
      <c r="J78" s="29" t="inlineStr">
        <is>
          <t>https://creativecommons.org/licenses/by-sa/4.0/</t>
        </is>
      </c>
      <c r="K78" s="29" t="inlineStr">
        <is>
          <t>https://commons.wikimedia.org/wiki/File:Flamenco_in_Sevilla_01.jpg</t>
        </is>
      </c>
      <c r="L78" s="49" t="n">
        <v>41909</v>
      </c>
      <c r="M78" s="49" t="n">
        <v>46320</v>
      </c>
      <c r="N78" s="29" t="inlineStr">
        <is>
          <t>Wikimedia Commons'taki "Flamenco in Sevilla 01.jpg" (3429×3262 px) özgün dosyasının 1280×1218 px küçültülmüş kopyası indirildi; kırpma, rötuş ve renk düzeltmesi yapılmadı. Teslim dosyası: sevilla_museo-del-baile-flamenco_01.jpg (SHA-256 d858b58950bd).</t>
        </is>
      </c>
      <c r="O78" s="29" t="inlineStr">
        <is>
          <t>sevilla:evidence:museo-del-baile-flamenco-01</t>
        </is>
      </c>
      <c r="P78" s="29" t="inlineStr">
        <is>
          <t>Evet</t>
        </is>
      </c>
      <c r="Q78" s="51" t="n">
        <v>1</v>
      </c>
      <c r="R78" s="29" t="inlineStr">
        <is>
          <t>Taslak</t>
        </is>
      </c>
      <c r="S78" s="52">
        <f>IF(OR(A78="",F78="",C78&lt;&gt;"Mekân"),0,IF(COUNTIFS($F$8:F78,F78,$C$8:C78,"Mekân")=1,1,0))</f>
        <v/>
      </c>
      <c r="T78" s="52">
        <f>IF(OR(A78="",F78="",C78&lt;&gt;"Kapak"),0,IF(COUNTIFS($F$8:F78,F78,$C$8:C78,"Kapak")=1,1,0))</f>
        <v/>
      </c>
    </row>
    <row r="79" ht="54" customHeight="1">
      <c r="A79" s="29" t="inlineStr">
        <is>
          <t>sevilla:photo:museo-del-baile-flamenco-02</t>
        </is>
      </c>
      <c r="B79" s="29" t="inlineStr">
        <is>
          <t>sevilla</t>
        </is>
      </c>
      <c r="C79" s="29" t="inlineStr">
        <is>
          <t>Mekân</t>
        </is>
      </c>
      <c r="D79" s="29" t="inlineStr">
        <is>
          <t>sevilla:museo-del-baile-flamenco</t>
        </is>
      </c>
      <c r="E79" s="29" t="inlineStr">
        <is>
          <t>Fotoğraflar/sevilla_museo-del-baile-flamenco_02.jpg</t>
        </is>
      </c>
      <c r="F79" s="29" t="inlineStr">
        <is>
          <t>7ebe32706eee65205d9081836e7d708f40189a9a552ace9be939513e84367ae1</t>
        </is>
      </c>
      <c r="G79" s="29" t="inlineStr">
        <is>
          <t>Flamenko Dansı Müzesi'nin dar sokaktaki girişi ve kırmızı bayrakları.</t>
        </is>
      </c>
      <c r="H79" s="29" t="inlineStr">
        <is>
          <t>Anual</t>
        </is>
      </c>
      <c r="I79" s="29" t="inlineStr">
        <is>
          <t>CC BY 3.0</t>
        </is>
      </c>
      <c r="J79" s="29" t="inlineStr">
        <is>
          <t>https://creativecommons.org/licenses/by/3.0/</t>
        </is>
      </c>
      <c r="K79" s="29" t="inlineStr">
        <is>
          <t>https://commons.wikimedia.org/wiki/File:Museo_del_baile_flamenco,_sevilla.jpg</t>
        </is>
      </c>
      <c r="L79" s="49" t="n">
        <v>39837</v>
      </c>
      <c r="M79" s="49" t="n">
        <v>46320</v>
      </c>
      <c r="N79" s="29" t="inlineStr">
        <is>
          <t>Wikimedia Commons'taki "Museo del baile flamenco, sevilla.jpg" (2592×3872 px) özgün dosyasının 1280×1912 px küçültülmüş kopyası indirildi; kırpma, rötuş ve renk düzeltmesi yapılmadı. Teslim dosyası: sevilla_museo-del-baile-flamenco_02.jpg (SHA-256 7ebe32706eee).</t>
        </is>
      </c>
      <c r="O79" s="29" t="inlineStr">
        <is>
          <t>sevilla:evidence:museo-del-baile-flamenco-02</t>
        </is>
      </c>
      <c r="P79" s="29" t="inlineStr">
        <is>
          <t>Evet</t>
        </is>
      </c>
      <c r="Q79" s="51" t="n">
        <v>2</v>
      </c>
      <c r="R79" s="29" t="inlineStr">
        <is>
          <t>Taslak</t>
        </is>
      </c>
      <c r="S79" s="52">
        <f>IF(OR(A79="",F79="",C79&lt;&gt;"Mekân"),0,IF(COUNTIFS($F$8:F79,F79,$C$8:C79,"Mekân")=1,1,0))</f>
        <v/>
      </c>
      <c r="T79" s="52">
        <f>IF(OR(A79="",F79="",C79&lt;&gt;"Kapak"),0,IF(COUNTIFS($F$8:F79,F79,$C$8:C79,"Kapak")=1,1,0))</f>
        <v/>
      </c>
    </row>
    <row r="80" ht="54" customHeight="1">
      <c r="A80" s="29" t="inlineStr">
        <is>
          <t>sevilla:photo:museo-taurino-real-maestranza-01</t>
        </is>
      </c>
      <c r="B80" s="29" t="inlineStr">
        <is>
          <t>sevilla</t>
        </is>
      </c>
      <c r="C80" s="29" t="inlineStr">
        <is>
          <t>Mekân</t>
        </is>
      </c>
      <c r="D80" s="29" t="inlineStr">
        <is>
          <t>sevilla:museo-taurino-real-maestranza</t>
        </is>
      </c>
      <c r="E80" s="29" t="inlineStr">
        <is>
          <t>Fotoğraflar/sevilla_museo-taurino-real-maestranza_01.jpg</t>
        </is>
      </c>
      <c r="F80" s="29" t="inlineStr">
        <is>
          <t>28c4839d1591208fba1e047f851efb3c3bccfef7d5a1a2af484ed9b1af6cc842</t>
        </is>
      </c>
      <c r="G80" s="29" t="inlineStr">
        <is>
          <t>Boğa Güreşi Müzesi'nde duvarda boğa başı ve tablolarla bir salon.</t>
        </is>
      </c>
      <c r="H80" s="29" t="inlineStr">
        <is>
          <t>CarlosVdeHabsburgo</t>
        </is>
      </c>
      <c r="I80" s="29" t="inlineStr">
        <is>
          <t>CC BY-SA 4.0</t>
        </is>
      </c>
      <c r="J80" s="29" t="inlineStr">
        <is>
          <t>https://creativecommons.org/licenses/by-sa/4.0/</t>
        </is>
      </c>
      <c r="K80" s="29" t="inlineStr">
        <is>
          <t>https://commons.wikimedia.org/wiki/File:Cabeza_de_toro.jpg</t>
        </is>
      </c>
      <c r="L80" s="49" t="n">
        <v>43024</v>
      </c>
      <c r="M80" s="49" t="n">
        <v>46320</v>
      </c>
      <c r="N80" s="29" t="inlineStr">
        <is>
          <t>Wikimedia Commons'taki "Cabeza de toro.jpg" (4320×3240 px) özgün dosyasının 1280×960 px küçültülmüş kopyası indirildi; kırpma, rötuş ve renk düzeltmesi yapılmadı. Teslim dosyası: sevilla_museo-taurino-real-maestranza_01.jpg (SHA-256 28c4839d1591).</t>
        </is>
      </c>
      <c r="O80" s="29" t="inlineStr">
        <is>
          <t>sevilla:evidence:museo-taurino-real-maestranza-01</t>
        </is>
      </c>
      <c r="P80" s="29" t="inlineStr">
        <is>
          <t>Evet</t>
        </is>
      </c>
      <c r="Q80" s="51" t="n">
        <v>1</v>
      </c>
      <c r="R80" s="29" t="inlineStr">
        <is>
          <t>Taslak</t>
        </is>
      </c>
      <c r="S80" s="52">
        <f>IF(OR(A80="",F80="",C80&lt;&gt;"Mekân"),0,IF(COUNTIFS($F$8:F80,F80,$C$8:C80,"Mekân")=1,1,0))</f>
        <v/>
      </c>
      <c r="T80" s="52">
        <f>IF(OR(A80="",F80="",C80&lt;&gt;"Kapak"),0,IF(COUNTIFS($F$8:F80,F80,$C$8:C80,"Kapak")=1,1,0))</f>
        <v/>
      </c>
    </row>
    <row r="81" ht="54" customHeight="1">
      <c r="A81" s="29" t="inlineStr">
        <is>
          <t>sevilla:photo:museo-historico-militar-sevilla-01</t>
        </is>
      </c>
      <c r="B81" s="29" t="inlineStr">
        <is>
          <t>sevilla</t>
        </is>
      </c>
      <c r="C81" s="29" t="inlineStr">
        <is>
          <t>Mekân</t>
        </is>
      </c>
      <c r="D81" s="29" t="inlineStr">
        <is>
          <t>sevilla:museo-historico-militar-sevilla</t>
        </is>
      </c>
      <c r="E81" s="29" t="inlineStr">
        <is>
          <t>Fotoğraflar/sevilla_museo-historico-militar-sevilla_01.jpg</t>
        </is>
      </c>
      <c r="F81" s="29" t="inlineStr">
        <is>
          <t>2ce5c3c2e5d888a8e885deda0f36f251f3eda45ed63e21851bab6b4bd4948fac</t>
        </is>
      </c>
      <c r="G81" s="29" t="inlineStr">
        <is>
          <t>Askerî Tarih Müzesi'nde tablolar ve top sergilenen salon.</t>
        </is>
      </c>
      <c r="H81" s="29" t="inlineStr">
        <is>
          <t>Reisender.ab</t>
        </is>
      </c>
      <c r="I81" s="29" t="inlineStr">
        <is>
          <t>CC BY-SA 4.0</t>
        </is>
      </c>
      <c r="J81" s="29" t="inlineStr">
        <is>
          <t>https://creativecommons.org/licenses/by-sa/4.0/</t>
        </is>
      </c>
      <c r="K81" s="29" t="inlineStr">
        <is>
          <t>https://commons.wikimedia.org/wiki/File:3,7cm_Pak_at_Museo_Historico_Militar_de_Sevilla_001.jpg</t>
        </is>
      </c>
      <c r="L81" s="49" t="n">
        <v>45817</v>
      </c>
      <c r="M81" s="49" t="n">
        <v>46320</v>
      </c>
      <c r="N81" s="29" t="inlineStr">
        <is>
          <t>Wikimedia Commons'taki "3,7cm Pak at Museo Historico Militar de Sevilla 001.jpg" (4032×3024 px) özgün dosyasının 1280×960 px küçültülmüş kopyası indirildi; kırpma, rötuş ve renk düzeltmesi yapılmadı. Teslim dosyası: sevilla_museo-historico-militar-sevilla_01.jpg (SHA-256 2ce5c3c2e5d8).</t>
        </is>
      </c>
      <c r="O81" s="29" t="inlineStr">
        <is>
          <t>sevilla:evidence:museo-historico-militar-sevilla-01</t>
        </is>
      </c>
      <c r="P81" s="29" t="inlineStr">
        <is>
          <t>Evet</t>
        </is>
      </c>
      <c r="Q81" s="51" t="n">
        <v>1</v>
      </c>
      <c r="R81" s="29" t="inlineStr">
        <is>
          <t>Taslak</t>
        </is>
      </c>
      <c r="S81" s="52">
        <f>IF(OR(A81="",F81="",C81&lt;&gt;"Mekân"),0,IF(COUNTIFS($F$8:F81,F81,$C$8:C81,"Mekân")=1,1,0))</f>
        <v/>
      </c>
      <c r="T81" s="52">
        <f>IF(OR(A81="",F81="",C81&lt;&gt;"Kapak"),0,IF(COUNTIFS($F$8:F81,F81,$C$8:C81,"Kapak")=1,1,0))</f>
        <v/>
      </c>
    </row>
    <row r="82" ht="54" customHeight="1">
      <c r="A82" s="29" t="inlineStr">
        <is>
          <t>sevilla:photo:museo-historico-militar-sevilla-02</t>
        </is>
      </c>
      <c r="B82" s="29" t="inlineStr">
        <is>
          <t>sevilla</t>
        </is>
      </c>
      <c r="C82" s="29" t="inlineStr">
        <is>
          <t>Mekân</t>
        </is>
      </c>
      <c r="D82" s="29" t="inlineStr">
        <is>
          <t>sevilla:museo-historico-militar-sevilla</t>
        </is>
      </c>
      <c r="E82" s="29" t="inlineStr">
        <is>
          <t>Fotoğraflar/sevilla_museo-historico-militar-sevilla_02.jpg</t>
        </is>
      </c>
      <c r="F82" s="29" t="inlineStr">
        <is>
          <t>b0975b3d108447e3cfea4b0358aa5e2bdbcef1b22a9dc115c73bd5e919fbb9f5</t>
        </is>
      </c>
      <c r="G82" s="29" t="inlineStr">
        <is>
          <t>Askerî Tarih Müzesi'nde sergilenen helikopter ve askerî araçlar.</t>
        </is>
      </c>
      <c r="H82" s="29" t="inlineStr">
        <is>
          <t>CarlosVdeHabsburgo</t>
        </is>
      </c>
      <c r="I82" s="29" t="inlineStr">
        <is>
          <t>CC BY-SA 4.0</t>
        </is>
      </c>
      <c r="J82" s="29" t="inlineStr">
        <is>
          <t>https://creativecommons.org/licenses/by-sa/4.0/</t>
        </is>
      </c>
      <c r="K82" s="29" t="inlineStr">
        <is>
          <t>https://commons.wikimedia.org/wiki/File:Ametralladora_01.jpg</t>
        </is>
      </c>
      <c r="L82" s="49" t="n">
        <v>45087</v>
      </c>
      <c r="M82" s="49" t="n">
        <v>46320</v>
      </c>
      <c r="N82" s="29" t="inlineStr">
        <is>
          <t>Wikimedia Commons'taki "Ametralladora 01.jpg" (4000×3000 px) özgün dosyasının 1280×960 px küçültülmüş kopyası indirildi; kırpma, rötuş ve renk düzeltmesi yapılmadı. Teslim dosyası: sevilla_museo-historico-militar-sevilla_02.jpg (SHA-256 b0975b3d1084).</t>
        </is>
      </c>
      <c r="O82" s="29" t="inlineStr">
        <is>
          <t>sevilla:evidence:museo-historico-militar-sevilla-02</t>
        </is>
      </c>
      <c r="P82" s="29" t="inlineStr">
        <is>
          <t>Evet</t>
        </is>
      </c>
      <c r="Q82" s="51" t="n">
        <v>2</v>
      </c>
      <c r="R82" s="29" t="inlineStr">
        <is>
          <t>Taslak</t>
        </is>
      </c>
      <c r="S82" s="52">
        <f>IF(OR(A82="",F82="",C82&lt;&gt;"Mekân"),0,IF(COUNTIFS($F$8:F82,F82,$C$8:C82,"Mekân")=1,1,0))</f>
        <v/>
      </c>
      <c r="T82" s="52">
        <f>IF(OR(A82="",F82="",C82&lt;&gt;"Kapak"),0,IF(COUNTIFS($F$8:F82,F82,$C$8:C82,"Kapak")=1,1,0))</f>
        <v/>
      </c>
    </row>
    <row r="83" ht="54" customHeight="1">
      <c r="A83" s="29" t="inlineStr">
        <is>
          <t>sevilla:photo:museo-historico-militar-sevilla-03</t>
        </is>
      </c>
      <c r="B83" s="29" t="inlineStr">
        <is>
          <t>sevilla</t>
        </is>
      </c>
      <c r="C83" s="29" t="inlineStr">
        <is>
          <t>Mekân</t>
        </is>
      </c>
      <c r="D83" s="29" t="inlineStr">
        <is>
          <t>sevilla:museo-historico-militar-sevilla</t>
        </is>
      </c>
      <c r="E83" s="29" t="inlineStr">
        <is>
          <t>Fotoğraflar/sevilla_museo-historico-militar-sevilla_03.jpg</t>
        </is>
      </c>
      <c r="F83" s="29" t="inlineStr">
        <is>
          <t>07e10bf1583c3ec8d4d472987447d262e5b5f8dd468e02b97529b45e1b3ad097</t>
        </is>
      </c>
      <c r="G83" s="29" t="inlineStr">
        <is>
          <t>Askerî Tarih Müzesi'nde duvarlara dizili tüfeklerin bulunduğu salon.</t>
        </is>
      </c>
      <c r="H83" s="29" t="inlineStr">
        <is>
          <t>CarlosVdeHabsburgo</t>
        </is>
      </c>
      <c r="I83" s="29" t="inlineStr">
        <is>
          <t>CC BY-SA 3.0</t>
        </is>
      </c>
      <c r="J83" s="29" t="inlineStr">
        <is>
          <t>https://creativecommons.org/licenses/by-sa/3.0/</t>
        </is>
      </c>
      <c r="K83" s="29" t="inlineStr">
        <is>
          <t>https://commons.wikimedia.org/wiki/File:Ametralladoras.JPG</t>
        </is>
      </c>
      <c r="L83" s="49" t="n"/>
      <c r="M83" s="49" t="n">
        <v>46320</v>
      </c>
      <c r="N83" s="29" t="inlineStr">
        <is>
          <t>Wikimedia Commons'taki "Ametralladoras.JPG" (3072×2304 px) özgün dosyasının 1280×960 px küçültülmüş kopyası indirildi; kırpma, rötuş ve renk düzeltmesi yapılmadı. Teslim dosyası: sevilla_museo-historico-militar-sevilla_03.jpg (SHA-256 07e10bf1583c).</t>
        </is>
      </c>
      <c r="O83" s="29" t="inlineStr">
        <is>
          <t>sevilla:evidence:museo-historico-militar-sevilla-03</t>
        </is>
      </c>
      <c r="P83" s="29" t="inlineStr">
        <is>
          <t>Evet</t>
        </is>
      </c>
      <c r="Q83" s="51" t="n">
        <v>3</v>
      </c>
      <c r="R83" s="29" t="inlineStr">
        <is>
          <t>Taslak</t>
        </is>
      </c>
      <c r="S83" s="52">
        <f>IF(OR(A83="",F83="",C83&lt;&gt;"Mekân"),0,IF(COUNTIFS($F$8:F83,F83,$C$8:C83,"Mekân")=1,1,0))</f>
        <v/>
      </c>
      <c r="T83" s="52">
        <f>IF(OR(A83="",F83="",C83&lt;&gt;"Kapak"),0,IF(COUNTIFS($F$8:F83,F83,$C$8:C83,"Kapak")=1,1,0))</f>
        <v/>
      </c>
    </row>
    <row r="84" ht="54" customHeight="1">
      <c r="A84" s="29" t="inlineStr">
        <is>
          <t>sevilla:photo:museo-maritimo-torre-del-oro-01</t>
        </is>
      </c>
      <c r="B84" s="29" t="inlineStr">
        <is>
          <t>sevilla</t>
        </is>
      </c>
      <c r="C84" s="29" t="inlineStr">
        <is>
          <t>Mekân</t>
        </is>
      </c>
      <c r="D84" s="29" t="inlineStr">
        <is>
          <t>sevilla:museo-maritimo-torre-del-oro</t>
        </is>
      </c>
      <c r="E84" s="29" t="inlineStr">
        <is>
          <t>Fotoğraflar/sevilla_museo-maritimo-torre-del-oro_01.jpg</t>
        </is>
      </c>
      <c r="F84" s="29" t="inlineStr">
        <is>
          <t>2813bcc66c4763c641eaab658d6610220cd0027c744fc59a4fc74c553d117f35</t>
        </is>
      </c>
      <c r="G84" s="29" t="inlineStr">
        <is>
          <t>Torre del Oro'nun yukarı doğru daralan tuğla ve taş gövdesi.</t>
        </is>
      </c>
      <c r="H84" s="29" t="inlineStr">
        <is>
          <t>Gzzz</t>
        </is>
      </c>
      <c r="I84" s="29" t="inlineStr">
        <is>
          <t>CC BY-SA 4.0</t>
        </is>
      </c>
      <c r="J84" s="29" t="inlineStr">
        <is>
          <t>https://creativecommons.org/licenses/by-sa/4.0/</t>
        </is>
      </c>
      <c r="K84" s="29" t="inlineStr">
        <is>
          <t>https://commons.wikimedia.org/wiki/File:Cumbre_Torre_del_Oro.jpg</t>
        </is>
      </c>
      <c r="L84" s="49" t="n">
        <v>43755</v>
      </c>
      <c r="M84" s="49" t="n">
        <v>46320</v>
      </c>
      <c r="N84" s="29" t="inlineStr">
        <is>
          <t>Wikimedia Commons'taki "Cumbre Torre del Oro.jpg" (3712×5568 px) özgün dosyasının 1280×1920 px küçültülmüş kopyası indirildi; kırpma, rötuş ve renk düzeltmesi yapılmadı. Teslim dosyası: sevilla_museo-maritimo-torre-del-oro_01.jpg (SHA-256 2813bcc66c47).</t>
        </is>
      </c>
      <c r="O84" s="29" t="inlineStr">
        <is>
          <t>sevilla:evidence:museo-maritimo-torre-del-oro-01</t>
        </is>
      </c>
      <c r="P84" s="29" t="inlineStr">
        <is>
          <t>Evet</t>
        </is>
      </c>
      <c r="Q84" s="51" t="n">
        <v>1</v>
      </c>
      <c r="R84" s="29" t="inlineStr">
        <is>
          <t>Taslak</t>
        </is>
      </c>
      <c r="S84" s="52">
        <f>IF(OR(A84="",F84="",C84&lt;&gt;"Mekân"),0,IF(COUNTIFS($F$8:F84,F84,$C$8:C84,"Mekân")=1,1,0))</f>
        <v/>
      </c>
      <c r="T84" s="52">
        <f>IF(OR(A84="",F84="",C84&lt;&gt;"Kapak"),0,IF(COUNTIFS($F$8:F84,F84,$C$8:C84,"Kapak")=1,1,0))</f>
        <v/>
      </c>
    </row>
    <row r="85" ht="54" customHeight="1">
      <c r="A85" s="29" t="inlineStr">
        <is>
          <t>sevilla:photo:museo-maritimo-torre-del-oro-02</t>
        </is>
      </c>
      <c r="B85" s="29" t="inlineStr">
        <is>
          <t>sevilla</t>
        </is>
      </c>
      <c r="C85" s="29" t="inlineStr">
        <is>
          <t>Mekân</t>
        </is>
      </c>
      <c r="D85" s="29" t="inlineStr">
        <is>
          <t>sevilla:museo-maritimo-torre-del-oro</t>
        </is>
      </c>
      <c r="E85" s="29" t="inlineStr">
        <is>
          <t>Fotoğraflar/sevilla_museo-maritimo-torre-del-oro_02.jpg</t>
        </is>
      </c>
      <c r="F85" s="29" t="inlineStr">
        <is>
          <t>0230c6631a26e85208e11832d66752792e4ba1d3237d990f246701fd617504fd</t>
        </is>
      </c>
      <c r="G85" s="29" t="inlineStr">
        <is>
          <t>Torre del Oro'daki Denizcilik Müzesi'nde gravürlerin asılı olduğu sarı duvarlı oda.</t>
        </is>
      </c>
      <c r="H85" s="29" t="inlineStr">
        <is>
          <t>Colling-architektur</t>
        </is>
      </c>
      <c r="I85" s="29" t="inlineStr">
        <is>
          <t>CC BY-SA 3.0</t>
        </is>
      </c>
      <c r="J85" s="29" t="inlineStr">
        <is>
          <t>https://creativecommons.org/licenses/by-sa/3.0/</t>
        </is>
      </c>
      <c r="K85" s="29" t="inlineStr">
        <is>
          <t>https://commons.wikimedia.org/wiki/File:Sevilla_(Spanien);_Torre_del_Oro_f.jpg</t>
        </is>
      </c>
      <c r="L85" s="49" t="n">
        <v>43177</v>
      </c>
      <c r="M85" s="49" t="n">
        <v>46320</v>
      </c>
      <c r="N85" s="29" t="inlineStr">
        <is>
          <t>Wikimedia Commons'taki "Sevilla (Spanien); Torre del Oro f.jpg" (3456×5184 px) özgün dosyasının 1280×1920 px küçültülmüş kopyası indirildi; kırpma, rötuş ve renk düzeltmesi yapılmadı. Teslim dosyası: sevilla_museo-maritimo-torre-del-oro_02.jpg (SHA-256 0230c6631a26).</t>
        </is>
      </c>
      <c r="O85" s="29" t="inlineStr">
        <is>
          <t>sevilla:evidence:museo-maritimo-torre-del-oro-02</t>
        </is>
      </c>
      <c r="P85" s="29" t="inlineStr">
        <is>
          <t>Evet</t>
        </is>
      </c>
      <c r="Q85" s="51" t="n">
        <v>2</v>
      </c>
      <c r="R85" s="29" t="inlineStr">
        <is>
          <t>Taslak</t>
        </is>
      </c>
      <c r="S85" s="52">
        <f>IF(OR(A85="",F85="",C85&lt;&gt;"Mekân"),0,IF(COUNTIFS($F$8:F85,F85,$C$8:C85,"Mekân")=1,1,0))</f>
        <v/>
      </c>
      <c r="T85" s="52">
        <f>IF(OR(A85="",F85="",C85&lt;&gt;"Kapak"),0,IF(COUNTIFS($F$8:F85,F85,$C$8:C85,"Kapak")=1,1,0))</f>
        <v/>
      </c>
    </row>
    <row r="86" ht="54" customHeight="1">
      <c r="A86" s="29" t="inlineStr">
        <is>
          <t>sevilla:photo:caac-centro-andaluz-arte-contemporaneo-01</t>
        </is>
      </c>
      <c r="B86" s="29" t="inlineStr">
        <is>
          <t>sevilla</t>
        </is>
      </c>
      <c r="C86" s="29" t="inlineStr">
        <is>
          <t>Mekân</t>
        </is>
      </c>
      <c r="D86" s="29" t="inlineStr">
        <is>
          <t>sevilla:caac-centro-andaluz-arte-contemporaneo</t>
        </is>
      </c>
      <c r="E86" s="29" t="inlineStr">
        <is>
          <t>Fotoğraflar/sevilla_caac-centro-andaluz-arte-contemporaneo_01.jpg</t>
        </is>
      </c>
      <c r="F86" s="29" t="inlineStr">
        <is>
          <t>526e428864a28b7f2f029c2112fa3530d2b64f4165156e97ace22b68f5f98559</t>
        </is>
      </c>
      <c r="G86" s="29" t="inlineStr">
        <is>
          <t>Endülüs Çağdaş Sanat Merkezi'nin sarı duvarı ve pencerelerden çıkan el-yüz yerleştirmesi.</t>
        </is>
      </c>
      <c r="H86" s="29" t="inlineStr">
        <is>
          <t>Caleteron</t>
        </is>
      </c>
      <c r="I86" s="29" t="inlineStr">
        <is>
          <t>CC BY-SA 3.0</t>
        </is>
      </c>
      <c r="J86" s="29" t="inlineStr">
        <is>
          <t>https://creativecommons.org/licenses/by-sa/3.0/</t>
        </is>
      </c>
      <c r="K86" s="29" t="inlineStr">
        <is>
          <t>https://commons.wikimedia.org/wiki/File:CAACfeb14.jpg</t>
        </is>
      </c>
      <c r="L86" s="49" t="n"/>
      <c r="M86" s="49" t="n">
        <v>46320</v>
      </c>
      <c r="N86" s="29" t="inlineStr">
        <is>
          <t>Wikimedia Commons'taki "CAACfeb14.jpg" (2048×1536 px) özgün dosyasının 1280×960 px küçültülmüş kopyası indirildi; kırpma, rötuş ve renk düzeltmesi yapılmadı. Teslim dosyası: sevilla_caac-centro-andaluz-arte-contemporaneo_01.jpg (SHA-256 526e428864a2).</t>
        </is>
      </c>
      <c r="O86" s="29" t="inlineStr">
        <is>
          <t>sevilla:evidence:caac-centro-andaluz-arte-contemporaneo-01</t>
        </is>
      </c>
      <c r="P86" s="29" t="inlineStr">
        <is>
          <t>Evet</t>
        </is>
      </c>
      <c r="Q86" s="51" t="n">
        <v>1</v>
      </c>
      <c r="R86" s="29" t="inlineStr">
        <is>
          <t>Taslak</t>
        </is>
      </c>
      <c r="S86" s="52">
        <f>IF(OR(A86="",F86="",C86&lt;&gt;"Mekân"),0,IF(COUNTIFS($F$8:F86,F86,$C$8:C86,"Mekân")=1,1,0))</f>
        <v/>
      </c>
      <c r="T86" s="52">
        <f>IF(OR(A86="",F86="",C86&lt;&gt;"Kapak"),0,IF(COUNTIFS($F$8:F86,F86,$C$8:C86,"Kapak")=1,1,0))</f>
        <v/>
      </c>
    </row>
    <row r="87" ht="54" customHeight="1">
      <c r="A87" s="29" t="inlineStr">
        <is>
          <t>sevilla:photo:caac-centro-andaluz-arte-contemporaneo-02</t>
        </is>
      </c>
      <c r="B87" s="29" t="inlineStr">
        <is>
          <t>sevilla</t>
        </is>
      </c>
      <c r="C87" s="29" t="inlineStr">
        <is>
          <t>Mekân</t>
        </is>
      </c>
      <c r="D87" s="29" t="inlineStr">
        <is>
          <t>sevilla:caac-centro-andaluz-arte-contemporaneo</t>
        </is>
      </c>
      <c r="E87" s="29" t="inlineStr">
        <is>
          <t>Fotoğraflar/sevilla_caac-centro-andaluz-arte-contemporaneo_02.jpg</t>
        </is>
      </c>
      <c r="F87" s="29" t="inlineStr">
        <is>
          <t>e9d2a89f842af944e1feb692ead0df2dedec609ef669199ad4410a4a75c7679e</t>
        </is>
      </c>
      <c r="G87" s="29" t="inlineStr">
        <is>
          <t>Endülüs Çağdaş Sanat Merkezi'nin sarı duvarları ve arkadaki kubbe, Cartuja Manastırı'nda.</t>
        </is>
      </c>
      <c r="H87" s="29" t="inlineStr">
        <is>
          <t>Zarateman</t>
        </is>
      </c>
      <c r="I87" s="29" t="inlineStr">
        <is>
          <t>CC0 1.0</t>
        </is>
      </c>
      <c r="J87" s="29" t="inlineStr">
        <is>
          <t>https://creativecommons.org/publicdomain/zero/1.0/</t>
        </is>
      </c>
      <c r="K87" s="29" t="inlineStr">
        <is>
          <t>https://commons.wikimedia.org/wiki/File:Sevilla_-_Centro_Andaluz_de_Arte_Contempor%C3%A1neo_(Cartuja_de_Santa_Mar%C3%ADa_de_las_Cuevas)_01.jpg</t>
        </is>
      </c>
      <c r="L87" s="49" t="n">
        <v>45712</v>
      </c>
      <c r="M87" s="49" t="n">
        <v>46320</v>
      </c>
      <c r="N87" s="29" t="inlineStr">
        <is>
          <t>Wikimedia Commons'taki "Sevilla - Centro Andaluz de Arte Contemporáneo (Cartuja de Santa María de las Cuevas) 01.j" (2048×1536 px) özgün dosyasının 1280×960 px küçültülmüş kopyası indirildi; kırpma, rötuş ve renk düzeltmesi yapılmadı. Teslim dosyası: sevilla_caac-centro-andaluz-arte-contemporaneo_02.jpg (SHA-256 e9d2a89f842a).</t>
        </is>
      </c>
      <c r="O87" s="29" t="inlineStr">
        <is>
          <t>sevilla:evidence:caac-centro-andaluz-arte-contemporaneo-02</t>
        </is>
      </c>
      <c r="P87" s="29" t="inlineStr">
        <is>
          <t>Evet</t>
        </is>
      </c>
      <c r="Q87" s="51" t="n">
        <v>2</v>
      </c>
      <c r="R87" s="29" t="inlineStr">
        <is>
          <t>Taslak</t>
        </is>
      </c>
      <c r="S87" s="52">
        <f>IF(OR(A87="",F87="",C87&lt;&gt;"Mekân"),0,IF(COUNTIFS($F$8:F87,F87,$C$8:C87,"Mekân")=1,1,0))</f>
        <v/>
      </c>
      <c r="T87" s="52">
        <f>IF(OR(A87="",F87="",C87&lt;&gt;"Kapak"),0,IF(COUNTIFS($F$8:F87,F87,$C$8:C87,"Kapak")=1,1,0))</f>
        <v/>
      </c>
    </row>
    <row r="88" ht="54" customHeight="1">
      <c r="A88" s="29" t="inlineStr">
        <is>
          <t>sevilla:photo:caixaforum-sevilla-01</t>
        </is>
      </c>
      <c r="B88" s="29" t="inlineStr">
        <is>
          <t>sevilla</t>
        </is>
      </c>
      <c r="C88" s="29" t="inlineStr">
        <is>
          <t>Mekân</t>
        </is>
      </c>
      <c r="D88" s="29" t="inlineStr">
        <is>
          <t>sevilla:caixaforum-sevilla</t>
        </is>
      </c>
      <c r="E88" s="29" t="inlineStr">
        <is>
          <t>Fotoğraflar/sevilla_caixaforum-sevilla_01.jpg</t>
        </is>
      </c>
      <c r="F88" s="29" t="inlineStr">
        <is>
          <t>0a4e9eb7b74cb1d2af2947adfccd4ab70704753d48a23a4c8c58eda2ca742aed</t>
        </is>
      </c>
      <c r="G88" s="29" t="inlineStr">
        <is>
          <t>CaixaForum Sevilla'nın beyaz, dalgalı çatılı modern binası ağaçların ardında.</t>
        </is>
      </c>
      <c r="H88" s="29" t="inlineStr">
        <is>
          <t>CarlosVdeHabsburgo</t>
        </is>
      </c>
      <c r="I88" s="29" t="inlineStr">
        <is>
          <t>CC BY-SA 4.0</t>
        </is>
      </c>
      <c r="J88" s="29" t="inlineStr">
        <is>
          <t>https://creativecommons.org/licenses/by-sa/4.0/</t>
        </is>
      </c>
      <c r="K88" s="29" t="inlineStr">
        <is>
          <t>https://commons.wikimedia.org/wiki/File:CaixaForum_Sevilla_01.jpg</t>
        </is>
      </c>
      <c r="L88" s="49" t="n">
        <v>42989</v>
      </c>
      <c r="M88" s="49" t="n">
        <v>46320</v>
      </c>
      <c r="N88" s="29" t="inlineStr">
        <is>
          <t>Wikimedia Commons'taki "CaixaForum Sevilla 01.jpg" (4320×3240 px) özgün dosyasının 1280×960 px küçültülmüş kopyası indirildi; kırpma, rötuş ve renk düzeltmesi yapılmadı. Teslim dosyası: sevilla_caixaforum-sevilla_01.jpg (SHA-256 0a4e9eb7b74c).</t>
        </is>
      </c>
      <c r="O88" s="29" t="inlineStr">
        <is>
          <t>sevilla:evidence:caixaforum-sevilla-01</t>
        </is>
      </c>
      <c r="P88" s="29" t="inlineStr">
        <is>
          <t>Evet</t>
        </is>
      </c>
      <c r="Q88" s="51" t="n">
        <v>1</v>
      </c>
      <c r="R88" s="29" t="inlineStr">
        <is>
          <t>Taslak</t>
        </is>
      </c>
      <c r="S88" s="52">
        <f>IF(OR(A88="",F88="",C88&lt;&gt;"Mekân"),0,IF(COUNTIFS($F$8:F88,F88,$C$8:C88,"Mekân")=1,1,0))</f>
        <v/>
      </c>
      <c r="T88" s="52">
        <f>IF(OR(A88="",F88="",C88&lt;&gt;"Kapak"),0,IF(COUNTIFS($F$8:F88,F88,$C$8:C88,"Kapak")=1,1,0))</f>
        <v/>
      </c>
    </row>
    <row r="89" ht="54" customHeight="1">
      <c r="A89" s="29" t="inlineStr">
        <is>
          <t>sevilla:photo:caixaforum-sevilla-02</t>
        </is>
      </c>
      <c r="B89" s="29" t="inlineStr">
        <is>
          <t>sevilla</t>
        </is>
      </c>
      <c r="C89" s="29" t="inlineStr">
        <is>
          <t>Mekân</t>
        </is>
      </c>
      <c r="D89" s="29" t="inlineStr">
        <is>
          <t>sevilla:caixaforum-sevilla</t>
        </is>
      </c>
      <c r="E89" s="29" t="inlineStr">
        <is>
          <t>Fotoğraflar/sevilla_caixaforum-sevilla_02.jpg</t>
        </is>
      </c>
      <c r="F89" s="29" t="inlineStr">
        <is>
          <t>468ba7fba0fb0ff89202d3b41e107889b3275770ab316a0668916f6c53fef9a1</t>
        </is>
      </c>
      <c r="G89" s="29" t="inlineStr">
        <is>
          <t>CaixaForum Sevilla'nın sergi salonunda bilgi panoları ve banklar.</t>
        </is>
      </c>
      <c r="H89" s="29" t="inlineStr">
        <is>
          <t>CarlosVdeHabsburgo</t>
        </is>
      </c>
      <c r="I89" s="29" t="inlineStr">
        <is>
          <t>CC BY-SA 4.0</t>
        </is>
      </c>
      <c r="J89" s="29" t="inlineStr">
        <is>
          <t>https://creativecommons.org/licenses/by-sa/4.0/</t>
        </is>
      </c>
      <c r="K89" s="29" t="inlineStr">
        <is>
          <t>https://commons.wikimedia.org/wiki/File:CaixaForum_Sevilla_03.jpg</t>
        </is>
      </c>
      <c r="L89" s="49" t="n">
        <v>42989</v>
      </c>
      <c r="M89" s="49" t="n">
        <v>46320</v>
      </c>
      <c r="N89" s="29" t="inlineStr">
        <is>
          <t>Wikimedia Commons'taki "CaixaForum Sevilla 03.jpg" (4320×3240 px) özgün dosyasının 1280×960 px küçültülmüş kopyası indirildi; kırpma, rötuş ve renk düzeltmesi yapılmadı. Teslim dosyası: sevilla_caixaforum-sevilla_02.jpg (SHA-256 468ba7fba0fb).</t>
        </is>
      </c>
      <c r="O89" s="29" t="inlineStr">
        <is>
          <t>sevilla:evidence:caixaforum-sevilla-02</t>
        </is>
      </c>
      <c r="P89" s="29" t="inlineStr">
        <is>
          <t>Evet</t>
        </is>
      </c>
      <c r="Q89" s="51" t="n">
        <v>2</v>
      </c>
      <c r="R89" s="29" t="inlineStr">
        <is>
          <t>Taslak</t>
        </is>
      </c>
      <c r="S89" s="52">
        <f>IF(OR(A89="",F89="",C89&lt;&gt;"Mekân"),0,IF(COUNTIFS($F$8:F89,F89,$C$8:C89,"Mekân")=1,1,0))</f>
        <v/>
      </c>
      <c r="T89" s="52">
        <f>IF(OR(A89="",F89="",C89&lt;&gt;"Kapak"),0,IF(COUNTIFS($F$8:F89,F89,$C$8:C89,"Kapak")=1,1,0))</f>
        <v/>
      </c>
    </row>
    <row r="90" ht="54" customHeight="1">
      <c r="A90" s="29" t="inlineStr">
        <is>
          <t>sevilla:photo:caixaforum-sevilla-03</t>
        </is>
      </c>
      <c r="B90" s="29" t="inlineStr">
        <is>
          <t>sevilla</t>
        </is>
      </c>
      <c r="C90" s="29" t="inlineStr">
        <is>
          <t>Mekân</t>
        </is>
      </c>
      <c r="D90" s="29" t="inlineStr">
        <is>
          <t>sevilla:caixaforum-sevilla</t>
        </is>
      </c>
      <c r="E90" s="29" t="inlineStr">
        <is>
          <t>Fotoğraflar/sevilla_caixaforum-sevilla_03.jpg</t>
        </is>
      </c>
      <c r="F90" s="29" t="inlineStr">
        <is>
          <t>2d78ef157426d054bf46c08eebcc7759f8b04c4b2b14fabb03b27af62de7be4f</t>
        </is>
      </c>
      <c r="G90" s="29" t="inlineStr">
        <is>
          <t>CaixaForum Sevilla'nın geniş, sütunlu giriş holü.</t>
        </is>
      </c>
      <c r="H90" s="29" t="inlineStr">
        <is>
          <t>CarlosVdeHabsburgo</t>
        </is>
      </c>
      <c r="I90" s="29" t="inlineStr">
        <is>
          <t>CC BY-SA 4.0</t>
        </is>
      </c>
      <c r="J90" s="29" t="inlineStr">
        <is>
          <t>https://creativecommons.org/licenses/by-sa/4.0/</t>
        </is>
      </c>
      <c r="K90" s="29" t="inlineStr">
        <is>
          <t>https://commons.wikimedia.org/wiki/File:CaixaForum_Sevilla_04.jpg</t>
        </is>
      </c>
      <c r="L90" s="49" t="n">
        <v>42989</v>
      </c>
      <c r="M90" s="49" t="n">
        <v>46320</v>
      </c>
      <c r="N90" s="29" t="inlineStr">
        <is>
          <t>Wikimedia Commons'taki "CaixaForum Sevilla 04.jpg" (4320×3240 px) özgün dosyasının 1280×960 px küçültülmüş kopyası indirildi; kırpma, rötuş ve renk düzeltmesi yapılmadı. Teslim dosyası: sevilla_caixaforum-sevilla_03.jpg (SHA-256 2d78ef157426).</t>
        </is>
      </c>
      <c r="O90" s="29" t="inlineStr">
        <is>
          <t>sevilla:evidence:caixaforum-sevilla-03</t>
        </is>
      </c>
      <c r="P90" s="29" t="inlineStr">
        <is>
          <t>Evet</t>
        </is>
      </c>
      <c r="Q90" s="51" t="n">
        <v>3</v>
      </c>
      <c r="R90" s="29" t="inlineStr">
        <is>
          <t>Taslak</t>
        </is>
      </c>
      <c r="S90" s="52">
        <f>IF(OR(A90="",F90="",C90&lt;&gt;"Mekân"),0,IF(COUNTIFS($F$8:F90,F90,$C$8:C90,"Mekân")=1,1,0))</f>
        <v/>
      </c>
      <c r="T90" s="52">
        <f>IF(OR(A90="",F90="",C90&lt;&gt;"Kapak"),0,IF(COUNTIFS($F$8:F90,F90,$C$8:C90,"Kapak")=1,1,0))</f>
        <v/>
      </c>
    </row>
    <row r="91" ht="54" customHeight="1">
      <c r="A91" s="29" t="inlineStr">
        <is>
          <t>sevilla:photo:real-academia-bellas-artes-sevilla-01</t>
        </is>
      </c>
      <c r="B91" s="29" t="inlineStr">
        <is>
          <t>sevilla</t>
        </is>
      </c>
      <c r="C91" s="29" t="inlineStr">
        <is>
          <t>Mekân</t>
        </is>
      </c>
      <c r="D91" s="29" t="inlineStr">
        <is>
          <t>sevilla:real-academia-bellas-artes-sevilla</t>
        </is>
      </c>
      <c r="E91" s="29" t="inlineStr">
        <is>
          <t>Fotoğraflar/sevilla_real-academia-bellas-artes-sevilla_01.jpg</t>
        </is>
      </c>
      <c r="F91" s="29" t="inlineStr">
        <is>
          <t>3acd0200d78cb1b51f709225f21486aad39b40d1bbeb1cb4da2f079ece1fd455</t>
        </is>
      </c>
      <c r="G91" s="29" t="inlineStr">
        <is>
          <t>Kraliyet Güzel Sanatlar Akademisi'nin bulunduğu kemerli loggialı tarihî konak (Casa de los Pinelo).</t>
        </is>
      </c>
      <c r="H91" s="29" t="inlineStr">
        <is>
          <t>Daniel VILLAFRUELA</t>
        </is>
      </c>
      <c r="I91" s="29" t="inlineStr">
        <is>
          <t>CC BY-SA 3.0</t>
        </is>
      </c>
      <c r="J91" s="29" t="inlineStr">
        <is>
          <t>https://creativecommons.org/licenses/by-sa/3.0/</t>
        </is>
      </c>
      <c r="K91" s="29" t="inlineStr">
        <is>
          <t>https://commons.wikimedia.org/wiki/File:Juderia_de_Sevilla-Casa_de_los_Pinelos_2-20110915.jpg</t>
        </is>
      </c>
      <c r="L91" s="49" t="n"/>
      <c r="M91" s="49" t="n">
        <v>46320</v>
      </c>
      <c r="N91" s="29" t="inlineStr">
        <is>
          <t>Wikimedia Commons'taki "Juderia de Sevilla-Casa de los Pinelos 2-20110915.jpg" (2848×4272 px) özgün dosyasının 1280×1920 px küçültülmüş kopyası indirildi; kırpma, rötuş ve renk düzeltmesi yapılmadı. Teslim dosyası: sevilla_real-academia-bellas-artes-sevilla_01.jpg (SHA-256 3acd0200d78c).</t>
        </is>
      </c>
      <c r="O91" s="29" t="inlineStr">
        <is>
          <t>sevilla:evidence:real-academia-bellas-artes-sevilla-01</t>
        </is>
      </c>
      <c r="P91" s="29" t="inlineStr">
        <is>
          <t>Evet</t>
        </is>
      </c>
      <c r="Q91" s="51" t="n">
        <v>1</v>
      </c>
      <c r="R91" s="29" t="inlineStr">
        <is>
          <t>Taslak</t>
        </is>
      </c>
      <c r="S91" s="52">
        <f>IF(OR(A91="",F91="",C91&lt;&gt;"Mekân"),0,IF(COUNTIFS($F$8:F91,F91,$C$8:C91,"Mekân")=1,1,0))</f>
        <v/>
      </c>
      <c r="T91" s="52">
        <f>IF(OR(A91="",F91="",C91&lt;&gt;"Kapak"),0,IF(COUNTIFS($F$8:F91,F91,$C$8:C91,"Kapak")=1,1,0))</f>
        <v/>
      </c>
    </row>
    <row r="92" ht="54" customHeight="1">
      <c r="A92" s="29" t="inlineStr">
        <is>
          <t>sevilla:photo:palacio-marqueses-de-la-algaba-01</t>
        </is>
      </c>
      <c r="B92" s="29" t="inlineStr">
        <is>
          <t>sevilla</t>
        </is>
      </c>
      <c r="C92" s="29" t="inlineStr">
        <is>
          <t>Mekân</t>
        </is>
      </c>
      <c r="D92" s="29" t="inlineStr">
        <is>
          <t>sevilla:palacio-marqueses-de-la-algaba</t>
        </is>
      </c>
      <c r="E92" s="29" t="inlineStr">
        <is>
          <t>Fotoğraflar/sevilla_palacio-marqueses-de-la-algaba_01.jpg</t>
        </is>
      </c>
      <c r="F92" s="29" t="inlineStr">
        <is>
          <t>47489f51b826d538f82a371c71057bf09663c6bf41f1873b2fffec3a7c131fcf</t>
        </is>
      </c>
      <c r="G92" s="29" t="inlineStr">
        <is>
          <t>Algaba Sarayı'ndaki Mudéjar Merkezi'nde sergi vitrinleri ve ahşap tavanlı salon.</t>
        </is>
      </c>
      <c r="H92" s="29" t="inlineStr">
        <is>
          <t>Anual</t>
        </is>
      </c>
      <c r="I92" s="29" t="inlineStr">
        <is>
          <t>CC BY-SA 3.0</t>
        </is>
      </c>
      <c r="J92" s="29" t="inlineStr">
        <is>
          <t>https://creativecommons.org/licenses/by-sa/3.0/</t>
        </is>
      </c>
      <c r="K92" s="29" t="inlineStr">
        <is>
          <t>https://commons.wikimedia.org/wiki/File:Centro_del_mud%C3%A9jar_sevilla_2013_002.jpg</t>
        </is>
      </c>
      <c r="L92" s="49" t="n">
        <v>41286</v>
      </c>
      <c r="M92" s="49" t="n">
        <v>46320</v>
      </c>
      <c r="N92" s="29" t="inlineStr">
        <is>
          <t>Wikimedia Commons'taki "Centro del mudéjar sevilla 2013 002.jpg" (3872×2592 px) özgün dosyasının 1280×857 px küçültülmüş kopyası indirildi; kırpma, rötuş ve renk düzeltmesi yapılmadı. Teslim dosyası: sevilla_palacio-marqueses-de-la-algaba_01.jpg (SHA-256 47489f51b826).</t>
        </is>
      </c>
      <c r="O92" s="29" t="inlineStr">
        <is>
          <t>sevilla:evidence:palacio-marqueses-de-la-algaba-01</t>
        </is>
      </c>
      <c r="P92" s="29" t="inlineStr">
        <is>
          <t>Evet</t>
        </is>
      </c>
      <c r="Q92" s="51" t="n">
        <v>1</v>
      </c>
      <c r="R92" s="29" t="inlineStr">
        <is>
          <t>Taslak</t>
        </is>
      </c>
      <c r="S92" s="52">
        <f>IF(OR(A92="",F92="",C92&lt;&gt;"Mekân"),0,IF(COUNTIFS($F$8:F92,F92,$C$8:C92,"Mekân")=1,1,0))</f>
        <v/>
      </c>
      <c r="T92" s="52">
        <f>IF(OR(A92="",F92="",C92&lt;&gt;"Kapak"),0,IF(COUNTIFS($F$8:F92,F92,$C$8:C92,"Kapak")=1,1,0))</f>
        <v/>
      </c>
    </row>
    <row r="93" ht="54" customHeight="1">
      <c r="A93" s="29" t="inlineStr">
        <is>
          <t>sevilla:photo:palacio-marqueses-de-la-algaba-02</t>
        </is>
      </c>
      <c r="B93" s="29" t="inlineStr">
        <is>
          <t>sevilla</t>
        </is>
      </c>
      <c r="C93" s="29" t="inlineStr">
        <is>
          <t>Mekân</t>
        </is>
      </c>
      <c r="D93" s="29" t="inlineStr">
        <is>
          <t>sevilla:palacio-marqueses-de-la-algaba</t>
        </is>
      </c>
      <c r="E93" s="29" t="inlineStr">
        <is>
          <t>Fotoğraflar/sevilla_palacio-marqueses-de-la-algaba_02.jpg</t>
        </is>
      </c>
      <c r="F93" s="29" t="inlineStr">
        <is>
          <t>c6f8cf3fc040a3629104b9e6846afad4dd72022732f2e936fbc38f953e3ef406</t>
        </is>
      </c>
      <c r="G93" s="29" t="inlineStr">
        <is>
          <t>Algaba Sarayı'nda çinili basamaklı merdiven.</t>
        </is>
      </c>
      <c r="H93" s="29" t="inlineStr">
        <is>
          <t>José Luis Filpo Cabana</t>
        </is>
      </c>
      <c r="I93" s="29" t="inlineStr">
        <is>
          <t>CC BY 3.0</t>
        </is>
      </c>
      <c r="J93" s="29" t="inlineStr">
        <is>
          <t>https://creativecommons.org/licenses/by/3.0/</t>
        </is>
      </c>
      <c r="K93" s="29" t="inlineStr">
        <is>
          <t>https://commons.wikimedia.org/wiki/File:Palacio_de_los_Marqueses_de_la_Algaba,_Sevilla._Escalera.jpg</t>
        </is>
      </c>
      <c r="L93" s="49" t="n"/>
      <c r="M93" s="49" t="n">
        <v>46320</v>
      </c>
      <c r="N93" s="29" t="inlineStr">
        <is>
          <t>Wikimedia Commons'taki "Palacio de los Marqueses de la Algaba, Sevilla. Escalera.jpg" (2736×3648 px) özgün dosyasının 1280×1707 px küçültülmüş kopyası indirildi; kırpma, rötuş ve renk düzeltmesi yapılmadı. Teslim dosyası: sevilla_palacio-marqueses-de-la-algaba_02.jpg (SHA-256 c6f8cf3fc040).</t>
        </is>
      </c>
      <c r="O93" s="29" t="inlineStr">
        <is>
          <t>sevilla:evidence:palacio-marqueses-de-la-algaba-02</t>
        </is>
      </c>
      <c r="P93" s="29" t="inlineStr">
        <is>
          <t>Evet</t>
        </is>
      </c>
      <c r="Q93" s="51" t="n">
        <v>2</v>
      </c>
      <c r="R93" s="29" t="inlineStr">
        <is>
          <t>Taslak</t>
        </is>
      </c>
      <c r="S93" s="52">
        <f>IF(OR(A93="",F93="",C93&lt;&gt;"Mekân"),0,IF(COUNTIFS($F$8:F93,F93,$C$8:C93,"Mekân")=1,1,0))</f>
        <v/>
      </c>
      <c r="T93" s="52">
        <f>IF(OR(A93="",F93="",C93&lt;&gt;"Kapak"),0,IF(COUNTIFS($F$8:F93,F93,$C$8:C93,"Kapak")=1,1,0))</f>
        <v/>
      </c>
    </row>
    <row r="94" ht="54" customHeight="1">
      <c r="A94" s="29" t="inlineStr">
        <is>
          <t>sevilla:photo:palacio-marqueses-de-la-algaba-03</t>
        </is>
      </c>
      <c r="B94" s="29" t="inlineStr">
        <is>
          <t>sevilla</t>
        </is>
      </c>
      <c r="C94" s="29" t="inlineStr">
        <is>
          <t>Mekân</t>
        </is>
      </c>
      <c r="D94" s="29" t="inlineStr">
        <is>
          <t>sevilla:palacio-marqueses-de-la-algaba</t>
        </is>
      </c>
      <c r="E94" s="29" t="inlineStr">
        <is>
          <t>Fotoğraflar/sevilla_palacio-marqueses-de-la-algaba_03.jpg</t>
        </is>
      </c>
      <c r="F94" s="29" t="inlineStr">
        <is>
          <t>8a6da78f9b77aea324c3a5c17faf65574b6db0d7510cb38e5ef7b9e005f0cc30</t>
        </is>
      </c>
      <c r="G94" s="29" t="inlineStr">
        <is>
          <t>Algaba Sarayı'nın tuğla cephesinde Mudéjar biçimli pencere ve balkon.</t>
        </is>
      </c>
      <c r="H94" s="29" t="inlineStr">
        <is>
          <t>José Luis Filpo Cabana</t>
        </is>
      </c>
      <c r="I94" s="29" t="inlineStr">
        <is>
          <t>CC BY 3.0</t>
        </is>
      </c>
      <c r="J94" s="29" t="inlineStr">
        <is>
          <t>https://creativecommons.org/licenses/by/3.0/</t>
        </is>
      </c>
      <c r="K94" s="29" t="inlineStr">
        <is>
          <t>https://commons.wikimedia.org/wiki/File:Palacio_de_los_Marqueses_de_la_Algaba,_Sevilla._Fachada.jpg</t>
        </is>
      </c>
      <c r="L94" s="49" t="n"/>
      <c r="M94" s="49" t="n">
        <v>46320</v>
      </c>
      <c r="N94" s="29" t="inlineStr">
        <is>
          <t>Wikimedia Commons'taki "Palacio de los Marqueses de la Algaba, Sevilla. Fachada.jpg" (2702×2702 px) özgün dosyasının 1280×1280 px küçültülmüş kopyası indirildi; kırpma, rötuş ve renk düzeltmesi yapılmadı. Teslim dosyası: sevilla_palacio-marqueses-de-la-algaba_03.jpg (SHA-256 8a6da78f9b77).</t>
        </is>
      </c>
      <c r="O94" s="29" t="inlineStr">
        <is>
          <t>sevilla:evidence:palacio-marqueses-de-la-algaba-03</t>
        </is>
      </c>
      <c r="P94" s="29" t="inlineStr">
        <is>
          <t>Evet</t>
        </is>
      </c>
      <c r="Q94" s="51" t="n">
        <v>3</v>
      </c>
      <c r="R94" s="29" t="inlineStr">
        <is>
          <t>Taslak</t>
        </is>
      </c>
      <c r="S94" s="52">
        <f>IF(OR(A94="",F94="",C94&lt;&gt;"Mekân"),0,IF(COUNTIFS($F$8:F94,F94,$C$8:C94,"Mekân")=1,1,0))</f>
        <v/>
      </c>
      <c r="T94" s="52">
        <f>IF(OR(A94="",F94="",C94&lt;&gt;"Kapak"),0,IF(COUNTIFS($F$8:F94,F94,$C$8:C94,"Kapak")=1,1,0))</f>
        <v/>
      </c>
    </row>
    <row r="95" ht="54" customHeight="1">
      <c r="A95" s="29" t="inlineStr">
        <is>
          <t>sevilla:photo:casa-de-la-provincia-sevilla-01</t>
        </is>
      </c>
      <c r="B95" s="29" t="inlineStr">
        <is>
          <t>sevilla</t>
        </is>
      </c>
      <c r="C95" s="29" t="inlineStr">
        <is>
          <t>Mekân</t>
        </is>
      </c>
      <c r="D95" s="29" t="inlineStr">
        <is>
          <t>sevilla:casa-de-la-provincia-sevilla</t>
        </is>
      </c>
      <c r="E95" s="29" t="inlineStr">
        <is>
          <t>Fotoğraflar/sevilla_casa-de-la-provincia-sevilla_01.jpg</t>
        </is>
      </c>
      <c r="F95" s="29" t="inlineStr">
        <is>
          <t>6e73ba1e2c658fdef82fc7e1c171e194f43b7b7d04fc18d2d39bd9b7335b9880</t>
        </is>
      </c>
      <c r="G95" s="29" t="inlineStr">
        <is>
          <t>Casa de la Provincia'nın iç mekânında beyaz kemerler ve galeri.</t>
        </is>
      </c>
      <c r="H95" s="29" t="inlineStr">
        <is>
          <t>CarlosVdeHabsburgo</t>
        </is>
      </c>
      <c r="I95" s="29" t="inlineStr">
        <is>
          <t>CC BY-SA 4.0</t>
        </is>
      </c>
      <c r="J95" s="29" t="inlineStr">
        <is>
          <t>https://creativecommons.org/licenses/by-sa/4.0/</t>
        </is>
      </c>
      <c r="K95" s="29" t="inlineStr">
        <is>
          <t>https://commons.wikimedia.org/wiki/File:Arcos_Casa_de_la_Provincia.jpg</t>
        </is>
      </c>
      <c r="L95" s="49" t="n">
        <v>42855</v>
      </c>
      <c r="M95" s="49" t="n">
        <v>46320</v>
      </c>
      <c r="N95" s="29" t="inlineStr">
        <is>
          <t>Wikimedia Commons'taki "Arcos Casa de la Provincia.jpg" (3240×4320 px) özgün dosyasının 1280×1707 px küçültülmüş kopyası indirildi; kırpma, rötuş ve renk düzeltmesi yapılmadı. Teslim dosyası: sevilla_casa-de-la-provincia-sevilla_01.jpg (SHA-256 6e73ba1e2c65).</t>
        </is>
      </c>
      <c r="O95" s="29" t="inlineStr">
        <is>
          <t>sevilla:evidence:casa-de-la-provincia-sevilla-01</t>
        </is>
      </c>
      <c r="P95" s="29" t="inlineStr">
        <is>
          <t>Evet</t>
        </is>
      </c>
      <c r="Q95" s="51" t="n">
        <v>1</v>
      </c>
      <c r="R95" s="29" t="inlineStr">
        <is>
          <t>Taslak</t>
        </is>
      </c>
      <c r="S95" s="52">
        <f>IF(OR(A95="",F95="",C95&lt;&gt;"Mekân"),0,IF(COUNTIFS($F$8:F95,F95,$C$8:C95,"Mekân")=1,1,0))</f>
        <v/>
      </c>
      <c r="T95" s="52">
        <f>IF(OR(A95="",F95="",C95&lt;&gt;"Kapak"),0,IF(COUNTIFS($F$8:F95,F95,$C$8:C95,"Kapak")=1,1,0))</f>
        <v/>
      </c>
    </row>
    <row r="96" ht="54" customHeight="1">
      <c r="A96" s="29" t="inlineStr">
        <is>
          <t>sevilla:photo:casa-de-la-provincia-sevilla-02</t>
        </is>
      </c>
      <c r="B96" s="29" t="inlineStr">
        <is>
          <t>sevilla</t>
        </is>
      </c>
      <c r="C96" s="29" t="inlineStr">
        <is>
          <t>Mekân</t>
        </is>
      </c>
      <c r="D96" s="29" t="inlineStr">
        <is>
          <t>sevilla:casa-de-la-provincia-sevilla</t>
        </is>
      </c>
      <c r="E96" s="29" t="inlineStr">
        <is>
          <t>Fotoğraflar/sevilla_casa-de-la-provincia-sevilla_02.jpg</t>
        </is>
      </c>
      <c r="F96" s="29" t="inlineStr">
        <is>
          <t>966afbe7df25871246096cc7e6a3b53b0507b9fd0a68f13db5aaf7d3bef56049</t>
        </is>
      </c>
      <c r="G96" s="29" t="inlineStr">
        <is>
          <t>Casa de la Provincia'nın Plaza del Triunfo'ya bakan kırmızı-beyaz cephesi ve meydan.</t>
        </is>
      </c>
      <c r="H96" s="29" t="inlineStr">
        <is>
          <t>CarlosVdeHabsburgo</t>
        </is>
      </c>
      <c r="I96" s="29" t="inlineStr">
        <is>
          <t>CC BY-SA 4.0</t>
        </is>
      </c>
      <c r="J96" s="29" t="inlineStr">
        <is>
          <t>https://creativecommons.org/licenses/by-sa/4.0/</t>
        </is>
      </c>
      <c r="K96" s="29" t="inlineStr">
        <is>
          <t>https://commons.wikimedia.org/wiki/File:Casa_de_la_Provincia_(Diputaci%C3%B3n_de_Sevilla).jpg</t>
        </is>
      </c>
      <c r="L96" s="49" t="n">
        <v>45550</v>
      </c>
      <c r="M96" s="49" t="n">
        <v>46320</v>
      </c>
      <c r="N96" s="29" t="inlineStr">
        <is>
          <t>Wikimedia Commons'taki "Casa de la Provincia (Diputación de Sevilla).jpg" (4000×3000 px) özgün dosyasının 1280×960 px küçültülmüş kopyası indirildi; kırpma, rötuş ve renk düzeltmesi yapılmadı. Teslim dosyası: sevilla_casa-de-la-provincia-sevilla_02.jpg (SHA-256 966afbe7df25).</t>
        </is>
      </c>
      <c r="O96" s="29" t="inlineStr">
        <is>
          <t>sevilla:evidence:casa-de-la-provincia-sevilla-02</t>
        </is>
      </c>
      <c r="P96" s="29" t="inlineStr">
        <is>
          <t>Evet</t>
        </is>
      </c>
      <c r="Q96" s="51" t="n">
        <v>2</v>
      </c>
      <c r="R96" s="29" t="inlineStr">
        <is>
          <t>Taslak</t>
        </is>
      </c>
      <c r="S96" s="52">
        <f>IF(OR(A96="",F96="",C96&lt;&gt;"Mekân"),0,IF(COUNTIFS($F$8:F96,F96,$C$8:C96,"Mekân")=1,1,0))</f>
        <v/>
      </c>
      <c r="T96" s="52">
        <f>IF(OR(A96="",F96="",C96&lt;&gt;"Kapak"),0,IF(COUNTIFS($F$8:F96,F96,$C$8:C96,"Kapak")=1,1,0))</f>
        <v/>
      </c>
    </row>
    <row r="97" ht="54" customHeight="1">
      <c r="A97" s="29" t="inlineStr">
        <is>
          <t>sevilla:photo:casa-de-la-provincia-sevilla-03</t>
        </is>
      </c>
      <c r="B97" s="29" t="inlineStr">
        <is>
          <t>sevilla</t>
        </is>
      </c>
      <c r="C97" s="29" t="inlineStr">
        <is>
          <t>Mekân</t>
        </is>
      </c>
      <c r="D97" s="29" t="inlineStr">
        <is>
          <t>sevilla:casa-de-la-provincia-sevilla</t>
        </is>
      </c>
      <c r="E97" s="29" t="inlineStr">
        <is>
          <t>Fotoğraflar/sevilla_casa-de-la-provincia-sevilla_03.jpg</t>
        </is>
      </c>
      <c r="F97" s="29" t="inlineStr">
        <is>
          <t>e45e7e846f6f38cff2dc1902fa24e04f737b3d71adf555c8a17b18d1bb54aa1d</t>
        </is>
      </c>
      <c r="G97" s="29" t="inlineStr">
        <is>
          <t>Casa de la Provincia'nın cephesi, önünde atlı arabalar.</t>
        </is>
      </c>
      <c r="H97" s="29" t="inlineStr">
        <is>
          <t>CarlosVdeHabsburgo</t>
        </is>
      </c>
      <c r="I97" s="29" t="inlineStr">
        <is>
          <t>CC BY-SA 4.0</t>
        </is>
      </c>
      <c r="J97" s="29" t="inlineStr">
        <is>
          <t>https://creativecommons.org/licenses/by-sa/4.0/</t>
        </is>
      </c>
      <c r="K97" s="29" t="inlineStr">
        <is>
          <t>https://commons.wikimedia.org/wiki/File:Casa_de_la_Provincia_(Sevilla)_01.jpg</t>
        </is>
      </c>
      <c r="L97" s="49" t="n">
        <v>45676</v>
      </c>
      <c r="M97" s="49" t="n">
        <v>46320</v>
      </c>
      <c r="N97" s="29" t="inlineStr">
        <is>
          <t>Wikimedia Commons'taki "Casa de la Provincia (Sevilla) 01.jpg" (4000×3000 px) özgün dosyasının 1280×960 px küçültülmüş kopyası indirildi; kırpma, rötuş ve renk düzeltmesi yapılmadı. Teslim dosyası: sevilla_casa-de-la-provincia-sevilla_03.jpg (SHA-256 e45e7e846f6f).</t>
        </is>
      </c>
      <c r="O97" s="29" t="inlineStr">
        <is>
          <t>sevilla:evidence:casa-de-la-provincia-sevilla-03</t>
        </is>
      </c>
      <c r="P97" s="29" t="inlineStr">
        <is>
          <t>Evet</t>
        </is>
      </c>
      <c r="Q97" s="51" t="n">
        <v>3</v>
      </c>
      <c r="R97" s="29" t="inlineStr">
        <is>
          <t>Taslak</t>
        </is>
      </c>
      <c r="S97" s="52">
        <f>IF(OR(A97="",F97="",C97&lt;&gt;"Mekân"),0,IF(COUNTIFS($F$8:F97,F97,$C$8:C97,"Mekân")=1,1,0))</f>
        <v/>
      </c>
      <c r="T97" s="52">
        <f>IF(OR(A97="",F97="",C97&lt;&gt;"Kapak"),0,IF(COUNTIFS($F$8:F97,F97,$C$8:C97,"Kapak")=1,1,0))</f>
        <v/>
      </c>
    </row>
    <row r="98" ht="54" customHeight="1">
      <c r="A98" s="29" t="inlineStr">
        <is>
          <t>sevilla:photo:acuario-de-sevilla-01</t>
        </is>
      </c>
      <c r="B98" s="29" t="inlineStr">
        <is>
          <t>sevilla</t>
        </is>
      </c>
      <c r="C98" s="29" t="inlineStr">
        <is>
          <t>Mekân</t>
        </is>
      </c>
      <c r="D98" s="29" t="inlineStr">
        <is>
          <t>sevilla:acuario-de-sevilla</t>
        </is>
      </c>
      <c r="E98" s="29" t="inlineStr">
        <is>
          <t>Fotoğraflar/sevilla_acuario-de-sevilla_01.jpg</t>
        </is>
      </c>
      <c r="F98" s="29" t="inlineStr">
        <is>
          <t>db77084b6f6a347afcdb1b18c730c8646b42204dede4b28270806d408be61c8e</t>
        </is>
      </c>
      <c r="G98" s="29" t="inlineStr">
        <is>
          <t>Sevilla Akvaryumu'nda yüzgeçleri açık bir aslan balığı.</t>
        </is>
      </c>
      <c r="H98" s="29" t="inlineStr">
        <is>
          <t>Hispalois</t>
        </is>
      </c>
      <c r="I98" s="29" t="inlineStr">
        <is>
          <t>CC BY-SA 4.0</t>
        </is>
      </c>
      <c r="J98" s="29" t="inlineStr">
        <is>
          <t>https://creativecommons.org/licenses/by-sa/4.0/</t>
        </is>
      </c>
      <c r="K98" s="29" t="inlineStr">
        <is>
          <t>https://commons.wikimedia.org/wiki/File:Acuario_Sevilla_Dos_peces_leon_cebra.JPG</t>
        </is>
      </c>
      <c r="L98" s="49" t="n">
        <v>42211</v>
      </c>
      <c r="M98" s="49" t="n">
        <v>46320</v>
      </c>
      <c r="N98" s="29" t="inlineStr">
        <is>
          <t>Wikimedia Commons'taki "Acuario Sevilla Dos peces leon cebra.JPG" (3264×2448 px) özgün dosyasının 1280×960 px küçültülmüş kopyası indirildi; kırpma, rötuş ve renk düzeltmesi yapılmadı. Teslim dosyası: sevilla_acuario-de-sevilla_01.jpg (SHA-256 db77084b6f6a).</t>
        </is>
      </c>
      <c r="O98" s="29" t="inlineStr">
        <is>
          <t>sevilla:evidence:acuario-de-sevilla-01</t>
        </is>
      </c>
      <c r="P98" s="29" t="inlineStr">
        <is>
          <t>Evet</t>
        </is>
      </c>
      <c r="Q98" s="51" t="n">
        <v>1</v>
      </c>
      <c r="R98" s="29" t="inlineStr">
        <is>
          <t>Taslak</t>
        </is>
      </c>
      <c r="S98" s="52">
        <f>IF(OR(A98="",F98="",C98&lt;&gt;"Mekân"),0,IF(COUNTIFS($F$8:F98,F98,$C$8:C98,"Mekân")=1,1,0))</f>
        <v/>
      </c>
      <c r="T98" s="52">
        <f>IF(OR(A98="",F98="",C98&lt;&gt;"Kapak"),0,IF(COUNTIFS($F$8:F98,F98,$C$8:C98,"Kapak")=1,1,0))</f>
        <v/>
      </c>
    </row>
    <row r="99" ht="54" customHeight="1">
      <c r="A99" s="29" t="inlineStr">
        <is>
          <t>sevilla:photo:acuario-de-sevilla-02</t>
        </is>
      </c>
      <c r="B99" s="29" t="inlineStr">
        <is>
          <t>sevilla</t>
        </is>
      </c>
      <c r="C99" s="29" t="inlineStr">
        <is>
          <t>Mekân</t>
        </is>
      </c>
      <c r="D99" s="29" t="inlineStr">
        <is>
          <t>sevilla:acuario-de-sevilla</t>
        </is>
      </c>
      <c r="E99" s="29" t="inlineStr">
        <is>
          <t>Fotoğraflar/sevilla_acuario-de-sevilla_02.jpg</t>
        </is>
      </c>
      <c r="F99" s="29" t="inlineStr">
        <is>
          <t>ed54d2b6f33f8ef9090ca6b6ffd2c42937da52d1f4fb63133684c492172ec1b4</t>
        </is>
      </c>
      <c r="G99" s="29" t="inlineStr">
        <is>
          <t>Sevilla Akvaryumu'nda yüzen iri bir deniz kaplumbağası.</t>
        </is>
      </c>
      <c r="H99" s="29" t="inlineStr">
        <is>
          <t>Hispalois</t>
        </is>
      </c>
      <c r="I99" s="29" t="inlineStr">
        <is>
          <t>CC BY-SA 4.0</t>
        </is>
      </c>
      <c r="J99" s="29" t="inlineStr">
        <is>
          <t>https://creativecommons.org/licenses/by-sa/4.0/</t>
        </is>
      </c>
      <c r="K99" s="29" t="inlineStr">
        <is>
          <t>https://commons.wikimedia.org/wiki/File:Acuario_Sevilla_Tortuga_careta.JPG</t>
        </is>
      </c>
      <c r="L99" s="49" t="n">
        <v>42211</v>
      </c>
      <c r="M99" s="49" t="n">
        <v>46320</v>
      </c>
      <c r="N99" s="29" t="inlineStr">
        <is>
          <t>Wikimedia Commons'taki "Acuario Sevilla Tortuga careta.JPG" (3264×2448 px) özgün dosyasının 1280×960 px küçültülmüş kopyası indirildi; kırpma, rötuş ve renk düzeltmesi yapılmadı. Teslim dosyası: sevilla_acuario-de-sevilla_02.jpg (SHA-256 ed54d2b6f33f).</t>
        </is>
      </c>
      <c r="O99" s="29" t="inlineStr">
        <is>
          <t>sevilla:evidence:acuario-de-sevilla-02</t>
        </is>
      </c>
      <c r="P99" s="29" t="inlineStr">
        <is>
          <t>Evet</t>
        </is>
      </c>
      <c r="Q99" s="51" t="n">
        <v>2</v>
      </c>
      <c r="R99" s="29" t="inlineStr">
        <is>
          <t>Taslak</t>
        </is>
      </c>
      <c r="S99" s="52">
        <f>IF(OR(A99="",F99="",C99&lt;&gt;"Mekân"),0,IF(COUNTIFS($F$8:F99,F99,$C$8:C99,"Mekân")=1,1,0))</f>
        <v/>
      </c>
      <c r="T99" s="52">
        <f>IF(OR(A99="",F99="",C99&lt;&gt;"Kapak"),0,IF(COUNTIFS($F$8:F99,F99,$C$8:C99,"Kapak")=1,1,0))</f>
        <v/>
      </c>
    </row>
    <row r="100" ht="54" customHeight="1">
      <c r="A100" s="29" t="inlineStr">
        <is>
          <t>sevilla:photo:acuario-de-sevilla-03</t>
        </is>
      </c>
      <c r="B100" s="29" t="inlineStr">
        <is>
          <t>sevilla</t>
        </is>
      </c>
      <c r="C100" s="29" t="inlineStr">
        <is>
          <t>Mekân</t>
        </is>
      </c>
      <c r="D100" s="29" t="inlineStr">
        <is>
          <t>sevilla:acuario-de-sevilla</t>
        </is>
      </c>
      <c r="E100" s="29" t="inlineStr">
        <is>
          <t>Fotoğraflar/sevilla_acuario-de-sevilla_03.jpg</t>
        </is>
      </c>
      <c r="F100" s="29" t="inlineStr">
        <is>
          <t>fa7ac9b27ceb111618c8fecea0b70b3ab97de8a49e9f1138256c2d6445e8f256</t>
        </is>
      </c>
      <c r="G100" s="29" t="inlineStr">
        <is>
          <t>Sevilla Akvaryumu'nda suyun altında bir kayman.</t>
        </is>
      </c>
      <c r="H100" s="29" t="inlineStr">
        <is>
          <t>Hispalois</t>
        </is>
      </c>
      <c r="I100" s="29" t="inlineStr">
        <is>
          <t>CC BY-SA 4.0</t>
        </is>
      </c>
      <c r="J100" s="29" t="inlineStr">
        <is>
          <t>https://creativecommons.org/licenses/by-sa/4.0/</t>
        </is>
      </c>
      <c r="K100" s="29" t="inlineStr">
        <is>
          <t>https://commons.wikimedia.org/wiki/File:Acuario_Sevilla_caiman_de_Cuvier.JPG</t>
        </is>
      </c>
      <c r="L100" s="49" t="n">
        <v>42211</v>
      </c>
      <c r="M100" s="49" t="n">
        <v>46320</v>
      </c>
      <c r="N100" s="29" t="inlineStr">
        <is>
          <t>Wikimedia Commons'taki "Acuario Sevilla caiman de Cuvier.JPG" (3118×1932 px) özgün dosyasının 1280×793 px küçültülmüş kopyası indirildi; kırpma, rötuş ve renk düzeltmesi yapılmadı. Teslim dosyası: sevilla_acuario-de-sevilla_03.jpg (SHA-256 fa7ac9b27ceb).</t>
        </is>
      </c>
      <c r="O100" s="29" t="inlineStr">
        <is>
          <t>sevilla:evidence:acuario-de-sevilla-03</t>
        </is>
      </c>
      <c r="P100" s="29" t="inlineStr">
        <is>
          <t>Evet</t>
        </is>
      </c>
      <c r="Q100" s="51" t="n">
        <v>3</v>
      </c>
      <c r="R100" s="29" t="inlineStr">
        <is>
          <t>Taslak</t>
        </is>
      </c>
      <c r="S100" s="52">
        <f>IF(OR(A100="",F100="",C100&lt;&gt;"Mekân"),0,IF(COUNTIFS($F$8:F100,F100,$C$8:C100,"Mekân")=1,1,0))</f>
        <v/>
      </c>
      <c r="T100" s="52">
        <f>IF(OR(A100="",F100="",C100&lt;&gt;"Kapak"),0,IF(COUNTIFS($F$8:F100,F100,$C$8:C100,"Kapak")=1,1,0))</f>
        <v/>
      </c>
    </row>
    <row r="101" ht="54" customHeight="1">
      <c r="A101" s="29" t="inlineStr">
        <is>
          <t>sevilla:photo:estadio-sanchez-pizjuan-tur-01</t>
        </is>
      </c>
      <c r="B101" s="29" t="inlineStr">
        <is>
          <t>sevilla</t>
        </is>
      </c>
      <c r="C101" s="29" t="inlineStr">
        <is>
          <t>Mekân</t>
        </is>
      </c>
      <c r="D101" s="29" t="inlineStr">
        <is>
          <t>sevilla:estadio-sanchez-pizjuan-tur</t>
        </is>
      </c>
      <c r="E101" s="29" t="inlineStr">
        <is>
          <t>Fotoğraflar/sevilla_estadio-sanchez-pizjuan-tur_01.jpg</t>
        </is>
      </c>
      <c r="F101" s="29" t="inlineStr">
        <is>
          <t>b116254dcb1d188f0903660ce0fad7a93afc098283a78744bdc5111dd99f6624</t>
        </is>
      </c>
      <c r="G101" s="29" t="inlineStr">
        <is>
          <t>Sánchez-Pizjuán Stadı'nın kırmızı tribünleri ve sahası.</t>
        </is>
      </c>
      <c r="H101" s="29" t="inlineStr">
        <is>
          <t>Niels98</t>
        </is>
      </c>
      <c r="I101" s="29" t="inlineStr">
        <is>
          <t>CC BY-SA 4.0</t>
        </is>
      </c>
      <c r="J101" s="29" t="inlineStr">
        <is>
          <t>https://creativecommons.org/licenses/by-sa/4.0/</t>
        </is>
      </c>
      <c r="K101" s="29" t="inlineStr">
        <is>
          <t>https://commons.wikimedia.org/wiki/File:2022-10-25_1_Estadio_Ram%C3%B3n_S%C3%A1nchez_Pizju%C3%A1n_(Sevilla_FC).jpg</t>
        </is>
      </c>
      <c r="L101" s="49" t="n">
        <v>44859</v>
      </c>
      <c r="M101" s="49" t="n">
        <v>46320</v>
      </c>
      <c r="N101" s="29" t="inlineStr">
        <is>
          <t>Wikimedia Commons'taki "2022-10-25 1 Estadio Ramón Sánchez Pizjuán (Sevilla FC).jpg" (4032×3024 px) özgün dosyasının 1280×960 px küçültülmüş kopyası indirildi; kırpma, rötuş ve renk düzeltmesi yapılmadı. Teslim dosyası: sevilla_estadio-sanchez-pizjuan-tur_01.jpg (SHA-256 b116254dcb1d).</t>
        </is>
      </c>
      <c r="O101" s="29" t="inlineStr">
        <is>
          <t>sevilla:evidence:estadio-sanchez-pizjuan-tur-01</t>
        </is>
      </c>
      <c r="P101" s="29" t="inlineStr">
        <is>
          <t>Evet</t>
        </is>
      </c>
      <c r="Q101" s="51" t="n">
        <v>1</v>
      </c>
      <c r="R101" s="29" t="inlineStr">
        <is>
          <t>Taslak</t>
        </is>
      </c>
      <c r="S101" s="52">
        <f>IF(OR(A101="",F101="",C101&lt;&gt;"Mekân"),0,IF(COUNTIFS($F$8:F101,F101,$C$8:C101,"Mekân")=1,1,0))</f>
        <v/>
      </c>
      <c r="T101" s="52">
        <f>IF(OR(A101="",F101="",C101&lt;&gt;"Kapak"),0,IF(COUNTIFS($F$8:F101,F101,$C$8:C101,"Kapak")=1,1,0))</f>
        <v/>
      </c>
    </row>
    <row r="102" ht="54" customHeight="1">
      <c r="A102" s="29" t="inlineStr">
        <is>
          <t>sevilla:photo:estadio-sanchez-pizjuan-tur-02</t>
        </is>
      </c>
      <c r="B102" s="29" t="inlineStr">
        <is>
          <t>sevilla</t>
        </is>
      </c>
      <c r="C102" s="29" t="inlineStr">
        <is>
          <t>Mekân</t>
        </is>
      </c>
      <c r="D102" s="29" t="inlineStr">
        <is>
          <t>sevilla:estadio-sanchez-pizjuan-tur</t>
        </is>
      </c>
      <c r="E102" s="29" t="inlineStr">
        <is>
          <t>Fotoğraflar/sevilla_estadio-sanchez-pizjuan-tur_02.jpg</t>
        </is>
      </c>
      <c r="F102" s="29" t="inlineStr">
        <is>
          <t>6fe2099d22ba2b734e4bf6bad304a015d2306c6637ffa7adb427e3362c3cdacb</t>
        </is>
      </c>
      <c r="G102" s="29" t="inlineStr">
        <is>
          <t>Sánchez-Pizjuán Stadı'nda saha kenarındaki kırmızı yedek kulübesi koltukları.</t>
        </is>
      </c>
      <c r="H102" s="29" t="inlineStr">
        <is>
          <t>CarlosVdeHabsburgo</t>
        </is>
      </c>
      <c r="I102" s="29" t="inlineStr">
        <is>
          <t>CC BY-SA 4.0</t>
        </is>
      </c>
      <c r="J102" s="29" t="inlineStr">
        <is>
          <t>https://creativecommons.org/licenses/by-sa/4.0/</t>
        </is>
      </c>
      <c r="K102" s="29" t="inlineStr">
        <is>
          <t>https://commons.wikimedia.org/wiki/File:Banquillo_del_Sevilla_FC.jpg</t>
        </is>
      </c>
      <c r="L102" s="49" t="n">
        <v>45535</v>
      </c>
      <c r="M102" s="49" t="n">
        <v>46320</v>
      </c>
      <c r="N102" s="29" t="inlineStr">
        <is>
          <t>Wikimedia Commons'taki "Banquillo del Sevilla FC.jpg" (4000×3000 px) özgün dosyasının 1280×960 px küçültülmüş kopyası indirildi; kırpma, rötuş ve renk düzeltmesi yapılmadı. Teslim dosyası: sevilla_estadio-sanchez-pizjuan-tur_02.jpg (SHA-256 6fe2099d22ba).</t>
        </is>
      </c>
      <c r="O102" s="29" t="inlineStr">
        <is>
          <t>sevilla:evidence:estadio-sanchez-pizjuan-tur-02</t>
        </is>
      </c>
      <c r="P102" s="29" t="inlineStr">
        <is>
          <t>Evet</t>
        </is>
      </c>
      <c r="Q102" s="51" t="n">
        <v>2</v>
      </c>
      <c r="R102" s="29" t="inlineStr">
        <is>
          <t>Taslak</t>
        </is>
      </c>
      <c r="S102" s="52">
        <f>IF(OR(A102="",F102="",C102&lt;&gt;"Mekân"),0,IF(COUNTIFS($F$8:F102,F102,$C$8:C102,"Mekân")=1,1,0))</f>
        <v/>
      </c>
      <c r="T102" s="52">
        <f>IF(OR(A102="",F102="",C102&lt;&gt;"Kapak"),0,IF(COUNTIFS($F$8:F102,F102,$C$8:C102,"Kapak")=1,1,0))</f>
        <v/>
      </c>
    </row>
    <row r="103" ht="54" customHeight="1">
      <c r="A103" s="29" t="inlineStr">
        <is>
          <t>sevilla:photo:estadio-sanchez-pizjuan-tur-03</t>
        </is>
      </c>
      <c r="B103" s="29" t="inlineStr">
        <is>
          <t>sevilla</t>
        </is>
      </c>
      <c r="C103" s="29" t="inlineStr">
        <is>
          <t>Mekân</t>
        </is>
      </c>
      <c r="D103" s="29" t="inlineStr">
        <is>
          <t>sevilla:estadio-sanchez-pizjuan-tur</t>
        </is>
      </c>
      <c r="E103" s="29" t="inlineStr">
        <is>
          <t>Fotoğraflar/sevilla_estadio-sanchez-pizjuan-tur_03.jpg</t>
        </is>
      </c>
      <c r="F103" s="29" t="inlineStr">
        <is>
          <t>1e5c3a12de32f81803e83b1c4f90d9a04df4163bceef40177674d870d5c90362</t>
        </is>
      </c>
      <c r="G103" s="29" t="inlineStr">
        <is>
          <t>Sánchez-Pizjuán Stadı'nın dış cephesindeki büyük çini kulüp panosu.</t>
        </is>
      </c>
      <c r="H103" s="29" t="inlineStr">
        <is>
          <t>Thomas Dahlstrøm Nielsen</t>
        </is>
      </c>
      <c r="I103" s="29" t="inlineStr">
        <is>
          <t>CC BY-SA 4.0</t>
        </is>
      </c>
      <c r="J103" s="29" t="inlineStr">
        <is>
          <t>https://creativecommons.org/licenses/by-sa/4.0/</t>
        </is>
      </c>
      <c r="K103" s="29" t="inlineStr">
        <is>
          <t>https://commons.wikimedia.org/wiki/File:Estadio_Ram%C3%B3n_S%C3%A1nchez_Pizju%C3%A1n,_2022_(b).jpg</t>
        </is>
      </c>
      <c r="L103" s="49" t="n">
        <v>44858</v>
      </c>
      <c r="M103" s="49" t="n">
        <v>46320</v>
      </c>
      <c r="N103" s="29" t="inlineStr">
        <is>
          <t>Wikimedia Commons'taki "Estadio Ramón Sánchez Pizjuán, 2022 (b).jpg" (6000×4000 px) özgün dosyasının 1280×853 px küçültülmüş kopyası indirildi; kırpma, rötuş ve renk düzeltmesi yapılmadı. Teslim dosyası: sevilla_estadio-sanchez-pizjuan-tur_03.jpg (SHA-256 1e5c3a12de32).</t>
        </is>
      </c>
      <c r="O103" s="29" t="inlineStr">
        <is>
          <t>sevilla:evidence:estadio-sanchez-pizjuan-tur-03</t>
        </is>
      </c>
      <c r="P103" s="29" t="inlineStr">
        <is>
          <t>Evet</t>
        </is>
      </c>
      <c r="Q103" s="51" t="n">
        <v>3</v>
      </c>
      <c r="R103" s="29" t="inlineStr">
        <is>
          <t>Taslak</t>
        </is>
      </c>
      <c r="S103" s="52">
        <f>IF(OR(A103="",F103="",C103&lt;&gt;"Mekân"),0,IF(COUNTIFS($F$8:F103,F103,$C$8:C103,"Mekân")=1,1,0))</f>
        <v/>
      </c>
      <c r="T103" s="52">
        <f>IF(OR(A103="",F103="",C103&lt;&gt;"Kapak"),0,IF(COUNTIFS($F$8:F103,F103,$C$8:C103,"Kapak")=1,1,0))</f>
        <v/>
      </c>
    </row>
    <row r="104" ht="54" customHeight="1">
      <c r="A104" s="29" t="inlineStr">
        <is>
          <t>sevilla:photo:estadio-la-cartuja-01</t>
        </is>
      </c>
      <c r="B104" s="29" t="inlineStr">
        <is>
          <t>sevilla</t>
        </is>
      </c>
      <c r="C104" s="29" t="inlineStr">
        <is>
          <t>Mekân</t>
        </is>
      </c>
      <c r="D104" s="29" t="inlineStr">
        <is>
          <t>sevilla:estadio-la-cartuja</t>
        </is>
      </c>
      <c r="E104" s="29" t="inlineStr">
        <is>
          <t>Fotoğraflar/sevilla_estadio-la-cartuja_01.jpg</t>
        </is>
      </c>
      <c r="F104" s="29" t="inlineStr">
        <is>
          <t>0c72dddac6f40be16d9e242642f72ae9429b5fe86b8dc85b9e1614f656a0ee1d</t>
        </is>
      </c>
      <c r="G104" s="29" t="inlineStr">
        <is>
          <t>La Cartuja Olimpiyat Stadı'nda pistte koşanlar ve tribünler.</t>
        </is>
      </c>
      <c r="H104" s="29" t="inlineStr">
        <is>
          <t>alfonsocg1983</t>
        </is>
      </c>
      <c r="I104" s="29" t="inlineStr">
        <is>
          <t>CC BY 3.0</t>
        </is>
      </c>
      <c r="J104" s="29" t="inlineStr">
        <is>
          <t>https://creativecommons.org/licenses/by/3.0/</t>
        </is>
      </c>
      <c r="K104" s="29" t="inlineStr">
        <is>
          <t>https://commons.wikimedia.org/wiki/File:Carrera_nocturna_2009_Sevilla_-_Estadio_olimpico_-_http-imd.sevilla.org_-_panoramio.jpg</t>
        </is>
      </c>
      <c r="L104" s="49" t="n"/>
      <c r="M104" s="49" t="n">
        <v>46320</v>
      </c>
      <c r="N104" s="29" t="inlineStr">
        <is>
          <t>Wikimedia Commons'taki "Carrera nocturna 2009 Sevilla - Estadio olimpico - http-imd.sevilla.org - panoramio.jpg" (2592×1944 px) özgün dosyasının 1280×960 px küçültülmüş kopyası indirildi; kırpma, rötuş ve renk düzeltmesi yapılmadı. Teslim dosyası: sevilla_estadio-la-cartuja_01.jpg (SHA-256 0c72dddac6f4).</t>
        </is>
      </c>
      <c r="O104" s="29" t="inlineStr">
        <is>
          <t>sevilla:evidence:estadio-la-cartuja-01</t>
        </is>
      </c>
      <c r="P104" s="29" t="inlineStr">
        <is>
          <t>Evet</t>
        </is>
      </c>
      <c r="Q104" s="51" t="n">
        <v>1</v>
      </c>
      <c r="R104" s="29" t="inlineStr">
        <is>
          <t>Taslak</t>
        </is>
      </c>
      <c r="S104" s="52">
        <f>IF(OR(A104="",F104="",C104&lt;&gt;"Mekân"),0,IF(COUNTIFS($F$8:F104,F104,$C$8:C104,"Mekân")=1,1,0))</f>
        <v/>
      </c>
      <c r="T104" s="52">
        <f>IF(OR(A104="",F104="",C104&lt;&gt;"Kapak"),0,IF(COUNTIFS($F$8:F104,F104,$C$8:C104,"Kapak")=1,1,0))</f>
        <v/>
      </c>
    </row>
    <row r="105" ht="54" customHeight="1">
      <c r="A105" s="29" t="inlineStr">
        <is>
          <t>sevilla:photo:estadio-la-cartuja-02</t>
        </is>
      </c>
      <c r="B105" s="29" t="inlineStr">
        <is>
          <t>sevilla</t>
        </is>
      </c>
      <c r="C105" s="29" t="inlineStr">
        <is>
          <t>Mekân</t>
        </is>
      </c>
      <c r="D105" s="29" t="inlineStr">
        <is>
          <t>sevilla:estadio-la-cartuja</t>
        </is>
      </c>
      <c r="E105" s="29" t="inlineStr">
        <is>
          <t>Fotoğraflar/sevilla_estadio-la-cartuja_02.jpg</t>
        </is>
      </c>
      <c r="F105" s="29" t="inlineStr">
        <is>
          <t>4ca37e3b2861604e89eb63043d391ccead859d20df7c120cfbbd0528626da94f</t>
        </is>
      </c>
      <c r="G105" s="29" t="inlineStr">
        <is>
          <t>La Cartuja Stadı'nın çatılı tribünleri ve sahası.</t>
        </is>
      </c>
      <c r="H105" s="29" t="inlineStr">
        <is>
          <t>JonnyJonny</t>
        </is>
      </c>
      <c r="I105" s="29" t="inlineStr">
        <is>
          <t>Public domain</t>
        </is>
      </c>
      <c r="J105" s="29" t="inlineStr">
        <is>
          <t>https://commons.wikimedia.org/wiki/File:Ciencias_vs_ElSalvador_2016.jpg</t>
        </is>
      </c>
      <c r="K105" s="29" t="inlineStr">
        <is>
          <t>https://commons.wikimedia.org/wiki/File:Ciencias_vs_ElSalvador_2016.jpg</t>
        </is>
      </c>
      <c r="L105" s="49" t="n">
        <v>42624</v>
      </c>
      <c r="M105" s="49" t="n">
        <v>46320</v>
      </c>
      <c r="N105" s="29" t="inlineStr">
        <is>
          <t>Wikimedia Commons'taki "Ciencias vs ElSalvador 2016.jpg" (4128×2322 px) özgün dosyasının 1280×720 px küçültülmüş kopyası indirildi; kırpma, rötuş ve renk düzeltmesi yapılmadı. Teslim dosyası: sevilla_estadio-la-cartuja_02.jpg (SHA-256 4ca37e3b2861).</t>
        </is>
      </c>
      <c r="O105" s="29" t="inlineStr">
        <is>
          <t>sevilla:evidence:estadio-la-cartuja-02</t>
        </is>
      </c>
      <c r="P105" s="29" t="inlineStr">
        <is>
          <t>Evet</t>
        </is>
      </c>
      <c r="Q105" s="51" t="n">
        <v>2</v>
      </c>
      <c r="R105" s="29" t="inlineStr">
        <is>
          <t>Taslak</t>
        </is>
      </c>
      <c r="S105" s="52">
        <f>IF(OR(A105="",F105="",C105&lt;&gt;"Mekân"),0,IF(COUNTIFS($F$8:F105,F105,$C$8:C105,"Mekân")=1,1,0))</f>
        <v/>
      </c>
      <c r="T105" s="52">
        <f>IF(OR(A105="",F105="",C105&lt;&gt;"Kapak"),0,IF(COUNTIFS($F$8:F105,F105,$C$8:C105,"Kapak")=1,1,0))</f>
        <v/>
      </c>
    </row>
    <row r="106" ht="54" customHeight="1">
      <c r="A106" s="29" t="inlineStr">
        <is>
          <t>sevilla:photo:estadio-la-cartuja-03</t>
        </is>
      </c>
      <c r="B106" s="29" t="inlineStr">
        <is>
          <t>sevilla</t>
        </is>
      </c>
      <c r="C106" s="29" t="inlineStr">
        <is>
          <t>Mekân</t>
        </is>
      </c>
      <c r="D106" s="29" t="inlineStr">
        <is>
          <t>sevilla:estadio-la-cartuja</t>
        </is>
      </c>
      <c r="E106" s="29" t="inlineStr">
        <is>
          <t>Fotoğraflar/sevilla_estadio-la-cartuja_03.jpg</t>
        </is>
      </c>
      <c r="F106" s="29" t="inlineStr">
        <is>
          <t>ff2246eedecc772462c12c474ecbd9314103f86fbd30ba548dc2ec8224f35c45</t>
        </is>
      </c>
      <c r="G106" s="29" t="inlineStr">
        <is>
          <t>La Cartuja Stadı'nın boş tribünleri ve atletizm pisti.</t>
        </is>
      </c>
      <c r="H106" s="29" t="inlineStr">
        <is>
          <t>Granadino anti-andaluz</t>
        </is>
      </c>
      <c r="I106" s="29" t="inlineStr">
        <is>
          <t>CC BY-SA 4.0</t>
        </is>
      </c>
      <c r="J106" s="29" t="inlineStr">
        <is>
          <t>https://creativecommons.org/licenses/by-sa/4.0/</t>
        </is>
      </c>
      <c r="K106" s="29" t="inlineStr">
        <is>
          <t>https://commons.wikimedia.org/wiki/File:Estadio_Ol%C3%ADmpico_de_La_Cartuja,_Sevilla.jpg</t>
        </is>
      </c>
      <c r="L106" s="49" t="n">
        <v>39322</v>
      </c>
      <c r="M106" s="49" t="n">
        <v>46320</v>
      </c>
      <c r="N106" s="29" t="inlineStr">
        <is>
          <t>Wikimedia Commons'taki "Estadio Olímpico de La Cartuja, Sevilla.jpg" (2592×1952 px) özgün dosyasının 1280×964 px küçültülmüş kopyası indirildi; kırpma, rötuş ve renk düzeltmesi yapılmadı. Teslim dosyası: sevilla_estadio-la-cartuja_03.jpg (SHA-256 ff2246eedecc).</t>
        </is>
      </c>
      <c r="O106" s="29" t="inlineStr">
        <is>
          <t>sevilla:evidence:estadio-la-cartuja-03</t>
        </is>
      </c>
      <c r="P106" s="29" t="inlineStr">
        <is>
          <t>Evet</t>
        </is>
      </c>
      <c r="Q106" s="51" t="n">
        <v>3</v>
      </c>
      <c r="R106" s="29" t="inlineStr">
        <is>
          <t>Taslak</t>
        </is>
      </c>
      <c r="S106" s="52">
        <f>IF(OR(A106="",F106="",C106&lt;&gt;"Mekân"),0,IF(COUNTIFS($F$8:F106,F106,$C$8:C106,"Mekân")=1,1,0))</f>
        <v/>
      </c>
      <c r="T106" s="52">
        <f>IF(OR(A106="",F106="",C106&lt;&gt;"Kapak"),0,IF(COUNTIFS($F$8:F106,F106,$C$8:C106,"Kapak")=1,1,0))</f>
        <v/>
      </c>
    </row>
    <row r="107" ht="54" customHeight="1">
      <c r="A107" s="29" t="inlineStr">
        <is>
          <t>sevilla:photo:teatro-de-la-maestranza-01</t>
        </is>
      </c>
      <c r="B107" s="29" t="inlineStr">
        <is>
          <t>sevilla</t>
        </is>
      </c>
      <c r="C107" s="29" t="inlineStr">
        <is>
          <t>Mekân</t>
        </is>
      </c>
      <c r="D107" s="29" t="inlineStr">
        <is>
          <t>sevilla:teatro-de-la-maestranza</t>
        </is>
      </c>
      <c r="E107" s="29" t="inlineStr">
        <is>
          <t>Fotoğraflar/sevilla_teatro-de-la-maestranza_01.jpg</t>
        </is>
      </c>
      <c r="F107" s="29" t="inlineStr">
        <is>
          <t>1d8dac9714723b599a4e810ab7767c285289ac4d8e3bdd8f3faa5c78861dcf91</t>
        </is>
      </c>
      <c r="G107" s="29" t="inlineStr">
        <is>
          <t>Maestranza Tiyatrosu'nun yuvarlak modern binası ve önündeki yol.</t>
        </is>
      </c>
      <c r="H107" s="29" t="inlineStr">
        <is>
          <t>Jl FilpoC</t>
        </is>
      </c>
      <c r="I107" s="29" t="inlineStr">
        <is>
          <t>CC BY-SA 4.0</t>
        </is>
      </c>
      <c r="J107" s="29" t="inlineStr">
        <is>
          <t>https://creativecommons.org/licenses/by-sa/4.0/</t>
        </is>
      </c>
      <c r="K107" s="29" t="inlineStr">
        <is>
          <t>https://commons.wikimedia.org/wiki/File:Exteriores_del_Teatro_de_la_Maestranza,_Sevilla.jpg</t>
        </is>
      </c>
      <c r="L107" s="49" t="n">
        <v>44480</v>
      </c>
      <c r="M107" s="49" t="n">
        <v>46320</v>
      </c>
      <c r="N107" s="29" t="inlineStr">
        <is>
          <t>Wikimedia Commons'taki "Exteriores del Teatro de la Maestranza, Sevilla.jpg" (4112×3088 px) özgün dosyasının 1280×961 px küçültülmüş kopyası indirildi; kırpma, rötuş ve renk düzeltmesi yapılmadı. Teslim dosyası: sevilla_teatro-de-la-maestranza_01.jpg (SHA-256 1d8dac971472).</t>
        </is>
      </c>
      <c r="O107" s="29" t="inlineStr">
        <is>
          <t>sevilla:evidence:teatro-de-la-maestranza-01</t>
        </is>
      </c>
      <c r="P107" s="29" t="inlineStr">
        <is>
          <t>Evet</t>
        </is>
      </c>
      <c r="Q107" s="51" t="n">
        <v>1</v>
      </c>
      <c r="R107" s="29" t="inlineStr">
        <is>
          <t>Taslak</t>
        </is>
      </c>
      <c r="S107" s="52">
        <f>IF(OR(A107="",F107="",C107&lt;&gt;"Mekân"),0,IF(COUNTIFS($F$8:F107,F107,$C$8:C107,"Mekân")=1,1,0))</f>
        <v/>
      </c>
      <c r="T107" s="52">
        <f>IF(OR(A107="",F107="",C107&lt;&gt;"Kapak"),0,IF(COUNTIFS($F$8:F107,F107,$C$8:C107,"Kapak")=1,1,0))</f>
        <v/>
      </c>
    </row>
    <row r="108" ht="54" customHeight="1">
      <c r="A108" s="29" t="inlineStr">
        <is>
          <t>sevilla:photo:teatro-de-la-maestranza-02</t>
        </is>
      </c>
      <c r="B108" s="29" t="inlineStr">
        <is>
          <t>sevilla</t>
        </is>
      </c>
      <c r="C108" s="29" t="inlineStr">
        <is>
          <t>Mekân</t>
        </is>
      </c>
      <c r="D108" s="29" t="inlineStr">
        <is>
          <t>sevilla:teatro-de-la-maestranza</t>
        </is>
      </c>
      <c r="E108" s="29" t="inlineStr">
        <is>
          <t>Fotoğraflar/sevilla_teatro-de-la-maestranza_02.jpg</t>
        </is>
      </c>
      <c r="F108" s="29" t="inlineStr">
        <is>
          <t>20eb35fd1bf38cde82b30cec52a0db08abf0ec593ceac30b1df415fa3d7f5e0e</t>
        </is>
      </c>
      <c r="G108" s="29" t="inlineStr">
        <is>
          <t>Maestranza Tiyatrosu'nun binası, bahçedeki ağaçların arasından.</t>
        </is>
      </c>
      <c r="H108" s="29" t="inlineStr">
        <is>
          <t>CarlosVdeHabsburgo</t>
        </is>
      </c>
      <c r="I108" s="29" t="inlineStr">
        <is>
          <t>CC BY-SA 4.0</t>
        </is>
      </c>
      <c r="J108" s="29" t="inlineStr">
        <is>
          <t>https://creativecommons.org/licenses/by-sa/4.0/</t>
        </is>
      </c>
      <c r="K108" s="29" t="inlineStr">
        <is>
          <t>https://commons.wikimedia.org/wiki/File:Maestranza_desde_jardines.jpg</t>
        </is>
      </c>
      <c r="L108" s="49" t="n">
        <v>42649</v>
      </c>
      <c r="M108" s="49" t="n">
        <v>46320</v>
      </c>
      <c r="N108" s="29" t="inlineStr">
        <is>
          <t>Wikimedia Commons'taki "Maestranza desde jardines.jpg" (4320×3240 px) özgün dosyasının 1280×960 px küçültülmüş kopyası indirildi; kırpma, rötuş ve renk düzeltmesi yapılmadı. Teslim dosyası: sevilla_teatro-de-la-maestranza_02.jpg (SHA-256 20eb35fd1bf3).</t>
        </is>
      </c>
      <c r="O108" s="29" t="inlineStr">
        <is>
          <t>sevilla:evidence:teatro-de-la-maestranza-02</t>
        </is>
      </c>
      <c r="P108" s="29" t="inlineStr">
        <is>
          <t>Evet</t>
        </is>
      </c>
      <c r="Q108" s="51" t="n">
        <v>2</v>
      </c>
      <c r="R108" s="29" t="inlineStr">
        <is>
          <t>Taslak</t>
        </is>
      </c>
      <c r="S108" s="52">
        <f>IF(OR(A108="",F108="",C108&lt;&gt;"Mekân"),0,IF(COUNTIFS($F$8:F108,F108,$C$8:C108,"Mekân")=1,1,0))</f>
        <v/>
      </c>
      <c r="T108" s="52">
        <f>IF(OR(A108="",F108="",C108&lt;&gt;"Kapak"),0,IF(COUNTIFS($F$8:F108,F108,$C$8:C108,"Kapak")=1,1,0))</f>
        <v/>
      </c>
    </row>
    <row r="109" ht="54" customHeight="1">
      <c r="A109" s="29" t="inlineStr">
        <is>
          <t>sevilla:photo:teatro-lope-de-vega-01</t>
        </is>
      </c>
      <c r="B109" s="29" t="inlineStr">
        <is>
          <t>sevilla</t>
        </is>
      </c>
      <c r="C109" s="29" t="inlineStr">
        <is>
          <t>Mekân</t>
        </is>
      </c>
      <c r="D109" s="29" t="inlineStr">
        <is>
          <t>sevilla:teatro-lope-de-vega</t>
        </is>
      </c>
      <c r="E109" s="29" t="inlineStr">
        <is>
          <t>Fotoğraflar/sevilla_teatro-lope-de-vega_01.jpg</t>
        </is>
      </c>
      <c r="F109" s="29" t="inlineStr">
        <is>
          <t>a063fbebb66605a41572bda29ea7677a2812191b7215d057a135120aac26f363</t>
        </is>
      </c>
      <c r="G109" s="29" t="inlineStr">
        <is>
          <t>Lope de Vega Tiyatrosu'nun beyaz-sarı cephesi ve önündeki meydan.</t>
        </is>
      </c>
      <c r="H109" s="29" t="inlineStr">
        <is>
          <t>CarlosVdeHabsburgo</t>
        </is>
      </c>
      <c r="I109" s="29" t="inlineStr">
        <is>
          <t>CC BY-SA 3.0</t>
        </is>
      </c>
      <c r="J109" s="29" t="inlineStr">
        <is>
          <t>https://creativecommons.org/licenses/by-sa/3.0/</t>
        </is>
      </c>
      <c r="K109" s="29" t="inlineStr">
        <is>
          <t>https://commons.wikimedia.org/wiki/File:Entrada_al_Teatro_Lope_de_Vega.JPG</t>
        </is>
      </c>
      <c r="L109" s="49" t="n">
        <v>41708</v>
      </c>
      <c r="M109" s="49" t="n">
        <v>46320</v>
      </c>
      <c r="N109" s="29" t="inlineStr">
        <is>
          <t>Wikimedia Commons'taki "Entrada al Teatro Lope de Vega.JPG" (4608×3456 px) özgün dosyasının 1280×960 px küçültülmüş kopyası indirildi; kırpma, rötuş ve renk düzeltmesi yapılmadı. Teslim dosyası: sevilla_teatro-lope-de-vega_01.jpg (SHA-256 a063fbebb666).</t>
        </is>
      </c>
      <c r="O109" s="29" t="inlineStr">
        <is>
          <t>sevilla:evidence:teatro-lope-de-vega-01</t>
        </is>
      </c>
      <c r="P109" s="29" t="inlineStr">
        <is>
          <t>Evet</t>
        </is>
      </c>
      <c r="Q109" s="51" t="n">
        <v>1</v>
      </c>
      <c r="R109" s="29" t="inlineStr">
        <is>
          <t>Taslak</t>
        </is>
      </c>
      <c r="S109" s="52">
        <f>IF(OR(A109="",F109="",C109&lt;&gt;"Mekân"),0,IF(COUNTIFS($F$8:F109,F109,$C$8:C109,"Mekân")=1,1,0))</f>
        <v/>
      </c>
      <c r="T109" s="52">
        <f>IF(OR(A109="",F109="",C109&lt;&gt;"Kapak"),0,IF(COUNTIFS($F$8:F109,F109,$C$8:C109,"Kapak")=1,1,0))</f>
        <v/>
      </c>
    </row>
    <row r="110" ht="54" customHeight="1">
      <c r="A110" s="29" t="inlineStr">
        <is>
          <t>sevilla:photo:teatro-lope-de-vega-02</t>
        </is>
      </c>
      <c r="B110" s="29" t="inlineStr">
        <is>
          <t>sevilla</t>
        </is>
      </c>
      <c r="C110" s="29" t="inlineStr">
        <is>
          <t>Mekân</t>
        </is>
      </c>
      <c r="D110" s="29" t="inlineStr">
        <is>
          <t>sevilla:teatro-lope-de-vega</t>
        </is>
      </c>
      <c r="E110" s="29" t="inlineStr">
        <is>
          <t>Fotoğraflar/sevilla_teatro-lope-de-vega_02.jpg</t>
        </is>
      </c>
      <c r="F110" s="29" t="inlineStr">
        <is>
          <t>6d831ce9e96139844576920a4d040c09267183e204ccb8ebfe498f1ffdc3bd05</t>
        </is>
      </c>
      <c r="G110" s="29" t="inlineStr">
        <is>
          <t>Lope de Vega Tiyatrosu'nun kubbeli beyaz-sarı binası ve ağaçlar.</t>
        </is>
      </c>
      <c r="H110" s="29" t="inlineStr">
        <is>
          <t>Tulumnes</t>
        </is>
      </c>
      <c r="I110" s="29" t="inlineStr">
        <is>
          <t>CC BY-SA 4.0</t>
        </is>
      </c>
      <c r="J110" s="29" t="inlineStr">
        <is>
          <t>https://creativecommons.org/licenses/by-sa/4.0/</t>
        </is>
      </c>
      <c r="K110" s="29" t="inlineStr">
        <is>
          <t>https://commons.wikimedia.org/wiki/File:Lope_de_Vega_Theatre,_Seville,_Spain.jpg</t>
        </is>
      </c>
      <c r="L110" s="49" t="n">
        <v>41815</v>
      </c>
      <c r="M110" s="49" t="n">
        <v>46320</v>
      </c>
      <c r="N110" s="29" t="inlineStr">
        <is>
          <t>Wikimedia Commons'taki "Lope de Vega Theatre, Seville, Spain.jpg" (5184×3456 px) özgün dosyasının 1280×853 px küçültülmüş kopyası indirildi; kırpma, rötuş ve renk düzeltmesi yapılmadı. Teslim dosyası: sevilla_teatro-lope-de-vega_02.jpg (SHA-256 6d831ce9e961).</t>
        </is>
      </c>
      <c r="O110" s="29" t="inlineStr">
        <is>
          <t>sevilla:evidence:teatro-lope-de-vega-02</t>
        </is>
      </c>
      <c r="P110" s="29" t="inlineStr">
        <is>
          <t>Evet</t>
        </is>
      </c>
      <c r="Q110" s="51" t="n">
        <v>2</v>
      </c>
      <c r="R110" s="29" t="inlineStr">
        <is>
          <t>Taslak</t>
        </is>
      </c>
      <c r="S110" s="52">
        <f>IF(OR(A110="",F110="",C110&lt;&gt;"Mekân"),0,IF(COUNTIFS($F$8:F110,F110,$C$8:C110,"Mekân")=1,1,0))</f>
        <v/>
      </c>
      <c r="T110" s="52">
        <f>IF(OR(A110="",F110="",C110&lt;&gt;"Kapak"),0,IF(COUNTIFS($F$8:F110,F110,$C$8:C110,"Kapak")=1,1,0))</f>
        <v/>
      </c>
    </row>
    <row r="111" ht="54" customHeight="1">
      <c r="A111" s="29" t="inlineStr">
        <is>
          <t>sevilla:photo:teatro-lope-de-vega-03</t>
        </is>
      </c>
      <c r="B111" s="29" t="inlineStr">
        <is>
          <t>sevilla</t>
        </is>
      </c>
      <c r="C111" s="29" t="inlineStr">
        <is>
          <t>Mekân</t>
        </is>
      </c>
      <c r="D111" s="29" t="inlineStr">
        <is>
          <t>sevilla:teatro-lope-de-vega</t>
        </is>
      </c>
      <c r="E111" s="29" t="inlineStr">
        <is>
          <t>Fotoğraflar/sevilla_teatro-lope-de-vega_03.jpg</t>
        </is>
      </c>
      <c r="F111" s="29" t="inlineStr">
        <is>
          <t>fa0e0fa8b7075eb8d40591ff72a812e00b4b7a75fb375be3c7ab87cafedf4c99</t>
        </is>
      </c>
      <c r="G111" s="29" t="inlineStr">
        <is>
          <t>Lope de Vega Tiyatrosu'nun yan cephesi ve süslemeli kulesi.</t>
        </is>
      </c>
      <c r="H111" s="29" t="inlineStr">
        <is>
          <t>Zarateman</t>
        </is>
      </c>
      <c r="I111" s="29" t="inlineStr">
        <is>
          <t>CC0 1.0</t>
        </is>
      </c>
      <c r="J111" s="29" t="inlineStr">
        <is>
          <t>https://creativecommons.org/publicdomain/zero/1.0/</t>
        </is>
      </c>
      <c r="K111" s="29" t="inlineStr">
        <is>
          <t>https://commons.wikimedia.org/wiki/File:Sevilla_-_Teatro_Lope_de_Vega_01.jpg</t>
        </is>
      </c>
      <c r="L111" s="49" t="n">
        <v>45035</v>
      </c>
      <c r="M111" s="49" t="n">
        <v>46320</v>
      </c>
      <c r="N111" s="29" t="inlineStr">
        <is>
          <t>Wikimedia Commons'taki "Sevilla - Teatro Lope de Vega 01.jpg" (2048×1536 px) özgün dosyasının 1280×960 px küçültülmüş kopyası indirildi; kırpma, rötuş ve renk düzeltmesi yapılmadı. Teslim dosyası: sevilla_teatro-lope-de-vega_03.jpg (SHA-256 fa0e0fa8b707).</t>
        </is>
      </c>
      <c r="O111" s="29" t="inlineStr">
        <is>
          <t>sevilla:evidence:teatro-lope-de-vega-03</t>
        </is>
      </c>
      <c r="P111" s="29" t="inlineStr">
        <is>
          <t>Evet</t>
        </is>
      </c>
      <c r="Q111" s="51" t="n">
        <v>3</v>
      </c>
      <c r="R111" s="29" t="inlineStr">
        <is>
          <t>Taslak</t>
        </is>
      </c>
      <c r="S111" s="52">
        <f>IF(OR(A111="",F111="",C111&lt;&gt;"Mekân"),0,IF(COUNTIFS($F$8:F111,F111,$C$8:C111,"Mekân")=1,1,0))</f>
        <v/>
      </c>
      <c r="T111" s="52">
        <f>IF(OR(A111="",F111="",C111&lt;&gt;"Kapak"),0,IF(COUNTIFS($F$8:F111,F111,$C$8:C111,"Kapak")=1,1,0))</f>
        <v/>
      </c>
    </row>
    <row r="112" ht="54" customHeight="1">
      <c r="A112" s="29" t="inlineStr">
        <is>
          <t>sevilla:photo:el-patio-sevillano-01</t>
        </is>
      </c>
      <c r="B112" s="29" t="inlineStr">
        <is>
          <t>sevilla</t>
        </is>
      </c>
      <c r="C112" s="29" t="inlineStr">
        <is>
          <t>Mekân</t>
        </is>
      </c>
      <c r="D112" s="29" t="inlineStr">
        <is>
          <t>sevilla:el-patio-sevillano</t>
        </is>
      </c>
      <c r="E112" s="29" t="inlineStr">
        <is>
          <t>Fotoğraflar/sevilla_el-patio-sevillano_01.jpg</t>
        </is>
      </c>
      <c r="F112" s="29" t="inlineStr">
        <is>
          <t>3c24ccea55ad3046bd536dfc87f02631900debe49dd69e3a4273a53b07a4f0eb</t>
        </is>
      </c>
      <c r="G112" s="29" t="inlineStr">
        <is>
          <t>El Patio Sevillano sahnesinde gitarist eşliğinde dans eden flamenko dansçısı.</t>
        </is>
      </c>
      <c r="H112" s="29" t="inlineStr">
        <is>
          <t>Holger Uwe Schmitt</t>
        </is>
      </c>
      <c r="I112" s="29" t="inlineStr">
        <is>
          <t>CC BY-SA 4.0</t>
        </is>
      </c>
      <c r="J112" s="29" t="inlineStr">
        <is>
          <t>https://creativecommons.org/licenses/by-sa/4.0/</t>
        </is>
      </c>
      <c r="K112" s="29" t="inlineStr">
        <is>
          <t>https://commons.wikimedia.org/wiki/File:%22Flamenco_authentisch_und_beeindruckend%22._01.jpg</t>
        </is>
      </c>
      <c r="L112" s="49" t="n">
        <v>45580</v>
      </c>
      <c r="M112" s="49" t="n">
        <v>46320</v>
      </c>
      <c r="N112" s="29" t="inlineStr">
        <is>
          <t>Wikimedia Commons'taki ""Flamenco authentisch und beeindruckend". 01.jpg" (2685×3767 px) özgün dosyasının 1280×1796 px küçültülmüş kopyası indirildi; kırpma, rötuş ve renk düzeltmesi yapılmadı. Teslim dosyası: sevilla_el-patio-sevillano_01.jpg (SHA-256 3c24ccea55ad).</t>
        </is>
      </c>
      <c r="O112" s="29" t="inlineStr">
        <is>
          <t>sevilla:evidence:el-patio-sevillano-01</t>
        </is>
      </c>
      <c r="P112" s="29" t="inlineStr">
        <is>
          <t>Evet</t>
        </is>
      </c>
      <c r="Q112" s="51" t="n">
        <v>1</v>
      </c>
      <c r="R112" s="29" t="inlineStr">
        <is>
          <t>Taslak</t>
        </is>
      </c>
      <c r="S112" s="52">
        <f>IF(OR(A112="",F112="",C112&lt;&gt;"Mekân"),0,IF(COUNTIFS($F$8:F112,F112,$C$8:C112,"Mekân")=1,1,0))</f>
        <v/>
      </c>
      <c r="T112" s="52">
        <f>IF(OR(A112="",F112="",C112&lt;&gt;"Kapak"),0,IF(COUNTIFS($F$8:F112,F112,$C$8:C112,"Kapak")=1,1,0))</f>
        <v/>
      </c>
    </row>
    <row r="113" ht="54" customHeight="1">
      <c r="A113" s="29" t="inlineStr">
        <is>
          <t>sevilla:photo:el-patio-sevillano-02</t>
        </is>
      </c>
      <c r="B113" s="29" t="inlineStr">
        <is>
          <t>sevilla</t>
        </is>
      </c>
      <c r="C113" s="29" t="inlineStr">
        <is>
          <t>Mekân</t>
        </is>
      </c>
      <c r="D113" s="29" t="inlineStr">
        <is>
          <t>sevilla:el-patio-sevillano</t>
        </is>
      </c>
      <c r="E113" s="29" t="inlineStr">
        <is>
          <t>Fotoğraflar/sevilla_el-patio-sevillano_02.jpg</t>
        </is>
      </c>
      <c r="F113" s="29" t="inlineStr">
        <is>
          <t>57a2f2cec77495b4d81cadffa3a96c1accdab2e33b688c7beac9895bf7bfcb4c</t>
        </is>
      </c>
      <c r="G113" s="29" t="inlineStr">
        <is>
          <t>El Patio Sevillano'da mavi ışıklı sahnede şallı flamenko dansçısı.</t>
        </is>
      </c>
      <c r="H113" s="29" t="inlineStr">
        <is>
          <t>Holger Uwe Schmitt</t>
        </is>
      </c>
      <c r="I113" s="29" t="inlineStr">
        <is>
          <t>CC BY-SA 4.0</t>
        </is>
      </c>
      <c r="J113" s="29" t="inlineStr">
        <is>
          <t>https://creativecommons.org/licenses/by-sa/4.0/</t>
        </is>
      </c>
      <c r="K113" s="29" t="inlineStr">
        <is>
          <t>https://commons.wikimedia.org/wiki/File:%22Flamenco_authentisch_und_beeindruckend%22._04.jpg</t>
        </is>
      </c>
      <c r="L113" s="49" t="n">
        <v>45580</v>
      </c>
      <c r="M113" s="49" t="n">
        <v>46320</v>
      </c>
      <c r="N113" s="29" t="inlineStr">
        <is>
          <t>Wikimedia Commons'taki ""Flamenco authentisch und beeindruckend". 04.jpg" (2261×4527 px) özgün dosyasının 1280×2563 px küçültülmüş kopyası indirildi; kırpma, rötuş ve renk düzeltmesi yapılmadı. Teslim dosyası: sevilla_el-patio-sevillano_02.jpg (SHA-256 57a2f2cec774).</t>
        </is>
      </c>
      <c r="O113" s="29" t="inlineStr">
        <is>
          <t>sevilla:evidence:el-patio-sevillano-02</t>
        </is>
      </c>
      <c r="P113" s="29" t="inlineStr">
        <is>
          <t>Evet</t>
        </is>
      </c>
      <c r="Q113" s="51" t="n">
        <v>2</v>
      </c>
      <c r="R113" s="29" t="inlineStr">
        <is>
          <t>Taslak</t>
        </is>
      </c>
      <c r="S113" s="52">
        <f>IF(OR(A113="",F113="",C113&lt;&gt;"Mekân"),0,IF(COUNTIFS($F$8:F113,F113,$C$8:C113,"Mekân")=1,1,0))</f>
        <v/>
      </c>
      <c r="T113" s="52">
        <f>IF(OR(A113="",F113="",C113&lt;&gt;"Kapak"),0,IF(COUNTIFS($F$8:F113,F113,$C$8:C113,"Kapak")=1,1,0))</f>
        <v/>
      </c>
    </row>
    <row r="114" ht="54" customHeight="1">
      <c r="A114" s="29" t="inlineStr">
        <is>
          <t>sevilla:photo:cartuja-center-cite-01</t>
        </is>
      </c>
      <c r="B114" s="29" t="inlineStr">
        <is>
          <t>sevilla</t>
        </is>
      </c>
      <c r="C114" s="29" t="inlineStr">
        <is>
          <t>Mekân</t>
        </is>
      </c>
      <c r="D114" s="29" t="inlineStr">
        <is>
          <t>sevilla:cartuja-center-cite</t>
        </is>
      </c>
      <c r="E114" s="29" t="inlineStr">
        <is>
          <t>Fotoğraflar/sevilla_cartuja-center-cite_01.jpg</t>
        </is>
      </c>
      <c r="F114" s="29" t="inlineStr">
        <is>
          <t>5b528bcb378bde641d58e9c48aa7ed261aead94183d72d16e7abdc23c4bfef28</t>
        </is>
      </c>
      <c r="G114" s="29" t="inlineStr">
        <is>
          <t>Cartuja Center CITE'nin geniş meydanlı modern binası.</t>
        </is>
      </c>
      <c r="H114" s="29" t="inlineStr">
        <is>
          <t>Jl FilpoC</t>
        </is>
      </c>
      <c r="I114" s="29" t="inlineStr">
        <is>
          <t>CC BY-SA 4.0</t>
        </is>
      </c>
      <c r="J114" s="29" t="inlineStr">
        <is>
          <t>https://creativecommons.org/licenses/by-sa/4.0/</t>
        </is>
      </c>
      <c r="K114" s="29" t="inlineStr">
        <is>
          <t>https://commons.wikimedia.org/wiki/File:Cartuja_Center_City,_Cartuja_93_Sevilla.jpg</t>
        </is>
      </c>
      <c r="L114" s="49" t="n">
        <v>43956</v>
      </c>
      <c r="M114" s="49" t="n">
        <v>46320</v>
      </c>
      <c r="N114" s="29" t="inlineStr">
        <is>
          <t>Wikimedia Commons'taki "Cartuja Center City, Cartuja 93 Sevilla.jpg" (4480×2520 px) özgün dosyasının 1280×720 px küçültülmüş kopyası indirildi; kırpma, rötuş ve renk düzeltmesi yapılmadı. Teslim dosyası: sevilla_cartuja-center-cite_01.jpg (SHA-256 5b528bcb378b).</t>
        </is>
      </c>
      <c r="O114" s="29" t="inlineStr">
        <is>
          <t>sevilla:evidence:cartuja-center-cite-01</t>
        </is>
      </c>
      <c r="P114" s="29" t="inlineStr">
        <is>
          <t>Evet</t>
        </is>
      </c>
      <c r="Q114" s="51" t="n">
        <v>1</v>
      </c>
      <c r="R114" s="29" t="inlineStr">
        <is>
          <t>Taslak</t>
        </is>
      </c>
      <c r="S114" s="52">
        <f>IF(OR(A114="",F114="",C114&lt;&gt;"Mekân"),0,IF(COUNTIFS($F$8:F114,F114,$C$8:C114,"Mekân")=1,1,0))</f>
        <v/>
      </c>
      <c r="T114" s="52">
        <f>IF(OR(A114="",F114="",C114&lt;&gt;"Kapak"),0,IF(COUNTIFS($F$8:F114,F114,$C$8:C114,"Kapak")=1,1,0))</f>
        <v/>
      </c>
    </row>
    <row r="115" ht="54" customHeight="1">
      <c r="A115" s="29" t="inlineStr">
        <is>
          <t>sevilla:photo:cartuja-center-cite-02</t>
        </is>
      </c>
      <c r="B115" s="29" t="inlineStr">
        <is>
          <t>sevilla</t>
        </is>
      </c>
      <c r="C115" s="29" t="inlineStr">
        <is>
          <t>Mekân</t>
        </is>
      </c>
      <c r="D115" s="29" t="inlineStr">
        <is>
          <t>sevilla:cartuja-center-cite</t>
        </is>
      </c>
      <c r="E115" s="29" t="inlineStr">
        <is>
          <t>Fotoğraflar/sevilla_cartuja-center-cite_02.jpg</t>
        </is>
      </c>
      <c r="F115" s="29" t="inlineStr">
        <is>
          <t>f8851ded4716518ffe9bc341b77d51021254ea9aa367c3fb4b3227262fa9b9ef</t>
        </is>
      </c>
      <c r="G115" s="29" t="inlineStr">
        <is>
          <t>Cartuja Center CITE'nin gece ışıklandırılmış cam cephesi.</t>
        </is>
      </c>
      <c r="H115" s="29" t="inlineStr">
        <is>
          <t>DireccióntecnicaJPA</t>
        </is>
      </c>
      <c r="I115" s="29" t="inlineStr">
        <is>
          <t>CC BY-SA 4.0</t>
        </is>
      </c>
      <c r="J115" s="29" t="inlineStr">
        <is>
          <t>https://creativecommons.org/licenses/by-sa/4.0/</t>
        </is>
      </c>
      <c r="K115" s="29" t="inlineStr">
        <is>
          <t>https://commons.wikimedia.org/wiki/File:FACHADA_PRINCIPAL_-_VISTA_NOCTURNA_DETALLE.jpg</t>
        </is>
      </c>
      <c r="L115" s="49" t="n">
        <v>41204</v>
      </c>
      <c r="M115" s="49" t="n">
        <v>46320</v>
      </c>
      <c r="N115" s="29" t="inlineStr">
        <is>
          <t>Wikimedia Commons'taki "FACHADA PRINCIPAL - VISTA NOCTURNA DETALLE.jpg" (4992×3328 px) özgün dosyasının 1280×853 px küçültülmüş kopyası indirildi; kırpma, rötuş ve renk düzeltmesi yapılmadı. Teslim dosyası: sevilla_cartuja-center-cite_02.jpg (SHA-256 f8851ded4716).</t>
        </is>
      </c>
      <c r="O115" s="29" t="inlineStr">
        <is>
          <t>sevilla:evidence:cartuja-center-cite-02</t>
        </is>
      </c>
      <c r="P115" s="29" t="inlineStr">
        <is>
          <t>Evet</t>
        </is>
      </c>
      <c r="Q115" s="51" t="n">
        <v>2</v>
      </c>
      <c r="R115" s="29" t="inlineStr">
        <is>
          <t>Taslak</t>
        </is>
      </c>
      <c r="S115" s="52">
        <f>IF(OR(A115="",F115="",C115&lt;&gt;"Mekân"),0,IF(COUNTIFS($F$8:F115,F115,$C$8:C115,"Mekân")=1,1,0))</f>
        <v/>
      </c>
      <c r="T115" s="52">
        <f>IF(OR(A115="",F115="",C115&lt;&gt;"Kapak"),0,IF(COUNTIFS($F$8:F115,F115,$C$8:C115,"Kapak")=1,1,0))</f>
        <v/>
      </c>
    </row>
    <row r="116" ht="54" customHeight="1">
      <c r="A116" s="29" t="inlineStr">
        <is>
          <t>sevilla:photo:teatro-central-sevilla-01</t>
        </is>
      </c>
      <c r="B116" s="29" t="inlineStr">
        <is>
          <t>sevilla</t>
        </is>
      </c>
      <c r="C116" s="29" t="inlineStr">
        <is>
          <t>Mekân</t>
        </is>
      </c>
      <c r="D116" s="29" t="inlineStr">
        <is>
          <t>sevilla:teatro-central-sevilla</t>
        </is>
      </c>
      <c r="E116" s="29" t="inlineStr">
        <is>
          <t>Fotoğraflar/sevilla_teatro-central-sevilla_01.jpg</t>
        </is>
      </c>
      <c r="F116" s="29" t="inlineStr">
        <is>
          <t>8f83c7b01281f46699b6a9d238fa0e47179ca978f6f7845d65675da2f13ead83</t>
        </is>
      </c>
      <c r="G116" s="29" t="inlineStr">
        <is>
          <t>Teatro Central'ın nehir kıyısındaki taş kaplı binası.</t>
        </is>
      </c>
      <c r="H116" s="29" t="inlineStr">
        <is>
          <t>CarlosVdeHabsburgo</t>
        </is>
      </c>
      <c r="I116" s="29" t="inlineStr">
        <is>
          <t>CC BY-SA 4.0</t>
        </is>
      </c>
      <c r="J116" s="29" t="inlineStr">
        <is>
          <t>https://creativecommons.org/licenses/by-sa/4.0/</t>
        </is>
      </c>
      <c r="K116" s="29" t="inlineStr">
        <is>
          <t>https://commons.wikimedia.org/wiki/File:Teatro_Central_(Sevilla).jpg</t>
        </is>
      </c>
      <c r="L116" s="49" t="n">
        <v>43144</v>
      </c>
      <c r="M116" s="49" t="n">
        <v>46320</v>
      </c>
      <c r="N116" s="29" t="inlineStr">
        <is>
          <t>Wikimedia Commons'taki "Teatro Central (Sevilla).jpg" (2709×1878 px) özgün dosyasının 1280×887 px küçültülmüş kopyası indirildi; kırpma, rötuş ve renk düzeltmesi yapılmadı. Teslim dosyası: sevilla_teatro-central-sevilla_01.jpg (SHA-256 8f83c7b01281).</t>
        </is>
      </c>
      <c r="O116" s="29" t="inlineStr">
        <is>
          <t>sevilla:evidence:teatro-central-sevilla-01</t>
        </is>
      </c>
      <c r="P116" s="29" t="inlineStr">
        <is>
          <t>Evet</t>
        </is>
      </c>
      <c r="Q116" s="51" t="n">
        <v>1</v>
      </c>
      <c r="R116" s="29" t="inlineStr">
        <is>
          <t>Taslak</t>
        </is>
      </c>
      <c r="S116" s="52">
        <f>IF(OR(A116="",F116="",C116&lt;&gt;"Mekân"),0,IF(COUNTIFS($F$8:F116,F116,$C$8:C116,"Mekân")=1,1,0))</f>
        <v/>
      </c>
      <c r="T116" s="52">
        <f>IF(OR(A116="",F116="",C116&lt;&gt;"Kapak"),0,IF(COUNTIFS($F$8:F116,F116,$C$8:C116,"Kapak")=1,1,0))</f>
        <v/>
      </c>
    </row>
    <row r="117" ht="54" customHeight="1">
      <c r="A117" s="29" t="inlineStr">
        <is>
          <t>sevilla:photo:teatro-central-sevilla-02</t>
        </is>
      </c>
      <c r="B117" s="29" t="inlineStr">
        <is>
          <t>sevilla</t>
        </is>
      </c>
      <c r="C117" s="29" t="inlineStr">
        <is>
          <t>Mekân</t>
        </is>
      </c>
      <c r="D117" s="29" t="inlineStr">
        <is>
          <t>sevilla:teatro-central-sevilla</t>
        </is>
      </c>
      <c r="E117" s="29" t="inlineStr">
        <is>
          <t>Fotoğraflar/sevilla_teatro-central-sevilla_02.jpg</t>
        </is>
      </c>
      <c r="F117" s="29" t="inlineStr">
        <is>
          <t>7f9990fb23633115308939973b7ae86d3abc1d2219564c41b5c9c0598bf31080</t>
        </is>
      </c>
      <c r="G117" s="29" t="inlineStr">
        <is>
          <t>Teatro Central'ın kare biçimli binası ve palmiyeler.</t>
        </is>
      </c>
      <c r="H117" s="29" t="inlineStr">
        <is>
          <t>CarlosVdeHabsburgo</t>
        </is>
      </c>
      <c r="I117" s="29" t="inlineStr">
        <is>
          <t>CC BY-SA 4.0</t>
        </is>
      </c>
      <c r="J117" s="29" t="inlineStr">
        <is>
          <t>https://creativecommons.org/licenses/by-sa/4.0/</t>
        </is>
      </c>
      <c r="K117" s="29" t="inlineStr">
        <is>
          <t>https://commons.wikimedia.org/wiki/File:Teatro_Central_1.JPG</t>
        </is>
      </c>
      <c r="L117" s="49" t="n"/>
      <c r="M117" s="49" t="n">
        <v>46320</v>
      </c>
      <c r="N117" s="29" t="inlineStr">
        <is>
          <t>Wikimedia Commons'taki "Teatro Central 1.JPG" (3240×4320 px) özgün dosyasının 1280×1707 px küçültülmüş kopyası indirildi; kırpma, rötuş ve renk düzeltmesi yapılmadı. Teslim dosyası: sevilla_teatro-central-sevilla_02.jpg (SHA-256 7f9990fb2363).</t>
        </is>
      </c>
      <c r="O117" s="29" t="inlineStr">
        <is>
          <t>sevilla:evidence:teatro-central-sevilla-02</t>
        </is>
      </c>
      <c r="P117" s="29" t="inlineStr">
        <is>
          <t>Evet</t>
        </is>
      </c>
      <c r="Q117" s="51" t="n">
        <v>2</v>
      </c>
      <c r="R117" s="29" t="inlineStr">
        <is>
          <t>Taslak</t>
        </is>
      </c>
      <c r="S117" s="52">
        <f>IF(OR(A117="",F117="",C117&lt;&gt;"Mekân"),0,IF(COUNTIFS($F$8:F117,F117,$C$8:C117,"Mekân")=1,1,0))</f>
        <v/>
      </c>
      <c r="T117" s="52">
        <f>IF(OR(A117="",F117="",C117&lt;&gt;"Kapak"),0,IF(COUNTIFS($F$8:F117,F117,$C$8:C117,"Kapak")=1,1,0))</f>
        <v/>
      </c>
    </row>
    <row r="118" ht="54" customHeight="1">
      <c r="A118" s="29" t="inlineStr">
        <is>
          <t>sevilla:photo:teatro-central-sevilla-03</t>
        </is>
      </c>
      <c r="B118" s="29" t="inlineStr">
        <is>
          <t>sevilla</t>
        </is>
      </c>
      <c r="C118" s="29" t="inlineStr">
        <is>
          <t>Mekân</t>
        </is>
      </c>
      <c r="D118" s="29" t="inlineStr">
        <is>
          <t>sevilla:teatro-central-sevilla</t>
        </is>
      </c>
      <c r="E118" s="29" t="inlineStr">
        <is>
          <t>Fotoğraflar/sevilla_teatro-central-sevilla_03.jpg</t>
        </is>
      </c>
      <c r="F118" s="29" t="inlineStr">
        <is>
          <t>87faf05680c44a7c2e0b65bbf44928848b56e4c1aafad63f0ddc94e9e93621a2</t>
        </is>
      </c>
      <c r="G118" s="29" t="inlineStr">
        <is>
          <t>Teatro Central'ın taş duvarında gösteri afişi.</t>
        </is>
      </c>
      <c r="H118" s="29" t="inlineStr">
        <is>
          <t>CarlosVdeHabsburgo</t>
        </is>
      </c>
      <c r="I118" s="29" t="inlineStr">
        <is>
          <t>CC BY-SA 4.0</t>
        </is>
      </c>
      <c r="J118" s="29" t="inlineStr">
        <is>
          <t>https://creativecommons.org/licenses/by-sa/4.0/</t>
        </is>
      </c>
      <c r="K118" s="29" t="inlineStr">
        <is>
          <t>https://commons.wikimedia.org/wiki/File:Teatro_Central_2.JPG</t>
        </is>
      </c>
      <c r="L118" s="49" t="n"/>
      <c r="M118" s="49" t="n">
        <v>46320</v>
      </c>
      <c r="N118" s="29" t="inlineStr">
        <is>
          <t>Wikimedia Commons'taki "Teatro Central 2.JPG" (4320×3240 px) özgün dosyasının 1280×960 px küçültülmüş kopyası indirildi; kırpma, rötuş ve renk düzeltmesi yapılmadı. Teslim dosyası: sevilla_teatro-central-sevilla_03.jpg (SHA-256 87faf05680c4).</t>
        </is>
      </c>
      <c r="O118" s="29" t="inlineStr">
        <is>
          <t>sevilla:evidence:teatro-central-sevilla-03</t>
        </is>
      </c>
      <c r="P118" s="29" t="inlineStr">
        <is>
          <t>Evet</t>
        </is>
      </c>
      <c r="Q118" s="51" t="n">
        <v>3</v>
      </c>
      <c r="R118" s="29" t="inlineStr">
        <is>
          <t>Taslak</t>
        </is>
      </c>
      <c r="S118" s="52">
        <f>IF(OR(A118="",F118="",C118&lt;&gt;"Mekân"),0,IF(COUNTIFS($F$8:F118,F118,$C$8:C118,"Mekân")=1,1,0))</f>
        <v/>
      </c>
      <c r="T118" s="52">
        <f>IF(OR(A118="",F118="",C118&lt;&gt;"Kapak"),0,IF(COUNTIFS($F$8:F118,F118,$C$8:C118,"Kapak")=1,1,0))</f>
        <v/>
      </c>
    </row>
    <row r="119" ht="54" customHeight="1">
      <c r="A119" s="29" t="inlineStr">
        <is>
          <t>sevilla:photo:auditorio-cartuja-sevilla-01</t>
        </is>
      </c>
      <c r="B119" s="29" t="inlineStr">
        <is>
          <t>sevilla</t>
        </is>
      </c>
      <c r="C119" s="29" t="inlineStr">
        <is>
          <t>Mekân</t>
        </is>
      </c>
      <c r="D119" s="29" t="inlineStr">
        <is>
          <t>sevilla:auditorio-cartuja-sevilla</t>
        </is>
      </c>
      <c r="E119" s="29" t="inlineStr">
        <is>
          <t>Fotoğraflar/sevilla_auditorio-cartuja-sevilla_01.jpg</t>
        </is>
      </c>
      <c r="F119" s="29" t="inlineStr">
        <is>
          <t>1188a8dc7076557d353adea695eed2a4a9fdce2ede7ac940796b271df964a264</t>
        </is>
      </c>
      <c r="G119" s="29" t="inlineStr">
        <is>
          <t>Ibercaja Auditorio Cartuja'nın tabelalı cam girişi.</t>
        </is>
      </c>
      <c r="H119" s="29" t="inlineStr">
        <is>
          <t>Auditorio Nissan Cartuja</t>
        </is>
      </c>
      <c r="I119" s="29" t="inlineStr">
        <is>
          <t>CC BY-SA 4.0</t>
        </is>
      </c>
      <c r="J119" s="29" t="inlineStr">
        <is>
          <t>https://creativecommons.org/licenses/by-sa/4.0/</t>
        </is>
      </c>
      <c r="K119" s="29" t="inlineStr">
        <is>
          <t>https://commons.wikimedia.org/wiki/File:Entrada_exterior.jpg</t>
        </is>
      </c>
      <c r="L119" s="49" t="n">
        <v>45226</v>
      </c>
      <c r="M119" s="49" t="n">
        <v>46320</v>
      </c>
      <c r="N119" s="29" t="inlineStr">
        <is>
          <t>Wikimedia Commons'taki "Entrada exterior.jpg" (4032×3024 px) özgün dosyasının 1280×960 px küçültülmüş kopyası indirildi; kırpma, rötuş ve renk düzeltmesi yapılmadı. Teslim dosyası: sevilla_auditorio-cartuja-sevilla_01.jpg (SHA-256 1188a8dc7076).</t>
        </is>
      </c>
      <c r="O119" s="29" t="inlineStr">
        <is>
          <t>sevilla:evidence:auditorio-cartuja-sevilla-01</t>
        </is>
      </c>
      <c r="P119" s="29" t="inlineStr">
        <is>
          <t>Evet</t>
        </is>
      </c>
      <c r="Q119" s="51" t="n">
        <v>1</v>
      </c>
      <c r="R119" s="29" t="inlineStr">
        <is>
          <t>Taslak</t>
        </is>
      </c>
      <c r="S119" s="52">
        <f>IF(OR(A119="",F119="",C119&lt;&gt;"Mekân"),0,IF(COUNTIFS($F$8:F119,F119,$C$8:C119,"Mekân")=1,1,0))</f>
        <v/>
      </c>
      <c r="T119" s="52">
        <f>IF(OR(A119="",F119="",C119&lt;&gt;"Kapak"),0,IF(COUNTIFS($F$8:F119,F119,$C$8:C119,"Kapak")=1,1,0))</f>
        <v/>
      </c>
    </row>
    <row r="120" ht="54" customHeight="1">
      <c r="A120" s="29" t="inlineStr">
        <is>
          <t>sevilla:photo:mercado-de-triana-01</t>
        </is>
      </c>
      <c r="B120" s="29" t="inlineStr">
        <is>
          <t>sevilla</t>
        </is>
      </c>
      <c r="C120" s="29" t="inlineStr">
        <is>
          <t>Mekân</t>
        </is>
      </c>
      <c r="D120" s="29" t="inlineStr">
        <is>
          <t>sevilla:mercado-de-triana</t>
        </is>
      </c>
      <c r="E120" s="29" t="inlineStr">
        <is>
          <t>Fotoğraflar/sevilla_mercado-de-triana_01.jpg</t>
        </is>
      </c>
      <c r="F120" s="29" t="inlineStr">
        <is>
          <t>58c0dd89829f4b757be831109d23689434a724281031f30a44ab6b4037179d8d</t>
        </is>
      </c>
      <c r="G120" s="29" t="inlineStr">
        <is>
          <t>Triana Pazarı'nın kırmızı kiremitli binası ve önündeki yol.</t>
        </is>
      </c>
      <c r="H120" s="29" t="inlineStr">
        <is>
          <t>Chabe01</t>
        </is>
      </c>
      <c r="I120" s="29" t="inlineStr">
        <is>
          <t>CC BY-SA 4.0</t>
        </is>
      </c>
      <c r="J120" s="29" t="inlineStr">
        <is>
          <t>https://creativecommons.org/licenses/by-sa/4.0/</t>
        </is>
      </c>
      <c r="K120" s="29" t="inlineStr">
        <is>
          <t>https://commons.wikimedia.org/wiki/File:Halles_March%C3%A9_Triana_-_S%C3%A9ville_(ES61)_-_2023-04-24_-_1.jpg</t>
        </is>
      </c>
      <c r="L120" s="49" t="n">
        <v>45040</v>
      </c>
      <c r="M120" s="49" t="n">
        <v>46320</v>
      </c>
      <c r="N120" s="29" t="inlineStr">
        <is>
          <t>Wikimedia Commons'taki "Halles Marché Triana - Séville (ES61) - 2023-04-24 - 1.jpg" (4032×3024 px) özgün dosyasının 1280×960 px küçültülmüş kopyası indirildi; kırpma, rötuş ve renk düzeltmesi yapılmadı. Teslim dosyası: sevilla_mercado-de-triana_01.jpg (SHA-256 58c0dd89829f).</t>
        </is>
      </c>
      <c r="O120" s="29" t="inlineStr">
        <is>
          <t>sevilla:evidence:mercado-de-triana-01</t>
        </is>
      </c>
      <c r="P120" s="29" t="inlineStr">
        <is>
          <t>Evet</t>
        </is>
      </c>
      <c r="Q120" s="51" t="n">
        <v>1</v>
      </c>
      <c r="R120" s="29" t="inlineStr">
        <is>
          <t>Taslak</t>
        </is>
      </c>
      <c r="S120" s="52">
        <f>IF(OR(A120="",F120="",C120&lt;&gt;"Mekân"),0,IF(COUNTIFS($F$8:F120,F120,$C$8:C120,"Mekân")=1,1,0))</f>
        <v/>
      </c>
      <c r="T120" s="52">
        <f>IF(OR(A120="",F120="",C120&lt;&gt;"Kapak"),0,IF(COUNTIFS($F$8:F120,F120,$C$8:C120,"Kapak")=1,1,0))</f>
        <v/>
      </c>
    </row>
    <row r="121" ht="54" customHeight="1">
      <c r="A121" s="29" t="inlineStr">
        <is>
          <t>sevilla:photo:mercado-de-triana-02</t>
        </is>
      </c>
      <c r="B121" s="29" t="inlineStr">
        <is>
          <t>sevilla</t>
        </is>
      </c>
      <c r="C121" s="29" t="inlineStr">
        <is>
          <t>Mekân</t>
        </is>
      </c>
      <c r="D121" s="29" t="inlineStr">
        <is>
          <t>sevilla:mercado-de-triana</t>
        </is>
      </c>
      <c r="E121" s="29" t="inlineStr">
        <is>
          <t>Fotoğraflar/sevilla_mercado-de-triana_02.jpg</t>
        </is>
      </c>
      <c r="F121" s="29" t="inlineStr">
        <is>
          <t>ab3ccdcb68609eefafb7c78aaae3fa8b0e5b7c1e868b574c32838909cdd023da</t>
        </is>
      </c>
      <c r="G121" s="29" t="inlineStr">
        <is>
          <t>Triana Pazarı'nın tabelalı girişi.</t>
        </is>
      </c>
      <c r="H121" s="29" t="inlineStr">
        <is>
          <t>Chabe01</t>
        </is>
      </c>
      <c r="I121" s="29" t="inlineStr">
        <is>
          <t>CC BY-SA 4.0</t>
        </is>
      </c>
      <c r="J121" s="29" t="inlineStr">
        <is>
          <t>https://creativecommons.org/licenses/by-sa/4.0/</t>
        </is>
      </c>
      <c r="K121" s="29" t="inlineStr">
        <is>
          <t>https://commons.wikimedia.org/wiki/File:Halles_March%C3%A9_Triana_-_S%C3%A9ville_(ES61)_-_2023-04-24_-_2.jpg</t>
        </is>
      </c>
      <c r="L121" s="49" t="n">
        <v>45040</v>
      </c>
      <c r="M121" s="49" t="n">
        <v>46320</v>
      </c>
      <c r="N121" s="29" t="inlineStr">
        <is>
          <t>Wikimedia Commons'taki "Halles Marché Triana - Séville (ES61) - 2023-04-24 - 2.jpg" (4032×3024 px) özgün dosyasının 1280×960 px küçültülmüş kopyası indirildi; kırpma, rötuş ve renk düzeltmesi yapılmadı. Teslim dosyası: sevilla_mercado-de-triana_02.jpg (SHA-256 ab3ccdcb6860).</t>
        </is>
      </c>
      <c r="O121" s="29" t="inlineStr">
        <is>
          <t>sevilla:evidence:mercado-de-triana-02</t>
        </is>
      </c>
      <c r="P121" s="29" t="inlineStr">
        <is>
          <t>Evet</t>
        </is>
      </c>
      <c r="Q121" s="51" t="n">
        <v>2</v>
      </c>
      <c r="R121" s="29" t="inlineStr">
        <is>
          <t>Taslak</t>
        </is>
      </c>
      <c r="S121" s="52">
        <f>IF(OR(A121="",F121="",C121&lt;&gt;"Mekân"),0,IF(COUNTIFS($F$8:F121,F121,$C$8:C121,"Mekân")=1,1,0))</f>
        <v/>
      </c>
      <c r="T121" s="52">
        <f>IF(OR(A121="",F121="",C121&lt;&gt;"Kapak"),0,IF(COUNTIFS($F$8:F121,F121,$C$8:C121,"Kapak")=1,1,0))</f>
        <v/>
      </c>
    </row>
    <row r="122" ht="54" customHeight="1">
      <c r="A122" s="29" t="inlineStr">
        <is>
          <t>sevilla:photo:mercado-de-la-calle-feria-01</t>
        </is>
      </c>
      <c r="B122" s="29" t="inlineStr">
        <is>
          <t>sevilla</t>
        </is>
      </c>
      <c r="C122" s="29" t="inlineStr">
        <is>
          <t>Mekân</t>
        </is>
      </c>
      <c r="D122" s="29" t="inlineStr">
        <is>
          <t>sevilla:mercado-de-la-calle-feria</t>
        </is>
      </c>
      <c r="E122" s="29" t="inlineStr">
        <is>
          <t>Fotoğraflar/sevilla_mercado-de-la-calle-feria_01.jpg</t>
        </is>
      </c>
      <c r="F122" s="29" t="inlineStr">
        <is>
          <t>d8c741574546ab63daddcfd06a182f27802ee05e28f623d4a0bd16699990c504</t>
        </is>
      </c>
      <c r="G122" s="29" t="inlineStr">
        <is>
          <t>Feria Pazarı'nın beyaz cepheli binası ve tenteleri.</t>
        </is>
      </c>
      <c r="H122" s="29" t="inlineStr">
        <is>
          <t>Zarateman</t>
        </is>
      </c>
      <c r="I122" s="29" t="inlineStr">
        <is>
          <t>CC0 1.0</t>
        </is>
      </c>
      <c r="J122" s="29" t="inlineStr">
        <is>
          <t>https://creativecommons.org/publicdomain/zero/1.0/</t>
        </is>
      </c>
      <c r="K122" s="29" t="inlineStr">
        <is>
          <t>https://commons.wikimedia.org/wiki/File:Sevilla_-_Mercado_de_Feria_8.jpg</t>
        </is>
      </c>
      <c r="L122" s="49" t="n">
        <v>45099</v>
      </c>
      <c r="M122" s="49" t="n">
        <v>46320</v>
      </c>
      <c r="N122" s="29" t="inlineStr">
        <is>
          <t>Wikimedia Commons'taki "Sevilla - Mercado de Feria 8.jpg" (2048×1536 px) özgün dosyasının 1280×960 px küçültülmüş kopyası indirildi; kırpma, rötuş ve renk düzeltmesi yapılmadı. Teslim dosyası: sevilla_mercado-de-la-calle-feria_01.jpg (SHA-256 d8c741574546).</t>
        </is>
      </c>
      <c r="O122" s="29" t="inlineStr">
        <is>
          <t>sevilla:evidence:mercado-de-la-calle-feria-01</t>
        </is>
      </c>
      <c r="P122" s="29" t="inlineStr">
        <is>
          <t>Evet</t>
        </is>
      </c>
      <c r="Q122" s="51" t="n">
        <v>1</v>
      </c>
      <c r="R122" s="29" t="inlineStr">
        <is>
          <t>Taslak</t>
        </is>
      </c>
      <c r="S122" s="52">
        <f>IF(OR(A122="",F122="",C122&lt;&gt;"Mekân"),0,IF(COUNTIFS($F$8:F122,F122,$C$8:C122,"Mekân")=1,1,0))</f>
        <v/>
      </c>
      <c r="T122" s="52">
        <f>IF(OR(A122="",F122="",C122&lt;&gt;"Kapak"),0,IF(COUNTIFS($F$8:F122,F122,$C$8:C122,"Kapak")=1,1,0))</f>
        <v/>
      </c>
    </row>
    <row r="123" ht="54" customHeight="1">
      <c r="A123" s="29" t="inlineStr">
        <is>
          <t>sevilla:photo:el-rinconcillo-01</t>
        </is>
      </c>
      <c r="B123" s="29" t="inlineStr">
        <is>
          <t>sevilla</t>
        </is>
      </c>
      <c r="C123" s="29" t="inlineStr">
        <is>
          <t>Mekân</t>
        </is>
      </c>
      <c r="D123" s="29" t="inlineStr">
        <is>
          <t>sevilla:el-rinconcillo</t>
        </is>
      </c>
      <c r="E123" s="29" t="inlineStr">
        <is>
          <t>Fotoğraflar/sevilla_el-rinconcillo_01.jpg</t>
        </is>
      </c>
      <c r="F123" s="29" t="inlineStr">
        <is>
          <t>dff63103a2fef2b2ae0bc249199b67de1d1da2f71a009a537768be6b5214b7f9</t>
        </is>
      </c>
      <c r="G123" s="29" t="inlineStr">
        <is>
          <t>El Rinconcillo'nun eski ahşap vitrinli dükkân cephesi.</t>
        </is>
      </c>
      <c r="H123" s="29" t="inlineStr">
        <is>
          <t>Victoria Rachitzky Hoch</t>
        </is>
      </c>
      <c r="I123" s="29" t="inlineStr">
        <is>
          <t>CC BY 2.0</t>
        </is>
      </c>
      <c r="J123" s="29" t="inlineStr">
        <is>
          <t>https://creativecommons.org/licenses/by/2.0/</t>
        </is>
      </c>
      <c r="K123" s="29" t="inlineStr">
        <is>
          <t>https://commons.wikimedia.org/wiki/File:El_Rinconcillo_(108215924).jpg</t>
        </is>
      </c>
      <c r="L123" s="49" t="n">
        <v>38773</v>
      </c>
      <c r="M123" s="49" t="n">
        <v>46320</v>
      </c>
      <c r="N123" s="29" t="inlineStr">
        <is>
          <t>Wikimedia Commons'taki "El Rinconcillo (108215924).jpg" (2592×1944 px) özgün dosyasının 1280×960 px küçültülmüş kopyası indirildi; kırpma, rötuş ve renk düzeltmesi yapılmadı. Teslim dosyası: sevilla_el-rinconcillo_01.jpg (SHA-256 dff63103a2fe).</t>
        </is>
      </c>
      <c r="O123" s="29" t="inlineStr">
        <is>
          <t>sevilla:evidence:el-rinconcillo-01</t>
        </is>
      </c>
      <c r="P123" s="29" t="inlineStr">
        <is>
          <t>Evet</t>
        </is>
      </c>
      <c r="Q123" s="51" t="n">
        <v>1</v>
      </c>
      <c r="R123" s="29" t="inlineStr">
        <is>
          <t>Taslak</t>
        </is>
      </c>
      <c r="S123" s="52">
        <f>IF(OR(A123="",F123="",C123&lt;&gt;"Mekân"),0,IF(COUNTIFS($F$8:F123,F123,$C$8:C123,"Mekân")=1,1,0))</f>
        <v/>
      </c>
      <c r="T123" s="52">
        <f>IF(OR(A123="",F123="",C123&lt;&gt;"Kapak"),0,IF(COUNTIFS($F$8:F123,F123,$C$8:C123,"Kapak")=1,1,0))</f>
        <v/>
      </c>
    </row>
    <row r="124" ht="54" customHeight="1">
      <c r="A124" s="29" t="inlineStr">
        <is>
          <t>sevilla:photo:el-rinconcillo-02</t>
        </is>
      </c>
      <c r="B124" s="29" t="inlineStr">
        <is>
          <t>sevilla</t>
        </is>
      </c>
      <c r="C124" s="29" t="inlineStr">
        <is>
          <t>Mekân</t>
        </is>
      </c>
      <c r="D124" s="29" t="inlineStr">
        <is>
          <t>sevilla:el-rinconcillo</t>
        </is>
      </c>
      <c r="E124" s="29" t="inlineStr">
        <is>
          <t>Fotoğraflar/sevilla_el-rinconcillo_02.jpg</t>
        </is>
      </c>
      <c r="F124" s="29" t="inlineStr">
        <is>
          <t>1ddfbcb06922f48896bdcd1e210f24fa59629392033916159316437479698718</t>
        </is>
      </c>
      <c r="G124" s="29" t="inlineStr">
        <is>
          <t>El Rinconcillo'nun bulunduğu sarı köşe binası.</t>
        </is>
      </c>
      <c r="H124" s="29" t="inlineStr">
        <is>
          <t>CarlosVdeHabsburgo</t>
        </is>
      </c>
      <c r="I124" s="29" t="inlineStr">
        <is>
          <t>CC BY-SA 4.0</t>
        </is>
      </c>
      <c r="J124" s="29" t="inlineStr">
        <is>
          <t>https://creativecommons.org/licenses/by-sa/4.0/</t>
        </is>
      </c>
      <c r="K124" s="29" t="inlineStr">
        <is>
          <t>https://commons.wikimedia.org/wiki/File:El_Rinconcillo_(Sevilla).jpg</t>
        </is>
      </c>
      <c r="L124" s="49" t="n">
        <v>45193</v>
      </c>
      <c r="M124" s="49" t="n">
        <v>46320</v>
      </c>
      <c r="N124" s="29" t="inlineStr">
        <is>
          <t>Wikimedia Commons'taki "El Rinconcillo (Sevilla).jpg" (3000×3804 px) özgün dosyasının 1280×1623 px küçültülmüş kopyası indirildi; kırpma, rötuş ve renk düzeltmesi yapılmadı. Teslim dosyası: sevilla_el-rinconcillo_02.jpg (SHA-256 1ddfbcb06922).</t>
        </is>
      </c>
      <c r="O124" s="29" t="inlineStr">
        <is>
          <t>sevilla:evidence:el-rinconcillo-02</t>
        </is>
      </c>
      <c r="P124" s="29" t="inlineStr">
        <is>
          <t>Evet</t>
        </is>
      </c>
      <c r="Q124" s="51" t="n">
        <v>2</v>
      </c>
      <c r="R124" s="29" t="inlineStr">
        <is>
          <t>Taslak</t>
        </is>
      </c>
      <c r="S124" s="52">
        <f>IF(OR(A124="",F124="",C124&lt;&gt;"Mekân"),0,IF(COUNTIFS($F$8:F124,F124,$C$8:C124,"Mekân")=1,1,0))</f>
        <v/>
      </c>
      <c r="T124" s="52">
        <f>IF(OR(A124="",F124="",C124&lt;&gt;"Kapak"),0,IF(COUNTIFS($F$8:F124,F124,$C$8:C124,"Kapak")=1,1,0))</f>
        <v/>
      </c>
    </row>
    <row r="125" ht="54" customHeight="1">
      <c r="A125" s="29" t="inlineStr">
        <is>
          <t>sevilla:photo:el-rinconcillo-03</t>
        </is>
      </c>
      <c r="B125" s="29" t="inlineStr">
        <is>
          <t>sevilla</t>
        </is>
      </c>
      <c r="C125" s="29" t="inlineStr">
        <is>
          <t>Mekân</t>
        </is>
      </c>
      <c r="D125" s="29" t="inlineStr">
        <is>
          <t>sevilla:el-rinconcillo</t>
        </is>
      </c>
      <c r="E125" s="29" t="inlineStr">
        <is>
          <t>Fotoğraflar/sevilla_el-rinconcillo_03.jpg</t>
        </is>
      </c>
      <c r="F125" s="29" t="inlineStr">
        <is>
          <t>1947d2bddf7bbd4e0bd470a17bdc6846fd1e8b52285b6edefbcdee06ea86895b</t>
        </is>
      </c>
      <c r="G125" s="29" t="inlineStr">
        <is>
          <t>El Rinconcillo'nun bulunduğu sokak ve köşe binası.</t>
        </is>
      </c>
      <c r="H125" s="29" t="inlineStr">
        <is>
          <t>CarlosVdeHabsburgo</t>
        </is>
      </c>
      <c r="I125" s="29" t="inlineStr">
        <is>
          <t>CC BY-SA 4.0</t>
        </is>
      </c>
      <c r="J125" s="29" t="inlineStr">
        <is>
          <t>https://creativecommons.org/licenses/by-sa/4.0/</t>
        </is>
      </c>
      <c r="K125" s="29" t="inlineStr">
        <is>
          <t>https://commons.wikimedia.org/wiki/File:El_Rinconcillo.jpg</t>
        </is>
      </c>
      <c r="L125" s="49" t="n">
        <v>45193</v>
      </c>
      <c r="M125" s="49" t="n">
        <v>46320</v>
      </c>
      <c r="N125" s="29" t="inlineStr">
        <is>
          <t>Wikimedia Commons'taki "El Rinconcillo.jpg" (4000×2455 px) özgün dosyasının 1280×786 px küçültülmüş kopyası indirildi; kırpma, rötuş ve renk düzeltmesi yapılmadı. Teslim dosyası: sevilla_el-rinconcillo_03.jpg (SHA-256 1947d2bddf7b).</t>
        </is>
      </c>
      <c r="O125" s="29" t="inlineStr">
        <is>
          <t>sevilla:evidence:el-rinconcillo-03</t>
        </is>
      </c>
      <c r="P125" s="29" t="inlineStr">
        <is>
          <t>Evet</t>
        </is>
      </c>
      <c r="Q125" s="51" t="n">
        <v>3</v>
      </c>
      <c r="R125" s="29" t="inlineStr">
        <is>
          <t>Taslak</t>
        </is>
      </c>
      <c r="S125" s="52">
        <f>IF(OR(A125="",F125="",C125&lt;&gt;"Mekân"),0,IF(COUNTIFS($F$8:F125,F125,$C$8:C125,"Mekân")=1,1,0))</f>
        <v/>
      </c>
      <c r="T125" s="52">
        <f>IF(OR(A125="",F125="",C125&lt;&gt;"Kapak"),0,IF(COUNTIFS($F$8:F125,F125,$C$8:C125,"Kapak")=1,1,0))</f>
        <v/>
      </c>
    </row>
    <row r="126" ht="54" customHeight="1">
      <c r="A126" s="29" t="inlineStr">
        <is>
          <t>sevilla:photo:catedral-de-sevilla-giralda-01</t>
        </is>
      </c>
      <c r="B126" s="29" t="inlineStr">
        <is>
          <t>sevilla</t>
        </is>
      </c>
      <c r="C126" s="29" t="inlineStr">
        <is>
          <t>Mekân</t>
        </is>
      </c>
      <c r="D126" s="29" t="inlineStr">
        <is>
          <t>sevilla:catedral-de-sevilla-giralda</t>
        </is>
      </c>
      <c r="E126" s="29" t="inlineStr">
        <is>
          <t>Fotoğraflar/sevilla_catedral-de-sevilla-giralda_01.jpg</t>
        </is>
      </c>
      <c r="F126" s="29" t="inlineStr">
        <is>
          <t>2dbfca3a9cd5507924bc3ddcdf4964caf4c02ff5f75aa95471ab8fcb3ac3dede</t>
        </is>
      </c>
      <c r="G126" s="29" t="inlineStr">
        <is>
          <t>Sevilla Katedrali'nin cephesi ve önünde bekleyen atlı arabalar.</t>
        </is>
      </c>
      <c r="H126" s="29" t="inlineStr">
        <is>
          <t>PEPE GADEIRAS</t>
        </is>
      </c>
      <c r="I126" s="29" t="inlineStr">
        <is>
          <t>CC BY-SA 4.0</t>
        </is>
      </c>
      <c r="J126" s="29" t="inlineStr">
        <is>
          <t>https://creativecommons.org/licenses/by-sa/4.0/</t>
        </is>
      </c>
      <c r="K126" s="29" t="inlineStr">
        <is>
          <t>https://commons.wikimedia.org/wiki/File:CATEDRAL_DE_SEVILLA.jpg</t>
        </is>
      </c>
      <c r="L126" s="49" t="n">
        <v>43121</v>
      </c>
      <c r="M126" s="49" t="n">
        <v>46320</v>
      </c>
      <c r="N126" s="29" t="inlineStr">
        <is>
          <t>Wikimedia Commons'taki "CATEDRAL DE SEVILLA.jpg" (5184×3456 px) özgün dosyasının 1280×853 px küçültülmüş kopyası indirildi; kırpma, rötuş ve renk düzeltmesi yapılmadı. Teslim dosyası: sevilla_catedral-de-sevilla-giralda_01.jpg (SHA-256 2dbfca3a9cd5).</t>
        </is>
      </c>
      <c r="O126" s="29" t="inlineStr">
        <is>
          <t>sevilla:evidence:catedral-de-sevilla-giralda-01</t>
        </is>
      </c>
      <c r="P126" s="29" t="inlineStr">
        <is>
          <t>Evet</t>
        </is>
      </c>
      <c r="Q126" s="51" t="n">
        <v>1</v>
      </c>
      <c r="R126" s="29" t="inlineStr">
        <is>
          <t>Taslak</t>
        </is>
      </c>
      <c r="S126" s="52">
        <f>IF(OR(A126="",F126="",C126&lt;&gt;"Mekân"),0,IF(COUNTIFS($F$8:F126,F126,$C$8:C126,"Mekân")=1,1,0))</f>
        <v/>
      </c>
      <c r="T126" s="52">
        <f>IF(OR(A126="",F126="",C126&lt;&gt;"Kapak"),0,IF(COUNTIFS($F$8:F126,F126,$C$8:C126,"Kapak")=1,1,0))</f>
        <v/>
      </c>
    </row>
    <row r="127" ht="54" customHeight="1">
      <c r="A127" s="29" t="inlineStr">
        <is>
          <t>sevilla:photo:catedral-de-sevilla-giralda-02</t>
        </is>
      </c>
      <c r="B127" s="29" t="inlineStr">
        <is>
          <t>sevilla</t>
        </is>
      </c>
      <c r="C127" s="29" t="inlineStr">
        <is>
          <t>Mekân</t>
        </is>
      </c>
      <c r="D127" s="29" t="inlineStr">
        <is>
          <t>sevilla:catedral-de-sevilla-giralda</t>
        </is>
      </c>
      <c r="E127" s="29" t="inlineStr">
        <is>
          <t>Fotoğraflar/sevilla_catedral-de-sevilla-giralda_02.jpg</t>
        </is>
      </c>
      <c r="F127" s="29" t="inlineStr">
        <is>
          <t>5366011487389bf811ebc88dd44fa9021c4d2107a2390c5f881be8bfa86bba7f</t>
        </is>
      </c>
      <c r="G127" s="29" t="inlineStr">
        <is>
          <t>Sevilla Katedrali'nin kubbeleri, sivri kuleleri ve Giralda.</t>
        </is>
      </c>
      <c r="H127" s="29" t="inlineStr">
        <is>
          <t>Azukiki</t>
        </is>
      </c>
      <c r="I127" s="29" t="inlineStr">
        <is>
          <t>CC BY-SA 3.0</t>
        </is>
      </c>
      <c r="J127" s="29" t="inlineStr">
        <is>
          <t>https://creativecommons.org/licenses/by-sa/3.0/</t>
        </is>
      </c>
      <c r="K127" s="29" t="inlineStr">
        <is>
          <t>https://commons.wikimedia.org/wiki/File:Catedral_de_Sevilla_y_Giralda..jpg</t>
        </is>
      </c>
      <c r="L127" s="49" t="n">
        <v>40440</v>
      </c>
      <c r="M127" s="49" t="n">
        <v>46320</v>
      </c>
      <c r="N127" s="29" t="inlineStr">
        <is>
          <t>Wikimedia Commons'taki "Catedral de Sevilla y Giralda..jpg" (3072×2304 px) özgün dosyasının 1280×960 px küçültülmüş kopyası indirildi; kırpma, rötuş ve renk düzeltmesi yapılmadı. Teslim dosyası: sevilla_catedral-de-sevilla-giralda_02.jpg (SHA-256 536601148738).</t>
        </is>
      </c>
      <c r="O127" s="29" t="inlineStr">
        <is>
          <t>sevilla:evidence:catedral-de-sevilla-giralda-02</t>
        </is>
      </c>
      <c r="P127" s="29" t="inlineStr">
        <is>
          <t>Evet</t>
        </is>
      </c>
      <c r="Q127" s="51" t="n">
        <v>2</v>
      </c>
      <c r="R127" s="29" t="inlineStr">
        <is>
          <t>Taslak</t>
        </is>
      </c>
      <c r="S127" s="52">
        <f>IF(OR(A127="",F127="",C127&lt;&gt;"Mekân"),0,IF(COUNTIFS($F$8:F127,F127,$C$8:C127,"Mekân")=1,1,0))</f>
        <v/>
      </c>
      <c r="T127" s="52">
        <f>IF(OR(A127="",F127="",C127&lt;&gt;"Kapak"),0,IF(COUNTIFS($F$8:F127,F127,$C$8:C127,"Kapak")=1,1,0))</f>
        <v/>
      </c>
    </row>
    <row r="128" ht="54" customHeight="1">
      <c r="A128" s="29" t="inlineStr">
        <is>
          <t>sevilla:photo:catedral-de-sevilla-giralda-03</t>
        </is>
      </c>
      <c r="B128" s="29" t="inlineStr">
        <is>
          <t>sevilla</t>
        </is>
      </c>
      <c r="C128" s="29" t="inlineStr">
        <is>
          <t>Mekân</t>
        </is>
      </c>
      <c r="D128" s="29" t="inlineStr">
        <is>
          <t>sevilla:catedral-de-sevilla-giralda</t>
        </is>
      </c>
      <c r="E128" s="29" t="inlineStr">
        <is>
          <t>Fotoğraflar/sevilla_catedral-de-sevilla-giralda_03.jpg</t>
        </is>
      </c>
      <c r="F128" s="29" t="inlineStr">
        <is>
          <t>652f7effc7c580552e3e4112bed3c3927860a3b8c63ff794018c3051fb41872d</t>
        </is>
      </c>
      <c r="G128" s="29" t="inlineStr">
        <is>
          <t>Sevilla Katedrali ve Giralda, meydandan bakış.</t>
        </is>
      </c>
      <c r="H128" s="29" t="inlineStr">
        <is>
          <t>Andoni (Tagzania user ID: 24784)</t>
        </is>
      </c>
      <c r="I128" s="29" t="inlineStr">
        <is>
          <t>CC BY-SA 4.0</t>
        </is>
      </c>
      <c r="J128" s="29" t="inlineStr">
        <is>
          <t>https://creativecommons.org/licenses/by-sa/4.0/</t>
        </is>
      </c>
      <c r="K128" s="29" t="inlineStr">
        <is>
          <t>https://commons.wikimedia.org/wiki/File:La_catedral_de_Sevilla_-_Cathedral_of_Seville_-_Tagzania_-_1776588949777.jpg</t>
        </is>
      </c>
      <c r="L128" s="49" t="n">
        <v>46131</v>
      </c>
      <c r="M128" s="49" t="n">
        <v>46320</v>
      </c>
      <c r="N128" s="29" t="inlineStr">
        <is>
          <t>Wikimedia Commons'taki "La catedral de Sevilla - Cathedral of Seville - Tagzania - 1776588949777.jpg" (1773×2364 px) özgün dosyasının 1280×1707 px küçültülmüş kopyası indirildi; kırpma, rötuş ve renk düzeltmesi yapılmadı. Teslim dosyası: sevilla_catedral-de-sevilla-giralda_03.jpg (SHA-256 652f7effc7c5).</t>
        </is>
      </c>
      <c r="O128" s="29" t="inlineStr">
        <is>
          <t>sevilla:evidence:catedral-de-sevilla-giralda-03</t>
        </is>
      </c>
      <c r="P128" s="29" t="inlineStr">
        <is>
          <t>Evet</t>
        </is>
      </c>
      <c r="Q128" s="51" t="n">
        <v>3</v>
      </c>
      <c r="R128" s="29" t="inlineStr">
        <is>
          <t>Taslak</t>
        </is>
      </c>
      <c r="S128" s="52">
        <f>IF(OR(A128="",F128="",C128&lt;&gt;"Mekân"),0,IF(COUNTIFS($F$8:F128,F128,$C$8:C128,"Mekân")=1,1,0))</f>
        <v/>
      </c>
      <c r="T128" s="52">
        <f>IF(OR(A128="",F128="",C128&lt;&gt;"Kapak"),0,IF(COUNTIFS($F$8:F128,F128,$C$8:C128,"Kapak")=1,1,0))</f>
        <v/>
      </c>
    </row>
    <row r="129" ht="54" customHeight="1">
      <c r="A129" s="29" t="inlineStr">
        <is>
          <t>sevilla:photo:casa-de-pilatos-01</t>
        </is>
      </c>
      <c r="B129" s="29" t="inlineStr">
        <is>
          <t>sevilla</t>
        </is>
      </c>
      <c r="C129" s="29" t="inlineStr">
        <is>
          <t>Mekân</t>
        </is>
      </c>
      <c r="D129" s="29" t="inlineStr">
        <is>
          <t>sevilla:casa-de-pilatos</t>
        </is>
      </c>
      <c r="E129" s="29" t="inlineStr">
        <is>
          <t>Fotoğraflar/sevilla_casa-de-pilatos_01.jpg</t>
        </is>
      </c>
      <c r="F129" s="29" t="inlineStr">
        <is>
          <t>a50ee518269143600c995c9c4f0dc6c73230964b147c0c6dcf4799a69f8f1550</t>
        </is>
      </c>
      <c r="G129" s="29" t="inlineStr">
        <is>
          <t>Pilatos Konağı'nda renkli geometrik desenli kasetli ahşap tavan.</t>
        </is>
      </c>
      <c r="H129" s="29" t="inlineStr">
        <is>
          <t>Jl FilpoC</t>
        </is>
      </c>
      <c r="I129" s="29" t="inlineStr">
        <is>
          <t>CC BY-SA 4.0</t>
        </is>
      </c>
      <c r="J129" s="29" t="inlineStr">
        <is>
          <t>https://creativecommons.org/licenses/by-sa/4.0/</t>
        </is>
      </c>
      <c r="K129" s="29" t="inlineStr">
        <is>
          <t>https://commons.wikimedia.org/wiki/File:Artesonado_del_Sal%C3%B3n_del_Pretorio,_Casa_de_Pilatos_(Sevilla).jpg</t>
        </is>
      </c>
      <c r="L129" s="49" t="n">
        <v>44306</v>
      </c>
      <c r="M129" s="49" t="n">
        <v>46320</v>
      </c>
      <c r="N129" s="29" t="inlineStr">
        <is>
          <t>Wikimedia Commons'taki "Artesonado del Salón del Pretorio, Casa de Pilatos (Sevilla).jpg" (4215×2810 px) özgün dosyasının 1280×853 px küçültülmüş kopyası indirildi; kırpma, rötuş ve renk düzeltmesi yapılmadı. Teslim dosyası: sevilla_casa-de-pilatos_01.jpg (SHA-256 a50ee5182691).</t>
        </is>
      </c>
      <c r="O129" s="29" t="inlineStr">
        <is>
          <t>sevilla:evidence:casa-de-pilatos-01</t>
        </is>
      </c>
      <c r="P129" s="29" t="inlineStr">
        <is>
          <t>Evet</t>
        </is>
      </c>
      <c r="Q129" s="51" t="n">
        <v>1</v>
      </c>
      <c r="R129" s="29" t="inlineStr">
        <is>
          <t>Taslak</t>
        </is>
      </c>
      <c r="S129" s="52">
        <f>IF(OR(A129="",F129="",C129&lt;&gt;"Mekân"),0,IF(COUNTIFS($F$8:F129,F129,$C$8:C129,"Mekân")=1,1,0))</f>
        <v/>
      </c>
      <c r="T129" s="52">
        <f>IF(OR(A129="",F129="",C129&lt;&gt;"Kapak"),0,IF(COUNTIFS($F$8:F129,F129,$C$8:C129,"Kapak")=1,1,0))</f>
        <v/>
      </c>
    </row>
    <row r="130" ht="54" customHeight="1">
      <c r="A130" s="29" t="inlineStr">
        <is>
          <t>sevilla:photo:casa-de-pilatos-02</t>
        </is>
      </c>
      <c r="B130" s="29" t="inlineStr">
        <is>
          <t>sevilla</t>
        </is>
      </c>
      <c r="C130" s="29" t="inlineStr">
        <is>
          <t>Mekân</t>
        </is>
      </c>
      <c r="D130" s="29" t="inlineStr">
        <is>
          <t>sevilla:casa-de-pilatos</t>
        </is>
      </c>
      <c r="E130" s="29" t="inlineStr">
        <is>
          <t>Fotoğraflar/sevilla_casa-de-pilatos_02.jpg</t>
        </is>
      </c>
      <c r="F130" s="29" t="inlineStr">
        <is>
          <t>e64f41a32beba63b24fd001ed431d55939d6cfd2fa59dfd88d538c91d3f3a49b</t>
        </is>
      </c>
      <c r="G130" s="29" t="inlineStr">
        <is>
          <t>Pilatos Konağı'nda begonvillerle çevrili yeşil parmaklıklı pencere.</t>
        </is>
      </c>
      <c r="H130" s="29" t="inlineStr">
        <is>
          <t>Stefano Vigorelli</t>
        </is>
      </c>
      <c r="I130" s="29" t="inlineStr">
        <is>
          <t>CC BY-SA 4.0</t>
        </is>
      </c>
      <c r="J130" s="29" t="inlineStr">
        <is>
          <t>https://creativecommons.org/licenses/by-sa/4.0/</t>
        </is>
      </c>
      <c r="K130" s="29" t="inlineStr">
        <is>
          <t>https://commons.wikimedia.org/wiki/File:Casa_de_Pilatos,_Sevilla_SP(1).jpg</t>
        </is>
      </c>
      <c r="L130" s="49" t="n">
        <v>42413</v>
      </c>
      <c r="M130" s="49" t="n">
        <v>46320</v>
      </c>
      <c r="N130" s="29" t="inlineStr">
        <is>
          <t>Wikimedia Commons'taki "Casa de Pilatos, Sevilla SP(1).jpg" (2000×3008 px) özgün dosyasının 1280×1925 px küçültülmüş kopyası indirildi; kırpma, rötuş ve renk düzeltmesi yapılmadı. Teslim dosyası: sevilla_casa-de-pilatos_02.jpg (SHA-256 e64f41a32beb).</t>
        </is>
      </c>
      <c r="O130" s="29" t="inlineStr">
        <is>
          <t>sevilla:evidence:casa-de-pilatos-02</t>
        </is>
      </c>
      <c r="P130" s="29" t="inlineStr">
        <is>
          <t>Evet</t>
        </is>
      </c>
      <c r="Q130" s="51" t="n">
        <v>2</v>
      </c>
      <c r="R130" s="29" t="inlineStr">
        <is>
          <t>Taslak</t>
        </is>
      </c>
      <c r="S130" s="52">
        <f>IF(OR(A130="",F130="",C130&lt;&gt;"Mekân"),0,IF(COUNTIFS($F$8:F130,F130,$C$8:C130,"Mekân")=1,1,0))</f>
        <v/>
      </c>
      <c r="T130" s="52">
        <f>IF(OR(A130="",F130="",C130&lt;&gt;"Kapak"),0,IF(COUNTIFS($F$8:F130,F130,$C$8:C130,"Kapak")=1,1,0))</f>
        <v/>
      </c>
    </row>
    <row r="131" ht="54" customHeight="1">
      <c r="A131" s="29" t="inlineStr">
        <is>
          <t>sevilla:photo:basilica-de-la-macarena-01</t>
        </is>
      </c>
      <c r="B131" s="29" t="inlineStr">
        <is>
          <t>sevilla</t>
        </is>
      </c>
      <c r="C131" s="29" t="inlineStr">
        <is>
          <t>Mekân</t>
        </is>
      </c>
      <c r="D131" s="29" t="inlineStr">
        <is>
          <t>sevilla:basilica-de-la-macarena</t>
        </is>
      </c>
      <c r="E131" s="29" t="inlineStr">
        <is>
          <t>Fotoğraflar/sevilla_basilica-de-la-macarena_01.jpg</t>
        </is>
      </c>
      <c r="F131" s="29" t="inlineStr">
        <is>
          <t>f1a003c83cdcb2c31414e2f3cea4662839de4199b280a0e5511cbbb00fb3cae8</t>
        </is>
      </c>
      <c r="G131" s="29" t="inlineStr">
        <is>
          <t>Macarena Bazilikası'nın içinde uzun nef ve ışıklı sunak.</t>
        </is>
      </c>
      <c r="H131" s="29" t="inlineStr">
        <is>
          <t>Morenohuelva</t>
        </is>
      </c>
      <c r="I131" s="29" t="inlineStr">
        <is>
          <t>CC BY-SA 4.0</t>
        </is>
      </c>
      <c r="J131" s="29" t="inlineStr">
        <is>
          <t>https://creativecommons.org/licenses/by-sa/4.0/</t>
        </is>
      </c>
      <c r="K131" s="29" t="inlineStr">
        <is>
          <t>https://commons.wikimedia.org/wiki/File:Bas%C3%ADlica_Macarena_paso_Rosario.jpg</t>
        </is>
      </c>
      <c r="L131" s="49" t="n">
        <v>44857</v>
      </c>
      <c r="M131" s="49" t="n">
        <v>46320</v>
      </c>
      <c r="N131" s="29" t="inlineStr">
        <is>
          <t>Wikimedia Commons'taki "Basílica Macarena paso Rosario.jpg" (1836×3264 px) özgün dosyasının 1280×2276 px küçültülmüş kopyası indirildi; kırpma, rötuş ve renk düzeltmesi yapılmadı. Teslim dosyası: sevilla_basilica-de-la-macarena_01.jpg (SHA-256 f1a003c83cdc).</t>
        </is>
      </c>
      <c r="O131" s="29" t="inlineStr">
        <is>
          <t>sevilla:evidence:basilica-de-la-macarena-01</t>
        </is>
      </c>
      <c r="P131" s="29" t="inlineStr">
        <is>
          <t>Evet</t>
        </is>
      </c>
      <c r="Q131" s="51" t="n">
        <v>1</v>
      </c>
      <c r="R131" s="29" t="inlineStr">
        <is>
          <t>Taslak</t>
        </is>
      </c>
      <c r="S131" s="52">
        <f>IF(OR(A131="",F131="",C131&lt;&gt;"Mekân"),0,IF(COUNTIFS($F$8:F131,F131,$C$8:C131,"Mekân")=1,1,0))</f>
        <v/>
      </c>
      <c r="T131" s="52">
        <f>IF(OR(A131="",F131="",C131&lt;&gt;"Kapak"),0,IF(COUNTIFS($F$8:F131,F131,$C$8:C131,"Kapak")=1,1,0))</f>
        <v/>
      </c>
    </row>
    <row r="132" ht="54" customHeight="1">
      <c r="A132" s="29" t="inlineStr">
        <is>
          <t>sevilla:photo:basilica-de-la-macarena-02</t>
        </is>
      </c>
      <c r="B132" s="29" t="inlineStr">
        <is>
          <t>sevilla</t>
        </is>
      </c>
      <c r="C132" s="29" t="inlineStr">
        <is>
          <t>Mekân</t>
        </is>
      </c>
      <c r="D132" s="29" t="inlineStr">
        <is>
          <t>sevilla:basilica-de-la-macarena</t>
        </is>
      </c>
      <c r="E132" s="29" t="inlineStr">
        <is>
          <t>Fotoğraflar/sevilla_basilica-de-la-macarena_02.jpg</t>
        </is>
      </c>
      <c r="F132" s="29" t="inlineStr">
        <is>
          <t>b4369490dcada1487afd26593b2b6af60a71eef30eebff3d4925b1b9808bbc75</t>
        </is>
      </c>
      <c r="G132" s="29" t="inlineStr">
        <is>
          <t>Macarena Bazilikası'nın barok çan kulesi.</t>
        </is>
      </c>
      <c r="H132" s="29" t="inlineStr">
        <is>
          <t>Manuel López Gutiérrez (Logut)</t>
        </is>
      </c>
      <c r="I132" s="29" t="inlineStr">
        <is>
          <t>CC BY-SA 3.0 es</t>
        </is>
      </c>
      <c r="J132" s="29" t="inlineStr">
        <is>
          <t>https://creativecommons.org/licenses/by-sa/3.0/es/deed.en/</t>
        </is>
      </c>
      <c r="K132" s="29" t="inlineStr">
        <is>
          <t>https://commons.wikimedia.org/wiki/File:Campanario_del_Templo_de_la_Macarena_en_Sevilla.JPG</t>
        </is>
      </c>
      <c r="L132" s="49" t="n">
        <v>41744</v>
      </c>
      <c r="M132" s="49" t="n">
        <v>46320</v>
      </c>
      <c r="N132" s="29" t="inlineStr">
        <is>
          <t>Wikimedia Commons'taki "Campanario del Templo de la Macarena en Sevilla.JPG" (6016×4000 px) özgün dosyasının 1280×851 px küçültülmüş kopyası indirildi; kırpma, rötuş ve renk düzeltmesi yapılmadı. Teslim dosyası: sevilla_basilica-de-la-macarena_02.jpg (SHA-256 b4369490dcad).</t>
        </is>
      </c>
      <c r="O132" s="29" t="inlineStr">
        <is>
          <t>sevilla:evidence:basilica-de-la-macarena-02</t>
        </is>
      </c>
      <c r="P132" s="29" t="inlineStr">
        <is>
          <t>Evet</t>
        </is>
      </c>
      <c r="Q132" s="51" t="n">
        <v>2</v>
      </c>
      <c r="R132" s="29" t="inlineStr">
        <is>
          <t>Taslak</t>
        </is>
      </c>
      <c r="S132" s="52">
        <f>IF(OR(A132="",F132="",C132&lt;&gt;"Mekân"),0,IF(COUNTIFS($F$8:F132,F132,$C$8:C132,"Mekân")=1,1,0))</f>
        <v/>
      </c>
      <c r="T132" s="52">
        <f>IF(OR(A132="",F132="",C132&lt;&gt;"Kapak"),0,IF(COUNTIFS($F$8:F132,F132,$C$8:C132,"Kapak")=1,1,0))</f>
        <v/>
      </c>
    </row>
    <row r="133" ht="54" customHeight="1">
      <c r="A133" s="29" t="inlineStr">
        <is>
          <t>sevilla:photo:basilica-de-la-macarena-03</t>
        </is>
      </c>
      <c r="B133" s="29" t="inlineStr">
        <is>
          <t>sevilla</t>
        </is>
      </c>
      <c r="C133" s="29" t="inlineStr">
        <is>
          <t>Mekân</t>
        </is>
      </c>
      <c r="D133" s="29" t="inlineStr">
        <is>
          <t>sevilla:basilica-de-la-macarena</t>
        </is>
      </c>
      <c r="E133" s="29" t="inlineStr">
        <is>
          <t>Fotoğraflar/sevilla_basilica-de-la-macarena_03.jpg</t>
        </is>
      </c>
      <c r="F133" s="29" t="inlineStr">
        <is>
          <t>90a94e279f7a49c9c5bdd273a6b5803177dd10484f7f92fdb211aab8212b6852</t>
        </is>
      </c>
      <c r="G133" s="29" t="inlineStr">
        <is>
          <t>Macarena Bazilikası'nın beyaz-sarı cephesi ve kulesi.</t>
        </is>
      </c>
      <c r="H133" s="29" t="inlineStr">
        <is>
          <t>Manuel López Gutiérrez (Logut)</t>
        </is>
      </c>
      <c r="I133" s="29" t="inlineStr">
        <is>
          <t>CC BY-SA 3.0 es</t>
        </is>
      </c>
      <c r="J133" s="29" t="inlineStr">
        <is>
          <t>https://creativecommons.org/licenses/by-sa/3.0/es/deed.en/</t>
        </is>
      </c>
      <c r="K133" s="29" t="inlineStr">
        <is>
          <t>https://commons.wikimedia.org/wiki/File:Entrada_al_Templo_de_la_Macarena_de_Sevilla.JPG</t>
        </is>
      </c>
      <c r="L133" s="49" t="n">
        <v>41744</v>
      </c>
      <c r="M133" s="49" t="n">
        <v>46320</v>
      </c>
      <c r="N133" s="29" t="inlineStr">
        <is>
          <t>Wikimedia Commons'taki "Entrada al Templo de la Macarena de Sevilla.JPG" (4000×6016 px) özgün dosyasının 1280×1925 px küçültülmüş kopyası indirildi; kırpma, rötuş ve renk düzeltmesi yapılmadı. Teslim dosyası: sevilla_basilica-de-la-macarena_03.jpg (SHA-256 90a94e279f7a).</t>
        </is>
      </c>
      <c r="O133" s="29" t="inlineStr">
        <is>
          <t>sevilla:evidence:basilica-de-la-macarena-03</t>
        </is>
      </c>
      <c r="P133" s="29" t="inlineStr">
        <is>
          <t>Evet</t>
        </is>
      </c>
      <c r="Q133" s="51" t="n">
        <v>3</v>
      </c>
      <c r="R133" s="29" t="inlineStr">
        <is>
          <t>Taslak</t>
        </is>
      </c>
      <c r="S133" s="52">
        <f>IF(OR(A133="",F133="",C133&lt;&gt;"Mekân"),0,IF(COUNTIFS($F$8:F133,F133,$C$8:C133,"Mekân")=1,1,0))</f>
        <v/>
      </c>
      <c r="T133" s="52">
        <f>IF(OR(A133="",F133="",C133&lt;&gt;"Kapak"),0,IF(COUNTIFS($F$8:F133,F133,$C$8:C133,"Kapak")=1,1,0))</f>
        <v/>
      </c>
    </row>
    <row r="134" ht="54" customHeight="1">
      <c r="A134" s="29" t="inlineStr">
        <is>
          <t>sevilla:photo:casa-de-la-memoria-al-andalus-01</t>
        </is>
      </c>
      <c r="B134" s="29" t="inlineStr">
        <is>
          <t>sevilla</t>
        </is>
      </c>
      <c r="C134" s="29" t="inlineStr">
        <is>
          <t>Mekân</t>
        </is>
      </c>
      <c r="D134" s="29" t="inlineStr">
        <is>
          <t>sevilla:casa-de-la-memoria-al-andalus</t>
        </is>
      </c>
      <c r="E134" s="29" t="inlineStr">
        <is>
          <t>Fotoğraflar/sevilla_casa-de-la-memoria-al-andalus_01.jpg</t>
        </is>
      </c>
      <c r="F134" s="29" t="inlineStr">
        <is>
          <t>26afc5168af7e0c25decc9e447ff2f848aa2fa9ae25b4604f6028a46a9bfafc6</t>
        </is>
      </c>
      <c r="G134" s="29" t="inlineStr">
        <is>
          <t>Casa de la Memoria'nın kırmızı çerçeveli girişi ve balkonunda flamenko figürleri.</t>
        </is>
      </c>
      <c r="H134" s="29" t="inlineStr">
        <is>
          <t>Mx. Granger</t>
        </is>
      </c>
      <c r="I134" s="29" t="inlineStr">
        <is>
          <t>CC0 1.0</t>
        </is>
      </c>
      <c r="J134" s="29" t="inlineStr">
        <is>
          <t>https://creativecommons.org/publicdomain/zero/1.0/</t>
        </is>
      </c>
      <c r="K134" s="29" t="inlineStr">
        <is>
          <t>https://commons.wikimedia.org/wiki/File:Casa_de_la_Memoria_de_Al-Andalus.jpg</t>
        </is>
      </c>
      <c r="L134" s="49" t="n">
        <v>42504</v>
      </c>
      <c r="M134" s="49" t="n">
        <v>46320</v>
      </c>
      <c r="N134" s="29" t="inlineStr">
        <is>
          <t>Wikimedia Commons'taki "Casa de la Memoria de Al-Andalus.jpg" (1944×2592 px) özgün dosyasının 1280×1707 px küçültülmüş kopyası indirildi; kırpma, rötuş ve renk düzeltmesi yapılmadı. Teslim dosyası: sevilla_casa-de-la-memoria-al-andalus_01.jpg (SHA-256 26afc5168af7).</t>
        </is>
      </c>
      <c r="O134" s="29" t="inlineStr">
        <is>
          <t>sevilla:evidence:casa-de-la-memoria-al-andalus-01</t>
        </is>
      </c>
      <c r="P134" s="29" t="inlineStr">
        <is>
          <t>Evet</t>
        </is>
      </c>
      <c r="Q134" s="51" t="n">
        <v>1</v>
      </c>
      <c r="R134" s="29" t="inlineStr">
        <is>
          <t>Taslak</t>
        </is>
      </c>
      <c r="S134" s="52">
        <f>IF(OR(A134="",F134="",C134&lt;&gt;"Mekân"),0,IF(COUNTIFS($F$8:F134,F134,$C$8:C134,"Mekân")=1,1,0))</f>
        <v/>
      </c>
      <c r="T134" s="52">
        <f>IF(OR(A134="",F134="",C134&lt;&gt;"Kapak"),0,IF(COUNTIFS($F$8:F134,F134,$C$8:C134,"Kapak")=1,1,0))</f>
        <v/>
      </c>
    </row>
    <row r="135" ht="54" customHeight="1">
      <c r="A135" s="29" t="inlineStr">
        <is>
          <t>sevilla:photo:casa-de-la-memoria-al-andalus-02</t>
        </is>
      </c>
      <c r="B135" s="29" t="inlineStr">
        <is>
          <t>sevilla</t>
        </is>
      </c>
      <c r="C135" s="29" t="inlineStr">
        <is>
          <t>Mekân</t>
        </is>
      </c>
      <c r="D135" s="29" t="inlineStr">
        <is>
          <t>sevilla:casa-de-la-memoria-al-andalus</t>
        </is>
      </c>
      <c r="E135" s="29" t="inlineStr">
        <is>
          <t>Fotoğraflar/sevilla_casa-de-la-memoria-al-andalus_02.jpg</t>
        </is>
      </c>
      <c r="F135" s="29" t="inlineStr">
        <is>
          <t>06b2eae51c5a58944a57e13b551a0a669a41b7f5490519d6dbf9726f0a4b7fdf</t>
        </is>
      </c>
      <c r="G135" s="29" t="inlineStr">
        <is>
          <t>Casa de la Memoria'nın gece ışıklı at nalı kemerli penceresinden görünen Giralda.</t>
        </is>
      </c>
      <c r="H135" s="29" t="inlineStr">
        <is>
          <t>Mariano Asensio</t>
        </is>
      </c>
      <c r="I135" s="29" t="inlineStr">
        <is>
          <t>CC BY-SA 3.0</t>
        </is>
      </c>
      <c r="J135" s="29" t="inlineStr">
        <is>
          <t>https://creativecommons.org/licenses/by-sa/3.0/</t>
        </is>
      </c>
      <c r="K135" s="29" t="inlineStr">
        <is>
          <t>https://commons.wikimedia.org/wiki/File:La_Giralda_-_panoramio_(1).jpg</t>
        </is>
      </c>
      <c r="L135" s="49" t="n"/>
      <c r="M135" s="49" t="n">
        <v>46320</v>
      </c>
      <c r="N135" s="29" t="inlineStr">
        <is>
          <t>Wikimedia Commons'taki "La Giralda - panoramio (1).jpg" (2736×3648 px) özgün dosyasının 1280×1707 px küçültülmüş kopyası indirildi; kırpma, rötuş ve renk düzeltmesi yapılmadı. Teslim dosyası: sevilla_casa-de-la-memoria-al-andalus_02.jpg (SHA-256 06b2eae51c5a).</t>
        </is>
      </c>
      <c r="O135" s="29" t="inlineStr">
        <is>
          <t>sevilla:evidence:casa-de-la-memoria-al-andalus-02</t>
        </is>
      </c>
      <c r="P135" s="29" t="inlineStr">
        <is>
          <t>Evet</t>
        </is>
      </c>
      <c r="Q135" s="51" t="n">
        <v>2</v>
      </c>
      <c r="R135" s="29" t="inlineStr">
        <is>
          <t>Taslak</t>
        </is>
      </c>
      <c r="S135" s="52">
        <f>IF(OR(A135="",F135="",C135&lt;&gt;"Mekân"),0,IF(COUNTIFS($F$8:F135,F135,$C$8:C135,"Mekân")=1,1,0))</f>
        <v/>
      </c>
      <c r="T135" s="52">
        <f>IF(OR(A135="",F135="",C135&lt;&gt;"Kapak"),0,IF(COUNTIFS($F$8:F135,F135,$C$8:C135,"Kapak")=1,1,0))</f>
        <v/>
      </c>
    </row>
    <row r="136" ht="54" customHeight="1">
      <c r="A136" s="29" t="inlineStr">
        <is>
          <t>sevilla:photo:isla-magica-01</t>
        </is>
      </c>
      <c r="B136" s="29" t="inlineStr">
        <is>
          <t>sevilla</t>
        </is>
      </c>
      <c r="C136" s="29" t="inlineStr">
        <is>
          <t>Mekân</t>
        </is>
      </c>
      <c r="D136" s="29" t="inlineStr">
        <is>
          <t>sevilla:isla-magica</t>
        </is>
      </c>
      <c r="E136" s="29" t="inlineStr">
        <is>
          <t>Fotoğraflar/sevilla_isla-magica_01.jpg</t>
        </is>
      </c>
      <c r="F136" s="29" t="inlineStr">
        <is>
          <t>6dab639f9f8875093c5d931c59ee4b26c31270b896aef2ffd98434c4dcef6846</t>
        </is>
      </c>
      <c r="G136" s="29" t="inlineStr">
        <is>
          <t>Isla Mágica'da palmiyeler arasında renkli botlu su oyunu.</t>
        </is>
      </c>
      <c r="H136" s="29" t="inlineStr">
        <is>
          <t>Freddo</t>
        </is>
      </c>
      <c r="I136" s="29" t="inlineStr">
        <is>
          <t>CC BY-SA 4.0</t>
        </is>
      </c>
      <c r="J136" s="29" t="inlineStr">
        <is>
          <t>https://creativecommons.org/licenses/by-sa/4.0/</t>
        </is>
      </c>
      <c r="K136" s="29" t="inlineStr">
        <is>
          <t>https://commons.wikimedia.org/wiki/File:A_los_Ca%C3%B1ones_-_Isla_M%C3%A1gica.jpg</t>
        </is>
      </c>
      <c r="L136" s="49" t="n">
        <v>44458</v>
      </c>
      <c r="M136" s="49" t="n">
        <v>46320</v>
      </c>
      <c r="N136" s="29" t="inlineStr">
        <is>
          <t>Wikimedia Commons'taki "A los Cañones - Isla Mágica.jpg" (3648×2736 px) özgün dosyasının 1280×960 px küçültülmüş kopyası indirildi; kırpma, rötuş ve renk düzeltmesi yapılmadı. Teslim dosyası: sevilla_isla-magica_01.jpg (SHA-256 6dab639f9f88).</t>
        </is>
      </c>
      <c r="O136" s="29" t="inlineStr">
        <is>
          <t>sevilla:evidence:isla-magica-01</t>
        </is>
      </c>
      <c r="P136" s="29" t="inlineStr">
        <is>
          <t>Evet</t>
        </is>
      </c>
      <c r="Q136" s="51" t="n">
        <v>1</v>
      </c>
      <c r="R136" s="29" t="inlineStr">
        <is>
          <t>Taslak</t>
        </is>
      </c>
      <c r="S136" s="52">
        <f>IF(OR(A136="",F136="",C136&lt;&gt;"Mekân"),0,IF(COUNTIFS($F$8:F136,F136,$C$8:C136,"Mekân")=1,1,0))</f>
        <v/>
      </c>
      <c r="T136" s="52">
        <f>IF(OR(A136="",F136="",C136&lt;&gt;"Kapak"),0,IF(COUNTIFS($F$8:F136,F136,$C$8:C136,"Kapak")=1,1,0))</f>
        <v/>
      </c>
    </row>
    <row r="137" ht="54" customHeight="1">
      <c r="A137" s="29" t="inlineStr">
        <is>
          <t>sevilla:photo:isla-magica-02</t>
        </is>
      </c>
      <c r="B137" s="29" t="inlineStr">
        <is>
          <t>sevilla</t>
        </is>
      </c>
      <c r="C137" s="29" t="inlineStr">
        <is>
          <t>Mekân</t>
        </is>
      </c>
      <c r="D137" s="29" t="inlineStr">
        <is>
          <t>sevilla:isla-magica</t>
        </is>
      </c>
      <c r="E137" s="29" t="inlineStr">
        <is>
          <t>Fotoğraflar/sevilla_isla-magica_02.jpg</t>
        </is>
      </c>
      <c r="F137" s="29" t="inlineStr">
        <is>
          <t>abb170ddc50d3ec2c3e8272983a08c5601dc22c38149dcf5a4c2860b1e591d0b</t>
        </is>
      </c>
      <c r="G137" s="29" t="inlineStr">
        <is>
          <t>Isla Mágica'nın su parkı bölümünde renkli kaydıraklar.</t>
        </is>
      </c>
      <c r="H137" s="29" t="inlineStr">
        <is>
          <t>CarlosVdeHabsburgo</t>
        </is>
      </c>
      <c r="I137" s="29" t="inlineStr">
        <is>
          <t>CC BY-SA 4.0</t>
        </is>
      </c>
      <c r="J137" s="29" t="inlineStr">
        <is>
          <t>https://creativecommons.org/licenses/by-sa/4.0/</t>
        </is>
      </c>
      <c r="K137" s="29" t="inlineStr">
        <is>
          <t>https://commons.wikimedia.org/wiki/File:Agua_M%C3%A1gica.JPG</t>
        </is>
      </c>
      <c r="L137" s="49" t="n">
        <v>42195</v>
      </c>
      <c r="M137" s="49" t="n">
        <v>46320</v>
      </c>
      <c r="N137" s="29" t="inlineStr">
        <is>
          <t>Wikimedia Commons'taki "Agua Mágica.JPG" (4320×3240 px) özgün dosyasının 1280×960 px küçültülmüş kopyası indirildi; kırpma, rötuş ve renk düzeltmesi yapılmadı. Teslim dosyası: sevilla_isla-magica_02.jpg (SHA-256 abb170ddc50d).</t>
        </is>
      </c>
      <c r="O137" s="29" t="inlineStr">
        <is>
          <t>sevilla:evidence:isla-magica-02</t>
        </is>
      </c>
      <c r="P137" s="29" t="inlineStr">
        <is>
          <t>Evet</t>
        </is>
      </c>
      <c r="Q137" s="51" t="n">
        <v>2</v>
      </c>
      <c r="R137" s="29" t="inlineStr">
        <is>
          <t>Taslak</t>
        </is>
      </c>
      <c r="S137" s="52">
        <f>IF(OR(A137="",F137="",C137&lt;&gt;"Mekân"),0,IF(COUNTIFS($F$8:F137,F137,$C$8:C137,"Mekân")=1,1,0))</f>
        <v/>
      </c>
      <c r="T137" s="52">
        <f>IF(OR(A137="",F137="",C137&lt;&gt;"Kapak"),0,IF(COUNTIFS($F$8:F137,F137,$C$8:C137,"Kapak")=1,1,0))</f>
        <v/>
      </c>
    </row>
    <row r="138" ht="54" customHeight="1">
      <c r="A138" s="29" t="inlineStr">
        <is>
          <t>sevilla:photo:isla-magica-03</t>
        </is>
      </c>
      <c r="B138" s="29" t="inlineStr">
        <is>
          <t>sevilla</t>
        </is>
      </c>
      <c r="C138" s="29" t="inlineStr">
        <is>
          <t>Mekân</t>
        </is>
      </c>
      <c r="D138" s="29" t="inlineStr">
        <is>
          <t>sevilla:isla-magica</t>
        </is>
      </c>
      <c r="E138" s="29" t="inlineStr">
        <is>
          <t>Fotoğraflar/sevilla_isla-magica_03.jpg</t>
        </is>
      </c>
      <c r="F138" s="29" t="inlineStr">
        <is>
          <t>0107881a8361a71705bf3f5c348367f80e06bf00d5ae208a5ce3d60923c2f6d8</t>
        </is>
      </c>
      <c r="G138" s="29" t="inlineStr">
        <is>
          <t>Isla Mágica'da suya inen kütük botlu Anaconda kaydırağı.</t>
        </is>
      </c>
      <c r="H138" s="29" t="inlineStr">
        <is>
          <t>Freddo</t>
        </is>
      </c>
      <c r="I138" s="29" t="inlineStr">
        <is>
          <t>CC BY-SA 4.0</t>
        </is>
      </c>
      <c r="J138" s="29" t="inlineStr">
        <is>
          <t>https://creativecommons.org/licenses/by-sa/4.0/</t>
        </is>
      </c>
      <c r="K138" s="29" t="inlineStr">
        <is>
          <t>https://commons.wikimedia.org/wiki/File:Anaconda_-_Isla_M%C3%A1gica.jpg</t>
        </is>
      </c>
      <c r="L138" s="49" t="n">
        <v>44458</v>
      </c>
      <c r="M138" s="49" t="n">
        <v>46320</v>
      </c>
      <c r="N138" s="29" t="inlineStr">
        <is>
          <t>Wikimedia Commons'taki "Anaconda - Isla Mágica.jpg" (3648×2736 px) özgün dosyasının 1280×960 px küçültülmüş kopyası indirildi; kırpma, rötuş ve renk düzeltmesi yapılmadı. Teslim dosyası: sevilla_isla-magica_03.jpg (SHA-256 0107881a8361).</t>
        </is>
      </c>
      <c r="O138" s="29" t="inlineStr">
        <is>
          <t>sevilla:evidence:isla-magica-03</t>
        </is>
      </c>
      <c r="P138" s="29" t="inlineStr">
        <is>
          <t>Evet</t>
        </is>
      </c>
      <c r="Q138" s="51" t="n">
        <v>3</v>
      </c>
      <c r="R138" s="29" t="inlineStr">
        <is>
          <t>Taslak</t>
        </is>
      </c>
      <c r="S138" s="52">
        <f>IF(OR(A138="",F138="",C138&lt;&gt;"Mekân"),0,IF(COUNTIFS($F$8:F138,F138,$C$8:C138,"Mekân")=1,1,0))</f>
        <v/>
      </c>
      <c r="T138" s="52">
        <f>IF(OR(A138="",F138="",C138&lt;&gt;"Kapak"),0,IF(COUNTIFS($F$8:F138,F138,$C$8:C138,"Kapak")=1,1,0))</f>
        <v/>
      </c>
    </row>
    <row r="139" ht="54" customHeight="1">
      <c r="A139" s="29" t="inlineStr">
        <is>
          <t>sevilla:photo:casa-de-la-ciencia-01</t>
        </is>
      </c>
      <c r="B139" s="29" t="inlineStr">
        <is>
          <t>sevilla</t>
        </is>
      </c>
      <c r="C139" s="29" t="inlineStr">
        <is>
          <t>Mekân</t>
        </is>
      </c>
      <c r="D139" s="29" t="inlineStr">
        <is>
          <t>sevilla:casa-de-la-ciencia</t>
        </is>
      </c>
      <c r="E139" s="29" t="inlineStr">
        <is>
          <t>Fotoğraflar/sevilla_casa-de-la-ciencia_01.jpg</t>
        </is>
      </c>
      <c r="F139" s="29" t="inlineStr">
        <is>
          <t>1ad092993896d809424ecf38d2b3c0271821d6427c704b77208fbe5d1ec4156e</t>
        </is>
      </c>
      <c r="G139" s="29" t="inlineStr">
        <is>
          <t>Bilim Evi'nin (eski Peru Pavyonu) oymalı ahşap balkonlu cephesi.</t>
        </is>
      </c>
      <c r="H139" s="29" t="inlineStr">
        <is>
          <t>Tulumnes</t>
        </is>
      </c>
      <c r="I139" s="29" t="inlineStr">
        <is>
          <t>CC BY-SA 4.0</t>
        </is>
      </c>
      <c r="J139" s="29" t="inlineStr">
        <is>
          <t>https://creativecommons.org/licenses/by-sa/4.0/</t>
        </is>
      </c>
      <c r="K139" s="29" t="inlineStr">
        <is>
          <t>https://commons.wikimedia.org/wiki/File:Balcony_of_Casa_de_la_Ciencia,_Seville,_Spain.jpg</t>
        </is>
      </c>
      <c r="L139" s="49" t="n">
        <v>41815</v>
      </c>
      <c r="M139" s="49" t="n">
        <v>46320</v>
      </c>
      <c r="N139" s="29" t="inlineStr">
        <is>
          <t>Wikimedia Commons'taki "Balcony of Casa de la Ciencia, Seville, Spain.jpg" (5184×3456 px) özgün dosyasının 1280×853 px küçültülmüş kopyası indirildi; kırpma, rötuş ve renk düzeltmesi yapılmadı. Teslim dosyası: sevilla_casa-de-la-ciencia_01.jpg (SHA-256 1ad092993896).</t>
        </is>
      </c>
      <c r="O139" s="29" t="inlineStr">
        <is>
          <t>sevilla:evidence:casa-de-la-ciencia-01</t>
        </is>
      </c>
      <c r="P139" s="29" t="inlineStr">
        <is>
          <t>Evet</t>
        </is>
      </c>
      <c r="Q139" s="51" t="n">
        <v>1</v>
      </c>
      <c r="R139" s="29" t="inlineStr">
        <is>
          <t>Taslak</t>
        </is>
      </c>
      <c r="S139" s="52">
        <f>IF(OR(A139="",F139="",C139&lt;&gt;"Mekân"),0,IF(COUNTIFS($F$8:F139,F139,$C$8:C139,"Mekân")=1,1,0))</f>
        <v/>
      </c>
      <c r="T139" s="52">
        <f>IF(OR(A139="",F139="",C139&lt;&gt;"Kapak"),0,IF(COUNTIFS($F$8:F139,F139,$C$8:C139,"Kapak")=1,1,0))</f>
        <v/>
      </c>
    </row>
    <row r="140" ht="54" customHeight="1">
      <c r="A140" s="29" t="inlineStr">
        <is>
          <t>sevilla:photo:casa-de-la-ciencia-02</t>
        </is>
      </c>
      <c r="B140" s="29" t="inlineStr">
        <is>
          <t>sevilla</t>
        </is>
      </c>
      <c r="C140" s="29" t="inlineStr">
        <is>
          <t>Mekân</t>
        </is>
      </c>
      <c r="D140" s="29" t="inlineStr">
        <is>
          <t>sevilla:casa-de-la-ciencia</t>
        </is>
      </c>
      <c r="E140" s="29" t="inlineStr">
        <is>
          <t>Fotoğraflar/sevilla_casa-de-la-ciencia_02.jpg</t>
        </is>
      </c>
      <c r="F140" s="29" t="inlineStr">
        <is>
          <t>fe9169b59d534632e061e974da4349c866d82be3565dd92f78745faf27e9a685</t>
        </is>
      </c>
      <c r="G140" s="29" t="inlineStr">
        <is>
          <t>Bilim Evi'nin önündeki ağaçlı avlu ve oturma blokları.</t>
        </is>
      </c>
      <c r="H140" s="29" t="inlineStr">
        <is>
          <t>CarlosVdeHabsburgo</t>
        </is>
      </c>
      <c r="I140" s="29" t="inlineStr">
        <is>
          <t>CC BY-SA 4.0</t>
        </is>
      </c>
      <c r="J140" s="29" t="inlineStr">
        <is>
          <t>https://creativecommons.org/licenses/by-sa/4.0/</t>
        </is>
      </c>
      <c r="K140" s="29" t="inlineStr">
        <is>
          <t>https://commons.wikimedia.org/wiki/File:Exteriores_del_Pabell%C3%B3n_de_Per%C3%BA.jpg</t>
        </is>
      </c>
      <c r="L140" s="49" t="n">
        <v>45078</v>
      </c>
      <c r="M140" s="49" t="n">
        <v>46320</v>
      </c>
      <c r="N140" s="29" t="inlineStr">
        <is>
          <t>Wikimedia Commons'taki "Exteriores del Pabellón de Perú.jpg" (4000×3000 px) özgün dosyasının 1280×960 px küçültülmüş kopyası indirildi; kırpma, rötuş ve renk düzeltmesi yapılmadı. Teslim dosyası: sevilla_casa-de-la-ciencia_02.jpg (SHA-256 fe9169b59d53).</t>
        </is>
      </c>
      <c r="O140" s="29" t="inlineStr">
        <is>
          <t>sevilla:evidence:casa-de-la-ciencia-02</t>
        </is>
      </c>
      <c r="P140" s="29" t="inlineStr">
        <is>
          <t>Evet</t>
        </is>
      </c>
      <c r="Q140" s="51" t="n">
        <v>2</v>
      </c>
      <c r="R140" s="29" t="inlineStr">
        <is>
          <t>Taslak</t>
        </is>
      </c>
      <c r="S140" s="52">
        <f>IF(OR(A140="",F140="",C140&lt;&gt;"Mekân"),0,IF(COUNTIFS($F$8:F140,F140,$C$8:C140,"Mekân")=1,1,0))</f>
        <v/>
      </c>
      <c r="T140" s="52">
        <f>IF(OR(A140="",F140="",C140&lt;&gt;"Kapak"),0,IF(COUNTIFS($F$8:F140,F140,$C$8:C140,"Kapak")=1,1,0))</f>
        <v/>
      </c>
    </row>
    <row r="141" ht="54" customHeight="1">
      <c r="A141" s="29" t="inlineStr">
        <is>
          <t>sevilla:photo:casa-de-la-ciencia-03</t>
        </is>
      </c>
      <c r="B141" s="29" t="inlineStr">
        <is>
          <t>sevilla</t>
        </is>
      </c>
      <c r="C141" s="29" t="inlineStr">
        <is>
          <t>Mekân</t>
        </is>
      </c>
      <c r="D141" s="29" t="inlineStr">
        <is>
          <t>sevilla:casa-de-la-ciencia</t>
        </is>
      </c>
      <c r="E141" s="29" t="inlineStr">
        <is>
          <t>Fotoğraflar/sevilla_casa-de-la-ciencia_03.jpg</t>
        </is>
      </c>
      <c r="F141" s="29" t="inlineStr">
        <is>
          <t>048403beb8971dd92d553af395bff87e6ed48d50410bdb6bfd607a84829574b5</t>
        </is>
      </c>
      <c r="G141" s="29" t="inlineStr">
        <is>
          <t>Peru Pavyonu cephesindeki taş çörtenler, Bilim Evi binasında.</t>
        </is>
      </c>
      <c r="H141" s="29" t="inlineStr">
        <is>
          <t>CarlosVdeHabsburgo</t>
        </is>
      </c>
      <c r="I141" s="29" t="inlineStr">
        <is>
          <t>CC BY-SA 4.0</t>
        </is>
      </c>
      <c r="J141" s="29" t="inlineStr">
        <is>
          <t>https://creativecommons.org/licenses/by-sa/4.0/</t>
        </is>
      </c>
      <c r="K141" s="29" t="inlineStr">
        <is>
          <t>https://commons.wikimedia.org/wiki/File:G%C3%A1rgola_(Pabell%C3%B3n_de_Per%C3%BA)_01.jpg</t>
        </is>
      </c>
      <c r="L141" s="49" t="n">
        <v>45078</v>
      </c>
      <c r="M141" s="49" t="n">
        <v>46320</v>
      </c>
      <c r="N141" s="29" t="inlineStr">
        <is>
          <t>Wikimedia Commons'taki "Gárgola (Pabellón de Perú) 01.jpg" (4000×3000 px) özgün dosyasının 1280×960 px küçültülmüş kopyası indirildi; kırpma, rötuş ve renk düzeltmesi yapılmadı. Teslim dosyası: sevilla_casa-de-la-ciencia_03.jpg (SHA-256 048403beb897).</t>
        </is>
      </c>
      <c r="O141" s="29" t="inlineStr">
        <is>
          <t>sevilla:evidence:casa-de-la-ciencia-03</t>
        </is>
      </c>
      <c r="P141" s="29" t="inlineStr">
        <is>
          <t>Evet</t>
        </is>
      </c>
      <c r="Q141" s="51" t="n">
        <v>3</v>
      </c>
      <c r="R141" s="29" t="inlineStr">
        <is>
          <t>Taslak</t>
        </is>
      </c>
      <c r="S141" s="52">
        <f>IF(OR(A141="",F141="",C141&lt;&gt;"Mekân"),0,IF(COUNTIFS($F$8:F141,F141,$C$8:C141,"Mekân")=1,1,0))</f>
        <v/>
      </c>
      <c r="T141" s="52">
        <f>IF(OR(A141="",F141="",C141&lt;&gt;"Kapak"),0,IF(COUNTIFS($F$8:F141,F141,$C$8:C141,"Kapak")=1,1,0))</f>
        <v/>
      </c>
    </row>
    <row r="142" ht="54" customHeight="1">
      <c r="A142" s="29" t="inlineStr">
        <is>
          <t>sevilla:photo:estadio-benito-villamarin-tur-01</t>
        </is>
      </c>
      <c r="B142" s="29" t="inlineStr">
        <is>
          <t>sevilla</t>
        </is>
      </c>
      <c r="C142" s="29" t="inlineStr">
        <is>
          <t>Mekân</t>
        </is>
      </c>
      <c r="D142" s="29" t="inlineStr">
        <is>
          <t>sevilla:estadio-benito-villamarin-tur</t>
        </is>
      </c>
      <c r="E142" s="29" t="inlineStr">
        <is>
          <t>Fotoğraflar/sevilla_estadio-benito-villamarin-tur_01.jpg</t>
        </is>
      </c>
      <c r="F142" s="29" t="inlineStr">
        <is>
          <t>49c89d0747fbfd0d8286061ea4b690d1e3d003d56c0cf8239a51a68e3dde7378</t>
        </is>
      </c>
      <c r="G142" s="29" t="inlineStr">
        <is>
          <t>Gece ışıklandırılmış dolu La Cartuja Stadı'nda Betis maçı.</t>
        </is>
      </c>
      <c r="H142" s="29" t="inlineStr">
        <is>
          <t>LuisMora4B</t>
        </is>
      </c>
      <c r="I142" s="29" t="inlineStr">
        <is>
          <t>CC BY-SA 4.0</t>
        </is>
      </c>
      <c r="J142" s="29" t="inlineStr">
        <is>
          <t>https://creativecommons.org/licenses/by-sa/4.0/</t>
        </is>
      </c>
      <c r="K142" s="29" t="inlineStr">
        <is>
          <t>https://commons.wikimedia.org/wiki/File:La_Cartuja_(Betis_vs_Sevilla).jpg</t>
        </is>
      </c>
      <c r="L142" s="49" t="n">
        <v>46082</v>
      </c>
      <c r="M142" s="49" t="n">
        <v>46320</v>
      </c>
      <c r="N142" s="29" t="inlineStr">
        <is>
          <t>Wikimedia Commons'taki "La Cartuja (Betis vs Sevilla).jpg" (4032×3024 px) özgün dosyasının 1280×960 px küçültülmüş kopyası indirildi; kırpma, rötuş ve renk düzeltmesi yapılmadı. Teslim dosyası: sevilla_estadio-benito-villamarin-tur_01.jpg (SHA-256 49c89d0747fb).</t>
        </is>
      </c>
      <c r="O142" s="29" t="inlineStr">
        <is>
          <t>sevilla:evidence:estadio-benito-villamarin-tur-01</t>
        </is>
      </c>
      <c r="P142" s="29" t="inlineStr">
        <is>
          <t>Evet</t>
        </is>
      </c>
      <c r="Q142" s="51" t="n">
        <v>1</v>
      </c>
      <c r="R142" s="29" t="inlineStr">
        <is>
          <t>Taslak</t>
        </is>
      </c>
      <c r="S142" s="52">
        <f>IF(OR(A142="",F142="",C142&lt;&gt;"Mekân"),0,IF(COUNTIFS($F$8:F142,F142,$C$8:C142,"Mekân")=1,1,0))</f>
        <v/>
      </c>
      <c r="T142" s="52">
        <f>IF(OR(A142="",F142="",C142&lt;&gt;"Kapak"),0,IF(COUNTIFS($F$8:F142,F142,$C$8:C142,"Kapak")=1,1,0))</f>
        <v/>
      </c>
    </row>
    <row r="143" ht="54" customHeight="1">
      <c r="A143" s="29" t="inlineStr">
        <is>
          <t>sevilla:photo:estadio-benito-villamarin-tur-02</t>
        </is>
      </c>
      <c r="B143" s="29" t="inlineStr">
        <is>
          <t>sevilla</t>
        </is>
      </c>
      <c r="C143" s="29" t="inlineStr">
        <is>
          <t>Mekân</t>
        </is>
      </c>
      <c r="D143" s="29" t="inlineStr">
        <is>
          <t>sevilla:estadio-benito-villamarin-tur</t>
        </is>
      </c>
      <c r="E143" s="29" t="inlineStr">
        <is>
          <t>Fotoğraflar/sevilla_estadio-benito-villamarin-tur_02.jpg</t>
        </is>
      </c>
      <c r="F143" s="29" t="inlineStr">
        <is>
          <t>38b88907ec39d7190dc1da3800fc032f215da47af07546a9e83c2fddc8ce72b1</t>
        </is>
      </c>
      <c r="G143" s="29" t="inlineStr">
        <is>
          <t>Benito Villamarín Stadı'nın yeşil-beyaz Real Betis yazılı dış cephesi.</t>
        </is>
      </c>
      <c r="H143" s="29" t="inlineStr">
        <is>
          <t>Gregory Zeier</t>
        </is>
      </c>
      <c r="I143" s="29" t="inlineStr">
        <is>
          <t>CC BY 3.0</t>
        </is>
      </c>
      <c r="J143" s="29" t="inlineStr">
        <is>
          <t>https://creativecommons.org/licenses/by/3.0/</t>
        </is>
      </c>
      <c r="K143" s="29" t="inlineStr">
        <is>
          <t>https://commons.wikimedia.org/wiki/File:Stade_Manuel_Ruiz_de_Lopera_S%C3%A9ville.JPG</t>
        </is>
      </c>
      <c r="L143" s="49" t="n">
        <v>39397</v>
      </c>
      <c r="M143" s="49" t="n">
        <v>46320</v>
      </c>
      <c r="N143" s="29" t="inlineStr">
        <is>
          <t>Wikimedia Commons'taki "Stade Manuel Ruiz de Lopera Séville.JPG" (2288×1712 px) özgün dosyasının 1280×958 px küçültülmüş kopyası indirildi; kırpma, rötuş ve renk düzeltmesi yapılmadı. Teslim dosyası: sevilla_estadio-benito-villamarin-tur_02.jpg (SHA-256 38b88907ec39).</t>
        </is>
      </c>
      <c r="O143" s="29" t="inlineStr">
        <is>
          <t>sevilla:evidence:estadio-benito-villamarin-tur-02</t>
        </is>
      </c>
      <c r="P143" s="29" t="inlineStr">
        <is>
          <t>Evet</t>
        </is>
      </c>
      <c r="Q143" s="51" t="n">
        <v>2</v>
      </c>
      <c r="R143" s="29" t="inlineStr">
        <is>
          <t>Taslak</t>
        </is>
      </c>
      <c r="S143" s="52">
        <f>IF(OR(A143="",F143="",C143&lt;&gt;"Mekân"),0,IF(COUNTIFS($F$8:F143,F143,$C$8:C143,"Mekân")=1,1,0))</f>
        <v/>
      </c>
      <c r="T143" s="52">
        <f>IF(OR(A143="",F143="",C143&lt;&gt;"Kapak"),0,IF(COUNTIFS($F$8:F143,F143,$C$8:C143,"Kapak")=1,1,0))</f>
        <v/>
      </c>
    </row>
    <row r="144" ht="54" customHeight="1">
      <c r="A144" s="29" t="inlineStr">
        <is>
          <t>sevilla:photo:estadio-benito-villamarin-tur-03</t>
        </is>
      </c>
      <c r="B144" s="29" t="inlineStr">
        <is>
          <t>sevilla</t>
        </is>
      </c>
      <c r="C144" s="29" t="inlineStr">
        <is>
          <t>Mekân</t>
        </is>
      </c>
      <c r="D144" s="29" t="inlineStr">
        <is>
          <t>sevilla:estadio-benito-villamarin-tur</t>
        </is>
      </c>
      <c r="E144" s="29" t="inlineStr">
        <is>
          <t>Fotoğraflar/sevilla_estadio-benito-villamarin-tur_03.jpg</t>
        </is>
      </c>
      <c r="F144" s="29" t="inlineStr">
        <is>
          <t>59ecdbb501509f16d7dce3d4176b9b2d8ed8134d448a727603e213ade3c54c5c</t>
        </is>
      </c>
      <c r="G144" s="29" t="inlineStr">
        <is>
          <t>Benito Villamarín Stadı'nın tribünleri ve sahası.</t>
        </is>
      </c>
      <c r="H144" s="29" t="inlineStr">
        <is>
          <t>Anual</t>
        </is>
      </c>
      <c r="I144" s="29" t="inlineStr">
        <is>
          <t>CC BY-SA 4.0</t>
        </is>
      </c>
      <c r="J144" s="29" t="inlineStr">
        <is>
          <t>https://creativecommons.org/licenses/by-sa/4.0/</t>
        </is>
      </c>
      <c r="K144" s="29" t="inlineStr">
        <is>
          <t>https://commons.wikimedia.org/wiki/File:Benito_villamarin_4_de_junio_de_2023.jpg</t>
        </is>
      </c>
      <c r="L144" s="49" t="n">
        <v>45081</v>
      </c>
      <c r="M144" s="49" t="n">
        <v>46320</v>
      </c>
      <c r="N144" s="29" t="inlineStr">
        <is>
          <t>Wikimedia Commons'taki "Benito villamarin 4 de junio de 2023.jpg" (1440×648 px) özgün dosyasının 1280×576 px küçültülmüş kopyası indirildi; kırpma, rötuş ve renk düzeltmesi yapılmadı. Teslim dosyası: sevilla_estadio-benito-villamarin-tur_03.jpg (SHA-256 59ecdbb50150).</t>
        </is>
      </c>
      <c r="O144" s="29" t="inlineStr">
        <is>
          <t>sevilla:evidence:estadio-benito-villamarin-tur-03</t>
        </is>
      </c>
      <c r="P144" s="29" t="inlineStr">
        <is>
          <t>Evet</t>
        </is>
      </c>
      <c r="Q144" s="51" t="n">
        <v>3</v>
      </c>
      <c r="R144" s="29" t="inlineStr">
        <is>
          <t>Taslak</t>
        </is>
      </c>
      <c r="S144" s="52">
        <f>IF(OR(A144="",F144="",C144&lt;&gt;"Mekân"),0,IF(COUNTIFS($F$8:F144,F144,$C$8:C144,"Mekân")=1,1,0))</f>
        <v/>
      </c>
      <c r="T144" s="52">
        <f>IF(OR(A144="",F144="",C144&lt;&gt;"Kapak"),0,IF(COUNTIFS($F$8:F144,F144,$C$8:C144,"Kapak")=1,1,0))</f>
        <v/>
      </c>
    </row>
    <row r="145" ht="54" customHeight="1">
      <c r="A145" s="29" t="inlineStr">
        <is>
          <t>sevilla:photo:tablao-el-arenal-01</t>
        </is>
      </c>
      <c r="B145" s="29" t="inlineStr">
        <is>
          <t>sevilla</t>
        </is>
      </c>
      <c r="C145" s="29" t="inlineStr">
        <is>
          <t>Mekân</t>
        </is>
      </c>
      <c r="D145" s="29" t="inlineStr">
        <is>
          <t>sevilla:tablao-el-arenal</t>
        </is>
      </c>
      <c r="E145" s="29" t="inlineStr">
        <is>
          <t>Fotoğraflar/sevilla_tablao-el-arenal_01.jpg</t>
        </is>
      </c>
      <c r="F145" s="29" t="inlineStr">
        <is>
          <t>beaf71c9421b7b0731f330215cd929e9ae46c01fbd90ad3e63d379255a1b653a</t>
        </is>
      </c>
      <c r="G145" s="29" t="inlineStr">
        <is>
          <t>Tablao El Arenal'de sahnede şallı flamenko dansçısı ve müzisyenler.</t>
        </is>
      </c>
      <c r="H145" s="29" t="inlineStr">
        <is>
          <t>Noeliv</t>
        </is>
      </c>
      <c r="I145" s="29" t="inlineStr">
        <is>
          <t>CC BY-SA 4.0</t>
        </is>
      </c>
      <c r="J145" s="29" t="inlineStr">
        <is>
          <t>https://creativecommons.org/licenses/by-sa/4.0/</t>
        </is>
      </c>
      <c r="K145" s="29" t="inlineStr">
        <is>
          <t>https://commons.wikimedia.org/wiki/File:Espect%C3%A1culo_flamenco_en_Tablao_Flamenco_El_Arenal.jpg</t>
        </is>
      </c>
      <c r="L145" s="49" t="n">
        <v>43392</v>
      </c>
      <c r="M145" s="49" t="n">
        <v>46320</v>
      </c>
      <c r="N145" s="29" t="inlineStr">
        <is>
          <t>Wikimedia Commons'taki "Espectáculo flamenco en Tablao Flamenco El Arenal.jpg" (5472×3648 px) özgün dosyasının 1280×853 px küçültülmüş kopyası indirildi; kırpma, rötuş ve renk düzeltmesi yapılmadı. Teslim dosyası: sevilla_tablao-el-arenal_01.jpg (SHA-256 beaf71c9421b).</t>
        </is>
      </c>
      <c r="O145" s="29" t="inlineStr">
        <is>
          <t>sevilla:evidence:tablao-el-arenal-01</t>
        </is>
      </c>
      <c r="P145" s="29" t="inlineStr">
        <is>
          <t>Evet</t>
        </is>
      </c>
      <c r="Q145" s="51" t="n">
        <v>1</v>
      </c>
      <c r="R145" s="29" t="inlineStr">
        <is>
          <t>Taslak</t>
        </is>
      </c>
      <c r="S145" s="52">
        <f>IF(OR(A145="",F145="",C145&lt;&gt;"Mekân"),0,IF(COUNTIFS($F$8:F145,F145,$C$8:C145,"Mekân")=1,1,0))</f>
        <v/>
      </c>
      <c r="T145" s="52">
        <f>IF(OR(A145="",F145="",C145&lt;&gt;"Kapak"),0,IF(COUNTIFS($F$8:F145,F145,$C$8:C145,"Kapak")=1,1,0))</f>
        <v/>
      </c>
    </row>
    <row r="146" ht="54" customHeight="1">
      <c r="A146" s="29" t="inlineStr">
        <is>
          <t>sevilla:photo:confiteria-la-campana-01</t>
        </is>
      </c>
      <c r="B146" s="29" t="inlineStr">
        <is>
          <t>sevilla</t>
        </is>
      </c>
      <c r="C146" s="29" t="inlineStr">
        <is>
          <t>Mekân</t>
        </is>
      </c>
      <c r="D146" s="29" t="inlineStr">
        <is>
          <t>sevilla:confiteria-la-campana</t>
        </is>
      </c>
      <c r="E146" s="29" t="inlineStr">
        <is>
          <t>Fotoğraflar/sevilla_confiteria-la-campana_01.jpg</t>
        </is>
      </c>
      <c r="F146" s="29" t="inlineStr">
        <is>
          <t>28fda8a8f2d7f90ca08f216e90245e55a85b924fd68b2d85fd6eb8d1c5393bcd</t>
        </is>
      </c>
      <c r="G146" s="29" t="inlineStr">
        <is>
          <t>La Campana Pastanesi'nin süslü cephesi ve önündeki masalar.</t>
        </is>
      </c>
      <c r="H146" s="29" t="inlineStr">
        <is>
          <t>Michel wal</t>
        </is>
      </c>
      <c r="I146" s="29" t="inlineStr">
        <is>
          <t>CC BY-SA 3.0</t>
        </is>
      </c>
      <c r="J146" s="29" t="inlineStr">
        <is>
          <t>https://creativecommons.org/licenses/by-sa/3.0/</t>
        </is>
      </c>
      <c r="K146" s="29" t="inlineStr">
        <is>
          <t>https://commons.wikimedia.org/wiki/File:Calle_Sierpes_1,_Sevilla,_Spain.jpg</t>
        </is>
      </c>
      <c r="L146" s="49" t="n">
        <v>40715</v>
      </c>
      <c r="M146" s="49" t="n">
        <v>46320</v>
      </c>
      <c r="N146" s="29" t="inlineStr">
        <is>
          <t>Wikimedia Commons'taki "Calle Sierpes 1, Sevilla, Spain.jpg" (3699×2449 px) özgün dosyasının 1280×847 px küçültülmüş kopyası indirildi; kırpma, rötuş ve renk düzeltmesi yapılmadı. Teslim dosyası: sevilla_confiteria-la-campana_01.jpg (SHA-256 28fda8a8f2d7).</t>
        </is>
      </c>
      <c r="O146" s="29" t="inlineStr">
        <is>
          <t>sevilla:evidence:confiteria-la-campana-01</t>
        </is>
      </c>
      <c r="P146" s="29" t="inlineStr">
        <is>
          <t>Evet</t>
        </is>
      </c>
      <c r="Q146" s="51" t="n">
        <v>1</v>
      </c>
      <c r="R146" s="29" t="inlineStr">
        <is>
          <t>Taslak</t>
        </is>
      </c>
      <c r="S146" s="52">
        <f>IF(OR(A146="",F146="",C146&lt;&gt;"Mekân"),0,IF(COUNTIFS($F$8:F146,F146,$C$8:C146,"Mekân")=1,1,0))</f>
        <v/>
      </c>
      <c r="T146" s="52">
        <f>IF(OR(A146="",F146="",C146&lt;&gt;"Kapak"),0,IF(COUNTIFS($F$8:F146,F146,$C$8:C146,"Kapak")=1,1,0))</f>
        <v/>
      </c>
    </row>
    <row r="147" ht="54" customHeight="1">
      <c r="A147" s="29" t="inlineStr">
        <is>
          <t>sevilla:photo:confiteria-la-campana-02</t>
        </is>
      </c>
      <c r="B147" s="29" t="inlineStr">
        <is>
          <t>sevilla</t>
        </is>
      </c>
      <c r="C147" s="29" t="inlineStr">
        <is>
          <t>Mekân</t>
        </is>
      </c>
      <c r="D147" s="29" t="inlineStr">
        <is>
          <t>sevilla:confiteria-la-campana</t>
        </is>
      </c>
      <c r="E147" s="29" t="inlineStr">
        <is>
          <t>Fotoğraflar/sevilla_confiteria-la-campana_02.jpg</t>
        </is>
      </c>
      <c r="F147" s="29" t="inlineStr">
        <is>
          <t>d48314062926e28596eabe4d4db4336f9ec71e3c76741a0fefd83c888a69698f</t>
        </is>
      </c>
      <c r="G147" s="29" t="inlineStr">
        <is>
          <t>La Campana Pastanesi'nin vitrinli köşe dükkânı.</t>
        </is>
      </c>
      <c r="H147" s="29" t="inlineStr">
        <is>
          <t>Anual</t>
        </is>
      </c>
      <c r="I147" s="29" t="inlineStr">
        <is>
          <t>CC BY-SA 4.0</t>
        </is>
      </c>
      <c r="J147" s="29" t="inlineStr">
        <is>
          <t>https://creativecommons.org/licenses/by-sa/4.0/</t>
        </is>
      </c>
      <c r="K147" s="29" t="inlineStr">
        <is>
          <t>https://commons.wikimedia.org/wiki/File:Campana2018002.jpg</t>
        </is>
      </c>
      <c r="L147" s="49" t="n">
        <v>43303</v>
      </c>
      <c r="M147" s="49" t="n">
        <v>46320</v>
      </c>
      <c r="N147" s="29" t="inlineStr">
        <is>
          <t>Wikimedia Commons'taki "Campana2018002.jpg" (6000×4000 px) özgün dosyasının 1280×853 px küçültülmüş kopyası indirildi; kırpma, rötuş ve renk düzeltmesi yapılmadı. Teslim dosyası: sevilla_confiteria-la-campana_02.jpg (SHA-256 d48314062926).</t>
        </is>
      </c>
      <c r="O147" s="29" t="inlineStr">
        <is>
          <t>sevilla:evidence:confiteria-la-campana-02</t>
        </is>
      </c>
      <c r="P147" s="29" t="inlineStr">
        <is>
          <t>Evet</t>
        </is>
      </c>
      <c r="Q147" s="51" t="n">
        <v>2</v>
      </c>
      <c r="R147" s="29" t="inlineStr">
        <is>
          <t>Taslak</t>
        </is>
      </c>
      <c r="S147" s="52">
        <f>IF(OR(A147="",F147="",C147&lt;&gt;"Mekân"),0,IF(COUNTIFS($F$8:F147,F147,$C$8:C147,"Mekân")=1,1,0))</f>
        <v/>
      </c>
      <c r="T147" s="52">
        <f>IF(OR(A147="",F147="",C147&lt;&gt;"Kapak"),0,IF(COUNTIFS($F$8:F147,F147,$C$8:C147,"Kapak")=1,1,0))</f>
        <v/>
      </c>
    </row>
    <row r="148" ht="54" customHeight="1">
      <c r="A148" s="29" t="inlineStr">
        <is>
          <t>sevilla:photo:confiteria-la-campana-03</t>
        </is>
      </c>
      <c r="B148" s="29" t="inlineStr">
        <is>
          <t>sevilla</t>
        </is>
      </c>
      <c r="C148" s="29" t="inlineStr">
        <is>
          <t>Mekân</t>
        </is>
      </c>
      <c r="D148" s="29" t="inlineStr">
        <is>
          <t>sevilla:confiteria-la-campana</t>
        </is>
      </c>
      <c r="E148" s="29" t="inlineStr">
        <is>
          <t>Fotoğraflar/sevilla_confiteria-la-campana_03.jpg</t>
        </is>
      </c>
      <c r="F148" s="29" t="inlineStr">
        <is>
          <t>1609979f9cf5e57903fe13527764ee5c1238f9f384a3d248d0a2d015447baa82</t>
        </is>
      </c>
      <c r="G148" s="29" t="inlineStr">
        <is>
          <t>La Campana Pastanesi'nin vitrininde tartlar ve tatlılar.</t>
        </is>
      </c>
      <c r="H148" s="29" t="inlineStr">
        <is>
          <t>Charlie Marchant from UK</t>
        </is>
      </c>
      <c r="I148" s="29" t="inlineStr">
        <is>
          <t>CC BY 2.0</t>
        </is>
      </c>
      <c r="J148" s="29" t="inlineStr">
        <is>
          <t>https://creativecommons.org/licenses/by/2.0/</t>
        </is>
      </c>
      <c r="K148" s="29" t="inlineStr">
        <is>
          <t>https://commons.wikimedia.org/wiki/File:Confiter%C3%ADa_La_Campana_(29735832038).jpg</t>
        </is>
      </c>
      <c r="L148" s="49" t="n">
        <v>42323</v>
      </c>
      <c r="M148" s="49" t="n">
        <v>46320</v>
      </c>
      <c r="N148" s="29" t="inlineStr">
        <is>
          <t>Wikimedia Commons'taki "Confitería La Campana (29735832038).jpg" (5184×3456 px) özgün dosyasının 1280×853 px küçültülmüş kopyası indirildi; kırpma, rötuş ve renk düzeltmesi yapılmadı. Teslim dosyası: sevilla_confiteria-la-campana_03.jpg (SHA-256 1609979f9cf5).</t>
        </is>
      </c>
      <c r="O148" s="29" t="inlineStr">
        <is>
          <t>sevilla:evidence:confiteria-la-campana-03</t>
        </is>
      </c>
      <c r="P148" s="29" t="inlineStr">
        <is>
          <t>Evet</t>
        </is>
      </c>
      <c r="Q148" s="51" t="n">
        <v>3</v>
      </c>
      <c r="R148" s="29" t="inlineStr">
        <is>
          <t>Taslak</t>
        </is>
      </c>
      <c r="S148" s="52">
        <f>IF(OR(A148="",F148="",C148&lt;&gt;"Mekân"),0,IF(COUNTIFS($F$8:F148,F148,$C$8:C148,"Mekân")=1,1,0))</f>
        <v/>
      </c>
      <c r="T148" s="52">
        <f>IF(OR(A148="",F148="",C148&lt;&gt;"Kapak"),0,IF(COUNTIFS($F$8:F148,F148,$C$8:C148,"Kapak")=1,1,0))</f>
        <v/>
      </c>
    </row>
    <row r="149" ht="54" customHeight="1">
      <c r="A149" s="29" t="inlineStr">
        <is>
          <t>sevilla:photo:casa-roman-sevilla-01</t>
        </is>
      </c>
      <c r="B149" s="29" t="inlineStr">
        <is>
          <t>sevilla</t>
        </is>
      </c>
      <c r="C149" s="29" t="inlineStr">
        <is>
          <t>Mekân</t>
        </is>
      </c>
      <c r="D149" s="29" t="inlineStr">
        <is>
          <t>sevilla:casa-roman-sevilla</t>
        </is>
      </c>
      <c r="E149" s="29" t="inlineStr">
        <is>
          <t>Fotoğraflar/sevilla_casa-roman-sevilla_01.jpg</t>
        </is>
      </c>
      <c r="F149" s="29" t="inlineStr">
        <is>
          <t>114ec47fe66f9c6192ad54b11442d3c401aa58c8e355bb334a2ebaacf53618cb</t>
        </is>
      </c>
      <c r="G149" s="29" t="inlineStr">
        <is>
          <t>Casa Román'ın bordo kapılı cephesi ve önündeki masalar.</t>
        </is>
      </c>
      <c r="H149" s="29" t="inlineStr">
        <is>
          <t>Sandra Vallaure from Seville, Spain</t>
        </is>
      </c>
      <c r="I149" s="29" t="inlineStr">
        <is>
          <t>CC BY 2.0</t>
        </is>
      </c>
      <c r="J149" s="29" t="inlineStr">
        <is>
          <t>https://creativecommons.org/licenses/by/2.0/</t>
        </is>
      </c>
      <c r="K149" s="29" t="inlineStr">
        <is>
          <t>https://commons.wikimedia.org/wiki/File:Casa_Rom%C3%A1n_(17216322978).jpg</t>
        </is>
      </c>
      <c r="L149" s="49" t="n">
        <v>40943</v>
      </c>
      <c r="M149" s="49" t="n">
        <v>46320</v>
      </c>
      <c r="N149" s="29" t="inlineStr">
        <is>
          <t>Wikimedia Commons'taki "Casa Román (17216322978).jpg" (4000×3000 px) özgün dosyasının 1280×960 px küçültülmüş kopyası indirildi; kırpma, rötuş ve renk düzeltmesi yapılmadı. Teslim dosyası: sevilla_casa-roman-sevilla_01.jpg (SHA-256 114ec47fe66f).</t>
        </is>
      </c>
      <c r="O149" s="29" t="inlineStr">
        <is>
          <t>sevilla:evidence:casa-roman-sevilla-01</t>
        </is>
      </c>
      <c r="P149" s="29" t="inlineStr">
        <is>
          <t>Evet</t>
        </is>
      </c>
      <c r="Q149" s="51" t="n">
        <v>1</v>
      </c>
      <c r="R149" s="29" t="inlineStr">
        <is>
          <t>Taslak</t>
        </is>
      </c>
      <c r="S149" s="52">
        <f>IF(OR(A149="",F149="",C149&lt;&gt;"Mekân"),0,IF(COUNTIFS($F$8:F149,F149,$C$8:C149,"Mekân")=1,1,0))</f>
        <v/>
      </c>
      <c r="T149" s="52">
        <f>IF(OR(A149="",F149="",C149&lt;&gt;"Kapak"),0,IF(COUNTIFS($F$8:F149,F149,$C$8:C149,"Kapak")=1,1,0))</f>
        <v/>
      </c>
    </row>
    <row r="150" ht="54" customHeight="1">
      <c r="A150" s="29" t="inlineStr">
        <is>
          <t>sevilla:photo:casa-roman-sevilla-02</t>
        </is>
      </c>
      <c r="B150" s="29" t="inlineStr">
        <is>
          <t>sevilla</t>
        </is>
      </c>
      <c r="C150" s="29" t="inlineStr">
        <is>
          <t>Mekân</t>
        </is>
      </c>
      <c r="D150" s="29" t="inlineStr">
        <is>
          <t>sevilla:casa-roman-sevilla</t>
        </is>
      </c>
      <c r="E150" s="29" t="inlineStr">
        <is>
          <t>Fotoğraflar/sevilla_casa-roman-sevilla_02.jpg</t>
        </is>
      </c>
      <c r="F150" s="29" t="inlineStr">
        <is>
          <t>eaa02f142d3b01018bd97882504cd0906b66aa65f033ac7f4db8b96ecf4b21a3</t>
        </is>
      </c>
      <c r="G150" s="29" t="inlineStr">
        <is>
          <t>Casa Román'ın meydana bakan cephesi ve tabelası.</t>
        </is>
      </c>
      <c r="H150" s="29" t="inlineStr">
        <is>
          <t>Sandra Vallaure from Seville, Spain</t>
        </is>
      </c>
      <c r="I150" s="29" t="inlineStr">
        <is>
          <t>CC BY 2.0</t>
        </is>
      </c>
      <c r="J150" s="29" t="inlineStr">
        <is>
          <t>https://creativecommons.org/licenses/by/2.0/</t>
        </is>
      </c>
      <c r="K150" s="29" t="inlineStr">
        <is>
          <t>https://commons.wikimedia.org/wiki/File:Casa_Rom%C3%A1n_(17156620538).jpg</t>
        </is>
      </c>
      <c r="L150" s="49" t="n">
        <v>41669</v>
      </c>
      <c r="M150" s="49" t="n">
        <v>46320</v>
      </c>
      <c r="N150" s="29" t="inlineStr">
        <is>
          <t>Wikimedia Commons'taki "Casa Román (17156620538).jpg" özgün dosyası (1200×795 px) değiştirilmeden indirildi. Teslim dosyası: sevilla_casa-roman-sevilla_02.jpg (SHA-256 eaa02f142d3b).</t>
        </is>
      </c>
      <c r="O150" s="29" t="inlineStr">
        <is>
          <t>sevilla:evidence:casa-roman-sevilla-02</t>
        </is>
      </c>
      <c r="P150" s="29" t="inlineStr">
        <is>
          <t>Evet</t>
        </is>
      </c>
      <c r="Q150" s="51" t="n">
        <v>2</v>
      </c>
      <c r="R150" s="29" t="inlineStr">
        <is>
          <t>Taslak</t>
        </is>
      </c>
      <c r="S150" s="52">
        <f>IF(OR(A150="",F150="",C150&lt;&gt;"Mekân"),0,IF(COUNTIFS($F$8:F150,F150,$C$8:C150,"Mekân")=1,1,0))</f>
        <v/>
      </c>
      <c r="T150" s="52">
        <f>IF(OR(A150="",F150="",C150&lt;&gt;"Kapak"),0,IF(COUNTIFS($F$8:F150,F150,$C$8:C150,"Kapak")=1,1,0))</f>
        <v/>
      </c>
    </row>
    <row r="151" ht="54" customHeight="1">
      <c r="A151" s="29" t="inlineStr">
        <is>
          <t>sevilla:photo:huevo-de-colon-01</t>
        </is>
      </c>
      <c r="B151" s="29" t="inlineStr">
        <is>
          <t>sevilla</t>
        </is>
      </c>
      <c r="C151" s="29" t="inlineStr">
        <is>
          <t>Mekân</t>
        </is>
      </c>
      <c r="D151" s="29" t="inlineStr">
        <is>
          <t>sevilla:huevo-de-colon</t>
        </is>
      </c>
      <c r="E151" s="29" t="inlineStr">
        <is>
          <t>Fotoğraflar/sevilla_huevo-de-colon_01.jpg</t>
        </is>
      </c>
      <c r="F151" s="29" t="inlineStr">
        <is>
          <t>66267b0ddd3276082021264cdd4d8544c94d3fd565ffe3f646e1768b9ebb4cbe</t>
        </is>
      </c>
      <c r="G151" s="29" t="inlineStr">
        <is>
          <t>Kolomb'un Yumurtası (Huevo de Colón) heykelinin içten ışıklı bronz kabuğu.</t>
        </is>
      </c>
      <c r="H151" s="29" t="inlineStr">
        <is>
          <t>Paco Abato Helguera</t>
        </is>
      </c>
      <c r="I151" s="29" t="inlineStr">
        <is>
          <t>CC BY-SA 2.0</t>
        </is>
      </c>
      <c r="J151" s="29" t="inlineStr">
        <is>
          <t>https://creativecommons.org/licenses/by-sa/2.0/</t>
        </is>
      </c>
      <c r="K151" s="29" t="inlineStr">
        <is>
          <t>https://commons.wikimedia.org/wiki/File:El_huevo_de_Col%C3%B3n.jpg</t>
        </is>
      </c>
      <c r="L151" s="49" t="n">
        <v>39761</v>
      </c>
      <c r="M151" s="49" t="n">
        <v>46320</v>
      </c>
      <c r="N151" s="29" t="inlineStr">
        <is>
          <t>Wikimedia Commons'taki "El huevo de Colón.jpg" (3888×2592 px) özgün dosyasının 1280×853 px küçültülmüş kopyası indirildi; kırpma, rötuş ve renk düzeltmesi yapılmadı. Teslim dosyası: sevilla_huevo-de-colon_01.jpg (SHA-256 66267b0ddd32).</t>
        </is>
      </c>
      <c r="O151" s="29" t="inlineStr">
        <is>
          <t>sevilla:evidence:huevo-de-colon-01</t>
        </is>
      </c>
      <c r="P151" s="29" t="inlineStr">
        <is>
          <t>Evet</t>
        </is>
      </c>
      <c r="Q151" s="51" t="n">
        <v>1</v>
      </c>
      <c r="R151" s="29" t="inlineStr">
        <is>
          <t>Taslak</t>
        </is>
      </c>
      <c r="S151" s="52">
        <f>IF(OR(A151="",F151="",C151&lt;&gt;"Mekân"),0,IF(COUNTIFS($F$8:F151,F151,$C$8:C151,"Mekân")=1,1,0))</f>
        <v/>
      </c>
      <c r="T151" s="52">
        <f>IF(OR(A151="",F151="",C151&lt;&gt;"Kapak"),0,IF(COUNTIFS($F$8:F151,F151,$C$8:C151,"Kapak")=1,1,0))</f>
        <v/>
      </c>
    </row>
    <row r="152" ht="54" customHeight="1">
      <c r="A152" s="29" t="inlineStr">
        <is>
          <t>sevilla:photo:huevo-de-colon-02</t>
        </is>
      </c>
      <c r="B152" s="29" t="inlineStr">
        <is>
          <t>sevilla</t>
        </is>
      </c>
      <c r="C152" s="29" t="inlineStr">
        <is>
          <t>Mekân</t>
        </is>
      </c>
      <c r="D152" s="29" t="inlineStr">
        <is>
          <t>sevilla:huevo-de-colon</t>
        </is>
      </c>
      <c r="E152" s="29" t="inlineStr">
        <is>
          <t>Fotoğraflar/sevilla_huevo-de-colon_02.jpg</t>
        </is>
      </c>
      <c r="F152" s="29" t="inlineStr">
        <is>
          <t>58b36d90bb46f0727f93d66bc8f75a5e1d06fa371aca0d89b22c738a31da39f9</t>
        </is>
      </c>
      <c r="G152" s="29" t="inlineStr">
        <is>
          <t>Parktaki Kolomb'un Yumurtası heykelinin dış kabuğu ve içindeki figür.</t>
        </is>
      </c>
      <c r="H152" s="29" t="inlineStr">
        <is>
          <t>alfonsocg1983</t>
        </is>
      </c>
      <c r="I152" s="29" t="inlineStr">
        <is>
          <t>CC BY 3.0</t>
        </is>
      </c>
      <c r="J152" s="29" t="inlineStr">
        <is>
          <t>https://creativecommons.org/licenses/by/3.0/</t>
        </is>
      </c>
      <c r="K152" s="29" t="inlineStr">
        <is>
          <t>https://commons.wikimedia.org/wiki/File:Huevo_de_Colon_-_Sevilla_-_Parque_de_San_Jeronimo_-_panoramio.jpg</t>
        </is>
      </c>
      <c r="L152" s="49" t="n"/>
      <c r="M152" s="49" t="n">
        <v>46320</v>
      </c>
      <c r="N152" s="29" t="inlineStr">
        <is>
          <t>Wikimedia Commons'taki "Huevo de Colon - Sevilla - Parque de San Jeronimo - panoramio.jpg" (2592×1944 px) özgün dosyasının 1280×960 px küçültülmüş kopyası indirildi; kırpma, rötuş ve renk düzeltmesi yapılmadı. Teslim dosyası: sevilla_huevo-de-colon_02.jpg (SHA-256 58b36d90bb46).</t>
        </is>
      </c>
      <c r="O152" s="29" t="inlineStr">
        <is>
          <t>sevilla:evidence:huevo-de-colon-02</t>
        </is>
      </c>
      <c r="P152" s="29" t="inlineStr">
        <is>
          <t>Evet</t>
        </is>
      </c>
      <c r="Q152" s="51" t="n">
        <v>2</v>
      </c>
      <c r="R152" s="29" t="inlineStr">
        <is>
          <t>Taslak</t>
        </is>
      </c>
      <c r="S152" s="52">
        <f>IF(OR(A152="",F152="",C152&lt;&gt;"Mekân"),0,IF(COUNTIFS($F$8:F152,F152,$C$8:C152,"Mekân")=1,1,0))</f>
        <v/>
      </c>
      <c r="T152" s="52">
        <f>IF(OR(A152="",F152="",C152&lt;&gt;"Kapak"),0,IF(COUNTIFS($F$8:F152,F152,$C$8:C152,"Kapak")=1,1,0))</f>
        <v/>
      </c>
    </row>
    <row r="153" ht="54" customHeight="1">
      <c r="A153" s="29" t="inlineStr">
        <is>
          <t>sevilla:photo:real-fabrica-de-artilleria-01</t>
        </is>
      </c>
      <c r="B153" s="29" t="inlineStr">
        <is>
          <t>sevilla</t>
        </is>
      </c>
      <c r="C153" s="29" t="inlineStr">
        <is>
          <t>Mekân</t>
        </is>
      </c>
      <c r="D153" s="29" t="inlineStr">
        <is>
          <t>sevilla:real-fabrica-de-artilleria</t>
        </is>
      </c>
      <c r="E153" s="29" t="inlineStr">
        <is>
          <t>Fotoğraflar/sevilla_real-fabrica-de-artilleria_01.jpg</t>
        </is>
      </c>
      <c r="F153" s="29" t="inlineStr">
        <is>
          <t>fa5a20b4c118fd220cb6b37f84fb1630670a7f0a6ca1b58b767a327f462cb372</t>
        </is>
      </c>
      <c r="G153" s="29" t="inlineStr">
        <is>
          <t>Real Fábrica de Artillería'nın saat kuleli tarihî giriş kapısı.</t>
        </is>
      </c>
      <c r="H153" s="29" t="inlineStr">
        <is>
          <t>Anual</t>
        </is>
      </c>
      <c r="I153" s="29" t="inlineStr">
        <is>
          <t>CC BY-SA 4.0</t>
        </is>
      </c>
      <c r="J153" s="29" t="inlineStr">
        <is>
          <t>https://creativecommons.org/licenses/by-sa/4.0/</t>
        </is>
      </c>
      <c r="K153" s="29" t="inlineStr">
        <is>
          <t>https://commons.wikimedia.org/wiki/File:F%C3%A1brica_de_artiller%C3%ADa_2024An773.jpg</t>
        </is>
      </c>
      <c r="L153" s="49" t="n">
        <v>45640</v>
      </c>
      <c r="M153" s="49" t="n">
        <v>46320</v>
      </c>
      <c r="N153" s="29" t="inlineStr">
        <is>
          <t>Wikimedia Commons'taki "Fábrica de artillería 2024An773.jpg" (6000×4000 px) özgün dosyasının 1280×853 px küçültülmüş kopyası indirildi; kırpma, rötuş ve renk düzeltmesi yapılmadı. Teslim dosyası: sevilla_real-fabrica-de-artilleria_01.jpg (SHA-256 fa5a20b4c118).</t>
        </is>
      </c>
      <c r="O153" s="29" t="inlineStr">
        <is>
          <t>sevilla:evidence:real-fabrica-de-artilleria-01</t>
        </is>
      </c>
      <c r="P153" s="29" t="inlineStr">
        <is>
          <t>Evet</t>
        </is>
      </c>
      <c r="Q153" s="51" t="n">
        <v>1</v>
      </c>
      <c r="R153" s="29" t="inlineStr">
        <is>
          <t>Taslak</t>
        </is>
      </c>
      <c r="S153" s="52">
        <f>IF(OR(A153="",F153="",C153&lt;&gt;"Mekân"),0,IF(COUNTIFS($F$8:F153,F153,$C$8:C153,"Mekân")=1,1,0))</f>
        <v/>
      </c>
      <c r="T153" s="52">
        <f>IF(OR(A153="",F153="",C153&lt;&gt;"Kapak"),0,IF(COUNTIFS($F$8:F153,F153,$C$8:C153,"Kapak")=1,1,0))</f>
        <v/>
      </c>
    </row>
    <row r="154" ht="54" customHeight="1">
      <c r="A154" s="29" t="inlineStr">
        <is>
          <t>sevilla:photo:iglesia-de-san-luis-de-los-franceses-01</t>
        </is>
      </c>
      <c r="B154" s="29" t="inlineStr">
        <is>
          <t>sevilla</t>
        </is>
      </c>
      <c r="C154" s="29" t="inlineStr">
        <is>
          <t>Mekân</t>
        </is>
      </c>
      <c r="D154" s="29" t="inlineStr">
        <is>
          <t>sevilla:iglesia-de-san-luis-de-los-franceses</t>
        </is>
      </c>
      <c r="E154" s="29" t="inlineStr">
        <is>
          <t>Fotoğraflar/sevilla_iglesia-de-san-luis-de-los-franceses_01.jpg</t>
        </is>
      </c>
      <c r="F154" s="29" t="inlineStr">
        <is>
          <t>15354794abdf9afb8ab7e3ac0eb790d3ab413c865c56a7a846f784212d4dc4c7</t>
        </is>
      </c>
      <c r="G154" s="29" t="inlineStr">
        <is>
          <t>San Luis de los Franceses Kilisesi'nin fresklerle süslü kubbesi içten.</t>
        </is>
      </c>
      <c r="H154" s="29" t="inlineStr">
        <is>
          <t>José Luis Filpo Cabana</t>
        </is>
      </c>
      <c r="I154" s="29" t="inlineStr">
        <is>
          <t>CC BY 4.0</t>
        </is>
      </c>
      <c r="J154" s="29" t="inlineStr">
        <is>
          <t>https://creativecommons.org/licenses/by/4.0/</t>
        </is>
      </c>
      <c r="K154" s="29" t="inlineStr">
        <is>
          <t>https://commons.wikimedia.org/wiki/File:B%C3%B3veda_de_la_Iglesia_de_San_Luis_de_los_Franceses_(Sevilla).jpg</t>
        </is>
      </c>
      <c r="L154" s="49" t="n"/>
      <c r="M154" s="49" t="n">
        <v>46320</v>
      </c>
      <c r="N154" s="29" t="inlineStr">
        <is>
          <t>Wikimedia Commons'taki "Bóveda de la Iglesia de San Luis de los Franceses (Sevilla).jpg" (3648×2736 px) özgün dosyasının 1280×960 px küçültülmüş kopyası indirildi; kırpma, rötuş ve renk düzeltmesi yapılmadı. Teslim dosyası: sevilla_iglesia-de-san-luis-de-los-franceses_01.jpg (SHA-256 15354794abdf).</t>
        </is>
      </c>
      <c r="O154" s="29" t="inlineStr">
        <is>
          <t>sevilla:evidence:iglesia-de-san-luis-de-los-franceses-01</t>
        </is>
      </c>
      <c r="P154" s="29" t="inlineStr">
        <is>
          <t>Evet</t>
        </is>
      </c>
      <c r="Q154" s="51" t="n">
        <v>1</v>
      </c>
      <c r="R154" s="29" t="inlineStr">
        <is>
          <t>Taslak</t>
        </is>
      </c>
      <c r="S154" s="52">
        <f>IF(OR(A154="",F154="",C154&lt;&gt;"Mekân"),0,IF(COUNTIFS($F$8:F154,F154,$C$8:C154,"Mekân")=1,1,0))</f>
        <v/>
      </c>
      <c r="T154" s="52">
        <f>IF(OR(A154="",F154="",C154&lt;&gt;"Kapak"),0,IF(COUNTIFS($F$8:F154,F154,$C$8:C154,"Kapak")=1,1,0))</f>
        <v/>
      </c>
    </row>
    <row r="155" ht="54" customHeight="1">
      <c r="A155" s="29" t="inlineStr">
        <is>
          <t>sevilla:photo:iglesia-de-san-luis-de-los-franceses-02</t>
        </is>
      </c>
      <c r="B155" s="29" t="inlineStr">
        <is>
          <t>sevilla</t>
        </is>
      </c>
      <c r="C155" s="29" t="inlineStr">
        <is>
          <t>Mekân</t>
        </is>
      </c>
      <c r="D155" s="29" t="inlineStr">
        <is>
          <t>sevilla:iglesia-de-san-luis-de-los-franceses</t>
        </is>
      </c>
      <c r="E155" s="29" t="inlineStr">
        <is>
          <t>Fotoğraflar/sevilla_iglesia-de-san-luis-de-los-franceses_02.jpg</t>
        </is>
      </c>
      <c r="F155" s="29" t="inlineStr">
        <is>
          <t>b27fbf731e55f7445401896bd22778c2480245b5aa47dcb3310b86c53f68521d</t>
        </is>
      </c>
      <c r="G155" s="29" t="inlineStr">
        <is>
          <t>San Luis de los Franceses Kilisesi'nin kubbesi, çatılar arasından.</t>
        </is>
      </c>
      <c r="H155" s="29" t="inlineStr">
        <is>
          <t>Thomas Dahlstrøm Nielsen</t>
        </is>
      </c>
      <c r="I155" s="29" t="inlineStr">
        <is>
          <t>CC BY-SA 4.0</t>
        </is>
      </c>
      <c r="J155" s="29" t="inlineStr">
        <is>
          <t>https://creativecommons.org/licenses/by-sa/4.0/</t>
        </is>
      </c>
      <c r="K155" s="29" t="inlineStr">
        <is>
          <t>https://commons.wikimedia.org/wiki/File:Exterior_of_the_Iglesia_de_San_Luis_de_los_Franceses_(Sevilla)_seen_from_the_top_of_Metropol_Parasol.jpg</t>
        </is>
      </c>
      <c r="L155" s="49" t="n">
        <v>44857</v>
      </c>
      <c r="M155" s="49" t="n">
        <v>46320</v>
      </c>
      <c r="N155" s="29" t="inlineStr">
        <is>
          <t>Wikimedia Commons'taki "Exterior of the Iglesia de San Luis de los Franceses (Sevilla) seen from the top of Metrop" (6000×4000 px) özgün dosyasının 1280×853 px küçültülmüş kopyası indirildi; kırpma, rötuş ve renk düzeltmesi yapılmadı. Teslim dosyası: sevilla_iglesia-de-san-luis-de-los-franceses_02.jpg (SHA-256 b27fbf731e55).</t>
        </is>
      </c>
      <c r="O155" s="29" t="inlineStr">
        <is>
          <t>sevilla:evidence:iglesia-de-san-luis-de-los-franceses-02</t>
        </is>
      </c>
      <c r="P155" s="29" t="inlineStr">
        <is>
          <t>Evet</t>
        </is>
      </c>
      <c r="Q155" s="51" t="n">
        <v>2</v>
      </c>
      <c r="R155" s="29" t="inlineStr">
        <is>
          <t>Taslak</t>
        </is>
      </c>
      <c r="S155" s="52">
        <f>IF(OR(A155="",F155="",C155&lt;&gt;"Mekân"),0,IF(COUNTIFS($F$8:F155,F155,$C$8:C155,"Mekân")=1,1,0))</f>
        <v/>
      </c>
      <c r="T155" s="52">
        <f>IF(OR(A155="",F155="",C155&lt;&gt;"Kapak"),0,IF(COUNTIFS($F$8:F155,F155,$C$8:C155,"Kapak")=1,1,0))</f>
        <v/>
      </c>
    </row>
    <row r="156" ht="54" customHeight="1">
      <c r="A156" s="29" t="inlineStr">
        <is>
          <t>sevilla:photo:iglesia-de-san-luis-de-los-franceses-03</t>
        </is>
      </c>
      <c r="B156" s="29" t="inlineStr">
        <is>
          <t>sevilla</t>
        </is>
      </c>
      <c r="C156" s="29" t="inlineStr">
        <is>
          <t>Mekân</t>
        </is>
      </c>
      <c r="D156" s="29" t="inlineStr">
        <is>
          <t>sevilla:iglesia-de-san-luis-de-los-franceses</t>
        </is>
      </c>
      <c r="E156" s="29" t="inlineStr">
        <is>
          <t>Fotoğraflar/sevilla_iglesia-de-san-luis-de-los-franceses_03.jpg</t>
        </is>
      </c>
      <c r="F156" s="29" t="inlineStr">
        <is>
          <t>ab5e499d67329f08de2086975a47dc927aec4b73b8cc1bcb1d00a15b6c505376</t>
        </is>
      </c>
      <c r="G156" s="29" t="inlineStr">
        <is>
          <t>San Luis de los Franceses Kilisesi'nde damalı zemin ve altın yaldızlı sunak.</t>
        </is>
      </c>
      <c r="H156" s="29" t="inlineStr">
        <is>
          <t>Jl FilpoC</t>
        </is>
      </c>
      <c r="I156" s="29" t="inlineStr">
        <is>
          <t>CC BY-SA 4.0</t>
        </is>
      </c>
      <c r="J156" s="29" t="inlineStr">
        <is>
          <t>https://creativecommons.org/licenses/by-sa/4.0/</t>
        </is>
      </c>
      <c r="K156" s="29" t="inlineStr">
        <is>
          <t>https://commons.wikimedia.org/wiki/File:Retablo_de_San_Estanislao_de_Kostka,_Pedro_Duque_Cornejo.jpg</t>
        </is>
      </c>
      <c r="L156" s="49" t="n">
        <v>43015</v>
      </c>
      <c r="M156" s="49" t="n">
        <v>46320</v>
      </c>
      <c r="N156" s="29" t="inlineStr">
        <is>
          <t>Wikimedia Commons'taki "Retablo de San Estanislao de Kostka, Pedro Duque Cornejo.jpg" (2459×3277 px) özgün dosyasının 1280×1706 px küçültülmüş kopyası indirildi; kırpma, rötuş ve renk düzeltmesi yapılmadı. Teslim dosyası: sevilla_iglesia-de-san-luis-de-los-franceses_03.jpg (SHA-256 ab5e499d6732).</t>
        </is>
      </c>
      <c r="O156" s="29" t="inlineStr">
        <is>
          <t>sevilla:evidence:iglesia-de-san-luis-de-los-franceses-03</t>
        </is>
      </c>
      <c r="P156" s="29" t="inlineStr">
        <is>
          <t>Evet</t>
        </is>
      </c>
      <c r="Q156" s="51" t="n">
        <v>3</v>
      </c>
      <c r="R156" s="29" t="inlineStr">
        <is>
          <t>Taslak</t>
        </is>
      </c>
      <c r="S156" s="52">
        <f>IF(OR(A156="",F156="",C156&lt;&gt;"Mekân"),0,IF(COUNTIFS($F$8:F156,F156,$C$8:C156,"Mekân")=1,1,0))</f>
        <v/>
      </c>
      <c r="T156" s="52">
        <f>IF(OR(A156="",F156="",C156&lt;&gt;"Kapak"),0,IF(COUNTIFS($F$8:F156,F156,$C$8:C156,"Kapak")=1,1,0))</f>
        <v/>
      </c>
    </row>
    <row r="157" ht="54" customHeight="1">
      <c r="A157" s="29" t="inlineStr">
        <is>
          <t>sevilla:photo:ceramica-santa-ana-01</t>
        </is>
      </c>
      <c r="B157" s="29" t="inlineStr">
        <is>
          <t>sevilla</t>
        </is>
      </c>
      <c r="C157" s="29" t="inlineStr">
        <is>
          <t>Mekân</t>
        </is>
      </c>
      <c r="D157" s="29" t="inlineStr">
        <is>
          <t>sevilla:ceramica-santa-ana</t>
        </is>
      </c>
      <c r="E157" s="29" t="inlineStr">
        <is>
          <t>Fotoğraflar/sevilla_ceramica-santa-ana_01.jpg</t>
        </is>
      </c>
      <c r="F157" s="29" t="inlineStr">
        <is>
          <t>806b111a5c4f8af6b00f871be9f55ba9fbe0bbd5ca078b91e522aff21c82388e</t>
        </is>
      </c>
      <c r="G157" s="29" t="inlineStr">
        <is>
          <t>Cerámica Santa Ana'nın çinilerle kaplı dükkân cephesi.</t>
        </is>
      </c>
      <c r="H157" s="29" t="inlineStr">
        <is>
          <t>Anual</t>
        </is>
      </c>
      <c r="I157" s="29" t="inlineStr">
        <is>
          <t>CC BY 3.0</t>
        </is>
      </c>
      <c r="J157" s="29" t="inlineStr">
        <is>
          <t>https://creativecommons.org/licenses/by/3.0/</t>
        </is>
      </c>
      <c r="K157" s="29" t="inlineStr">
        <is>
          <t>https://commons.wikimedia.org/wiki/File:Cer%C3%A1micas_Santa_Ana_004.jpg</t>
        </is>
      </c>
      <c r="L157" s="49" t="n">
        <v>39747</v>
      </c>
      <c r="M157" s="49" t="n">
        <v>46320</v>
      </c>
      <c r="N157" s="29" t="inlineStr">
        <is>
          <t>Wikimedia Commons'taki "Cerámicas Santa Ana 004.jpg" (2592×3322 px) özgün dosyasının 1280×1640 px küçültülmüş kopyası indirildi; kırpma, rötuş ve renk düzeltmesi yapılmadı. Teslim dosyası: sevilla_ceramica-santa-ana_01.jpg (SHA-256 806b111a5c4f).</t>
        </is>
      </c>
      <c r="O157" s="29" t="inlineStr">
        <is>
          <t>sevilla:evidence:ceramica-santa-ana-01</t>
        </is>
      </c>
      <c r="P157" s="29" t="inlineStr">
        <is>
          <t>Evet</t>
        </is>
      </c>
      <c r="Q157" s="51" t="n">
        <v>1</v>
      </c>
      <c r="R157" s="29" t="inlineStr">
        <is>
          <t>Taslak</t>
        </is>
      </c>
      <c r="S157" s="52">
        <f>IF(OR(A157="",F157="",C157&lt;&gt;"Mekân"),0,IF(COUNTIFS($F$8:F157,F157,$C$8:C157,"Mekân")=1,1,0))</f>
        <v/>
      </c>
      <c r="T157" s="52">
        <f>IF(OR(A157="",F157="",C157&lt;&gt;"Kapak"),0,IF(COUNTIFS($F$8:F157,F157,$C$8:C157,"Kapak")=1,1,0))</f>
        <v/>
      </c>
    </row>
    <row r="158" ht="54" customHeight="1">
      <c r="A158" s="29" t="inlineStr">
        <is>
          <t>sevilla:photo:casa-de-la-guitarra-01</t>
        </is>
      </c>
      <c r="B158" s="29" t="inlineStr">
        <is>
          <t>sevilla</t>
        </is>
      </c>
      <c r="C158" s="29" t="inlineStr">
        <is>
          <t>Mekân</t>
        </is>
      </c>
      <c r="D158" s="29" t="inlineStr">
        <is>
          <t>sevilla:casa-de-la-guitarra</t>
        </is>
      </c>
      <c r="E158" s="29" t="inlineStr">
        <is>
          <t>Fotoğraflar/sevilla_casa-de-la-guitarra_01.jpg</t>
        </is>
      </c>
      <c r="F158" s="29" t="inlineStr">
        <is>
          <t>d042783095df20216d7d7149417a90328653c4ce1526c924216ad4792d2dead0</t>
        </is>
      </c>
      <c r="G158" s="29" t="inlineStr">
        <is>
          <t>Casa de la Guitarra'nın bulunduğu Santa Cruz'daki beyaz badanalı dar sokak.</t>
        </is>
      </c>
      <c r="H158" s="29" t="inlineStr">
        <is>
          <t>CarlosVdeHabsburgo</t>
        </is>
      </c>
      <c r="I158" s="29" t="inlineStr">
        <is>
          <t>CC BY-SA 4.0</t>
        </is>
      </c>
      <c r="J158" s="29" t="inlineStr">
        <is>
          <t>https://creativecommons.org/licenses/by-sa/4.0/</t>
        </is>
      </c>
      <c r="K158" s="29" t="inlineStr">
        <is>
          <t>https://commons.wikimedia.org/wiki/File:Centro_Cultural_Flamenco.jpg</t>
        </is>
      </c>
      <c r="L158" s="49" t="n">
        <v>45550</v>
      </c>
      <c r="M158" s="49" t="n">
        <v>46320</v>
      </c>
      <c r="N158" s="29" t="inlineStr">
        <is>
          <t>Wikimedia Commons'taki "Centro Cultural Flamenco.jpg" (3000×4000 px) özgün dosyasının 1280×1707 px küçültülmüş kopyası indirildi; kırpma, rötuş ve renk düzeltmesi yapılmadı. Teslim dosyası: sevilla_casa-de-la-guitarra_01.jpg (SHA-256 d042783095df).</t>
        </is>
      </c>
      <c r="O158" s="29" t="inlineStr">
        <is>
          <t>sevilla:evidence:casa-de-la-guitarra-01</t>
        </is>
      </c>
      <c r="P158" s="29" t="inlineStr">
        <is>
          <t>Evet</t>
        </is>
      </c>
      <c r="Q158" s="51" t="n">
        <v>1</v>
      </c>
      <c r="R158" s="29" t="inlineStr">
        <is>
          <t>Taslak</t>
        </is>
      </c>
      <c r="S158" s="52">
        <f>IF(OR(A158="",F158="",C158&lt;&gt;"Mekân"),0,IF(COUNTIFS($F$8:F158,F158,$C$8:C158,"Mekân")=1,1,0))</f>
        <v/>
      </c>
      <c r="T158" s="52">
        <f>IF(OR(A158="",F158="",C158&lt;&gt;"Kapak"),0,IF(COUNTIFS($F$8:F158,F158,$C$8:C158,"Kapak")=1,1,0))</f>
        <v/>
      </c>
    </row>
    <row r="159" ht="54" customHeight="1">
      <c r="A159" s="29" t="inlineStr">
        <is>
          <t>sevilla:photo:convento-de-santa-paula-01</t>
        </is>
      </c>
      <c r="B159" s="29" t="inlineStr">
        <is>
          <t>sevilla</t>
        </is>
      </c>
      <c r="C159" s="29" t="inlineStr">
        <is>
          <t>Mekân</t>
        </is>
      </c>
      <c r="D159" s="29" t="inlineStr">
        <is>
          <t>sevilla:convento-de-santa-paula</t>
        </is>
      </c>
      <c r="E159" s="29" t="inlineStr">
        <is>
          <t>Fotoğraflar/sevilla_convento-de-santa-paula_01.jpg</t>
        </is>
      </c>
      <c r="F159" s="29" t="inlineStr">
        <is>
          <t>e57c01d3e4ddebc6bc04b68d5030141897b7280bb0210c955dacd4ee8fbf3f4d</t>
        </is>
      </c>
      <c r="G159" s="29" t="inlineStr">
        <is>
          <t>Santa Paula Manastırı'nın portakal ağaçlı avlusu (compás) ve girişi.</t>
        </is>
      </c>
      <c r="H159" s="29" t="inlineStr">
        <is>
          <t>Jl FilpoC</t>
        </is>
      </c>
      <c r="I159" s="29" t="inlineStr">
        <is>
          <t>CC BY 3.0</t>
        </is>
      </c>
      <c r="J159" s="29" t="inlineStr">
        <is>
          <t>https://creativecommons.org/licenses/by/3.0/</t>
        </is>
      </c>
      <c r="K159" s="29" t="inlineStr">
        <is>
          <t>https://commons.wikimedia.org/wiki/File:Comp%C3%A1s_del_Convento_de_Santa_Paula,_Sevilla.jpg</t>
        </is>
      </c>
      <c r="L159" s="49" t="n"/>
      <c r="M159" s="49" t="n">
        <v>46320</v>
      </c>
      <c r="N159" s="29" t="inlineStr">
        <is>
          <t>Wikimedia Commons'taki "Compás del Convento de Santa Paula, Sevilla.jpg" (3776×2520 px) özgün dosyasının 1280×854 px küçültülmüş kopyası indirildi; kırpma, rötuş ve renk düzeltmesi yapılmadı. Teslim dosyası: sevilla_convento-de-santa-paula_01.jpg (SHA-256 e57c01d3e4dd).</t>
        </is>
      </c>
      <c r="O159" s="29" t="inlineStr">
        <is>
          <t>sevilla:evidence:convento-de-santa-paula-01</t>
        </is>
      </c>
      <c r="P159" s="29" t="inlineStr">
        <is>
          <t>Evet</t>
        </is>
      </c>
      <c r="Q159" s="51" t="n">
        <v>1</v>
      </c>
      <c r="R159" s="29" t="inlineStr">
        <is>
          <t>Taslak</t>
        </is>
      </c>
      <c r="S159" s="52">
        <f>IF(OR(A159="",F159="",C159&lt;&gt;"Mekân"),0,IF(COUNTIFS($F$8:F159,F159,$C$8:C159,"Mekân")=1,1,0))</f>
        <v/>
      </c>
      <c r="T159" s="52">
        <f>IF(OR(A159="",F159="",C159&lt;&gt;"Kapak"),0,IF(COUNTIFS($F$8:F159,F159,$C$8:C159,"Kapak")=1,1,0))</f>
        <v/>
      </c>
    </row>
    <row r="160" ht="54" customHeight="1">
      <c r="A160" s="29" t="inlineStr">
        <is>
          <t>sevilla:photo:convento-de-santa-paula-02</t>
        </is>
      </c>
      <c r="B160" s="29" t="inlineStr">
        <is>
          <t>sevilla</t>
        </is>
      </c>
      <c r="C160" s="29" t="inlineStr">
        <is>
          <t>Mekân</t>
        </is>
      </c>
      <c r="D160" s="29" t="inlineStr">
        <is>
          <t>sevilla:convento-de-santa-paula</t>
        </is>
      </c>
      <c r="E160" s="29" t="inlineStr">
        <is>
          <t>Fotoğraflar/sevilla_convento-de-santa-paula_02.jpg</t>
        </is>
      </c>
      <c r="F160" s="29" t="inlineStr">
        <is>
          <t>960929bdd989b164935d5ed1aa0e01bb2a95914a7e8efbdb21b984eeca491114</t>
        </is>
      </c>
      <c r="G160" s="29" t="inlineStr">
        <is>
          <t>Santa Paula Manastırı'nda yaldızlı kaburgalı tonoz tavan.</t>
        </is>
      </c>
      <c r="H160" s="29" t="inlineStr">
        <is>
          <t>Jose Luis Filpo Cabana</t>
        </is>
      </c>
      <c r="I160" s="29" t="inlineStr">
        <is>
          <t>CC BY 3.0</t>
        </is>
      </c>
      <c r="J160" s="29" t="inlineStr">
        <is>
          <t>https://creativecommons.org/licenses/by/3.0/</t>
        </is>
      </c>
      <c r="K160" s="29" t="inlineStr">
        <is>
          <t>https://commons.wikimedia.org/wiki/File:Convento_de_Santa_Paula_(Sevilla)._B%C3%B3veda.jpg</t>
        </is>
      </c>
      <c r="L160" s="49" t="n"/>
      <c r="M160" s="49" t="n">
        <v>46320</v>
      </c>
      <c r="N160" s="29" t="inlineStr">
        <is>
          <t>Wikimedia Commons'taki "Convento de Santa Paula (Sevilla). Bóveda.jpg" (2733×2575 px) özgün dosyasının 1280×1206 px küçültülmüş kopyası indirildi; kırpma, rötuş ve renk düzeltmesi yapılmadı. Teslim dosyası: sevilla_convento-de-santa-paula_02.jpg (SHA-256 960929bdd989).</t>
        </is>
      </c>
      <c r="O160" s="29" t="inlineStr">
        <is>
          <t>sevilla:evidence:convento-de-santa-paula-02</t>
        </is>
      </c>
      <c r="P160" s="29" t="inlineStr">
        <is>
          <t>Evet</t>
        </is>
      </c>
      <c r="Q160" s="51" t="n">
        <v>2</v>
      </c>
      <c r="R160" s="29" t="inlineStr">
        <is>
          <t>Taslak</t>
        </is>
      </c>
      <c r="S160" s="52">
        <f>IF(OR(A160="",F160="",C160&lt;&gt;"Mekân"),0,IF(COUNTIFS($F$8:F160,F160,$C$8:C160,"Mekân")=1,1,0))</f>
        <v/>
      </c>
      <c r="T160" s="52">
        <f>IF(OR(A160="",F160="",C160&lt;&gt;"Kapak"),0,IF(COUNTIFS($F$8:F160,F160,$C$8:C160,"Kapak")=1,1,0))</f>
        <v/>
      </c>
    </row>
    <row r="161" ht="54" customHeight="1">
      <c r="A161" s="29" t="inlineStr">
        <is>
          <t>sevilla:photo:parque-de-miraflores-01</t>
        </is>
      </c>
      <c r="B161" s="29" t="inlineStr">
        <is>
          <t>sevilla</t>
        </is>
      </c>
      <c r="C161" s="29" t="inlineStr">
        <is>
          <t>Mekân</t>
        </is>
      </c>
      <c r="D161" s="29" t="inlineStr">
        <is>
          <t>sevilla:parque-de-miraflores</t>
        </is>
      </c>
      <c r="E161" s="29" t="inlineStr">
        <is>
          <t>Fotoğraflar/sevilla_parque-de-miraflores_01.jpg</t>
        </is>
      </c>
      <c r="F161" s="29" t="inlineStr">
        <is>
          <t>f93a7e498d08e98b47cede6a48225871e1dc8d495b39954637178fd9738aede9</t>
        </is>
      </c>
      <c r="G161" s="29" t="inlineStr">
        <is>
          <t>Miraflores Parkı'ndaki kent bostanları.</t>
        </is>
      </c>
      <c r="H161" s="29" t="inlineStr">
        <is>
          <t>Anual</t>
        </is>
      </c>
      <c r="I161" s="29" t="inlineStr">
        <is>
          <t>CC BY-SA 4.0</t>
        </is>
      </c>
      <c r="J161" s="29" t="inlineStr">
        <is>
          <t>https://creativecommons.org/licenses/by-sa/4.0/</t>
        </is>
      </c>
      <c r="K161" s="29" t="inlineStr">
        <is>
          <t>https://commons.wikimedia.org/wiki/File:Huertas_en_el_Parque_miraflores_2024an003.jpg</t>
        </is>
      </c>
      <c r="L161" s="49" t="n">
        <v>45634</v>
      </c>
      <c r="M161" s="49" t="n">
        <v>46320</v>
      </c>
      <c r="N161" s="29" t="inlineStr">
        <is>
          <t>Wikimedia Commons'taki "Huertas en el Parque miraflores 2024an003.jpg" (6000×4000 px) özgün dosyasının 1280×853 px küçültülmüş kopyası indirildi; kırpma, rötuş ve renk düzeltmesi yapılmadı. Teslim dosyası: sevilla_parque-de-miraflores_01.jpg (SHA-256 f93a7e498d08).</t>
        </is>
      </c>
      <c r="O161" s="29" t="inlineStr">
        <is>
          <t>sevilla:evidence:parque-de-miraflores-01</t>
        </is>
      </c>
      <c r="P161" s="29" t="inlineStr">
        <is>
          <t>Evet</t>
        </is>
      </c>
      <c r="Q161" s="51" t="n">
        <v>1</v>
      </c>
      <c r="R161" s="29" t="inlineStr">
        <is>
          <t>Taslak</t>
        </is>
      </c>
      <c r="S161" s="52">
        <f>IF(OR(A161="",F161="",C161&lt;&gt;"Mekân"),0,IF(COUNTIFS($F$8:F161,F161,$C$8:C161,"Mekân")=1,1,0))</f>
        <v/>
      </c>
      <c r="T161" s="52">
        <f>IF(OR(A161="",F161="",C161&lt;&gt;"Kapak"),0,IF(COUNTIFS($F$8:F161,F161,$C$8:C161,"Kapak")=1,1,0))</f>
        <v/>
      </c>
    </row>
    <row r="162" ht="54" customHeight="1">
      <c r="A162" s="29" t="inlineStr">
        <is>
          <t>sevilla:photo:parque-de-miraflores-02</t>
        </is>
      </c>
      <c r="B162" s="29" t="inlineStr">
        <is>
          <t>sevilla</t>
        </is>
      </c>
      <c r="C162" s="29" t="inlineStr">
        <is>
          <t>Mekân</t>
        </is>
      </c>
      <c r="D162" s="29" t="inlineStr">
        <is>
          <t>sevilla:parque-de-miraflores</t>
        </is>
      </c>
      <c r="E162" s="29" t="inlineStr">
        <is>
          <t>Fotoğraflar/sevilla_parque-de-miraflores_02.jpg</t>
        </is>
      </c>
      <c r="F162" s="29" t="inlineStr">
        <is>
          <t>e320496788034fa637bf40d29169b53e54b396778afb0b19efe69e1a03d156fe</t>
        </is>
      </c>
      <c r="G162" s="29" t="inlineStr">
        <is>
          <t>Miraflores Parkı'nda eski taş köprü ve gölet.</t>
        </is>
      </c>
      <c r="H162" s="29" t="inlineStr">
        <is>
          <t>CarlosVdeHabsburgo</t>
        </is>
      </c>
      <c r="I162" s="29" t="inlineStr">
        <is>
          <t>CC BY-SA 4.0</t>
        </is>
      </c>
      <c r="J162" s="29" t="inlineStr">
        <is>
          <t>https://creativecommons.org/licenses/by-sa/4.0/</t>
        </is>
      </c>
      <c r="K162" s="29" t="inlineStr">
        <is>
          <t>https://commons.wikimedia.org/wiki/File:Parque_de_Miraflores_(Sevilla).jpg</t>
        </is>
      </c>
      <c r="L162" s="49" t="n">
        <v>43243</v>
      </c>
      <c r="M162" s="49" t="n">
        <v>46320</v>
      </c>
      <c r="N162" s="29" t="inlineStr">
        <is>
          <t>Wikimedia Commons'taki "Parque de Miraflores (Sevilla).jpg" (4320×3240 px) özgün dosyasının 1280×960 px küçültülmüş kopyası indirildi; kırpma, rötuş ve renk düzeltmesi yapılmadı. Teslim dosyası: sevilla_parque-de-miraflores_02.jpg (SHA-256 e32049678803).</t>
        </is>
      </c>
      <c r="O162" s="29" t="inlineStr">
        <is>
          <t>sevilla:evidence:parque-de-miraflores-02</t>
        </is>
      </c>
      <c r="P162" s="29" t="inlineStr">
        <is>
          <t>Evet</t>
        </is>
      </c>
      <c r="Q162" s="51" t="n">
        <v>2</v>
      </c>
      <c r="R162" s="29" t="inlineStr">
        <is>
          <t>Taslak</t>
        </is>
      </c>
      <c r="S162" s="52">
        <f>IF(OR(A162="",F162="",C162&lt;&gt;"Mekân"),0,IF(COUNTIFS($F$8:F162,F162,$C$8:C162,"Mekân")=1,1,0))</f>
        <v/>
      </c>
      <c r="T162" s="52">
        <f>IF(OR(A162="",F162="",C162&lt;&gt;"Kapak"),0,IF(COUNTIFS($F$8:F162,F162,$C$8:C162,"Kapak")=1,1,0))</f>
        <v/>
      </c>
    </row>
    <row r="163" ht="54" customHeight="1">
      <c r="A163" s="29" t="inlineStr">
        <is>
          <t>sevilla:photo:parque-de-miraflores-03</t>
        </is>
      </c>
      <c r="B163" s="29" t="inlineStr">
        <is>
          <t>sevilla</t>
        </is>
      </c>
      <c r="C163" s="29" t="inlineStr">
        <is>
          <t>Mekân</t>
        </is>
      </c>
      <c r="D163" s="29" t="inlineStr">
        <is>
          <t>sevilla:parque-de-miraflores</t>
        </is>
      </c>
      <c r="E163" s="29" t="inlineStr">
        <is>
          <t>Fotoğraflar/sevilla_parque-de-miraflores_03.jpg</t>
        </is>
      </c>
      <c r="F163" s="29" t="inlineStr">
        <is>
          <t>858394cb72c8b1b8a832f922e1b686b8a04777e95be36612574666079de9fb19</t>
        </is>
      </c>
      <c r="G163" s="29" t="inlineStr">
        <is>
          <t>Miraflores Parkı'nda kemerli eski köprü ve suda yansıması.</t>
        </is>
      </c>
      <c r="H163" s="29" t="inlineStr">
        <is>
          <t>Américo Toledano</t>
        </is>
      </c>
      <c r="I163" s="29" t="inlineStr">
        <is>
          <t>CC BY-SA 4.0</t>
        </is>
      </c>
      <c r="J163" s="29" t="inlineStr">
        <is>
          <t>https://creativecommons.org/licenses/by-sa/4.0/</t>
        </is>
      </c>
      <c r="K163" s="29" t="inlineStr">
        <is>
          <t>https://commons.wikimedia.org/wiki/File:Parque_de_Miraflores_-_Sevilla_001.jpg</t>
        </is>
      </c>
      <c r="L163" s="49" t="n">
        <v>42585</v>
      </c>
      <c r="M163" s="49" t="n">
        <v>46320</v>
      </c>
      <c r="N163" s="29" t="inlineStr">
        <is>
          <t>Wikimedia Commons'taki "Parque de Miraflores - Sevilla 001.jpg" (3801×2851 px) özgün dosyasının 1280×960 px küçültülmüş kopyası indirildi; kırpma, rötuş ve renk düzeltmesi yapılmadı. Teslim dosyası: sevilla_parque-de-miraflores_03.jpg (SHA-256 858394cb72c8).</t>
        </is>
      </c>
      <c r="O163" s="29" t="inlineStr">
        <is>
          <t>sevilla:evidence:parque-de-miraflores-03</t>
        </is>
      </c>
      <c r="P163" s="29" t="inlineStr">
        <is>
          <t>Evet</t>
        </is>
      </c>
      <c r="Q163" s="51" t="n">
        <v>3</v>
      </c>
      <c r="R163" s="29" t="inlineStr">
        <is>
          <t>Taslak</t>
        </is>
      </c>
      <c r="S163" s="52">
        <f>IF(OR(A163="",F163="",C163&lt;&gt;"Mekân"),0,IF(COUNTIFS($F$8:F163,F163,$C$8:C163,"Mekân")=1,1,0))</f>
        <v/>
      </c>
      <c r="T163" s="52">
        <f>IF(OR(A163="",F163="",C163&lt;&gt;"Kapak"),0,IF(COUNTIFS($F$8:F163,F163,$C$8:C163,"Kapak")=1,1,0))</f>
        <v/>
      </c>
    </row>
    <row r="164" ht="54" customHeight="1">
      <c r="A164" s="29" t="inlineStr">
        <is>
          <t>sevilla:photo:parque-de-san-jeronimo-01</t>
        </is>
      </c>
      <c r="B164" s="29" t="inlineStr">
        <is>
          <t>sevilla</t>
        </is>
      </c>
      <c r="C164" s="29" t="inlineStr">
        <is>
          <t>Mekân</t>
        </is>
      </c>
      <c r="D164" s="29" t="inlineStr">
        <is>
          <t>sevilla:parque-de-san-jeronimo</t>
        </is>
      </c>
      <c r="E164" s="29" t="inlineStr">
        <is>
          <t>Fotoğraflar/sevilla_parque-de-san-jeronimo_01.jpg</t>
        </is>
      </c>
      <c r="F164" s="29" t="inlineStr">
        <is>
          <t>55fc689e58813dca57ec178c2029a40bad47788fc92ecb891849f3de6bffc81e</t>
        </is>
      </c>
      <c r="G164" s="29" t="inlineStr">
        <is>
          <t>San Jerónimo Parkı'nın önündeki Guadalquivir koyu ve kürek çeken bir sporcu.</t>
        </is>
      </c>
      <c r="H164" s="29" t="inlineStr">
        <is>
          <t>CarlosVdeHabsburgo</t>
        </is>
      </c>
      <c r="I164" s="29" t="inlineStr">
        <is>
          <t>CC BY-SA 3.0</t>
        </is>
      </c>
      <c r="J164" s="29" t="inlineStr">
        <is>
          <t>https://creativecommons.org/licenses/by-sa/3.0/</t>
        </is>
      </c>
      <c r="K164" s="29" t="inlineStr">
        <is>
          <t>https://commons.wikimedia.org/wiki/File:D%C3%A1rsena_del_Guadalquivir_en_el_Parque_de_San_Jer%C3%B3nimo.JPG</t>
        </is>
      </c>
      <c r="L164" s="49" t="n"/>
      <c r="M164" s="49" t="n">
        <v>46320</v>
      </c>
      <c r="N164" s="29" t="inlineStr">
        <is>
          <t>Wikimedia Commons'taki "Dársena del Guadalquivir en el Parque de San Jerónimo.JPG" (3072×2304 px) özgün dosyasının 1280×960 px küçültülmüş kopyası indirildi; kırpma, rötuş ve renk düzeltmesi yapılmadı. Teslim dosyası: sevilla_parque-de-san-jeronimo_01.jpg (SHA-256 55fc689e5881).</t>
        </is>
      </c>
      <c r="O164" s="29" t="inlineStr">
        <is>
          <t>sevilla:evidence:parque-de-san-jeronimo-01</t>
        </is>
      </c>
      <c r="P164" s="29" t="inlineStr">
        <is>
          <t>Evet</t>
        </is>
      </c>
      <c r="Q164" s="51" t="n">
        <v>1</v>
      </c>
      <c r="R164" s="29" t="inlineStr">
        <is>
          <t>Taslak</t>
        </is>
      </c>
      <c r="S164" s="52">
        <f>IF(OR(A164="",F164="",C164&lt;&gt;"Mekân"),0,IF(COUNTIFS($F$8:F164,F164,$C$8:C164,"Mekân")=1,1,0))</f>
        <v/>
      </c>
      <c r="T164" s="52">
        <f>IF(OR(A164="",F164="",C164&lt;&gt;"Kapak"),0,IF(COUNTIFS($F$8:F164,F164,$C$8:C164,"Kapak")=1,1,0))</f>
        <v/>
      </c>
    </row>
    <row r="165" ht="54" customHeight="1">
      <c r="A165" s="29" t="inlineStr">
        <is>
          <t>sevilla:photo:parque-de-san-jeronimo-02</t>
        </is>
      </c>
      <c r="B165" s="29" t="inlineStr">
        <is>
          <t>sevilla</t>
        </is>
      </c>
      <c r="C165" s="29" t="inlineStr">
        <is>
          <t>Mekân</t>
        </is>
      </c>
      <c r="D165" s="29" t="inlineStr">
        <is>
          <t>sevilla:parque-de-san-jeronimo</t>
        </is>
      </c>
      <c r="E165" s="29" t="inlineStr">
        <is>
          <t>Fotoğraflar/sevilla_parque-de-san-jeronimo_02.jpg</t>
        </is>
      </c>
      <c r="F165" s="29" t="inlineStr">
        <is>
          <t>9b8d8632db95f9b4595bdd231d27ccf3470ba09fdf6e335d81cb6cae944decfb</t>
        </is>
      </c>
      <c r="G165" s="29" t="inlineStr">
        <is>
          <t>San Jerónimo Parkı'nın çimenli alanı ve yürüyüş yolu.</t>
        </is>
      </c>
      <c r="H165" s="29" t="inlineStr">
        <is>
          <t>Gzzz</t>
        </is>
      </c>
      <c r="I165" s="29" t="inlineStr">
        <is>
          <t>CC BY-SA 4.0</t>
        </is>
      </c>
      <c r="J165" s="29" t="inlineStr">
        <is>
          <t>https://creativecommons.org/licenses/by-sa/4.0/</t>
        </is>
      </c>
      <c r="K165" s="29" t="inlineStr">
        <is>
          <t>https://commons.wikimedia.org/wiki/File:Parque_de_San_Jer%C3%B3nimo_1.jpg</t>
        </is>
      </c>
      <c r="L165" s="49" t="n">
        <v>42844</v>
      </c>
      <c r="M165" s="49" t="n">
        <v>46320</v>
      </c>
      <c r="N165" s="29" t="inlineStr">
        <is>
          <t>Wikimedia Commons'taki "Parque de San Jerónimo 1.jpg" (4756×3110 px) özgün dosyasının 1280×837 px küçültülmüş kopyası indirildi; kırpma, rötuş ve renk düzeltmesi yapılmadı. Teslim dosyası: sevilla_parque-de-san-jeronimo_02.jpg (SHA-256 9b8d8632db95).</t>
        </is>
      </c>
      <c r="O165" s="29" t="inlineStr">
        <is>
          <t>sevilla:evidence:parque-de-san-jeronimo-02</t>
        </is>
      </c>
      <c r="P165" s="29" t="inlineStr">
        <is>
          <t>Evet</t>
        </is>
      </c>
      <c r="Q165" s="51" t="n">
        <v>2</v>
      </c>
      <c r="R165" s="29" t="inlineStr">
        <is>
          <t>Taslak</t>
        </is>
      </c>
      <c r="S165" s="52">
        <f>IF(OR(A165="",F165="",C165&lt;&gt;"Mekân"),0,IF(COUNTIFS($F$8:F165,F165,$C$8:C165,"Mekân")=1,1,0))</f>
        <v/>
      </c>
      <c r="T165" s="52">
        <f>IF(OR(A165="",F165="",C165&lt;&gt;"Kapak"),0,IF(COUNTIFS($F$8:F165,F165,$C$8:C165,"Kapak")=1,1,0))</f>
        <v/>
      </c>
    </row>
    <row r="166" ht="54" customHeight="1">
      <c r="A166" s="29" t="inlineStr">
        <is>
          <t>sevilla:photo:parque-de-san-jeronimo-03</t>
        </is>
      </c>
      <c r="B166" s="29" t="inlineStr">
        <is>
          <t>sevilla</t>
        </is>
      </c>
      <c r="C166" s="29" t="inlineStr">
        <is>
          <t>Mekân</t>
        </is>
      </c>
      <c r="D166" s="29" t="inlineStr">
        <is>
          <t>sevilla:parque-de-san-jeronimo</t>
        </is>
      </c>
      <c r="E166" s="29" t="inlineStr">
        <is>
          <t>Fotoğraflar/sevilla_parque-de-san-jeronimo_03.jpg</t>
        </is>
      </c>
      <c r="F166" s="29" t="inlineStr">
        <is>
          <t>86999820f40f468ba771763daf57534a9bb2fa93f76db487533f4fb16d3dd7b2</t>
        </is>
      </c>
      <c r="G166" s="29" t="inlineStr">
        <is>
          <t>San Jerónimo Parkı'nda uzun bir yürüyüş yolu ve fenerler.</t>
        </is>
      </c>
      <c r="H166" s="29" t="inlineStr">
        <is>
          <t>Gzzz</t>
        </is>
      </c>
      <c r="I166" s="29" t="inlineStr">
        <is>
          <t>CC BY-SA 4.0</t>
        </is>
      </c>
      <c r="J166" s="29" t="inlineStr">
        <is>
          <t>https://creativecommons.org/licenses/by-sa/4.0/</t>
        </is>
      </c>
      <c r="K166" s="29" t="inlineStr">
        <is>
          <t>https://commons.wikimedia.org/wiki/File:Parque_de_San_Jer%C3%B3nimo_2.jpg</t>
        </is>
      </c>
      <c r="L166" s="49" t="n">
        <v>42844</v>
      </c>
      <c r="M166" s="49" t="n">
        <v>46320</v>
      </c>
      <c r="N166" s="29" t="inlineStr">
        <is>
          <t>Wikimedia Commons'taki "Parque de San Jerónimo 2.jpg" (4732×3041 px) özgün dosyasının 1280×823 px küçültülmüş kopyası indirildi; kırpma, rötuş ve renk düzeltmesi yapılmadı. Teslim dosyası: sevilla_parque-de-san-jeronimo_03.jpg (SHA-256 86999820f40f).</t>
        </is>
      </c>
      <c r="O166" s="29" t="inlineStr">
        <is>
          <t>sevilla:evidence:parque-de-san-jeronimo-03</t>
        </is>
      </c>
      <c r="P166" s="29" t="inlineStr">
        <is>
          <t>Evet</t>
        </is>
      </c>
      <c r="Q166" s="51" t="n">
        <v>3</v>
      </c>
      <c r="R166" s="29" t="inlineStr">
        <is>
          <t>Taslak</t>
        </is>
      </c>
      <c r="S166" s="52">
        <f>IF(OR(A166="",F166="",C166&lt;&gt;"Mekân"),0,IF(COUNTIFS($F$8:F166,F166,$C$8:C166,"Mekân")=1,1,0))</f>
        <v/>
      </c>
      <c r="T166" s="52">
        <f>IF(OR(A166="",F166="",C166&lt;&gt;"Kapak"),0,IF(COUNTIFS($F$8:F166,F166,$C$8:C166,"Kapak")=1,1,0))</f>
        <v/>
      </c>
    </row>
    <row r="167" ht="54" customHeight="1">
      <c r="A167" s="29" t="inlineStr">
        <is>
          <t>sevilla:photo:jardines-torre-de-los-perdigones-01</t>
        </is>
      </c>
      <c r="B167" s="29" t="inlineStr">
        <is>
          <t>sevilla</t>
        </is>
      </c>
      <c r="C167" s="29" t="inlineStr">
        <is>
          <t>Mekân</t>
        </is>
      </c>
      <c r="D167" s="29" t="inlineStr">
        <is>
          <t>sevilla:jardines-torre-de-los-perdigones</t>
        </is>
      </c>
      <c r="E167" s="29" t="inlineStr">
        <is>
          <t>Fotoğraflar/sevilla_jardines-torre-de-los-perdigones_01.jpg</t>
        </is>
      </c>
      <c r="F167" s="29" t="inlineStr">
        <is>
          <t>e3ae2916f016895d0d863508adbd784b1c88b864b51eb7cc15371cefd3c5f6f5</t>
        </is>
      </c>
      <c r="G167" s="29" t="inlineStr">
        <is>
          <t>Perdigones Kulesi'nin tuğla gövdesi, bahçenin ağaçları arasında.</t>
        </is>
      </c>
      <c r="H167" s="29" t="inlineStr">
        <is>
          <t>JakobHosp</t>
        </is>
      </c>
      <c r="I167" s="29" t="inlineStr">
        <is>
          <t>CC0 1.0</t>
        </is>
      </c>
      <c r="J167" s="29" t="inlineStr">
        <is>
          <t>https://creativecommons.org/publicdomain/zero/1.0/</t>
        </is>
      </c>
      <c r="K167" s="29" t="inlineStr">
        <is>
          <t>https://commons.wikimedia.org/wiki/File:Sevilla_historic_monuments_wall_6.jpg</t>
        </is>
      </c>
      <c r="L167" s="49" t="n">
        <v>44902</v>
      </c>
      <c r="M167" s="49" t="n">
        <v>46320</v>
      </c>
      <c r="N167" s="29" t="inlineStr">
        <is>
          <t>Wikimedia Commons'taki "Sevilla historic monuments wall 6.jpg" (3024×4032 px) özgün dosyasının 1280×1707 px küçültülmüş kopyası indirildi; kırpma, rötuş ve renk düzeltmesi yapılmadı. Teslim dosyası: sevilla_jardines-torre-de-los-perdigones_01.jpg (SHA-256 e3ae2916f016).</t>
        </is>
      </c>
      <c r="O167" s="29" t="inlineStr">
        <is>
          <t>sevilla:evidence:jardines-torre-de-los-perdigones-01</t>
        </is>
      </c>
      <c r="P167" s="29" t="inlineStr">
        <is>
          <t>Evet</t>
        </is>
      </c>
      <c r="Q167" s="51" t="n">
        <v>1</v>
      </c>
      <c r="R167" s="29" t="inlineStr">
        <is>
          <t>Taslak</t>
        </is>
      </c>
      <c r="S167" s="52">
        <f>IF(OR(A167="",F167="",C167&lt;&gt;"Mekân"),0,IF(COUNTIFS($F$8:F167,F167,$C$8:C167,"Mekân")=1,1,0))</f>
        <v/>
      </c>
      <c r="T167" s="52">
        <f>IF(OR(A167="",F167="",C167&lt;&gt;"Kapak"),0,IF(COUNTIFS($F$8:F167,F167,$C$8:C167,"Kapak")=1,1,0))</f>
        <v/>
      </c>
    </row>
    <row r="168" ht="54" customHeight="1">
      <c r="A168" s="29" t="inlineStr">
        <is>
          <t>sevilla:photo:jardines-torre-de-los-perdigones-02</t>
        </is>
      </c>
      <c r="B168" s="29" t="inlineStr">
        <is>
          <t>sevilla</t>
        </is>
      </c>
      <c r="C168" s="29" t="inlineStr">
        <is>
          <t>Mekân</t>
        </is>
      </c>
      <c r="D168" s="29" t="inlineStr">
        <is>
          <t>sevilla:jardines-torre-de-los-perdigones</t>
        </is>
      </c>
      <c r="E168" s="29" t="inlineStr">
        <is>
          <t>Fotoğraflar/sevilla_jardines-torre-de-los-perdigones_02.jpg</t>
        </is>
      </c>
      <c r="F168" s="29" t="inlineStr">
        <is>
          <t>e2f8ad8972ac9e10a192533ec3364e2cb5df04512911362bf0672c066c1dfe64</t>
        </is>
      </c>
      <c r="G168" s="29" t="inlineStr">
        <is>
          <t>Perdigones Kulesi ve dibindeki bahçe.</t>
        </is>
      </c>
      <c r="H168" s="29" t="inlineStr">
        <is>
          <t>No machine-readable author provided. Lobillo assumed (based on copyright claims).</t>
        </is>
      </c>
      <c r="I168" s="29" t="inlineStr">
        <is>
          <t>Public domain</t>
        </is>
      </c>
      <c r="J168" s="29" t="inlineStr">
        <is>
          <t>https://commons.wikimedia.org/wiki/File:SevillaTorreDeLosPerdigones01.JPG</t>
        </is>
      </c>
      <c r="K168" s="29" t="inlineStr">
        <is>
          <t>https://commons.wikimedia.org/wiki/File:SevillaTorreDeLosPerdigones01.JPG</t>
        </is>
      </c>
      <c r="L168" s="49" t="n"/>
      <c r="M168" s="49" t="n">
        <v>46320</v>
      </c>
      <c r="N168" s="29" t="inlineStr">
        <is>
          <t>Wikimedia Commons'taki "SevillaTorreDeLosPerdigones01.JPG" (1728×2304 px) özgün dosyasının 1280×1707 px küçültülmüş kopyası indirildi; kırpma, rötuş ve renk düzeltmesi yapılmadı. Teslim dosyası: sevilla_jardines-torre-de-los-perdigones_02.jpg (SHA-256 e2f8ad8972ac).</t>
        </is>
      </c>
      <c r="O168" s="29" t="inlineStr">
        <is>
          <t>sevilla:evidence:jardines-torre-de-los-perdigones-02</t>
        </is>
      </c>
      <c r="P168" s="29" t="inlineStr">
        <is>
          <t>Evet</t>
        </is>
      </c>
      <c r="Q168" s="51" t="n">
        <v>2</v>
      </c>
      <c r="R168" s="29" t="inlineStr">
        <is>
          <t>Taslak</t>
        </is>
      </c>
      <c r="S168" s="52">
        <f>IF(OR(A168="",F168="",C168&lt;&gt;"Mekân"),0,IF(COUNTIFS($F$8:F168,F168,$C$8:C168,"Mekân")=1,1,0))</f>
        <v/>
      </c>
      <c r="T168" s="52">
        <f>IF(OR(A168="",F168="",C168&lt;&gt;"Kapak"),0,IF(COUNTIFS($F$8:F168,F168,$C$8:C168,"Kapak")=1,1,0))</f>
        <v/>
      </c>
    </row>
    <row r="169" ht="54" customHeight="1">
      <c r="A169" s="29" t="inlineStr">
        <is>
          <t>sevilla:photo:jardines-torre-de-los-perdigones-03</t>
        </is>
      </c>
      <c r="B169" s="29" t="inlineStr">
        <is>
          <t>sevilla</t>
        </is>
      </c>
      <c r="C169" s="29" t="inlineStr">
        <is>
          <t>Mekân</t>
        </is>
      </c>
      <c r="D169" s="29" t="inlineStr">
        <is>
          <t>sevilla:jardines-torre-de-los-perdigones</t>
        </is>
      </c>
      <c r="E169" s="29" t="inlineStr">
        <is>
          <t>Fotoğraflar/sevilla_jardines-torre-de-los-perdigones_03.jpg</t>
        </is>
      </c>
      <c r="F169" s="29" t="inlineStr">
        <is>
          <t>d39a3accc4ea30d5c30703a65b5c58c4f6409fd752e2b20a1d513e22abf8c23d</t>
        </is>
      </c>
      <c r="G169" s="29" t="inlineStr">
        <is>
          <t>Perdigones Bahçeleri'nde fıskiyeli havuz ve arkada kule.</t>
        </is>
      </c>
      <c r="H169" s="29" t="inlineStr">
        <is>
          <t>alfonsocg1983</t>
        </is>
      </c>
      <c r="I169" s="29" t="inlineStr">
        <is>
          <t>CC BY 3.0</t>
        </is>
      </c>
      <c r="J169" s="29" t="inlineStr">
        <is>
          <t>https://creativecommons.org/licenses/by/3.0/</t>
        </is>
      </c>
      <c r="K169" s="29" t="inlineStr">
        <is>
          <t>https://commons.wikimedia.org/wiki/File:Seville,_Sevilla,_Spain_-_panoramio_(23).jpg</t>
        </is>
      </c>
      <c r="L169" s="49" t="n"/>
      <c r="M169" s="49" t="n">
        <v>46320</v>
      </c>
      <c r="N169" s="29" t="inlineStr">
        <is>
          <t>Wikimedia Commons'taki "Seville, Sevilla, Spain - panoramio (23).jpg" (2592×1944 px) özgün dosyasının 1280×960 px küçültülmüş kopyası indirildi; kırpma, rötuş ve renk düzeltmesi yapılmadı. Teslim dosyası: sevilla_jardines-torre-de-los-perdigones_03.jpg (SHA-256 d39a3accc4ea).</t>
        </is>
      </c>
      <c r="O169" s="29" t="inlineStr">
        <is>
          <t>sevilla:evidence:jardines-torre-de-los-perdigones-03</t>
        </is>
      </c>
      <c r="P169" s="29" t="inlineStr">
        <is>
          <t>Evet</t>
        </is>
      </c>
      <c r="Q169" s="51" t="n">
        <v>3</v>
      </c>
      <c r="R169" s="29" t="inlineStr">
        <is>
          <t>Taslak</t>
        </is>
      </c>
      <c r="S169" s="52">
        <f>IF(OR(A169="",F169="",C169&lt;&gt;"Mekân"),0,IF(COUNTIFS($F$8:F169,F169,$C$8:C169,"Mekân")=1,1,0))</f>
        <v/>
      </c>
      <c r="T169" s="52">
        <f>IF(OR(A169="",F169="",C169&lt;&gt;"Kapak"),0,IF(COUNTIFS($F$8:F169,F169,$C$8:C169,"Kapak")=1,1,0))</f>
        <v/>
      </c>
    </row>
    <row r="170" ht="54" customHeight="1">
      <c r="A170" s="29" t="inlineStr">
        <is>
          <t>sevilla:photo:parque-de-los-principes-01</t>
        </is>
      </c>
      <c r="B170" s="29" t="inlineStr">
        <is>
          <t>sevilla</t>
        </is>
      </c>
      <c r="C170" s="29" t="inlineStr">
        <is>
          <t>Mekân</t>
        </is>
      </c>
      <c r="D170" s="29" t="inlineStr">
        <is>
          <t>sevilla:parque-de-los-principes</t>
        </is>
      </c>
      <c r="E170" s="29" t="inlineStr">
        <is>
          <t>Fotoğraflar/sevilla_parque-de-los-principes_01.jpg</t>
        </is>
      </c>
      <c r="F170" s="29" t="inlineStr">
        <is>
          <t>82ed94ac3d38850bce6f5b6eb706514aef869e1a137d43328899f4d73e459ef1</t>
        </is>
      </c>
      <c r="G170" s="29" t="inlineStr">
        <is>
          <t>Príncipes Parkı'nda banklı oyun alanı ve çevresindeki apartmanlar.</t>
        </is>
      </c>
      <c r="H170" s="29" t="inlineStr">
        <is>
          <t>CarlosVdeHabsburgo</t>
        </is>
      </c>
      <c r="I170" s="29" t="inlineStr">
        <is>
          <t>CC BY-SA 4.0</t>
        </is>
      </c>
      <c r="J170" s="29" t="inlineStr">
        <is>
          <t>https://creativecommons.org/licenses/by-sa/4.0/</t>
        </is>
      </c>
      <c r="K170" s="29" t="inlineStr">
        <is>
          <t>https://commons.wikimedia.org/wiki/File:Glorieta_de_Viena.jpg</t>
        </is>
      </c>
      <c r="L170" s="49" t="n">
        <v>43299</v>
      </c>
      <c r="M170" s="49" t="n">
        <v>46320</v>
      </c>
      <c r="N170" s="29" t="inlineStr">
        <is>
          <t>Wikimedia Commons'taki "Glorieta de Viena.jpg" (4320×3240 px) özgün dosyasının 1280×960 px küçültülmüş kopyası indirildi; kırpma, rötuş ve renk düzeltmesi yapılmadı. Teslim dosyası: sevilla_parque-de-los-principes_01.jpg (SHA-256 82ed94ac3d38).</t>
        </is>
      </c>
      <c r="O170" s="29" t="inlineStr">
        <is>
          <t>sevilla:evidence:parque-de-los-principes-01</t>
        </is>
      </c>
      <c r="P170" s="29" t="inlineStr">
        <is>
          <t>Evet</t>
        </is>
      </c>
      <c r="Q170" s="51" t="n">
        <v>1</v>
      </c>
      <c r="R170" s="29" t="inlineStr">
        <is>
          <t>Taslak</t>
        </is>
      </c>
      <c r="S170" s="52">
        <f>IF(OR(A170="",F170="",C170&lt;&gt;"Mekân"),0,IF(COUNTIFS($F$8:F170,F170,$C$8:C170,"Mekân")=1,1,0))</f>
        <v/>
      </c>
      <c r="T170" s="52">
        <f>IF(OR(A170="",F170="",C170&lt;&gt;"Kapak"),0,IF(COUNTIFS($F$8:F170,F170,$C$8:C170,"Kapak")=1,1,0))</f>
        <v/>
      </c>
    </row>
    <row r="171" ht="54" customHeight="1">
      <c r="A171" s="29" t="inlineStr">
        <is>
          <t>sevilla:photo:parque-de-los-principes-02</t>
        </is>
      </c>
      <c r="B171" s="29" t="inlineStr">
        <is>
          <t>sevilla</t>
        </is>
      </c>
      <c r="C171" s="29" t="inlineStr">
        <is>
          <t>Mekân</t>
        </is>
      </c>
      <c r="D171" s="29" t="inlineStr">
        <is>
          <t>sevilla:parque-de-los-principes</t>
        </is>
      </c>
      <c r="E171" s="29" t="inlineStr">
        <is>
          <t>Fotoğraflar/sevilla_parque-de-los-principes_02.jpg</t>
        </is>
      </c>
      <c r="F171" s="29" t="inlineStr">
        <is>
          <t>57ab48b28311234c291a36adb39616c441b6bc45ddce49ec422b7014fbb116fc</t>
        </is>
      </c>
      <c r="G171" s="29" t="inlineStr">
        <is>
          <t>Príncipes Parkı'nda yapay gölet ve adacık.</t>
        </is>
      </c>
      <c r="H171" s="29" t="inlineStr">
        <is>
          <t>CarlosVdeHabsburgo</t>
        </is>
      </c>
      <c r="I171" s="29" t="inlineStr">
        <is>
          <t>CC BY-SA 4.0</t>
        </is>
      </c>
      <c r="J171" s="29" t="inlineStr">
        <is>
          <t>https://creativecommons.org/licenses/by-sa/4.0/</t>
        </is>
      </c>
      <c r="K171" s="29" t="inlineStr">
        <is>
          <t>https://commons.wikimedia.org/wiki/File:Isla_artificial_en_el_parque_de_los_Pr%C3%ADncipes.JPG</t>
        </is>
      </c>
      <c r="L171" s="49" t="n">
        <v>42112</v>
      </c>
      <c r="M171" s="49" t="n">
        <v>46320</v>
      </c>
      <c r="N171" s="29" t="inlineStr">
        <is>
          <t>Wikimedia Commons'taki "Isla artificial en el parque de los Príncipes.JPG" (4320×3240 px) özgün dosyasının 1280×960 px küçültülmüş kopyası indirildi; kırpma, rötuş ve renk düzeltmesi yapılmadı. Teslim dosyası: sevilla_parque-de-los-principes_02.jpg (SHA-256 57ab48b28311).</t>
        </is>
      </c>
      <c r="O171" s="29" t="inlineStr">
        <is>
          <t>sevilla:evidence:parque-de-los-principes-02</t>
        </is>
      </c>
      <c r="P171" s="29" t="inlineStr">
        <is>
          <t>Evet</t>
        </is>
      </c>
      <c r="Q171" s="51" t="n">
        <v>2</v>
      </c>
      <c r="R171" s="29" t="inlineStr">
        <is>
          <t>Taslak</t>
        </is>
      </c>
      <c r="S171" s="52">
        <f>IF(OR(A171="",F171="",C171&lt;&gt;"Mekân"),0,IF(COUNTIFS($F$8:F171,F171,$C$8:C171,"Mekân")=1,1,0))</f>
        <v/>
      </c>
      <c r="T171" s="52">
        <f>IF(OR(A171="",F171="",C171&lt;&gt;"Kapak"),0,IF(COUNTIFS($F$8:F171,F171,$C$8:C171,"Kapak")=1,1,0))</f>
        <v/>
      </c>
    </row>
    <row r="172" ht="54" customHeight="1">
      <c r="A172" s="29" t="inlineStr">
        <is>
          <t>sevilla:photo:parque-de-los-principes-03</t>
        </is>
      </c>
      <c r="B172" s="29" t="inlineStr">
        <is>
          <t>sevilla</t>
        </is>
      </c>
      <c r="C172" s="29" t="inlineStr">
        <is>
          <t>Mekân</t>
        </is>
      </c>
      <c r="D172" s="29" t="inlineStr">
        <is>
          <t>sevilla:parque-de-los-principes</t>
        </is>
      </c>
      <c r="E172" s="29" t="inlineStr">
        <is>
          <t>Fotoğraflar/sevilla_parque-de-los-principes_03.jpg</t>
        </is>
      </c>
      <c r="F172" s="29" t="inlineStr">
        <is>
          <t>8e2c86f834790e0c41ade417a9b5c3c662a5821ac6075a7e8f7f71d6ed3d5718</t>
        </is>
      </c>
      <c r="G172" s="29" t="inlineStr">
        <is>
          <t>Príncipes Parkı'nda mor çiçekli jakaranda ağaçları.</t>
        </is>
      </c>
      <c r="H172" s="29" t="inlineStr">
        <is>
          <t>CarlosVdeHabsburgo</t>
        </is>
      </c>
      <c r="I172" s="29" t="inlineStr">
        <is>
          <t>CC BY-SA 4.0</t>
        </is>
      </c>
      <c r="J172" s="29" t="inlineStr">
        <is>
          <t>https://creativecommons.org/licenses/by-sa/4.0/</t>
        </is>
      </c>
      <c r="K172" s="29" t="inlineStr">
        <is>
          <t>https://commons.wikimedia.org/wiki/File:Jacarandas_en_Sevilla_1.JPG</t>
        </is>
      </c>
      <c r="L172" s="49" t="n">
        <v>42139</v>
      </c>
      <c r="M172" s="49" t="n">
        <v>46320</v>
      </c>
      <c r="N172" s="29" t="inlineStr">
        <is>
          <t>Wikimedia Commons'taki "Jacarandas en Sevilla 1.JPG" (4320×3240 px) özgün dosyasının 1280×960 px küçültülmüş kopyası indirildi; kırpma, rötuş ve renk düzeltmesi yapılmadı. Teslim dosyası: sevilla_parque-de-los-principes_03.jpg (SHA-256 8e2c86f83479).</t>
        </is>
      </c>
      <c r="O172" s="29" t="inlineStr">
        <is>
          <t>sevilla:evidence:parque-de-los-principes-03</t>
        </is>
      </c>
      <c r="P172" s="29" t="inlineStr">
        <is>
          <t>Evet</t>
        </is>
      </c>
      <c r="Q172" s="51" t="n">
        <v>3</v>
      </c>
      <c r="R172" s="29" t="inlineStr">
        <is>
          <t>Taslak</t>
        </is>
      </c>
      <c r="S172" s="52">
        <f>IF(OR(A172="",F172="",C172&lt;&gt;"Mekân"),0,IF(COUNTIFS($F$8:F172,F172,$C$8:C172,"Mekân")=1,1,0))</f>
        <v/>
      </c>
      <c r="T172" s="52">
        <f>IF(OR(A172="",F172="",C172&lt;&gt;"Kapak"),0,IF(COUNTIFS($F$8:F172,F172,$C$8:C172,"Kapak")=1,1,0))</f>
        <v/>
      </c>
    </row>
    <row r="173" ht="54" customHeight="1">
      <c r="A173" s="29" t="inlineStr">
        <is>
          <t>sevilla:photo:iglesia-de-santa-catalina-01</t>
        </is>
      </c>
      <c r="B173" s="29" t="inlineStr">
        <is>
          <t>sevilla</t>
        </is>
      </c>
      <c r="C173" s="29" t="inlineStr">
        <is>
          <t>Mekân</t>
        </is>
      </c>
      <c r="D173" s="29" t="inlineStr">
        <is>
          <t>sevilla:iglesia-de-santa-catalina</t>
        </is>
      </c>
      <c r="E173" s="29" t="inlineStr">
        <is>
          <t>Fotoğraflar/sevilla_iglesia-de-santa-catalina_01.jpg</t>
        </is>
      </c>
      <c r="F173" s="29" t="inlineStr">
        <is>
          <t>d0cb7d669e922f00f82eda785042f8b7cc305b8455d500f94c0e7611e71c3495</t>
        </is>
      </c>
      <c r="G173" s="29" t="inlineStr">
        <is>
          <t>Santa Catalina Kilisesi'nde altın yaldızlı oymalı sunak ve sıralar.</t>
        </is>
      </c>
      <c r="H173" s="29" t="inlineStr">
        <is>
          <t>Jl FilpoC</t>
        </is>
      </c>
      <c r="I173" s="29" t="inlineStr">
        <is>
          <t>CC BY-SA 4.0</t>
        </is>
      </c>
      <c r="J173" s="29" t="inlineStr">
        <is>
          <t>https://creativecommons.org/licenses/by-sa/4.0/</t>
        </is>
      </c>
      <c r="K173" s="29" t="inlineStr">
        <is>
          <t>https://commons.wikimedia.org/wiki/File:Capilla_sacramental_de_la_Iglesia_de_Santa_Catalina,_Sevilla.jpg</t>
        </is>
      </c>
      <c r="L173" s="49" t="n">
        <v>44238</v>
      </c>
      <c r="M173" s="49" t="n">
        <v>46320</v>
      </c>
      <c r="N173" s="29" t="inlineStr">
        <is>
          <t>Wikimedia Commons'taki "Capilla sacramental de la Iglesia de Santa Catalina, Sevilla.jpg" (2958×3944 px) özgün dosyasının 1280×1707 px küçültülmüş kopyası indirildi; kırpma, rötuş ve renk düzeltmesi yapılmadı. Teslim dosyası: sevilla_iglesia-de-santa-catalina_01.jpg (SHA-256 d0cb7d669e92).</t>
        </is>
      </c>
      <c r="O173" s="29" t="inlineStr">
        <is>
          <t>sevilla:evidence:iglesia-de-santa-catalina-01</t>
        </is>
      </c>
      <c r="P173" s="29" t="inlineStr">
        <is>
          <t>Evet</t>
        </is>
      </c>
      <c r="Q173" s="51" t="n">
        <v>1</v>
      </c>
      <c r="R173" s="29" t="inlineStr">
        <is>
          <t>Taslak</t>
        </is>
      </c>
      <c r="S173" s="52">
        <f>IF(OR(A173="",F173="",C173&lt;&gt;"Mekân"),0,IF(COUNTIFS($F$8:F173,F173,$C$8:C173,"Mekân")=1,1,0))</f>
        <v/>
      </c>
      <c r="T173" s="52">
        <f>IF(OR(A173="",F173="",C173&lt;&gt;"Kapak"),0,IF(COUNTIFS($F$8:F173,F173,$C$8:C173,"Kapak")=1,1,0))</f>
        <v/>
      </c>
    </row>
    <row r="174" ht="54" customHeight="1">
      <c r="A174" s="29" t="inlineStr">
        <is>
          <t>sevilla:photo:iglesia-de-santa-catalina-02</t>
        </is>
      </c>
      <c r="B174" s="29" t="inlineStr">
        <is>
          <t>sevilla</t>
        </is>
      </c>
      <c r="C174" s="29" t="inlineStr">
        <is>
          <t>Mekân</t>
        </is>
      </c>
      <c r="D174" s="29" t="inlineStr">
        <is>
          <t>sevilla:iglesia-de-santa-catalina</t>
        </is>
      </c>
      <c r="E174" s="29" t="inlineStr">
        <is>
          <t>Fotoğraflar/sevilla_iglesia-de-santa-catalina_02.jpg</t>
        </is>
      </c>
      <c r="F174" s="29" t="inlineStr">
        <is>
          <t>e4f6d30de0f0109580694cba81a76483323126ba45a9c6ac8cdfe71e109cf40a</t>
        </is>
      </c>
      <c r="G174" s="29" t="inlineStr">
        <is>
          <t>Santa Catalina Kilisesi'nin gotik kemerli taş portali ve gül penceresi.</t>
        </is>
      </c>
      <c r="H174" s="29" t="inlineStr">
        <is>
          <t>Anual</t>
        </is>
      </c>
      <c r="I174" s="29" t="inlineStr">
        <is>
          <t>CC BY 3.0</t>
        </is>
      </c>
      <c r="J174" s="29" t="inlineStr">
        <is>
          <t>https://creativecommons.org/licenses/by/3.0/</t>
        </is>
      </c>
      <c r="K174" s="29" t="inlineStr">
        <is>
          <t>https://commons.wikimedia.org/wiki/File:Iglesia_de_Santa_Catalina_001.jpg</t>
        </is>
      </c>
      <c r="L174" s="49" t="n">
        <v>39726</v>
      </c>
      <c r="M174" s="49" t="n">
        <v>46320</v>
      </c>
      <c r="N174" s="29" t="inlineStr">
        <is>
          <t>Wikimedia Commons'taki "Iglesia de Santa Catalina 001.jpg" (3052×2584 px) özgün dosyasının 1280×1084 px küçültülmüş kopyası indirildi; kırpma, rötuş ve renk düzeltmesi yapılmadı. Teslim dosyası: sevilla_iglesia-de-santa-catalina_02.jpg (SHA-256 e4f6d30de0f0).</t>
        </is>
      </c>
      <c r="O174" s="29" t="inlineStr">
        <is>
          <t>sevilla:evidence:iglesia-de-santa-catalina-02</t>
        </is>
      </c>
      <c r="P174" s="29" t="inlineStr">
        <is>
          <t>Evet</t>
        </is>
      </c>
      <c r="Q174" s="51" t="n">
        <v>2</v>
      </c>
      <c r="R174" s="29" t="inlineStr">
        <is>
          <t>Taslak</t>
        </is>
      </c>
      <c r="S174" s="52">
        <f>IF(OR(A174="",F174="",C174&lt;&gt;"Mekân"),0,IF(COUNTIFS($F$8:F174,F174,$C$8:C174,"Mekân")=1,1,0))</f>
        <v/>
      </c>
      <c r="T174" s="52">
        <f>IF(OR(A174="",F174="",C174&lt;&gt;"Kapak"),0,IF(COUNTIFS($F$8:F174,F174,$C$8:C174,"Kapak")=1,1,0))</f>
        <v/>
      </c>
    </row>
    <row r="175" ht="54" customHeight="1">
      <c r="A175" s="29" t="inlineStr">
        <is>
          <t>sevilla:photo:iglesia-de-santa-catalina-03</t>
        </is>
      </c>
      <c r="B175" s="29" t="inlineStr">
        <is>
          <t>sevilla</t>
        </is>
      </c>
      <c r="C175" s="29" t="inlineStr">
        <is>
          <t>Mekân</t>
        </is>
      </c>
      <c r="D175" s="29" t="inlineStr">
        <is>
          <t>sevilla:iglesia-de-santa-catalina</t>
        </is>
      </c>
      <c r="E175" s="29" t="inlineStr">
        <is>
          <t>Fotoğraflar/sevilla_iglesia-de-santa-catalina_03.jpg</t>
        </is>
      </c>
      <c r="F175" s="29" t="inlineStr">
        <is>
          <t>f9857a38c79b82f19ba3e121196fdf16329bf2846259361cf2ed843bc9b5d408</t>
        </is>
      </c>
      <c r="G175" s="29" t="inlineStr">
        <is>
          <t>Santa Catalina Kilisesi'nin kare planlı taş çan kulesi.</t>
        </is>
      </c>
      <c r="H175" s="29" t="inlineStr">
        <is>
          <t>Anual</t>
        </is>
      </c>
      <c r="I175" s="29" t="inlineStr">
        <is>
          <t>CC BY 3.0</t>
        </is>
      </c>
      <c r="J175" s="29" t="inlineStr">
        <is>
          <t>https://creativecommons.org/licenses/by/3.0/</t>
        </is>
      </c>
      <c r="K175" s="29" t="inlineStr">
        <is>
          <t>https://commons.wikimedia.org/wiki/File:Iglesia_de_Santa_Catalina_003.jpg</t>
        </is>
      </c>
      <c r="L175" s="49" t="n">
        <v>39726</v>
      </c>
      <c r="M175" s="49" t="n">
        <v>46320</v>
      </c>
      <c r="N175" s="29" t="inlineStr">
        <is>
          <t>Wikimedia Commons'taki "Iglesia de Santa Catalina 003.jpg" (2592×3872 px) özgün dosyasının 1280×1912 px küçültülmüş kopyası indirildi; kırpma, rötuş ve renk düzeltmesi yapılmadı. Teslim dosyası: sevilla_iglesia-de-santa-catalina_03.jpg (SHA-256 f9857a38c79b).</t>
        </is>
      </c>
      <c r="O175" s="29" t="inlineStr">
        <is>
          <t>sevilla:evidence:iglesia-de-santa-catalina-03</t>
        </is>
      </c>
      <c r="P175" s="29" t="inlineStr">
        <is>
          <t>Evet</t>
        </is>
      </c>
      <c r="Q175" s="51" t="n">
        <v>3</v>
      </c>
      <c r="R175" s="29" t="inlineStr">
        <is>
          <t>Taslak</t>
        </is>
      </c>
      <c r="S175" s="52">
        <f>IF(OR(A175="",F175="",C175&lt;&gt;"Mekân"),0,IF(COUNTIFS($F$8:F175,F175,$C$8:C175,"Mekân")=1,1,0))</f>
        <v/>
      </c>
      <c r="T175" s="52">
        <f>IF(OR(A175="",F175="",C175&lt;&gt;"Kapak"),0,IF(COUNTIFS($F$8:F175,F175,$C$8:C175,"Kapak")=1,1,0))</f>
        <v/>
      </c>
    </row>
    <row r="176" ht="54" customHeight="1">
      <c r="A176" s="29" t="inlineStr">
        <is>
          <t>sevilla:photo:iglesia-de-san-marcos-01</t>
        </is>
      </c>
      <c r="B176" s="29" t="inlineStr">
        <is>
          <t>sevilla</t>
        </is>
      </c>
      <c r="C176" s="29" t="inlineStr">
        <is>
          <t>Mekân</t>
        </is>
      </c>
      <c r="D176" s="29" t="inlineStr">
        <is>
          <t>sevilla:iglesia-de-san-marcos</t>
        </is>
      </c>
      <c r="E176" s="29" t="inlineStr">
        <is>
          <t>Fotoğraflar/sevilla_iglesia-de-san-marcos_01.jpg</t>
        </is>
      </c>
      <c r="F176" s="29" t="inlineStr">
        <is>
          <t>f5645e3a9e4d4bc478a9f70c27587b30033b039cfaba14f8fdcd73f769de51b9</t>
        </is>
      </c>
      <c r="G176" s="29" t="inlineStr">
        <is>
          <t>San Marcos Kilisesi'nin kiremit çatılı yan cephesi ve önündeki bisikletler.</t>
        </is>
      </c>
      <c r="H176" s="29" t="inlineStr">
        <is>
          <t>CarlosVdeHabsburgo</t>
        </is>
      </c>
      <c r="I176" s="29" t="inlineStr">
        <is>
          <t>CC BY-SA 4.0</t>
        </is>
      </c>
      <c r="J176" s="29" t="inlineStr">
        <is>
          <t>https://creativecommons.org/licenses/by-sa/4.0/</t>
        </is>
      </c>
      <c r="K176" s="29" t="inlineStr">
        <is>
          <t>https://commons.wikimedia.org/wiki/File:Iglesia_de_San_Marcos_(Sevilla)_01.jpg</t>
        </is>
      </c>
      <c r="L176" s="49" t="n">
        <v>43211</v>
      </c>
      <c r="M176" s="49" t="n">
        <v>46320</v>
      </c>
      <c r="N176" s="29" t="inlineStr">
        <is>
          <t>Wikimedia Commons'taki "Iglesia de San Marcos (Sevilla) 01.jpg" (4320×3240 px) özgün dosyasının 1280×960 px küçültülmüş kopyası indirildi; kırpma, rötuş ve renk düzeltmesi yapılmadı. Teslim dosyası: sevilla_iglesia-de-san-marcos_01.jpg (SHA-256 f5645e3a9e4d).</t>
        </is>
      </c>
      <c r="O176" s="29" t="inlineStr">
        <is>
          <t>sevilla:evidence:iglesia-de-san-marcos-01</t>
        </is>
      </c>
      <c r="P176" s="29" t="inlineStr">
        <is>
          <t>Evet</t>
        </is>
      </c>
      <c r="Q176" s="51" t="n">
        <v>1</v>
      </c>
      <c r="R176" s="29" t="inlineStr">
        <is>
          <t>Taslak</t>
        </is>
      </c>
      <c r="S176" s="52">
        <f>IF(OR(A176="",F176="",C176&lt;&gt;"Mekân"),0,IF(COUNTIFS($F$8:F176,F176,$C$8:C176,"Mekân")=1,1,0))</f>
        <v/>
      </c>
      <c r="T176" s="52">
        <f>IF(OR(A176="",F176="",C176&lt;&gt;"Kapak"),0,IF(COUNTIFS($F$8:F176,F176,$C$8:C176,"Kapak")=1,1,0))</f>
        <v/>
      </c>
    </row>
    <row r="177" ht="54" customHeight="1">
      <c r="A177" s="29" t="inlineStr">
        <is>
          <t>sevilla:photo:iglesia-de-san-marcos-02</t>
        </is>
      </c>
      <c r="B177" s="29" t="inlineStr">
        <is>
          <t>sevilla</t>
        </is>
      </c>
      <c r="C177" s="29" t="inlineStr">
        <is>
          <t>Mekân</t>
        </is>
      </c>
      <c r="D177" s="29" t="inlineStr">
        <is>
          <t>sevilla:iglesia-de-san-marcos</t>
        </is>
      </c>
      <c r="E177" s="29" t="inlineStr">
        <is>
          <t>Fotoğraflar/sevilla_iglesia-de-san-marcos_02.jpg</t>
        </is>
      </c>
      <c r="F177" s="29" t="inlineStr">
        <is>
          <t>894a744c5b8862d6d32d22b11f20e3157b43722fa81687a0fe87549288ea9e25</t>
        </is>
      </c>
      <c r="G177" s="29" t="inlineStr">
        <is>
          <t>San Marcos Kilisesi'nin Mudéjar çan kulesi ve taş gövdesi.</t>
        </is>
      </c>
      <c r="H177" s="29" t="inlineStr">
        <is>
          <t>Emilio J. Rodríguez Posada</t>
        </is>
      </c>
      <c r="I177" s="29" t="inlineStr">
        <is>
          <t>CC BY-SA 3.0 es</t>
        </is>
      </c>
      <c r="J177" s="29" t="inlineStr">
        <is>
          <t>https://creativecommons.org/licenses/by-sa/3.0/es/deed.en/</t>
        </is>
      </c>
      <c r="K177" s="29" t="inlineStr">
        <is>
          <t>https://commons.wikimedia.org/wiki/File:Iglesia_de_San_Marcos_-_Sevilla_001.jpg</t>
        </is>
      </c>
      <c r="L177" s="49" t="n">
        <v>40811</v>
      </c>
      <c r="M177" s="49" t="n">
        <v>46320</v>
      </c>
      <c r="N177" s="29" t="inlineStr">
        <is>
          <t>Wikimedia Commons'taki "Iglesia de San Marcos - Sevilla 001.jpg" (1920×2560 px) özgün dosyasının 1280×1707 px küçültülmüş kopyası indirildi; kırpma, rötuş ve renk düzeltmesi yapılmadı. Teslim dosyası: sevilla_iglesia-de-san-marcos_02.jpg (SHA-256 894a744c5b88).</t>
        </is>
      </c>
      <c r="O177" s="29" t="inlineStr">
        <is>
          <t>sevilla:evidence:iglesia-de-san-marcos-02</t>
        </is>
      </c>
      <c r="P177" s="29" t="inlineStr">
        <is>
          <t>Evet</t>
        </is>
      </c>
      <c r="Q177" s="51" t="n">
        <v>2</v>
      </c>
      <c r="R177" s="29" t="inlineStr">
        <is>
          <t>Taslak</t>
        </is>
      </c>
      <c r="S177" s="52">
        <f>IF(OR(A177="",F177="",C177&lt;&gt;"Mekân"),0,IF(COUNTIFS($F$8:F177,F177,$C$8:C177,"Mekân")=1,1,0))</f>
        <v/>
      </c>
      <c r="T177" s="52">
        <f>IF(OR(A177="",F177="",C177&lt;&gt;"Kapak"),0,IF(COUNTIFS($F$8:F177,F177,$C$8:C177,"Kapak")=1,1,0))</f>
        <v/>
      </c>
    </row>
    <row r="178" ht="54" customHeight="1">
      <c r="A178" s="29" t="inlineStr">
        <is>
          <t>sevilla:photo:iglesia-de-san-marcos-03</t>
        </is>
      </c>
      <c r="B178" s="29" t="inlineStr">
        <is>
          <t>sevilla</t>
        </is>
      </c>
      <c r="C178" s="29" t="inlineStr">
        <is>
          <t>Mekân</t>
        </is>
      </c>
      <c r="D178" s="29" t="inlineStr">
        <is>
          <t>sevilla:iglesia-de-san-marcos</t>
        </is>
      </c>
      <c r="E178" s="29" t="inlineStr">
        <is>
          <t>Fotoğraflar/sevilla_iglesia-de-san-marcos_03.jpg</t>
        </is>
      </c>
      <c r="F178" s="29" t="inlineStr">
        <is>
          <t>c2f75b425a6e3f3e995491a0def4b66ba29c0eed9bdd4ba15d7560ae426413db</t>
        </is>
      </c>
      <c r="G178" s="29" t="inlineStr">
        <is>
          <t>San Marcos Kilisesi ve kulesi, mavi gökyüzü altında.</t>
        </is>
      </c>
      <c r="H178" s="29" t="inlineStr">
        <is>
          <t>Emilio J. Rodríguez Posada</t>
        </is>
      </c>
      <c r="I178" s="29" t="inlineStr">
        <is>
          <t>CC BY-SA 3.0 es</t>
        </is>
      </c>
      <c r="J178" s="29" t="inlineStr">
        <is>
          <t>https://creativecommons.org/licenses/by-sa/3.0/es/deed.en/</t>
        </is>
      </c>
      <c r="K178" s="29" t="inlineStr">
        <is>
          <t>https://commons.wikimedia.org/wiki/File:Iglesia_de_San_Marcos_-_Sevilla_002.jpg</t>
        </is>
      </c>
      <c r="L178" s="49" t="n">
        <v>40811</v>
      </c>
      <c r="M178" s="49" t="n">
        <v>46320</v>
      </c>
      <c r="N178" s="29" t="inlineStr">
        <is>
          <t>Wikimedia Commons'taki "Iglesia de San Marcos - Sevilla 002.jpg" (2560×1920 px) özgün dosyasının 1280×960 px küçültülmüş kopyası indirildi; kırpma, rötuş ve renk düzeltmesi yapılmadı. Teslim dosyası: sevilla_iglesia-de-san-marcos_03.jpg (SHA-256 c2f75b425a6e).</t>
        </is>
      </c>
      <c r="O178" s="29" t="inlineStr">
        <is>
          <t>sevilla:evidence:iglesia-de-san-marcos-03</t>
        </is>
      </c>
      <c r="P178" s="29" t="inlineStr">
        <is>
          <t>Evet</t>
        </is>
      </c>
      <c r="Q178" s="51" t="n">
        <v>3</v>
      </c>
      <c r="R178" s="29" t="inlineStr">
        <is>
          <t>Taslak</t>
        </is>
      </c>
      <c r="S178" s="52">
        <f>IF(OR(A178="",F178="",C178&lt;&gt;"Mekân"),0,IF(COUNTIFS($F$8:F178,F178,$C$8:C178,"Mekân")=1,1,0))</f>
        <v/>
      </c>
      <c r="T178" s="52">
        <f>IF(OR(A178="",F178="",C178&lt;&gt;"Kapak"),0,IF(COUNTIFS($F$8:F178,F178,$C$8:C178,"Kapak")=1,1,0))</f>
        <v/>
      </c>
    </row>
    <row r="179" ht="54" customHeight="1">
      <c r="A179" s="29" t="inlineStr">
        <is>
          <t>sevilla:photo:iglesia-de-san-roman-01</t>
        </is>
      </c>
      <c r="B179" s="29" t="inlineStr">
        <is>
          <t>sevilla</t>
        </is>
      </c>
      <c r="C179" s="29" t="inlineStr">
        <is>
          <t>Mekân</t>
        </is>
      </c>
      <c r="D179" s="29" t="inlineStr">
        <is>
          <t>sevilla:iglesia-de-san-roman</t>
        </is>
      </c>
      <c r="E179" s="29" t="inlineStr">
        <is>
          <t>Fotoğraflar/sevilla_iglesia-de-san-roman_01.jpg</t>
        </is>
      </c>
      <c r="F179" s="29" t="inlineStr">
        <is>
          <t>5fc134ea64d6ee8ca2956427ae58e62015f3fb41d797b2609c0923727e99a129</t>
        </is>
      </c>
      <c r="G179" s="29" t="inlineStr">
        <is>
          <t>San Román Kilisesi'nin beyaz cephesi, gotik portali ve çini süslü kulesi.</t>
        </is>
      </c>
      <c r="H179" s="29" t="inlineStr">
        <is>
          <t>Emilio J. Rodríguez Posada</t>
        </is>
      </c>
      <c r="I179" s="29" t="inlineStr">
        <is>
          <t>CC BY-SA 3.0</t>
        </is>
      </c>
      <c r="J179" s="29" t="inlineStr">
        <is>
          <t>https://creativecommons.org/licenses/by-sa/3.0/</t>
        </is>
      </c>
      <c r="K179" s="29" t="inlineStr">
        <is>
          <t>https://commons.wikimedia.org/wiki/File:Iglesia_de_San_Rom%C3%A1n_001_-_Sevilla.jpg</t>
        </is>
      </c>
      <c r="L179" s="49" t="n">
        <v>40811</v>
      </c>
      <c r="M179" s="49" t="n">
        <v>46320</v>
      </c>
      <c r="N179" s="29" t="inlineStr">
        <is>
          <t>Wikimedia Commons'taki "Iglesia de San Román 001 - Sevilla.jpg" (2560×1920 px) özgün dosyasının 1280×960 px küçültülmüş kopyası indirildi; kırpma, rötuş ve renk düzeltmesi yapılmadı. Teslim dosyası: sevilla_iglesia-de-san-roman_01.jpg (SHA-256 5fc134ea64d6).</t>
        </is>
      </c>
      <c r="O179" s="29" t="inlineStr">
        <is>
          <t>sevilla:evidence:iglesia-de-san-roman-01</t>
        </is>
      </c>
      <c r="P179" s="29" t="inlineStr">
        <is>
          <t>Evet</t>
        </is>
      </c>
      <c r="Q179" s="51" t="n">
        <v>1</v>
      </c>
      <c r="R179" s="29" t="inlineStr">
        <is>
          <t>Taslak</t>
        </is>
      </c>
      <c r="S179" s="52">
        <f>IF(OR(A179="",F179="",C179&lt;&gt;"Mekân"),0,IF(COUNTIFS($F$8:F179,F179,$C$8:C179,"Mekân")=1,1,0))</f>
        <v/>
      </c>
      <c r="T179" s="52">
        <f>IF(OR(A179="",F179="",C179&lt;&gt;"Kapak"),0,IF(COUNTIFS($F$8:F179,F179,$C$8:C179,"Kapak")=1,1,0))</f>
        <v/>
      </c>
    </row>
    <row r="180" ht="54" customHeight="1">
      <c r="A180" s="29" t="inlineStr">
        <is>
          <t>sevilla:photo:iglesia-de-san-roman-02</t>
        </is>
      </c>
      <c r="B180" s="29" t="inlineStr">
        <is>
          <t>sevilla</t>
        </is>
      </c>
      <c r="C180" s="29" t="inlineStr">
        <is>
          <t>Mekân</t>
        </is>
      </c>
      <c r="D180" s="29" t="inlineStr">
        <is>
          <t>sevilla:iglesia-de-san-roman</t>
        </is>
      </c>
      <c r="E180" s="29" t="inlineStr">
        <is>
          <t>Fotoğraflar/sevilla_iglesia-de-san-roman_02.jpg</t>
        </is>
      </c>
      <c r="F180" s="29" t="inlineStr">
        <is>
          <t>51d30a7747f0ea20405bd0bd13db203ac1d7d546b3c52d50bfedbc47c6b661d9</t>
        </is>
      </c>
      <c r="G180" s="29" t="inlineStr">
        <is>
          <t>San Román Kilisesi'nin cephesi ve kulesi, akşam ışığında.</t>
        </is>
      </c>
      <c r="H180" s="29" t="inlineStr">
        <is>
          <t>Mx. Granger</t>
        </is>
      </c>
      <c r="I180" s="29" t="inlineStr">
        <is>
          <t>CC0 1.0</t>
        </is>
      </c>
      <c r="J180" s="29" t="inlineStr">
        <is>
          <t>https://creativecommons.org/publicdomain/zero/1.0/</t>
        </is>
      </c>
      <c r="K180" s="29" t="inlineStr">
        <is>
          <t>https://commons.wikimedia.org/wiki/File:Iglesia_de_San_Rom%C3%A1n,_Sevilla,_exterior.jpg</t>
        </is>
      </c>
      <c r="L180" s="49" t="n">
        <v>42504</v>
      </c>
      <c r="M180" s="49" t="n">
        <v>46320</v>
      </c>
      <c r="N180" s="29" t="inlineStr">
        <is>
          <t>Wikimedia Commons'taki "Iglesia de San Román, Sevilla, exterior.jpg" (2592×1944 px) özgün dosyasının 1280×960 px küçültülmüş kopyası indirildi; kırpma, rötuş ve renk düzeltmesi yapılmadı. Teslim dosyası: sevilla_iglesia-de-san-roman_02.jpg (SHA-256 51d30a7747f0).</t>
        </is>
      </c>
      <c r="O180" s="29" t="inlineStr">
        <is>
          <t>sevilla:evidence:iglesia-de-san-roman-02</t>
        </is>
      </c>
      <c r="P180" s="29" t="inlineStr">
        <is>
          <t>Evet</t>
        </is>
      </c>
      <c r="Q180" s="51" t="n">
        <v>2</v>
      </c>
      <c r="R180" s="29" t="inlineStr">
        <is>
          <t>Taslak</t>
        </is>
      </c>
      <c r="S180" s="52">
        <f>IF(OR(A180="",F180="",C180&lt;&gt;"Mekân"),0,IF(COUNTIFS($F$8:F180,F180,$C$8:C180,"Mekân")=1,1,0))</f>
        <v/>
      </c>
      <c r="T180" s="52">
        <f>IF(OR(A180="",F180="",C180&lt;&gt;"Kapak"),0,IF(COUNTIFS($F$8:F180,F180,$C$8:C180,"Kapak")=1,1,0))</f>
        <v/>
      </c>
    </row>
    <row r="181" ht="54" customHeight="1">
      <c r="A181" s="29" t="inlineStr">
        <is>
          <t>sevilla:photo:iglesia-de-la-magdalena-01</t>
        </is>
      </c>
      <c r="B181" s="29" t="inlineStr">
        <is>
          <t>sevilla</t>
        </is>
      </c>
      <c r="C181" s="29" t="inlineStr">
        <is>
          <t>Mekân</t>
        </is>
      </c>
      <c r="D181" s="29" t="inlineStr">
        <is>
          <t>sevilla:iglesia-de-la-magdalena</t>
        </is>
      </c>
      <c r="E181" s="29" t="inlineStr">
        <is>
          <t>Fotoğraflar/sevilla_iglesia-de-la-magdalena_01.jpg</t>
        </is>
      </c>
      <c r="F181" s="29" t="inlineStr">
        <is>
          <t>3b53d94df3f094fc03fb815ad05eced80911fc00cebc7bdaa7f951f91dd12808</t>
        </is>
      </c>
      <c r="G181" s="29" t="inlineStr">
        <is>
          <t>Magdalena Kilisesi'nin kırmızı-beyaz barok çan tepelikleri.</t>
        </is>
      </c>
      <c r="H181" s="29" t="inlineStr">
        <is>
          <t>José Luis Filpo Cabana</t>
        </is>
      </c>
      <c r="I181" s="29" t="inlineStr">
        <is>
          <t>CC BY-SA 4.0</t>
        </is>
      </c>
      <c r="J181" s="29" t="inlineStr">
        <is>
          <t>https://creativecommons.org/licenses/by-sa/4.0/</t>
        </is>
      </c>
      <c r="K181" s="29" t="inlineStr">
        <is>
          <t>https://commons.wikimedia.org/wiki/File:Campanario_de_la_Iglesia_de_Santa_Mar%C3%ADa_Magdalena,_Sevilla.jpg</t>
        </is>
      </c>
      <c r="L181" s="49" t="n"/>
      <c r="M181" s="49" t="n">
        <v>46320</v>
      </c>
      <c r="N181" s="29" t="inlineStr">
        <is>
          <t>Wikimedia Commons'taki "Campanario de la Iglesia de Santa María Magdalena, Sevilla.jpg" (4152×2335 px) özgün dosyasının 1280×720 px küçültülmüş kopyası indirildi; kırpma, rötuş ve renk düzeltmesi yapılmadı. Teslim dosyası: sevilla_iglesia-de-la-magdalena_01.jpg (SHA-256 3b53d94df3f0).</t>
        </is>
      </c>
      <c r="O181" s="29" t="inlineStr">
        <is>
          <t>sevilla:evidence:iglesia-de-la-magdalena-01</t>
        </is>
      </c>
      <c r="P181" s="29" t="inlineStr">
        <is>
          <t>Evet</t>
        </is>
      </c>
      <c r="Q181" s="51" t="n">
        <v>1</v>
      </c>
      <c r="R181" s="29" t="inlineStr">
        <is>
          <t>Taslak</t>
        </is>
      </c>
      <c r="S181" s="52">
        <f>IF(OR(A181="",F181="",C181&lt;&gt;"Mekân"),0,IF(COUNTIFS($F$8:F181,F181,$C$8:C181,"Mekân")=1,1,0))</f>
        <v/>
      </c>
      <c r="T181" s="52">
        <f>IF(OR(A181="",F181="",C181&lt;&gt;"Kapak"),0,IF(COUNTIFS($F$8:F181,F181,$C$8:C181,"Kapak")=1,1,0))</f>
        <v/>
      </c>
    </row>
    <row r="182" ht="54" customHeight="1">
      <c r="A182" s="29" t="inlineStr">
        <is>
          <t>sevilla:photo:iglesia-de-la-magdalena-02</t>
        </is>
      </c>
      <c r="B182" s="29" t="inlineStr">
        <is>
          <t>sevilla</t>
        </is>
      </c>
      <c r="C182" s="29" t="inlineStr">
        <is>
          <t>Mekân</t>
        </is>
      </c>
      <c r="D182" s="29" t="inlineStr">
        <is>
          <t>sevilla:iglesia-de-la-magdalena</t>
        </is>
      </c>
      <c r="E182" s="29" t="inlineStr">
        <is>
          <t>Fotoğraflar/sevilla_iglesia-de-la-magdalena_02.jpg</t>
        </is>
      </c>
      <c r="F182" s="29" t="inlineStr">
        <is>
          <t>1c6e139724827d0b1b093481364a36b8ec2426354c09978f2b4992a6e27e3518</t>
        </is>
      </c>
      <c r="G182" s="29" t="inlineStr">
        <is>
          <t>Magdalena Kilisesi'nin yan cephesi ve önündeki yapraksız ağaçlar.</t>
        </is>
      </c>
      <c r="H182" s="29" t="inlineStr">
        <is>
          <t>Anual</t>
        </is>
      </c>
      <c r="I182" s="29" t="inlineStr">
        <is>
          <t>CC BY 3.0</t>
        </is>
      </c>
      <c r="J182" s="29" t="inlineStr">
        <is>
          <t>https://creativecommons.org/licenses/by/3.0/</t>
        </is>
      </c>
      <c r="K182" s="29" t="inlineStr">
        <is>
          <t>https://commons.wikimedia.org/wiki/File:Iglesia_Magdalena_Sevilla_006.jpg</t>
        </is>
      </c>
      <c r="L182" s="49" t="n">
        <v>39873</v>
      </c>
      <c r="M182" s="49" t="n">
        <v>46320</v>
      </c>
      <c r="N182" s="29" t="inlineStr">
        <is>
          <t>Wikimedia Commons'taki "Iglesia Magdalena Sevilla 006.jpg" (3872×2592 px) özgün dosyasının 1280×857 px küçültülmüş kopyası indirildi; kırpma, rötuş ve renk düzeltmesi yapılmadı. Teslim dosyası: sevilla_iglesia-de-la-magdalena_02.jpg (SHA-256 1c6e13972482).</t>
        </is>
      </c>
      <c r="O182" s="29" t="inlineStr">
        <is>
          <t>sevilla:evidence:iglesia-de-la-magdalena-02</t>
        </is>
      </c>
      <c r="P182" s="29" t="inlineStr">
        <is>
          <t>Evet</t>
        </is>
      </c>
      <c r="Q182" s="51" t="n">
        <v>2</v>
      </c>
      <c r="R182" s="29" t="inlineStr">
        <is>
          <t>Taslak</t>
        </is>
      </c>
      <c r="S182" s="52">
        <f>IF(OR(A182="",F182="",C182&lt;&gt;"Mekân"),0,IF(COUNTIFS($F$8:F182,F182,$C$8:C182,"Mekân")=1,1,0))</f>
        <v/>
      </c>
      <c r="T182" s="52">
        <f>IF(OR(A182="",F182="",C182&lt;&gt;"Kapak"),0,IF(COUNTIFS($F$8:F182,F182,$C$8:C182,"Kapak")=1,1,0))</f>
        <v/>
      </c>
    </row>
    <row r="183" ht="54" customHeight="1">
      <c r="A183" s="29" t="inlineStr">
        <is>
          <t>sevilla:photo:iglesia-de-la-magdalena-03</t>
        </is>
      </c>
      <c r="B183" s="29" t="inlineStr">
        <is>
          <t>sevilla</t>
        </is>
      </c>
      <c r="C183" s="29" t="inlineStr">
        <is>
          <t>Mekân</t>
        </is>
      </c>
      <c r="D183" s="29" t="inlineStr">
        <is>
          <t>sevilla:iglesia-de-la-magdalena</t>
        </is>
      </c>
      <c r="E183" s="29" t="inlineStr">
        <is>
          <t>Fotoğraflar/sevilla_iglesia-de-la-magdalena_03.jpg</t>
        </is>
      </c>
      <c r="F183" s="29" t="inlineStr">
        <is>
          <t>8d7d6523b456e30e75dcd123cf9efa15a72e469d3e397919b47a689a946de8ef</t>
        </is>
      </c>
      <c r="G183" s="29" t="inlineStr">
        <is>
          <t>Magdalena Kilisesi'nin süslemeli barok cephesi ve kubbesi.</t>
        </is>
      </c>
      <c r="H183" s="29" t="inlineStr">
        <is>
          <t>Anual</t>
        </is>
      </c>
      <c r="I183" s="29" t="inlineStr">
        <is>
          <t>CC BY-SA 3.0</t>
        </is>
      </c>
      <c r="J183" s="29" t="inlineStr">
        <is>
          <t>https://creativecommons.org/licenses/by-sa/3.0/</t>
        </is>
      </c>
      <c r="K183" s="29" t="inlineStr">
        <is>
          <t>https://commons.wikimedia.org/wiki/File:Iglesia_Magdalena_Sevilla_05.jpg</t>
        </is>
      </c>
      <c r="L183" s="49" t="n">
        <v>39738</v>
      </c>
      <c r="M183" s="49" t="n">
        <v>46320</v>
      </c>
      <c r="N183" s="29" t="inlineStr">
        <is>
          <t>Wikimedia Commons'taki "Iglesia Magdalena Sevilla 05.jpg" (2288×2128 px) özgün dosyasının 1280×1190 px küçültülmüş kopyası indirildi; kırpma, rötuş ve renk düzeltmesi yapılmadı. Teslim dosyası: sevilla_iglesia-de-la-magdalena_03.jpg (SHA-256 8d7d6523b456).</t>
        </is>
      </c>
      <c r="O183" s="29" t="inlineStr">
        <is>
          <t>sevilla:evidence:iglesia-de-la-magdalena-03</t>
        </is>
      </c>
      <c r="P183" s="29" t="inlineStr">
        <is>
          <t>Evet</t>
        </is>
      </c>
      <c r="Q183" s="51" t="n">
        <v>3</v>
      </c>
      <c r="R183" s="29" t="inlineStr">
        <is>
          <t>Taslak</t>
        </is>
      </c>
      <c r="S183" s="52">
        <f>IF(OR(A183="",F183="",C183&lt;&gt;"Mekân"),0,IF(COUNTIFS($F$8:F183,F183,$C$8:C183,"Mekân")=1,1,0))</f>
        <v/>
      </c>
      <c r="T183" s="52">
        <f>IF(OR(A183="",F183="",C183&lt;&gt;"Kapak"),0,IF(COUNTIFS($F$8:F183,F183,$C$8:C183,"Kapak")=1,1,0))</f>
        <v/>
      </c>
    </row>
    <row r="184" ht="54" customHeight="1">
      <c r="A184" s="29" t="inlineStr">
        <is>
          <t>sevilla:photo:santa-cruz-01</t>
        </is>
      </c>
      <c r="B184" s="29" t="inlineStr">
        <is>
          <t>sevilla</t>
        </is>
      </c>
      <c r="C184" s="29" t="inlineStr">
        <is>
          <t>Mekân</t>
        </is>
      </c>
      <c r="D184" s="29" t="inlineStr">
        <is>
          <t>sevilla:santa-cruz</t>
        </is>
      </c>
      <c r="E184" s="29" t="inlineStr">
        <is>
          <t>Fotoğraflar/sevilla_santa-cruz_01.jpg</t>
        </is>
      </c>
      <c r="F184" s="29" t="inlineStr">
        <is>
          <t>e8479f087763634e4f345adf0a64b351d45d14cb37fafc4817c289a1e906d4b4</t>
        </is>
      </c>
      <c r="G184" s="29" t="inlineStr">
        <is>
          <t>Santa Cruz'da sütunlu, yeşillikli bir avlu.</t>
        </is>
      </c>
      <c r="H184" s="29" t="inlineStr">
        <is>
          <t>Stefano Vigorelli</t>
        </is>
      </c>
      <c r="I184" s="29" t="inlineStr">
        <is>
          <t>CC BY-SA 4.0</t>
        </is>
      </c>
      <c r="J184" s="29" t="inlineStr">
        <is>
          <t>https://creativecommons.org/licenses/by-sa/4.0/</t>
        </is>
      </c>
      <c r="K184" s="29" t="inlineStr">
        <is>
          <t>https://commons.wikimedia.org/wiki/File:Calle_Miguel_Ma%C3%B1ara,_Sevilla_SP.jpg</t>
        </is>
      </c>
      <c r="L184" s="49" t="n">
        <v>42411</v>
      </c>
      <c r="M184" s="49" t="n">
        <v>46320</v>
      </c>
      <c r="N184" s="29" t="inlineStr">
        <is>
          <t>Wikimedia Commons'taki "Calle Miguel Mañara, Sevilla SP.jpg" (3008×2000 px) özgün dosyasının 1280×851 px küçültülmüş kopyası indirildi; kırpma, rötuş ve renk düzeltmesi yapılmadı. Teslim dosyası: sevilla_santa-cruz_01.jpg (SHA-256 e8479f087763).</t>
        </is>
      </c>
      <c r="O184" s="29" t="inlineStr">
        <is>
          <t>sevilla:evidence:santa-cruz-01</t>
        </is>
      </c>
      <c r="P184" s="29" t="inlineStr">
        <is>
          <t>Evet</t>
        </is>
      </c>
      <c r="Q184" s="51" t="n">
        <v>1</v>
      </c>
      <c r="R184" s="29" t="inlineStr">
        <is>
          <t>Taslak</t>
        </is>
      </c>
      <c r="S184" s="52">
        <f>IF(OR(A184="",F184="",C184&lt;&gt;"Mekân"),0,IF(COUNTIFS($F$8:F184,F184,$C$8:C184,"Mekân")=1,1,0))</f>
        <v/>
      </c>
      <c r="T184" s="52">
        <f>IF(OR(A184="",F184="",C184&lt;&gt;"Kapak"),0,IF(COUNTIFS($F$8:F184,F184,$C$8:C184,"Kapak")=1,1,0))</f>
        <v/>
      </c>
    </row>
    <row r="185" ht="54" customHeight="1">
      <c r="A185" s="29" t="inlineStr">
        <is>
          <t>sevilla:photo:santa-cruz-02</t>
        </is>
      </c>
      <c r="B185" s="29" t="inlineStr">
        <is>
          <t>sevilla</t>
        </is>
      </c>
      <c r="C185" s="29" t="inlineStr">
        <is>
          <t>Mekân</t>
        </is>
      </c>
      <c r="D185" s="29" t="inlineStr">
        <is>
          <t>sevilla:santa-cruz</t>
        </is>
      </c>
      <c r="E185" s="29" t="inlineStr">
        <is>
          <t>Fotoğraflar/sevilla_santa-cruz_02.jpg</t>
        </is>
      </c>
      <c r="F185" s="29" t="inlineStr">
        <is>
          <t>8bd39978bc1b393fa625e8526d3cfe500f91e430ca4ac9fdb02cfaaecdf156b1</t>
        </is>
      </c>
      <c r="G185" s="29" t="inlineStr">
        <is>
          <t>Santa Cruz'da palmiye ağacının yanında eski bir konak.</t>
        </is>
      </c>
      <c r="H185" s="29" t="inlineStr">
        <is>
          <t>Rogier Want</t>
        </is>
      </c>
      <c r="I185" s="29" t="inlineStr">
        <is>
          <t>CC BY-SA 3.0</t>
        </is>
      </c>
      <c r="J185" s="29" t="inlineStr">
        <is>
          <t>https://creativecommons.org/licenses/by-sa/3.0/</t>
        </is>
      </c>
      <c r="K185" s="29" t="inlineStr">
        <is>
          <t>https://commons.wikimedia.org/wiki/File:Charming_Old_House_@_Seville_-_panoramio.jpg</t>
        </is>
      </c>
      <c r="L185" s="49" t="n"/>
      <c r="M185" s="49" t="n">
        <v>46320</v>
      </c>
      <c r="N185" s="29" t="inlineStr">
        <is>
          <t>Wikimedia Commons'taki "Charming Old House @ Seville - panoramio.jpg" (3000×4000 px) özgün dosyasının 1280×1707 px küçültülmüş kopyası indirildi; kırpma, rötuş ve renk düzeltmesi yapılmadı. Teslim dosyası: sevilla_santa-cruz_02.jpg (SHA-256 8bd39978bc1b).</t>
        </is>
      </c>
      <c r="O185" s="29" t="inlineStr">
        <is>
          <t>sevilla:evidence:santa-cruz-02</t>
        </is>
      </c>
      <c r="P185" s="29" t="inlineStr">
        <is>
          <t>Evet</t>
        </is>
      </c>
      <c r="Q185" s="51" t="n">
        <v>2</v>
      </c>
      <c r="R185" s="29" t="inlineStr">
        <is>
          <t>Taslak</t>
        </is>
      </c>
      <c r="S185" s="52">
        <f>IF(OR(A185="",F185="",C185&lt;&gt;"Mekân"),0,IF(COUNTIFS($F$8:F185,F185,$C$8:C185,"Mekân")=1,1,0))</f>
        <v/>
      </c>
      <c r="T185" s="52">
        <f>IF(OR(A185="",F185="",C185&lt;&gt;"Kapak"),0,IF(COUNTIFS($F$8:F185,F185,$C$8:C185,"Kapak")=1,1,0))</f>
        <v/>
      </c>
    </row>
    <row r="186" ht="54" customHeight="1">
      <c r="A186" s="29" t="inlineStr">
        <is>
          <t>sevilla:photo:el-arenal-01</t>
        </is>
      </c>
      <c r="B186" s="29" t="inlineStr">
        <is>
          <t>sevilla</t>
        </is>
      </c>
      <c r="C186" s="29" t="inlineStr">
        <is>
          <t>Mekân</t>
        </is>
      </c>
      <c r="D186" s="29" t="inlineStr">
        <is>
          <t>sevilla:el-arenal</t>
        </is>
      </c>
      <c r="E186" s="29" t="inlineStr">
        <is>
          <t>Fotoğraflar/sevilla_el-arenal_01.jpg</t>
        </is>
      </c>
      <c r="F186" s="29" t="inlineStr">
        <is>
          <t>4bf02dd77f9e62ed97ff344b96f9529ee022a8712beb72fd8f13cbff30e3c19b</t>
        </is>
      </c>
      <c r="G186" s="29" t="inlineStr">
        <is>
          <t>El Arenal'de beyaz-sarı cepheli evlerle dar Circo sokağı.</t>
        </is>
      </c>
      <c r="H186" s="29" t="inlineStr">
        <is>
          <t>Gzzz</t>
        </is>
      </c>
      <c r="I186" s="29" t="inlineStr">
        <is>
          <t>CC BY-SA 4.0</t>
        </is>
      </c>
      <c r="J186" s="29" t="inlineStr">
        <is>
          <t>https://creativecommons.org/licenses/by-sa/4.0/</t>
        </is>
      </c>
      <c r="K186" s="29" t="inlineStr">
        <is>
          <t>https://commons.wikimedia.org/wiki/File:Calle_Circo_Sevilla.jpg</t>
        </is>
      </c>
      <c r="L186" s="49" t="n">
        <v>43755</v>
      </c>
      <c r="M186" s="49" t="n">
        <v>46320</v>
      </c>
      <c r="N186" s="29" t="inlineStr">
        <is>
          <t>Wikimedia Commons'taki "Calle Circo Sevilla.jpg" (4992×3712 px) özgün dosyasının 1280×952 px küçültülmüş kopyası indirildi; kırpma, rötuş ve renk düzeltmesi yapılmadı. Teslim dosyası: sevilla_el-arenal_01.jpg (SHA-256 4bf02dd77f9e).</t>
        </is>
      </c>
      <c r="O186" s="29" t="inlineStr">
        <is>
          <t>sevilla:evidence:el-arenal-01</t>
        </is>
      </c>
      <c r="P186" s="29" t="inlineStr">
        <is>
          <t>Evet</t>
        </is>
      </c>
      <c r="Q186" s="51" t="n">
        <v>1</v>
      </c>
      <c r="R186" s="29" t="inlineStr">
        <is>
          <t>Taslak</t>
        </is>
      </c>
      <c r="S186" s="52">
        <f>IF(OR(A186="",F186="",C186&lt;&gt;"Mekân"),0,IF(COUNTIFS($F$8:F186,F186,$C$8:C186,"Mekân")=1,1,0))</f>
        <v/>
      </c>
      <c r="T186" s="52">
        <f>IF(OR(A186="",F186="",C186&lt;&gt;"Kapak"),0,IF(COUNTIFS($F$8:F186,F186,$C$8:C186,"Kapak")=1,1,0))</f>
        <v/>
      </c>
    </row>
    <row r="187" ht="54" customHeight="1">
      <c r="A187" s="29" t="inlineStr">
        <is>
          <t>sevilla:photo:el-arenal-02</t>
        </is>
      </c>
      <c r="B187" s="29" t="inlineStr">
        <is>
          <t>sevilla</t>
        </is>
      </c>
      <c r="C187" s="29" t="inlineStr">
        <is>
          <t>Mekân</t>
        </is>
      </c>
      <c r="D187" s="29" t="inlineStr">
        <is>
          <t>sevilla:el-arenal</t>
        </is>
      </c>
      <c r="E187" s="29" t="inlineStr">
        <is>
          <t>Fotoğraflar/sevilla_el-arenal_02.jpg</t>
        </is>
      </c>
      <c r="F187" s="29" t="inlineStr">
        <is>
          <t>dbb11b6c50549bc90d2f830eabb071147b6c54746778c87e44283de76bda52ad</t>
        </is>
      </c>
      <c r="G187" s="29" t="inlineStr">
        <is>
          <t>El Arenal'de taş döşeli avluda beyaz örtülü restoran masaları.</t>
        </is>
      </c>
      <c r="H187" s="29" t="inlineStr">
        <is>
          <t>CarlosVdeHabsburgo</t>
        </is>
      </c>
      <c r="I187" s="29" t="inlineStr">
        <is>
          <t>CC BY-SA 4.0</t>
        </is>
      </c>
      <c r="J187" s="29" t="inlineStr">
        <is>
          <t>https://creativecommons.org/licenses/by-sa/4.0/</t>
        </is>
      </c>
      <c r="K187" s="29" t="inlineStr">
        <is>
          <t>https://commons.wikimedia.org/wiki/File:Restaurante_(Sevilla).jpg</t>
        </is>
      </c>
      <c r="L187" s="49" t="n">
        <v>43024</v>
      </c>
      <c r="M187" s="49" t="n">
        <v>46320</v>
      </c>
      <c r="N187" s="29" t="inlineStr">
        <is>
          <t>Wikimedia Commons'taki "Restaurante (Sevilla).jpg" (4320×3240 px) özgün dosyasının 1280×960 px küçültülmüş kopyası indirildi; kırpma, rötuş ve renk düzeltmesi yapılmadı. Teslim dosyası: sevilla_el-arenal_02.jpg (SHA-256 dbb11b6c5054).</t>
        </is>
      </c>
      <c r="O187" s="29" t="inlineStr">
        <is>
          <t>sevilla:evidence:el-arenal-02</t>
        </is>
      </c>
      <c r="P187" s="29" t="inlineStr">
        <is>
          <t>Evet</t>
        </is>
      </c>
      <c r="Q187" s="51" t="n">
        <v>2</v>
      </c>
      <c r="R187" s="29" t="inlineStr">
        <is>
          <t>Taslak</t>
        </is>
      </c>
      <c r="S187" s="52">
        <f>IF(OR(A187="",F187="",C187&lt;&gt;"Mekân"),0,IF(COUNTIFS($F$8:F187,F187,$C$8:C187,"Mekân")=1,1,0))</f>
        <v/>
      </c>
      <c r="T187" s="52">
        <f>IF(OR(A187="",F187="",C187&lt;&gt;"Kapak"),0,IF(COUNTIFS($F$8:F187,F187,$C$8:C187,"Kapak")=1,1,0))</f>
        <v/>
      </c>
    </row>
    <row r="188" ht="54" customHeight="1">
      <c r="A188" s="29" t="inlineStr">
        <is>
          <t>sevilla:photo:triana-01</t>
        </is>
      </c>
      <c r="B188" s="29" t="inlineStr">
        <is>
          <t>sevilla</t>
        </is>
      </c>
      <c r="C188" s="29" t="inlineStr">
        <is>
          <t>Mekân</t>
        </is>
      </c>
      <c r="D188" s="29" t="inlineStr">
        <is>
          <t>sevilla:triana</t>
        </is>
      </c>
      <c r="E188" s="29" t="inlineStr">
        <is>
          <t>Fotoğraflar/sevilla_triana_01.jpg</t>
        </is>
      </c>
      <c r="F188" s="29" t="inlineStr">
        <is>
          <t>5b980a28ad76df99f63d0dca354f25561fc6a5bd4714b43977621d57bea0bf4f</t>
        </is>
      </c>
      <c r="G188" s="29" t="inlineStr">
        <is>
          <t>Triana'da saksılarla süslü, yeşil parmaklıklı tipik bir balkon.</t>
        </is>
      </c>
      <c r="H188" s="29" t="inlineStr">
        <is>
          <t>Feranza</t>
        </is>
      </c>
      <c r="I188" s="29" t="inlineStr">
        <is>
          <t>CC BY-SA 3.0</t>
        </is>
      </c>
      <c r="J188" s="29" t="inlineStr">
        <is>
          <t>https://creativecommons.org/licenses/by-sa/3.0/</t>
        </is>
      </c>
      <c r="K188" s="29" t="inlineStr">
        <is>
          <t>https://commons.wikimedia.org/wiki/File:Balc%C3%B3n_t%C3%ADpico_de_Triana.JPG</t>
        </is>
      </c>
      <c r="L188" s="49" t="n">
        <v>40986</v>
      </c>
      <c r="M188" s="49" t="n">
        <v>46320</v>
      </c>
      <c r="N188" s="29" t="inlineStr">
        <is>
          <t>Wikimedia Commons'taki "Balcón típico de Triana.JPG" (2304×1536 px) özgün dosyasının 1280×853 px küçültülmüş kopyası indirildi; kırpma, rötuş ve renk düzeltmesi yapılmadı. Teslim dosyası: sevilla_triana_01.jpg (SHA-256 5b980a28ad76).</t>
        </is>
      </c>
      <c r="O188" s="29" t="inlineStr">
        <is>
          <t>sevilla:evidence:triana-01</t>
        </is>
      </c>
      <c r="P188" s="29" t="inlineStr">
        <is>
          <t>Evet</t>
        </is>
      </c>
      <c r="Q188" s="51" t="n">
        <v>1</v>
      </c>
      <c r="R188" s="29" t="inlineStr">
        <is>
          <t>Taslak</t>
        </is>
      </c>
      <c r="S188" s="52">
        <f>IF(OR(A188="",F188="",C188&lt;&gt;"Mekân"),0,IF(COUNTIFS($F$8:F188,F188,$C$8:C188,"Mekân")=1,1,0))</f>
        <v/>
      </c>
      <c r="T188" s="52">
        <f>IF(OR(A188="",F188="",C188&lt;&gt;"Kapak"),0,IF(COUNTIFS($F$8:F188,F188,$C$8:C188,"Kapak")=1,1,0))</f>
        <v/>
      </c>
    </row>
    <row r="189" ht="54" customHeight="1">
      <c r="A189" s="29" t="inlineStr">
        <is>
          <t>sevilla:photo:triana-02</t>
        </is>
      </c>
      <c r="B189" s="29" t="inlineStr">
        <is>
          <t>sevilla</t>
        </is>
      </c>
      <c r="C189" s="29" t="inlineStr">
        <is>
          <t>Mekân</t>
        </is>
      </c>
      <c r="D189" s="29" t="inlineStr">
        <is>
          <t>sevilla:triana</t>
        </is>
      </c>
      <c r="E189" s="29" t="inlineStr">
        <is>
          <t>Fotoğraflar/sevilla_triana_02.jpg</t>
        </is>
      </c>
      <c r="F189" s="29" t="inlineStr">
        <is>
          <t>de71278d170c7023c7c00409de13ac18c07f812d3d2d082c33f326016b390890</t>
        </is>
      </c>
      <c r="G189" s="29" t="inlineStr">
        <is>
          <t>Guadalquivir Nehri'nde tekneler ve karşıda Triana kıyısındaki evler.</t>
        </is>
      </c>
      <c r="H189" s="29" t="inlineStr">
        <is>
          <t>CarlosVdeHabsburgo</t>
        </is>
      </c>
      <c r="I189" s="29" t="inlineStr">
        <is>
          <t>CC BY-SA 4.0</t>
        </is>
      </c>
      <c r="J189" s="29" t="inlineStr">
        <is>
          <t>https://creativecommons.org/licenses/by-sa/4.0/</t>
        </is>
      </c>
      <c r="K189" s="29" t="inlineStr">
        <is>
          <t>https://commons.wikimedia.org/wiki/File:Barcos_en_el_Guadalquivir.jpg</t>
        </is>
      </c>
      <c r="L189" s="49" t="n">
        <v>43203</v>
      </c>
      <c r="M189" s="49" t="n">
        <v>46320</v>
      </c>
      <c r="N189" s="29" t="inlineStr">
        <is>
          <t>Wikimedia Commons'taki "Barcos en el Guadalquivir.jpg" (4320×3240 px) özgün dosyasının 1280×960 px küçültülmüş kopyası indirildi; kırpma, rötuş ve renk düzeltmesi yapılmadı. Teslim dosyası: sevilla_triana_02.jpg (SHA-256 de71278d170c).</t>
        </is>
      </c>
      <c r="O189" s="29" t="inlineStr">
        <is>
          <t>sevilla:evidence:triana-02</t>
        </is>
      </c>
      <c r="P189" s="29" t="inlineStr">
        <is>
          <t>Evet</t>
        </is>
      </c>
      <c r="Q189" s="51" t="n">
        <v>2</v>
      </c>
      <c r="R189" s="29" t="inlineStr">
        <is>
          <t>Taslak</t>
        </is>
      </c>
      <c r="S189" s="52">
        <f>IF(OR(A189="",F189="",C189&lt;&gt;"Mekân"),0,IF(COUNTIFS($F$8:F189,F189,$C$8:C189,"Mekân")=1,1,0))</f>
        <v/>
      </c>
      <c r="T189" s="52">
        <f>IF(OR(A189="",F189="",C189&lt;&gt;"Kapak"),0,IF(COUNTIFS($F$8:F189,F189,$C$8:C189,"Kapak")=1,1,0))</f>
        <v/>
      </c>
    </row>
    <row r="190" ht="54" customHeight="1">
      <c r="A190" s="29" t="inlineStr">
        <is>
          <t>sevilla:photo:triana-03</t>
        </is>
      </c>
      <c r="B190" s="29" t="inlineStr">
        <is>
          <t>sevilla</t>
        </is>
      </c>
      <c r="C190" s="29" t="inlineStr">
        <is>
          <t>Mekân</t>
        </is>
      </c>
      <c r="D190" s="29" t="inlineStr">
        <is>
          <t>sevilla:triana</t>
        </is>
      </c>
      <c r="E190" s="29" t="inlineStr">
        <is>
          <t>Fotoğraflar/sevilla_triana_03.jpg</t>
        </is>
      </c>
      <c r="F190" s="29" t="inlineStr">
        <is>
          <t>ad9ad84005fe56065037b509b286225fbcca048ff3950600324331d850a55a83</t>
        </is>
      </c>
      <c r="G190" s="29" t="inlineStr">
        <is>
          <t>Nehrin karşısından renkli evleriyle Triana kıyısı.</t>
        </is>
      </c>
      <c r="H190" s="29" t="inlineStr">
        <is>
          <t>Gzzz</t>
        </is>
      </c>
      <c r="I190" s="29" t="inlineStr">
        <is>
          <t>CC BY-SA 3.0</t>
        </is>
      </c>
      <c r="J190" s="29" t="inlineStr">
        <is>
          <t>https://creativecommons.org/licenses/by-sa/3.0/</t>
        </is>
      </c>
      <c r="K190" s="29" t="inlineStr">
        <is>
          <t>https://commons.wikimedia.org/wiki/File:Betis_Sevilla.jpg</t>
        </is>
      </c>
      <c r="L190" s="49" t="n">
        <v>40660</v>
      </c>
      <c r="M190" s="49" t="n">
        <v>46320</v>
      </c>
      <c r="N190" s="29" t="inlineStr">
        <is>
          <t>Wikimedia Commons'taki "Betis Sevilla.jpg" (3264×2448 px) özgün dosyasının 1280×960 px küçültülmüş kopyası indirildi; kırpma, rötuş ve renk düzeltmesi yapılmadı. Teslim dosyası: sevilla_triana_03.jpg (SHA-256 ad9ad84005fe).</t>
        </is>
      </c>
      <c r="O190" s="29" t="inlineStr">
        <is>
          <t>sevilla:evidence:triana-03</t>
        </is>
      </c>
      <c r="P190" s="29" t="inlineStr">
        <is>
          <t>Evet</t>
        </is>
      </c>
      <c r="Q190" s="51" t="n">
        <v>3</v>
      </c>
      <c r="R190" s="29" t="inlineStr">
        <is>
          <t>Taslak</t>
        </is>
      </c>
      <c r="S190" s="52">
        <f>IF(OR(A190="",F190="",C190&lt;&gt;"Mekân"),0,IF(COUNTIFS($F$8:F190,F190,$C$8:C190,"Mekân")=1,1,0))</f>
        <v/>
      </c>
      <c r="T190" s="52">
        <f>IF(OR(A190="",F190="",C190&lt;&gt;"Kapak"),0,IF(COUNTIFS($F$8:F190,F190,$C$8:C190,"Kapak")=1,1,0))</f>
        <v/>
      </c>
    </row>
    <row r="191" ht="54" customHeight="1">
      <c r="A191" s="29" t="inlineStr">
        <is>
          <t>sevilla:photo:los-remedios-01</t>
        </is>
      </c>
      <c r="B191" s="29" t="inlineStr">
        <is>
          <t>sevilla</t>
        </is>
      </c>
      <c r="C191" s="29" t="inlineStr">
        <is>
          <t>Mekân</t>
        </is>
      </c>
      <c r="D191" s="29" t="inlineStr">
        <is>
          <t>sevilla:los-remedios</t>
        </is>
      </c>
      <c r="E191" s="29" t="inlineStr">
        <is>
          <t>Fotoğraflar/sevilla_los-remedios_01.jpg</t>
        </is>
      </c>
      <c r="F191" s="29" t="inlineStr">
        <is>
          <t>106b246fc7af2eaa9bc14de2ee1086e14423747f80a20650a03c60a66fd6a792</t>
        </is>
      </c>
      <c r="G191" s="29" t="inlineStr">
        <is>
          <t>Los Remedios'ta beyaz badanalı, kırmızı tenteli Bar Príncipe binası.</t>
        </is>
      </c>
      <c r="H191" s="29" t="inlineStr">
        <is>
          <t>CarlosVdeHabsburgo</t>
        </is>
      </c>
      <c r="I191" s="29" t="inlineStr">
        <is>
          <t>CC BY-SA 4.0</t>
        </is>
      </c>
      <c r="J191" s="29" t="inlineStr">
        <is>
          <t>https://creativecommons.org/licenses/by-sa/4.0/</t>
        </is>
      </c>
      <c r="K191" s="29" t="inlineStr">
        <is>
          <t>https://commons.wikimedia.org/wiki/File:Bar_Pr%C3%ADncipe.jpg</t>
        </is>
      </c>
      <c r="L191" s="49" t="n">
        <v>43205</v>
      </c>
      <c r="M191" s="49" t="n">
        <v>46320</v>
      </c>
      <c r="N191" s="29" t="inlineStr">
        <is>
          <t>Wikimedia Commons'taki "Bar Príncipe.jpg" (4320×3240 px) özgün dosyasının 1280×960 px küçültülmüş kopyası indirildi; kırpma, rötuş ve renk düzeltmesi yapılmadı. Teslim dosyası: sevilla_los-remedios_01.jpg (SHA-256 106b246fc7af).</t>
        </is>
      </c>
      <c r="O191" s="29" t="inlineStr">
        <is>
          <t>sevilla:evidence:los-remedios-01</t>
        </is>
      </c>
      <c r="P191" s="29" t="inlineStr">
        <is>
          <t>Evet</t>
        </is>
      </c>
      <c r="Q191" s="51" t="n">
        <v>1</v>
      </c>
      <c r="R191" s="29" t="inlineStr">
        <is>
          <t>Taslak</t>
        </is>
      </c>
      <c r="S191" s="52">
        <f>IF(OR(A191="",F191="",C191&lt;&gt;"Mekân"),0,IF(COUNTIFS($F$8:F191,F191,$C$8:C191,"Mekân")=1,1,0))</f>
        <v/>
      </c>
      <c r="T191" s="52">
        <f>IF(OR(A191="",F191="",C191&lt;&gt;"Kapak"),0,IF(COUNTIFS($F$8:F191,F191,$C$8:C191,"Kapak")=1,1,0))</f>
        <v/>
      </c>
    </row>
    <row r="192" ht="54" customHeight="1">
      <c r="A192" s="29" t="inlineStr">
        <is>
          <t>sevilla:photo:los-remedios-02</t>
        </is>
      </c>
      <c r="B192" s="29" t="inlineStr">
        <is>
          <t>sevilla</t>
        </is>
      </c>
      <c r="C192" s="29" t="inlineStr">
        <is>
          <t>Mekân</t>
        </is>
      </c>
      <c r="D192" s="29" t="inlineStr">
        <is>
          <t>sevilla:los-remedios</t>
        </is>
      </c>
      <c r="E192" s="29" t="inlineStr">
        <is>
          <t>Fotoğraflar/sevilla_los-remedios_02.jpg</t>
        </is>
      </c>
      <c r="F192" s="29" t="inlineStr">
        <is>
          <t>e2b94c568f402f31a00cc953cc1b27f8e7023915bffa1e816c047fbce015dbfe</t>
        </is>
      </c>
      <c r="G192" s="29" t="inlineStr">
        <is>
          <t>Los Remedios'ta kemerli kapısı ve çini panosuyla küçük bir şapel.</t>
        </is>
      </c>
      <c r="H192" s="29" t="inlineStr">
        <is>
          <t>El Pantera</t>
        </is>
      </c>
      <c r="I192" s="29" t="inlineStr">
        <is>
          <t>CC BY-SA 4.0</t>
        </is>
      </c>
      <c r="J192" s="29" t="inlineStr">
        <is>
          <t>https://creativecommons.org/licenses/by-sa/4.0/</t>
        </is>
      </c>
      <c r="K192" s="29" t="inlineStr">
        <is>
          <t>https://commons.wikimedia.org/wiki/File:Capilla_en_Sevilla_-_IMG_20220620_170708.jpg</t>
        </is>
      </c>
      <c r="L192" s="49" t="n">
        <v>44732</v>
      </c>
      <c r="M192" s="49" t="n">
        <v>46320</v>
      </c>
      <c r="N192" s="29" t="inlineStr">
        <is>
          <t>Wikimedia Commons'taki "Capilla en Sevilla - IMG 20220620 170708.jpg" (3000×4000 px) özgün dosyasının 1280×1707 px küçültülmüş kopyası indirildi; kırpma, rötuş ve renk düzeltmesi yapılmadı. Teslim dosyası: sevilla_los-remedios_02.jpg (SHA-256 e2b94c568f40).</t>
        </is>
      </c>
      <c r="O192" s="29" t="inlineStr">
        <is>
          <t>sevilla:evidence:los-remedios-02</t>
        </is>
      </c>
      <c r="P192" s="29" t="inlineStr">
        <is>
          <t>Evet</t>
        </is>
      </c>
      <c r="Q192" s="51" t="n">
        <v>2</v>
      </c>
      <c r="R192" s="29" t="inlineStr">
        <is>
          <t>Taslak</t>
        </is>
      </c>
      <c r="S192" s="52">
        <f>IF(OR(A192="",F192="",C192&lt;&gt;"Mekân"),0,IF(COUNTIFS($F$8:F192,F192,$C$8:C192,"Mekân")=1,1,0))</f>
        <v/>
      </c>
      <c r="T192" s="52">
        <f>IF(OR(A192="",F192="",C192&lt;&gt;"Kapak"),0,IF(COUNTIFS($F$8:F192,F192,$C$8:C192,"Kapak")=1,1,0))</f>
        <v/>
      </c>
    </row>
    <row r="193" ht="54" customHeight="1">
      <c r="A193" s="29" t="inlineStr">
        <is>
          <t>sevilla:photo:los-remedios-03</t>
        </is>
      </c>
      <c r="B193" s="29" t="inlineStr">
        <is>
          <t>sevilla</t>
        </is>
      </c>
      <c r="C193" s="29" t="inlineStr">
        <is>
          <t>Mekân</t>
        </is>
      </c>
      <c r="D193" s="29" t="inlineStr">
        <is>
          <t>sevilla:los-remedios</t>
        </is>
      </c>
      <c r="E193" s="29" t="inlineStr">
        <is>
          <t>Fotoğraflar/sevilla_los-remedios_03.jpg</t>
        </is>
      </c>
      <c r="F193" s="29" t="inlineStr">
        <is>
          <t>77c531d6313b817ae0a60e7e232db11737c92922a5bf9e9db34230a0179973c2</t>
        </is>
      </c>
      <c r="G193" s="29" t="inlineStr">
        <is>
          <t>Los Remedios'ta köşede ağaçlı bir bina ve çevresindeki masalar.</t>
        </is>
      </c>
      <c r="H193" s="29" t="inlineStr">
        <is>
          <t>CarlosVdeHabsburgo</t>
        </is>
      </c>
      <c r="I193" s="29" t="inlineStr">
        <is>
          <t>CC BY-SA 4.0</t>
        </is>
      </c>
      <c r="J193" s="29" t="inlineStr">
        <is>
          <t>https://creativecommons.org/licenses/by-sa/4.0/</t>
        </is>
      </c>
      <c r="K193" s="29" t="inlineStr">
        <is>
          <t>https://commons.wikimedia.org/wiki/File:Chocolater%C3%ADa_Virgen_de_Luj%C3%A1n.jpg</t>
        </is>
      </c>
      <c r="L193" s="49" t="n">
        <v>43172</v>
      </c>
      <c r="M193" s="49" t="n">
        <v>46320</v>
      </c>
      <c r="N193" s="29" t="inlineStr">
        <is>
          <t>Wikimedia Commons'taki "Chocolatería Virgen de Luján.jpg" (3986×2689 px) özgün dosyasının 1280×864 px küçültülmüş kopyası indirildi; kırpma, rötuş ve renk düzeltmesi yapılmadı. Teslim dosyası: sevilla_los-remedios_03.jpg (SHA-256 77c531d6313b).</t>
        </is>
      </c>
      <c r="O193" s="29" t="inlineStr">
        <is>
          <t>sevilla:evidence:los-remedios-03</t>
        </is>
      </c>
      <c r="P193" s="29" t="inlineStr">
        <is>
          <t>Evet</t>
        </is>
      </c>
      <c r="Q193" s="51" t="n">
        <v>3</v>
      </c>
      <c r="R193" s="29" t="inlineStr">
        <is>
          <t>Taslak</t>
        </is>
      </c>
      <c r="S193" s="52">
        <f>IF(OR(A193="",F193="",C193&lt;&gt;"Mekân"),0,IF(COUNTIFS($F$8:F193,F193,$C$8:C193,"Mekân")=1,1,0))</f>
        <v/>
      </c>
      <c r="T193" s="52">
        <f>IF(OR(A193="",F193="",C193&lt;&gt;"Kapak"),0,IF(COUNTIFS($F$8:F193,F193,$C$8:C193,"Kapak")=1,1,0))</f>
        <v/>
      </c>
    </row>
    <row r="194" ht="54" customHeight="1">
      <c r="A194" s="29" t="inlineStr">
        <is>
          <t>sevilla:photo:la-macarena-01</t>
        </is>
      </c>
      <c r="B194" s="29" t="inlineStr">
        <is>
          <t>sevilla</t>
        </is>
      </c>
      <c r="C194" s="29" t="inlineStr">
        <is>
          <t>Mekân</t>
        </is>
      </c>
      <c r="D194" s="29" t="inlineStr">
        <is>
          <t>sevilla:la-macarena</t>
        </is>
      </c>
      <c r="E194" s="29" t="inlineStr">
        <is>
          <t>Fotoğraflar/sevilla_la-macarena_01.jpg</t>
        </is>
      </c>
      <c r="F194" s="29" t="inlineStr">
        <is>
          <t>c9ffea13c6c43160f090e6254e47d856ed2cf3930ef72b531a85a6796a795676</t>
        </is>
      </c>
      <c r="G194" s="29" t="inlineStr">
        <is>
          <t>Macarena'da Plaza del Adelantado meydanı ve fenerler.</t>
        </is>
      </c>
      <c r="H194" s="29" t="inlineStr">
        <is>
          <t>El Mono Español</t>
        </is>
      </c>
      <c r="I194" s="29" t="inlineStr">
        <is>
          <t>CC BY-SA 4.0</t>
        </is>
      </c>
      <c r="J194" s="29" t="inlineStr">
        <is>
          <t>https://creativecommons.org/licenses/by-sa/4.0/</t>
        </is>
      </c>
      <c r="K194" s="29" t="inlineStr">
        <is>
          <t>https://commons.wikimedia.org/wiki/File:Adelantado_Square_(Seville,_Spain).jpg</t>
        </is>
      </c>
      <c r="L194" s="49" t="n">
        <v>45688</v>
      </c>
      <c r="M194" s="49" t="n">
        <v>46320</v>
      </c>
      <c r="N194" s="29" t="inlineStr">
        <is>
          <t>Wikimedia Commons'taki "Adelantado Square (Seville, Spain).jpg" (4032×3024 px) özgün dosyasının 1280×960 px küçültülmüş kopyası indirildi; kırpma, rötuş ve renk düzeltmesi yapılmadı. Teslim dosyası: sevilla_la-macarena_01.jpg (SHA-256 c9ffea13c6c4).</t>
        </is>
      </c>
      <c r="O194" s="29" t="inlineStr">
        <is>
          <t>sevilla:evidence:la-macarena-01</t>
        </is>
      </c>
      <c r="P194" s="29" t="inlineStr">
        <is>
          <t>Evet</t>
        </is>
      </c>
      <c r="Q194" s="51" t="n">
        <v>1</v>
      </c>
      <c r="R194" s="29" t="inlineStr">
        <is>
          <t>Taslak</t>
        </is>
      </c>
      <c r="S194" s="52">
        <f>IF(OR(A194="",F194="",C194&lt;&gt;"Mekân"),0,IF(COUNTIFS($F$8:F194,F194,$C$8:C194,"Mekân")=1,1,0))</f>
        <v/>
      </c>
      <c r="T194" s="52">
        <f>IF(OR(A194="",F194="",C194&lt;&gt;"Kapak"),0,IF(COUNTIFS($F$8:F194,F194,$C$8:C194,"Kapak")=1,1,0))</f>
        <v/>
      </c>
    </row>
    <row r="195" ht="54" customHeight="1">
      <c r="A195" s="29" t="inlineStr">
        <is>
          <t>sevilla:photo:la-macarena-02</t>
        </is>
      </c>
      <c r="B195" s="29" t="inlineStr">
        <is>
          <t>sevilla</t>
        </is>
      </c>
      <c r="C195" s="29" t="inlineStr">
        <is>
          <t>Mekân</t>
        </is>
      </c>
      <c r="D195" s="29" t="inlineStr">
        <is>
          <t>sevilla:la-macarena</t>
        </is>
      </c>
      <c r="E195" s="29" t="inlineStr">
        <is>
          <t>Fotoğraflar/sevilla_la-macarena_02.jpg</t>
        </is>
      </c>
      <c r="F195" s="29" t="inlineStr">
        <is>
          <t>f34041a406c08e5b6ce5a390c53e4117dc3dcfe21f118662a2112eef1989456e</t>
        </is>
      </c>
      <c r="G195" s="29" t="inlineStr">
        <is>
          <t>Macarena'da Hermandad'ın sarı cepheli tarihî binası.</t>
        </is>
      </c>
      <c r="H195" s="29" t="inlineStr">
        <is>
          <t>CarlosVdeHabsburgo</t>
        </is>
      </c>
      <c r="I195" s="29" t="inlineStr">
        <is>
          <t>CC BY-SA 4.0</t>
        </is>
      </c>
      <c r="J195" s="29" t="inlineStr">
        <is>
          <t>https://creativecommons.org/licenses/by-sa/4.0/</t>
        </is>
      </c>
      <c r="K195" s="29" t="inlineStr">
        <is>
          <t>https://commons.wikimedia.org/wiki/File:Casa_hermandad_de_la_Macarena_(Sevilla).jpg</t>
        </is>
      </c>
      <c r="L195" s="49" t="n">
        <v>43355</v>
      </c>
      <c r="M195" s="49" t="n">
        <v>46320</v>
      </c>
      <c r="N195" s="29" t="inlineStr">
        <is>
          <t>Wikimedia Commons'taki "Casa hermandad de la Macarena (Sevilla).jpg" (3240×3893 px) özgün dosyasının 1280×1538 px küçültülmüş kopyası indirildi; kırpma, rötuş ve renk düzeltmesi yapılmadı. Teslim dosyası: sevilla_la-macarena_02.jpg (SHA-256 f34041a406c0).</t>
        </is>
      </c>
      <c r="O195" s="29" t="inlineStr">
        <is>
          <t>sevilla:evidence:la-macarena-02</t>
        </is>
      </c>
      <c r="P195" s="29" t="inlineStr">
        <is>
          <t>Evet</t>
        </is>
      </c>
      <c r="Q195" s="51" t="n">
        <v>2</v>
      </c>
      <c r="R195" s="29" t="inlineStr">
        <is>
          <t>Taslak</t>
        </is>
      </c>
      <c r="S195" s="52">
        <f>IF(OR(A195="",F195="",C195&lt;&gt;"Mekân"),0,IF(COUNTIFS($F$8:F195,F195,$C$8:C195,"Mekân")=1,1,0))</f>
        <v/>
      </c>
      <c r="T195" s="52">
        <f>IF(OR(A195="",F195="",C195&lt;&gt;"Kapak"),0,IF(COUNTIFS($F$8:F195,F195,$C$8:C195,"Kapak")=1,1,0))</f>
        <v/>
      </c>
    </row>
    <row r="196" ht="54" customHeight="1">
      <c r="A196" s="29" t="inlineStr">
        <is>
          <t>sevilla:photo:nervion-01</t>
        </is>
      </c>
      <c r="B196" s="29" t="inlineStr">
        <is>
          <t>sevilla</t>
        </is>
      </c>
      <c r="C196" s="29" t="inlineStr">
        <is>
          <t>Mekân</t>
        </is>
      </c>
      <c r="D196" s="29" t="inlineStr">
        <is>
          <t>sevilla:nervion</t>
        </is>
      </c>
      <c r="E196" s="29" t="inlineStr">
        <is>
          <t>Fotoğraflar/sevilla_nervion_01.jpg</t>
        </is>
      </c>
      <c r="F196" s="29" t="inlineStr">
        <is>
          <t>91cfc7dbd36cd44da829b26e0c103c7988bac87276b2a9985e1a9ab4d40402ce</t>
        </is>
      </c>
      <c r="G196" s="29" t="inlineStr">
        <is>
          <t>Nervión'da fıskiyeli havuzun arkasında modern ofis binaları.</t>
        </is>
      </c>
      <c r="H196" s="29" t="inlineStr">
        <is>
          <t>Peejayem</t>
        </is>
      </c>
      <c r="I196" s="29" t="inlineStr">
        <is>
          <t>CC BY-SA 4.0</t>
        </is>
      </c>
      <c r="J196" s="29" t="inlineStr">
        <is>
          <t>https://creativecommons.org/licenses/by-sa/4.0/</t>
        </is>
      </c>
      <c r="K196" s="29" t="inlineStr">
        <is>
          <t>https://commons.wikimedia.org/wiki/File:Calle_Pablo_Picasso,_6_(Sevilla)_-_Sede_de_la_Consejer%C3%ADa_de_Fomento,_Infraestructuras_y_Ordenaci%C3%B3n_del_Territorio_de_la_Junta_de_Andaluc%C3%ADa_(Edificio).jpg</t>
        </is>
      </c>
      <c r="L196" s="49" t="n">
        <v>44815</v>
      </c>
      <c r="M196" s="49" t="n">
        <v>46320</v>
      </c>
      <c r="N196" s="29" t="inlineStr">
        <is>
          <t>Wikimedia Commons'taki "Calle Pablo Picasso, 6 (Sevilla) - Sede de la Consejería de Fomento, Infraestructuras y Or" (4160×1920 px) özgün dosyasının 1280×591 px küçültülmüş kopyası indirildi; kırpma, rötuş ve renk düzeltmesi yapılmadı. Teslim dosyası: sevilla_nervion_01.jpg (SHA-256 91cfc7dbd36c).</t>
        </is>
      </c>
      <c r="O196" s="29" t="inlineStr">
        <is>
          <t>sevilla:evidence:nervion-01</t>
        </is>
      </c>
      <c r="P196" s="29" t="inlineStr">
        <is>
          <t>Evet</t>
        </is>
      </c>
      <c r="Q196" s="51" t="n">
        <v>1</v>
      </c>
      <c r="R196" s="29" t="inlineStr">
        <is>
          <t>Taslak</t>
        </is>
      </c>
      <c r="S196" s="52">
        <f>IF(OR(A196="",F196="",C196&lt;&gt;"Mekân"),0,IF(COUNTIFS($F$8:F196,F196,$C$8:C196,"Mekân")=1,1,0))</f>
        <v/>
      </c>
      <c r="T196" s="52">
        <f>IF(OR(A196="",F196="",C196&lt;&gt;"Kapak"),0,IF(COUNTIFS($F$8:F196,F196,$C$8:C196,"Kapak")=1,1,0))</f>
        <v/>
      </c>
    </row>
    <row r="197" ht="54" customHeight="1">
      <c r="A197" s="29" t="inlineStr">
        <is>
          <t>sevilla:photo:nervion-02</t>
        </is>
      </c>
      <c r="B197" s="29" t="inlineStr">
        <is>
          <t>sevilla</t>
        </is>
      </c>
      <c r="C197" s="29" t="inlineStr">
        <is>
          <t>Mekân</t>
        </is>
      </c>
      <c r="D197" s="29" t="inlineStr">
        <is>
          <t>sevilla:nervion</t>
        </is>
      </c>
      <c r="E197" s="29" t="inlineStr">
        <is>
          <t>Fotoğraflar/sevilla_nervion_02.jpg</t>
        </is>
      </c>
      <c r="F197" s="29" t="inlineStr">
        <is>
          <t>be5df705ac04327f88d2a7488bad1748e4553b76600cdaaa02e399f356b47265</t>
        </is>
      </c>
      <c r="G197" s="29" t="inlineStr">
        <is>
          <t>Nervión'da ağaçlı caddede modern bir ofis binası.</t>
        </is>
      </c>
      <c r="H197" s="29" t="inlineStr">
        <is>
          <t>Peejayem</t>
        </is>
      </c>
      <c r="I197" s="29" t="inlineStr">
        <is>
          <t>CC BY-SA 4.0</t>
        </is>
      </c>
      <c r="J197" s="29" t="inlineStr">
        <is>
          <t>https://creativecommons.org/licenses/by-sa/4.0/</t>
        </is>
      </c>
      <c r="K197" s="29" t="inlineStr">
        <is>
          <t>https://commons.wikimedia.org/wiki/File:Calle_Pablo_Picasso,_6_(Sevilla)_-_Sede_de_la_Consejer%C3%ADa_de_Fomento,_Infraestructuras_y_Ordenaci%C3%B3n_del_Territorio_de_la_Junta_de_Andaluc%C3%ADa_(Portada).jpg</t>
        </is>
      </c>
      <c r="L197" s="49" t="n">
        <v>44815</v>
      </c>
      <c r="M197" s="49" t="n">
        <v>46320</v>
      </c>
      <c r="N197" s="29" t="inlineStr">
        <is>
          <t>Wikimedia Commons'taki "Calle Pablo Picasso, 6 (Sevilla) - Sede de la Consejería de Fomento, Infraestructuras y Or" (4160×1920 px) özgün dosyasının 1280×591 px küçültülmüş kopyası indirildi; kırpma, rötuş ve renk düzeltmesi yapılmadı. Teslim dosyası: sevilla_nervion_02.jpg (SHA-256 be5df705ac04).</t>
        </is>
      </c>
      <c r="O197" s="29" t="inlineStr">
        <is>
          <t>sevilla:evidence:nervion-02</t>
        </is>
      </c>
      <c r="P197" s="29" t="inlineStr">
        <is>
          <t>Evet</t>
        </is>
      </c>
      <c r="Q197" s="51" t="n">
        <v>2</v>
      </c>
      <c r="R197" s="29" t="inlineStr">
        <is>
          <t>Taslak</t>
        </is>
      </c>
      <c r="S197" s="52">
        <f>IF(OR(A197="",F197="",C197&lt;&gt;"Mekân"),0,IF(COUNTIFS($F$8:F197,F197,$C$8:C197,"Mekân")=1,1,0))</f>
        <v/>
      </c>
      <c r="T197" s="52">
        <f>IF(OR(A197="",F197="",C197&lt;&gt;"Kapak"),0,IF(COUNTIFS($F$8:F197,F197,$C$8:C197,"Kapak")=1,1,0))</f>
        <v/>
      </c>
    </row>
    <row r="198" ht="54" customHeight="1">
      <c r="A198" s="29" t="inlineStr">
        <is>
          <t>sevilla:photo:nervion-03</t>
        </is>
      </c>
      <c r="B198" s="29" t="inlineStr">
        <is>
          <t>sevilla</t>
        </is>
      </c>
      <c r="C198" s="29" t="inlineStr">
        <is>
          <t>Mekân</t>
        </is>
      </c>
      <c r="D198" s="29" t="inlineStr">
        <is>
          <t>sevilla:nervion</t>
        </is>
      </c>
      <c r="E198" s="29" t="inlineStr">
        <is>
          <t>Fotoğraflar/sevilla_nervion_03.jpg</t>
        </is>
      </c>
      <c r="F198" s="29" t="inlineStr">
        <is>
          <t>ec65e784fe8779dc5c4b250057f8627cb0c9d50c0063836cd8eadcf37df2e358</t>
        </is>
      </c>
      <c r="G198" s="29" t="inlineStr">
        <is>
          <t>Nervión'da beyaz Telefónica kulesi.</t>
        </is>
      </c>
      <c r="H198" s="29" t="inlineStr">
        <is>
          <t>CarlosVdeHabsburgo</t>
        </is>
      </c>
      <c r="I198" s="29" t="inlineStr">
        <is>
          <t>CC BY-SA 4.0</t>
        </is>
      </c>
      <c r="J198" s="29" t="inlineStr">
        <is>
          <t>https://creativecommons.org/licenses/by-sa/4.0/</t>
        </is>
      </c>
      <c r="K198" s="29" t="inlineStr">
        <is>
          <t>https://commons.wikimedia.org/wiki/File:Centra_de_Telef%C3%B3nica_de_Sevilla_Oriente.jpg</t>
        </is>
      </c>
      <c r="L198" s="49" t="n">
        <v>43320</v>
      </c>
      <c r="M198" s="49" t="n">
        <v>46320</v>
      </c>
      <c r="N198" s="29" t="inlineStr">
        <is>
          <t>Wikimedia Commons'taki "Centra de Telefónica de Sevilla Oriente.jpg" (4320×3240 px) özgün dosyasının 1280×960 px küçültülmüş kopyası indirildi; kırpma, rötuş ve renk düzeltmesi yapılmadı. Teslim dosyası: sevilla_nervion_03.jpg (SHA-256 ec65e784fe87).</t>
        </is>
      </c>
      <c r="O198" s="29" t="inlineStr">
        <is>
          <t>sevilla:evidence:nervion-03</t>
        </is>
      </c>
      <c r="P198" s="29" t="inlineStr">
        <is>
          <t>Evet</t>
        </is>
      </c>
      <c r="Q198" s="51" t="n">
        <v>3</v>
      </c>
      <c r="R198" s="29" t="inlineStr">
        <is>
          <t>Taslak</t>
        </is>
      </c>
      <c r="S198" s="52">
        <f>IF(OR(A198="",F198="",C198&lt;&gt;"Mekân"),0,IF(COUNTIFS($F$8:F198,F198,$C$8:C198,"Mekân")=1,1,0))</f>
        <v/>
      </c>
      <c r="T198" s="52">
        <f>IF(OR(A198="",F198="",C198&lt;&gt;"Kapak"),0,IF(COUNTIFS($F$8:F198,F198,$C$8:C198,"Kapak")=1,1,0))</f>
        <v/>
      </c>
    </row>
    <row r="199" ht="54" customHeight="1">
      <c r="A199" s="29" t="inlineStr">
        <is>
          <t>sevilla:photo:la-cartuja-01</t>
        </is>
      </c>
      <c r="B199" s="29" t="inlineStr">
        <is>
          <t>sevilla</t>
        </is>
      </c>
      <c r="C199" s="29" t="inlineStr">
        <is>
          <t>Mekân</t>
        </is>
      </c>
      <c r="D199" s="29" t="inlineStr">
        <is>
          <t>sevilla:la-cartuja</t>
        </is>
      </c>
      <c r="E199" s="29" t="inlineStr">
        <is>
          <t>Fotoğraflar/sevilla_la-cartuja_01.jpg</t>
        </is>
      </c>
      <c r="F199" s="29" t="inlineStr">
        <is>
          <t>76e2bbefa38f7ee29e8a356b93526a7e881d6755dc6b9a025abb5c8b35c13a48</t>
        </is>
      </c>
      <c r="G199" s="29" t="inlineStr">
        <is>
          <t>Cartuja Manastırı'nın sütunlu, kemerli klostrosu.</t>
        </is>
      </c>
      <c r="H199" s="29" t="inlineStr">
        <is>
          <t>José Luis Filpo Cabana</t>
        </is>
      </c>
      <c r="I199" s="29" t="inlineStr">
        <is>
          <t>CC BY 3.0</t>
        </is>
      </c>
      <c r="J199" s="29" t="inlineStr">
        <is>
          <t>https://creativecommons.org/licenses/by/3.0/</t>
        </is>
      </c>
      <c r="K199" s="29" t="inlineStr">
        <is>
          <t>https://commons.wikimedia.org/wiki/File:Cartuja_de_Sevilla,_claustro.jpg</t>
        </is>
      </c>
      <c r="L199" s="49" t="n"/>
      <c r="M199" s="49" t="n">
        <v>46320</v>
      </c>
      <c r="N199" s="29" t="inlineStr">
        <is>
          <t>Wikimedia Commons'taki "Cartuja de Sevilla, claustro.jpg" (4112×3088 px) özgün dosyasının 1280×961 px küçültülmüş kopyası indirildi; kırpma, rötuş ve renk düzeltmesi yapılmadı. Teslim dosyası: sevilla_la-cartuja_01.jpg (SHA-256 76e2bbefa38f).</t>
        </is>
      </c>
      <c r="O199" s="29" t="inlineStr">
        <is>
          <t>sevilla:evidence:la-cartuja-01</t>
        </is>
      </c>
      <c r="P199" s="29" t="inlineStr">
        <is>
          <t>Evet</t>
        </is>
      </c>
      <c r="Q199" s="51" t="n">
        <v>1</v>
      </c>
      <c r="R199" s="29" t="inlineStr">
        <is>
          <t>Taslak</t>
        </is>
      </c>
      <c r="S199" s="52">
        <f>IF(OR(A199="",F199="",C199&lt;&gt;"Mekân"),0,IF(COUNTIFS($F$8:F199,F199,$C$8:C199,"Mekân")=1,1,0))</f>
        <v/>
      </c>
      <c r="T199" s="52">
        <f>IF(OR(A199="",F199="",C199&lt;&gt;"Kapak"),0,IF(COUNTIFS($F$8:F199,F199,$C$8:C199,"Kapak")=1,1,0))</f>
        <v/>
      </c>
    </row>
    <row r="200" ht="54" customHeight="1">
      <c r="A200" s="29" t="inlineStr">
        <is>
          <t>sevilla:photo:la-cartuja-02</t>
        </is>
      </c>
      <c r="B200" s="29" t="inlineStr">
        <is>
          <t>sevilla</t>
        </is>
      </c>
      <c r="C200" s="29" t="inlineStr">
        <is>
          <t>Mekân</t>
        </is>
      </c>
      <c r="D200" s="29" t="inlineStr">
        <is>
          <t>sevilla:la-cartuja</t>
        </is>
      </c>
      <c r="E200" s="29" t="inlineStr">
        <is>
          <t>Fotoğraflar/sevilla_la-cartuja_02.jpg</t>
        </is>
      </c>
      <c r="F200" s="29" t="inlineStr">
        <is>
          <t>3f20d8c61c006d76b9c0b8a3638896ec0a0169861efd84b09913245fa61fd86d</t>
        </is>
      </c>
      <c r="G200" s="29" t="inlineStr">
        <is>
          <t>Cartuja Manastırı'nda çinilerle kaplı duvarlar.</t>
        </is>
      </c>
      <c r="H200" s="29" t="inlineStr">
        <is>
          <t>José Luis Filpo Cabana</t>
        </is>
      </c>
      <c r="I200" s="29" t="inlineStr">
        <is>
          <t>CC0 1.0</t>
        </is>
      </c>
      <c r="J200" s="29" t="inlineStr">
        <is>
          <t>https://creativecommons.org/publicdomain/zero/1.0/</t>
        </is>
      </c>
      <c r="K200" s="29" t="inlineStr">
        <is>
          <t>https://commons.wikimedia.org/wiki/File:Cartuja_de_Sevilla._Azulejos.jpg</t>
        </is>
      </c>
      <c r="L200" s="49" t="n"/>
      <c r="M200" s="49" t="n">
        <v>46320</v>
      </c>
      <c r="N200" s="29" t="inlineStr">
        <is>
          <t>Wikimedia Commons'taki "Cartuja de Sevilla. Azulejos.jpg" (2607×3476 px) özgün dosyasının 1280×1707 px küçültülmüş kopyası indirildi; kırpma, rötuş ve renk düzeltmesi yapılmadı. Teslim dosyası: sevilla_la-cartuja_02.jpg (SHA-256 3f20d8c61c00).</t>
        </is>
      </c>
      <c r="O200" s="29" t="inlineStr">
        <is>
          <t>sevilla:evidence:la-cartuja-02</t>
        </is>
      </c>
      <c r="P200" s="29" t="inlineStr">
        <is>
          <t>Evet</t>
        </is>
      </c>
      <c r="Q200" s="51" t="n">
        <v>2</v>
      </c>
      <c r="R200" s="29" t="inlineStr">
        <is>
          <t>Taslak</t>
        </is>
      </c>
      <c r="S200" s="52">
        <f>IF(OR(A200="",F200="",C200&lt;&gt;"Mekân"),0,IF(COUNTIFS($F$8:F200,F200,$C$8:C200,"Mekân")=1,1,0))</f>
        <v/>
      </c>
      <c r="T200" s="52">
        <f>IF(OR(A200="",F200="",C200&lt;&gt;"Kapak"),0,IF(COUNTIFS($F$8:F200,F200,$C$8:C200,"Kapak")=1,1,0))</f>
        <v/>
      </c>
    </row>
    <row r="201" ht="54" customHeight="1">
      <c r="A201" s="29" t="inlineStr">
        <is>
          <t>sevilla:photo:la-cartuja-03</t>
        </is>
      </c>
      <c r="B201" s="29" t="inlineStr">
        <is>
          <t>sevilla</t>
        </is>
      </c>
      <c r="C201" s="29" t="inlineStr">
        <is>
          <t>Mekân</t>
        </is>
      </c>
      <c r="D201" s="29" t="inlineStr">
        <is>
          <t>sevilla:la-cartuja</t>
        </is>
      </c>
      <c r="E201" s="29" t="inlineStr">
        <is>
          <t>Fotoğraflar/sevilla_la-cartuja_03.jpg</t>
        </is>
      </c>
      <c r="F201" s="29" t="inlineStr">
        <is>
          <t>162940a7582eeaae989cc05ca8f713e9dacc5a9e5832c6c2d5edcb9d02b605a8</t>
        </is>
      </c>
      <c r="G201" s="29" t="inlineStr">
        <is>
          <t>Cartuja 93 teknoloji parkında cam cepheli modern bina.</t>
        </is>
      </c>
      <c r="H201" s="29" t="inlineStr">
        <is>
          <t>Jl FilpoC</t>
        </is>
      </c>
      <c r="I201" s="29" t="inlineStr">
        <is>
          <t>CC BY-SA 4.0</t>
        </is>
      </c>
      <c r="J201" s="29" t="inlineStr">
        <is>
          <t>https://creativecommons.org/licenses/by-sa/4.0/</t>
        </is>
      </c>
      <c r="K201" s="29" t="inlineStr">
        <is>
          <t>https://commons.wikimedia.org/wiki/File:Edificio_Bluenet,_Cartuja_93_(Sevilla).jpg</t>
        </is>
      </c>
      <c r="L201" s="49" t="n">
        <v>43976</v>
      </c>
      <c r="M201" s="49" t="n">
        <v>46320</v>
      </c>
      <c r="N201" s="29" t="inlineStr">
        <is>
          <t>Wikimedia Commons'taki "Edificio Bluenet, Cartuja 93 (Sevilla).jpg" (4112×3088 px) özgün dosyasının 1280×961 px küçültülmüş kopyası indirildi; kırpma, rötuş ve renk düzeltmesi yapılmadı. Teslim dosyası: sevilla_la-cartuja_03.jpg (SHA-256 162940a7582e).</t>
        </is>
      </c>
      <c r="O201" s="29" t="inlineStr">
        <is>
          <t>sevilla:evidence:la-cartuja-03</t>
        </is>
      </c>
      <c r="P201" s="29" t="inlineStr">
        <is>
          <t>Evet</t>
        </is>
      </c>
      <c r="Q201" s="51" t="n">
        <v>3</v>
      </c>
      <c r="R201" s="29" t="inlineStr">
        <is>
          <t>Taslak</t>
        </is>
      </c>
      <c r="S201" s="52">
        <f>IF(OR(A201="",F201="",C201&lt;&gt;"Mekân"),0,IF(COUNTIFS($F$8:F201,F201,$C$8:C201,"Mekân")=1,1,0))</f>
        <v/>
      </c>
      <c r="T201" s="52">
        <f>IF(OR(A201="",F201="",C201&lt;&gt;"Kapak"),0,IF(COUNTIFS($F$8:F201,F201,$C$8:C201,"Kapak")=1,1,0))</f>
        <v/>
      </c>
    </row>
    <row r="202" ht="54" customHeight="1">
      <c r="A202" s="29" t="inlineStr">
        <is>
          <t>sevilla:photo:san-bernardo-01</t>
        </is>
      </c>
      <c r="B202" s="29" t="inlineStr">
        <is>
          <t>sevilla</t>
        </is>
      </c>
      <c r="C202" s="29" t="inlineStr">
        <is>
          <t>Mekân</t>
        </is>
      </c>
      <c r="D202" s="29" t="inlineStr">
        <is>
          <t>sevilla:san-bernardo</t>
        </is>
      </c>
      <c r="E202" s="29" t="inlineStr">
        <is>
          <t>Fotoğraflar/sevilla_san-bernardo_01.jpg</t>
        </is>
      </c>
      <c r="F202" s="29" t="inlineStr">
        <is>
          <t>2fe24eeb3f7b52afd319f3e5de716410e148740731db4325b7e6304eabb3a081</t>
        </is>
      </c>
      <c r="G202" s="29" t="inlineStr">
        <is>
          <t>San Bernardo'da tuğla cepheli eski okul binası.</t>
        </is>
      </c>
      <c r="H202" s="29" t="inlineStr">
        <is>
          <t>CarlosVdeHabsburgo</t>
        </is>
      </c>
      <c r="I202" s="29" t="inlineStr">
        <is>
          <t>CC BY-SA 4.0</t>
        </is>
      </c>
      <c r="J202" s="29" t="inlineStr">
        <is>
          <t>https://creativecommons.org/licenses/by-sa/4.0/</t>
        </is>
      </c>
      <c r="K202" s="29" t="inlineStr">
        <is>
          <t>https://commons.wikimedia.org/wiki/File:Antigua_escuela_San_Bernardo.jpg</t>
        </is>
      </c>
      <c r="L202" s="49" t="n">
        <v>42680</v>
      </c>
      <c r="M202" s="49" t="n">
        <v>46320</v>
      </c>
      <c r="N202" s="29" t="inlineStr">
        <is>
          <t>Wikimedia Commons'taki "Antigua escuela San Bernardo.jpg" (4320×3240 px) özgün dosyasının 1280×960 px küçültülmüş kopyası indirildi; kırpma, rötuş ve renk düzeltmesi yapılmadı. Teslim dosyası: sevilla_san-bernardo_01.jpg (SHA-256 2fe24eeb3f7b).</t>
        </is>
      </c>
      <c r="O202" s="29" t="inlineStr">
        <is>
          <t>sevilla:evidence:san-bernardo-01</t>
        </is>
      </c>
      <c r="P202" s="29" t="inlineStr">
        <is>
          <t>Evet</t>
        </is>
      </c>
      <c r="Q202" s="51" t="n">
        <v>1</v>
      </c>
      <c r="R202" s="29" t="inlineStr">
        <is>
          <t>Taslak</t>
        </is>
      </c>
      <c r="S202" s="52">
        <f>IF(OR(A202="",F202="",C202&lt;&gt;"Mekân"),0,IF(COUNTIFS($F$8:F202,F202,$C$8:C202,"Mekân")=1,1,0))</f>
        <v/>
      </c>
      <c r="T202" s="52">
        <f>IF(OR(A202="",F202="",C202&lt;&gt;"Kapak"),0,IF(COUNTIFS($F$8:F202,F202,$C$8:C202,"Kapak")=1,1,0))</f>
        <v/>
      </c>
    </row>
    <row r="203" ht="54" customHeight="1">
      <c r="A203" s="29" t="inlineStr">
        <is>
          <t>sevilla:photo:san-bernardo-02</t>
        </is>
      </c>
      <c r="B203" s="29" t="inlineStr">
        <is>
          <t>sevilla</t>
        </is>
      </c>
      <c r="C203" s="29" t="inlineStr">
        <is>
          <t>Mekân</t>
        </is>
      </c>
      <c r="D203" s="29" t="inlineStr">
        <is>
          <t>sevilla:san-bernardo</t>
        </is>
      </c>
      <c r="E203" s="29" t="inlineStr">
        <is>
          <t>Fotoğraflar/sevilla_san-bernardo_02.jpg</t>
        </is>
      </c>
      <c r="F203" s="29" t="inlineStr">
        <is>
          <t>6b2d7522b84d08919aab1dedb60f1b37e3a24f5dae641d8a57881827388b4ff8</t>
        </is>
      </c>
      <c r="G203" s="29" t="inlineStr">
        <is>
          <t>San Bernardo'da cumbalı apartman binaları ve ağaçlar.</t>
        </is>
      </c>
      <c r="H203" s="29" t="inlineStr">
        <is>
          <t>CarlosVdeHabsburgo</t>
        </is>
      </c>
      <c r="I203" s="29" t="inlineStr">
        <is>
          <t>CC BY-SA 4.0</t>
        </is>
      </c>
      <c r="J203" s="29" t="inlineStr">
        <is>
          <t>https://creativecommons.org/licenses/by-sa/4.0/</t>
        </is>
      </c>
      <c r="K203" s="29" t="inlineStr">
        <is>
          <t>https://commons.wikimedia.org/wiki/File:Edificios_de_apartamentos_(San_Bernardo).jpg</t>
        </is>
      </c>
      <c r="L203" s="49" t="n">
        <v>43015</v>
      </c>
      <c r="M203" s="49" t="n">
        <v>46320</v>
      </c>
      <c r="N203" s="29" t="inlineStr">
        <is>
          <t>Wikimedia Commons'taki "Edificios de apartamentos (San Bernardo).jpg" (3530×3240 px) özgün dosyasının 1280×1175 px küçültülmüş kopyası indirildi; kırpma, rötuş ve renk düzeltmesi yapılmadı. Teslim dosyası: sevilla_san-bernardo_02.jpg (SHA-256 6b2d7522b84d).</t>
        </is>
      </c>
      <c r="O203" s="29" t="inlineStr">
        <is>
          <t>sevilla:evidence:san-bernardo-02</t>
        </is>
      </c>
      <c r="P203" s="29" t="inlineStr">
        <is>
          <t>Evet</t>
        </is>
      </c>
      <c r="Q203" s="51" t="n">
        <v>2</v>
      </c>
      <c r="R203" s="29" t="inlineStr">
        <is>
          <t>Taslak</t>
        </is>
      </c>
      <c r="S203" s="52">
        <f>IF(OR(A203="",F203="",C203&lt;&gt;"Mekân"),0,IF(COUNTIFS($F$8:F203,F203,$C$8:C203,"Mekân")=1,1,0))</f>
        <v/>
      </c>
      <c r="T203" s="52">
        <f>IF(OR(A203="",F203="",C203&lt;&gt;"Kapak"),0,IF(COUNTIFS($F$8:F203,F203,$C$8:C203,"Kapak")=1,1,0))</f>
        <v/>
      </c>
    </row>
    <row r="204" ht="54" customHeight="1">
      <c r="A204" s="29" t="inlineStr">
        <is>
          <t>sevilla:photo:el-porvenir-01</t>
        </is>
      </c>
      <c r="B204" s="29" t="inlineStr">
        <is>
          <t>sevilla</t>
        </is>
      </c>
      <c r="C204" s="29" t="inlineStr">
        <is>
          <t>Mekân</t>
        </is>
      </c>
      <c r="D204" s="29" t="inlineStr">
        <is>
          <t>sevilla:el-porvenir</t>
        </is>
      </c>
      <c r="E204" s="29" t="inlineStr">
        <is>
          <t>Fotoğraflar/sevilla_el-porvenir_01.jpg</t>
        </is>
      </c>
      <c r="F204" s="29" t="inlineStr">
        <is>
          <t>99cfac3ab3d766bcbfa6c994731c96ec670738ad2cd67cc12eddb450ea1a582e</t>
        </is>
      </c>
      <c r="G204" s="29" t="inlineStr">
        <is>
          <t>El Porvenir'de apartman blokları.</t>
        </is>
      </c>
      <c r="H204" s="29" t="inlineStr">
        <is>
          <t>CarlosVdeHabsburgo</t>
        </is>
      </c>
      <c r="I204" s="29" t="inlineStr">
        <is>
          <t>CC BY-SA 4.0</t>
        </is>
      </c>
      <c r="J204" s="29" t="inlineStr">
        <is>
          <t>https://creativecommons.org/licenses/by-sa/4.0/</t>
        </is>
      </c>
      <c r="K204" s="29" t="inlineStr">
        <is>
          <t>https://commons.wikimedia.org/wiki/File:Bloques_de_pisos_(El_Porvenir).jpg</t>
        </is>
      </c>
      <c r="L204" s="49" t="n">
        <v>43233</v>
      </c>
      <c r="M204" s="49" t="n">
        <v>46320</v>
      </c>
      <c r="N204" s="29" t="inlineStr">
        <is>
          <t>Wikimedia Commons'taki "Bloques de pisos (El Porvenir).jpg" (4068×3240 px) özgün dosyasının 1280×1019 px küçültülmüş kopyası indirildi; kırpma, rötuş ve renk düzeltmesi yapılmadı. Teslim dosyası: sevilla_el-porvenir_01.jpg (SHA-256 99cfac3ab3d7).</t>
        </is>
      </c>
      <c r="O204" s="29" t="inlineStr">
        <is>
          <t>sevilla:evidence:el-porvenir-01</t>
        </is>
      </c>
      <c r="P204" s="29" t="inlineStr">
        <is>
          <t>Evet</t>
        </is>
      </c>
      <c r="Q204" s="51" t="n">
        <v>1</v>
      </c>
      <c r="R204" s="29" t="inlineStr">
        <is>
          <t>Taslak</t>
        </is>
      </c>
      <c r="S204" s="52">
        <f>IF(OR(A204="",F204="",C204&lt;&gt;"Mekân"),0,IF(COUNTIFS($F$8:F204,F204,$C$8:C204,"Mekân")=1,1,0))</f>
        <v/>
      </c>
      <c r="T204" s="52">
        <f>IF(OR(A204="",F204="",C204&lt;&gt;"Kapak"),0,IF(COUNTIFS($F$8:F204,F204,$C$8:C204,"Kapak")=1,1,0))</f>
        <v/>
      </c>
    </row>
    <row r="205" ht="54" customHeight="1">
      <c r="A205" s="29" t="inlineStr">
        <is>
          <t>sevilla:photo:el-porvenir-02</t>
        </is>
      </c>
      <c r="B205" s="29" t="inlineStr">
        <is>
          <t>sevilla</t>
        </is>
      </c>
      <c r="C205" s="29" t="inlineStr">
        <is>
          <t>Mekân</t>
        </is>
      </c>
      <c r="D205" s="29" t="inlineStr">
        <is>
          <t>sevilla:el-porvenir</t>
        </is>
      </c>
      <c r="E205" s="29" t="inlineStr">
        <is>
          <t>Fotoğraflar/sevilla_el-porvenir_02.jpg</t>
        </is>
      </c>
      <c r="F205" s="29" t="inlineStr">
        <is>
          <t>1f5fdcf79b3a79a12ddd8b001911e9a35f3093492d20f9ea6da05bc76829a94a</t>
        </is>
      </c>
      <c r="G205" s="29" t="inlineStr">
        <is>
          <t>El Porvenir'de beyaz-sarı süslemeli eski bir köşk.</t>
        </is>
      </c>
      <c r="H205" s="29" t="inlineStr">
        <is>
          <t>CarlosVdeHabsburgo</t>
        </is>
      </c>
      <c r="I205" s="29" t="inlineStr">
        <is>
          <t>CC BY-SA 4.0</t>
        </is>
      </c>
      <c r="J205" s="29" t="inlineStr">
        <is>
          <t>https://creativecommons.org/licenses/by-sa/4.0/</t>
        </is>
      </c>
      <c r="K205" s="29" t="inlineStr">
        <is>
          <t>https://commons.wikimedia.org/wiki/File:Casa_(El_Porvenir).jpg</t>
        </is>
      </c>
      <c r="L205" s="49" t="n">
        <v>43036</v>
      </c>
      <c r="M205" s="49" t="n">
        <v>46320</v>
      </c>
      <c r="N205" s="29" t="inlineStr">
        <is>
          <t>Wikimedia Commons'taki "Casa (El Porvenir).jpg" (3240×4320 px) özgün dosyasının 1280×1707 px küçültülmüş kopyası indirildi; kırpma, rötuş ve renk düzeltmesi yapılmadı. Teslim dosyası: sevilla_el-porvenir_02.jpg (SHA-256 1f5fdcf79b3a).</t>
        </is>
      </c>
      <c r="O205" s="29" t="inlineStr">
        <is>
          <t>sevilla:evidence:el-porvenir-02</t>
        </is>
      </c>
      <c r="P205" s="29" t="inlineStr">
        <is>
          <t>Evet</t>
        </is>
      </c>
      <c r="Q205" s="51" t="n">
        <v>2</v>
      </c>
      <c r="R205" s="29" t="inlineStr">
        <is>
          <t>Taslak</t>
        </is>
      </c>
      <c r="S205" s="52">
        <f>IF(OR(A205="",F205="",C205&lt;&gt;"Mekân"),0,IF(COUNTIFS($F$8:F205,F205,$C$8:C205,"Mekân")=1,1,0))</f>
        <v/>
      </c>
      <c r="T205" s="52">
        <f>IF(OR(A205="",F205="",C205&lt;&gt;"Kapak"),0,IF(COUNTIFS($F$8:F205,F205,$C$8:C205,"Kapak")=1,1,0))</f>
        <v/>
      </c>
    </row>
    <row r="206" ht="54" customHeight="1">
      <c r="A206" s="29" t="inlineStr">
        <is>
          <t>sevilla:photo:el-porvenir-03</t>
        </is>
      </c>
      <c r="B206" s="29" t="inlineStr">
        <is>
          <t>sevilla</t>
        </is>
      </c>
      <c r="C206" s="29" t="inlineStr">
        <is>
          <t>Mekân</t>
        </is>
      </c>
      <c r="D206" s="29" t="inlineStr">
        <is>
          <t>sevilla:el-porvenir</t>
        </is>
      </c>
      <c r="E206" s="29" t="inlineStr">
        <is>
          <t>Fotoğraflar/sevilla_el-porvenir_03.jpg</t>
        </is>
      </c>
      <c r="F206" s="29" t="inlineStr">
        <is>
          <t>0d3f52e9c78bb8dfab7c5825d25bc2a303b424d6967734c6012c40faee7ff590</t>
        </is>
      </c>
      <c r="G206" s="29" t="inlineStr">
        <is>
          <t>El Porvenir'de tuğla ve taş cepheli tarihî bina, ilçe ve polis merkezi.</t>
        </is>
      </c>
      <c r="H206" s="29" t="inlineStr">
        <is>
          <t>CarlosVdeHabsburgo</t>
        </is>
      </c>
      <c r="I206" s="29" t="inlineStr">
        <is>
          <t>CC BY-SA 4.0</t>
        </is>
      </c>
      <c r="J206" s="29" t="inlineStr">
        <is>
          <t>https://creativecommons.org/licenses/by-sa/4.0/</t>
        </is>
      </c>
      <c r="K206" s="29" t="inlineStr">
        <is>
          <t>https://commons.wikimedia.org/wiki/File:Comisar%C3%ADa_y_sede_del_distrito_Sur_01.jpg</t>
        </is>
      </c>
      <c r="L206" s="49" t="n">
        <v>43233</v>
      </c>
      <c r="M206" s="49" t="n">
        <v>46320</v>
      </c>
      <c r="N206" s="29" t="inlineStr">
        <is>
          <t>Wikimedia Commons'taki "Comisaría y sede del distrito Sur 01.jpg" (4320×3240 px) özgün dosyasının 1280×960 px küçültülmüş kopyası indirildi; kırpma, rötuş ve renk düzeltmesi yapılmadı. Teslim dosyası: sevilla_el-porvenir_03.jpg (SHA-256 0d3f52e9c78b).</t>
        </is>
      </c>
      <c r="O206" s="29" t="inlineStr">
        <is>
          <t>sevilla:evidence:el-porvenir-03</t>
        </is>
      </c>
      <c r="P206" s="29" t="inlineStr">
        <is>
          <t>Evet</t>
        </is>
      </c>
      <c r="Q206" s="51" t="n">
        <v>3</v>
      </c>
      <c r="R206" s="29" t="inlineStr">
        <is>
          <t>Taslak</t>
        </is>
      </c>
      <c r="S206" s="52">
        <f>IF(OR(A206="",F206="",C206&lt;&gt;"Mekân"),0,IF(COUNTIFS($F$8:F206,F206,$C$8:C206,"Mekân")=1,1,0))</f>
        <v/>
      </c>
      <c r="T206" s="52">
        <f>IF(OR(A206="",F206="",C206&lt;&gt;"Kapak"),0,IF(COUNTIFS($F$8:F206,F206,$C$8:C206,"Kapak")=1,1,0))</f>
        <v/>
      </c>
    </row>
    <row r="207" ht="54" customHeight="1">
      <c r="A207" s="29" t="inlineStr">
        <is>
          <t>sevilla:photo:iglesia-del-divino-salvador-01</t>
        </is>
      </c>
      <c r="B207" s="29" t="inlineStr">
        <is>
          <t>sevilla</t>
        </is>
      </c>
      <c r="C207" s="29" t="inlineStr">
        <is>
          <t>Mekân</t>
        </is>
      </c>
      <c r="D207" s="29" t="inlineStr">
        <is>
          <t>sevilla:iglesia-del-divino-salvador</t>
        </is>
      </c>
      <c r="E207" s="29" t="inlineStr">
        <is>
          <t>Fotoğraflar/sevilla_iglesia-del-divino-salvador_01.jpg</t>
        </is>
      </c>
      <c r="F207" s="29" t="inlineStr">
        <is>
          <t>b000114f7bc741a9a05fe47d5880a7650c751cfc1051458bc61cf920f4c8f46b</t>
        </is>
      </c>
      <c r="G207" s="29" t="inlineStr">
        <is>
          <t>Divino Salvador Kilisesi'nde altın yaldızlı, oymalı büyük sunak.</t>
        </is>
      </c>
      <c r="H207" s="29" t="inlineStr">
        <is>
          <t>Posible2006</t>
        </is>
      </c>
      <c r="I207" s="29" t="inlineStr">
        <is>
          <t>CC BY 4.0</t>
        </is>
      </c>
      <c r="J207" s="29" t="inlineStr">
        <is>
          <t>https://creativecommons.org/licenses/by/4.0/</t>
        </is>
      </c>
      <c r="K207" s="29" t="inlineStr">
        <is>
          <t>https://commons.wikimedia.org/wiki/File:Iglesia_Salvador2.jpg</t>
        </is>
      </c>
      <c r="L207" s="49" t="n">
        <v>45602</v>
      </c>
      <c r="M207" s="49" t="n">
        <v>46320</v>
      </c>
      <c r="N207" s="29" t="inlineStr">
        <is>
          <t>Wikimedia Commons'taki "Iglesia Salvador2.jpg" (3456×4139 px) özgün dosyasının 1280×1533 px küçültülmüş kopyası indirildi; kırpma, rötuş ve renk düzeltmesi yapılmadı. Teslim dosyası: sevilla_iglesia-del-divino-salvador_01.jpg (SHA-256 b000114f7bc7).</t>
        </is>
      </c>
      <c r="O207" s="29" t="inlineStr">
        <is>
          <t>sevilla:evidence:iglesia-del-divino-salvador-01</t>
        </is>
      </c>
      <c r="P207" s="29" t="inlineStr">
        <is>
          <t>Evet</t>
        </is>
      </c>
      <c r="Q207" s="51" t="n">
        <v>1</v>
      </c>
      <c r="R207" s="29" t="inlineStr">
        <is>
          <t>Taslak</t>
        </is>
      </c>
      <c r="S207" s="52">
        <f>IF(OR(A207="",F207="",C207&lt;&gt;"Mekân"),0,IF(COUNTIFS($F$8:F207,F207,$C$8:C207,"Mekân")=1,1,0))</f>
        <v/>
      </c>
      <c r="T207" s="52">
        <f>IF(OR(A207="",F207="",C207&lt;&gt;"Kapak"),0,IF(COUNTIFS($F$8:F207,F207,$C$8:C207,"Kapak")=1,1,0))</f>
        <v/>
      </c>
    </row>
    <row r="208" ht="54" customHeight="1">
      <c r="A208" s="29" t="inlineStr">
        <is>
          <t>sevilla:photo:iglesia-del-divino-salvador-02</t>
        </is>
      </c>
      <c r="B208" s="29" t="inlineStr">
        <is>
          <t>sevilla</t>
        </is>
      </c>
      <c r="C208" s="29" t="inlineStr">
        <is>
          <t>Mekân</t>
        </is>
      </c>
      <c r="D208" s="29" t="inlineStr">
        <is>
          <t>sevilla:iglesia-del-divino-salvador</t>
        </is>
      </c>
      <c r="E208" s="29" t="inlineStr">
        <is>
          <t>Fotoğraflar/sevilla_iglesia-del-divino-salvador_02.jpg</t>
        </is>
      </c>
      <c r="F208" s="29" t="inlineStr">
        <is>
          <t>eb4ce3b4043f7f48ef9727895828edd714ef9822e15d83c111b01cea49a69a7b</t>
        </is>
      </c>
      <c r="G208" s="29" t="inlineStr">
        <is>
          <t>Divino Salvador Kilisesi'nin pembe-beyaz barok cephesi ve meydan.</t>
        </is>
      </c>
      <c r="H208" s="29" t="inlineStr">
        <is>
          <t>Anual</t>
        </is>
      </c>
      <c r="I208" s="29" t="inlineStr">
        <is>
          <t>CC BY 3.0</t>
        </is>
      </c>
      <c r="J208" s="29" t="inlineStr">
        <is>
          <t>https://creativecommons.org/licenses/by/3.0/</t>
        </is>
      </c>
      <c r="K208" s="29" t="inlineStr">
        <is>
          <t>https://commons.wikimedia.org/wiki/File:Iglesia_del_Salvador_006.jpg</t>
        </is>
      </c>
      <c r="L208" s="49" t="n">
        <v>39767</v>
      </c>
      <c r="M208" s="49" t="n">
        <v>46320</v>
      </c>
      <c r="N208" s="29" t="inlineStr">
        <is>
          <t>Wikimedia Commons'taki "Iglesia del Salvador 006.jpg" (3872×2592 px) özgün dosyasının 1280×857 px küçültülmüş kopyası indirildi; kırpma, rötuş ve renk düzeltmesi yapılmadı. Teslim dosyası: sevilla_iglesia-del-divino-salvador_02.jpg (SHA-256 eb4ce3b4043f).</t>
        </is>
      </c>
      <c r="O208" s="29" t="inlineStr">
        <is>
          <t>sevilla:evidence:iglesia-del-divino-salvador-02</t>
        </is>
      </c>
      <c r="P208" s="29" t="inlineStr">
        <is>
          <t>Evet</t>
        </is>
      </c>
      <c r="Q208" s="51" t="n">
        <v>2</v>
      </c>
      <c r="R208" s="29" t="inlineStr">
        <is>
          <t>Taslak</t>
        </is>
      </c>
      <c r="S208" s="52">
        <f>IF(OR(A208="",F208="",C208&lt;&gt;"Mekân"),0,IF(COUNTIFS($F$8:F208,F208,$C$8:C208,"Mekân")=1,1,0))</f>
        <v/>
      </c>
      <c r="T208" s="52">
        <f>IF(OR(A208="",F208="",C208&lt;&gt;"Kapak"),0,IF(COUNTIFS($F$8:F208,F208,$C$8:C208,"Kapak")=1,1,0))</f>
        <v/>
      </c>
    </row>
    <row r="209" ht="54" customHeight="1">
      <c r="A209" s="29" t="inlineStr">
        <is>
          <t>sevilla:photo:palacio-de-san-telmo-03</t>
        </is>
      </c>
      <c r="B209" s="29" t="inlineStr">
        <is>
          <t>sevilla</t>
        </is>
      </c>
      <c r="C209" s="29" t="inlineStr">
        <is>
          <t>Mekân</t>
        </is>
      </c>
      <c r="D209" s="29" t="inlineStr">
        <is>
          <t>sevilla:palacio-de-san-telmo</t>
        </is>
      </c>
      <c r="E209" s="29" t="inlineStr">
        <is>
          <t>Fotoğraflar/sevilla_palacio-de-san-telmo_03.jpg</t>
        </is>
      </c>
      <c r="F209" s="29" t="inlineStr">
        <is>
          <t>5eeb76bb66bafa8a50a420abb13a96e671479c43c58cea47ee9dc0524c73b68a</t>
        </is>
      </c>
      <c r="G209" s="29" t="inlineStr">
        <is>
          <t>San Telmo Sarayı'nın barok giriş cephesi ve kırmızı-sarı kanatları, önden.</t>
        </is>
      </c>
      <c r="H209" s="29" t="inlineStr">
        <is>
          <t>Diego Delso</t>
        </is>
      </c>
      <c r="I209" s="29" t="inlineStr">
        <is>
          <t>CC BY-SA 4.0</t>
        </is>
      </c>
      <c r="J209" s="29" t="inlineStr">
        <is>
          <t>https://creativecommons.org/licenses/by-sa/4.0/</t>
        </is>
      </c>
      <c r="K209" s="29" t="inlineStr">
        <is>
          <t>https://commons.wikimedia.org/wiki/File:Palacio_de_San_Telmo,_Sevilla,_Espa%C3%B1a,_2015-12-06,_DD_74.JPG</t>
        </is>
      </c>
      <c r="L209" s="49" t="n">
        <v>42344</v>
      </c>
      <c r="M209" s="49" t="n">
        <v>46320</v>
      </c>
      <c r="N209" s="29" t="inlineStr">
        <is>
          <t>Wikimedia Commons'taki "Palacio de San Telmo, Sevilla, España, 2015-12-06, DD 74.JPG" (6138×4995 px) özgün dosyasının 1280×1042 px küçültülmüş kopyası indirildi; kırpma, rötuş ve renk düzeltmesi yapılmadı. Teslim dosyası: sevilla_palacio-de-san-telmo_03.jpg (SHA-256 5eeb76bb66ba).</t>
        </is>
      </c>
      <c r="O209" s="29" t="inlineStr">
        <is>
          <t>sevilla:evidence:palacio-de-san-telmo-03</t>
        </is>
      </c>
      <c r="P209" s="29" t="inlineStr">
        <is>
          <t>Evet</t>
        </is>
      </c>
      <c r="Q209" s="51" t="n">
        <v>3</v>
      </c>
      <c r="R209" s="29" t="inlineStr">
        <is>
          <t>Taslak</t>
        </is>
      </c>
      <c r="S209" s="52">
        <f>IF(OR(A209="",F209="",C209&lt;&gt;"Mekân"),0,IF(COUNTIFS($F$8:F209,F209,$C$8:C209,"Mekân")=1,1,0))</f>
        <v/>
      </c>
      <c r="T209" s="52">
        <f>IF(OR(A209="",F209="",C209&lt;&gt;"Kapak"),0,IF(COUNTIFS($F$8:F209,F209,$C$8:C209,"Kapak")=1,1,0))</f>
        <v/>
      </c>
    </row>
    <row r="210" ht="54" customHeight="1">
      <c r="A210" s="29" t="inlineStr">
        <is>
          <t>sevilla:photo:puente-de-triana-02</t>
        </is>
      </c>
      <c r="B210" s="29" t="inlineStr">
        <is>
          <t>sevilla</t>
        </is>
      </c>
      <c r="C210" s="29" t="inlineStr">
        <is>
          <t>Mekân</t>
        </is>
      </c>
      <c r="D210" s="29" t="inlineStr">
        <is>
          <t>sevilla:puente-de-triana</t>
        </is>
      </c>
      <c r="E210" s="29" t="inlineStr">
        <is>
          <t>Fotoğraflar/sevilla_puente-de-triana_02.jpg</t>
        </is>
      </c>
      <c r="F210" s="29" t="inlineStr">
        <is>
          <t>c156929d36c61d379fe694e6b7e3996aa9d621cb0029aaefaa1eac6566b488f9</t>
        </is>
      </c>
      <c r="G210" s="29" t="inlineStr">
        <is>
          <t>Triana Köprüsü'nün korkuluğu, fenerleri ve karşı kıyıda San Jorge Kalesi.</t>
        </is>
      </c>
      <c r="H210" s="29" t="inlineStr">
        <is>
          <t>Gzzz</t>
        </is>
      </c>
      <c r="I210" s="29" t="inlineStr">
        <is>
          <t>CC BY-SA 3.0</t>
        </is>
      </c>
      <c r="J210" s="29" t="inlineStr">
        <is>
          <t>https://creativecommons.org/licenses/by-sa/3.0/</t>
        </is>
      </c>
      <c r="K210" s="29" t="inlineStr">
        <is>
          <t>https://commons.wikimedia.org/wiki/File:Castillo_de_San_Jorge_y_Puente_de_Triana.jpg</t>
        </is>
      </c>
      <c r="L210" s="49" t="n">
        <v>41374</v>
      </c>
      <c r="M210" s="49" t="n">
        <v>46320</v>
      </c>
      <c r="N210" s="29" t="inlineStr">
        <is>
          <t>Wikimedia Commons'taki "Castillo de San Jorge y Puente de Triana.jpg" (4244×3092 px) özgün dosyasının 1280×933 px küçültülmüş kopyası indirildi; kırpma, rötuş ve renk düzeltmesi yapılmadı. Teslim dosyası: sevilla_puente-de-triana_02.jpg (SHA-256 c156929d36c6).</t>
        </is>
      </c>
      <c r="O210" s="29" t="inlineStr">
        <is>
          <t>sevilla:evidence:puente-de-triana-02</t>
        </is>
      </c>
      <c r="P210" s="29" t="inlineStr">
        <is>
          <t>Evet</t>
        </is>
      </c>
      <c r="Q210" s="51" t="n">
        <v>2</v>
      </c>
      <c r="R210" s="29" t="inlineStr">
        <is>
          <t>Taslak</t>
        </is>
      </c>
      <c r="S210" s="52">
        <f>IF(OR(A210="",F210="",C210&lt;&gt;"Mekân"),0,IF(COUNTIFS($F$8:F210,F210,$C$8:C210,"Mekân")=1,1,0))</f>
        <v/>
      </c>
      <c r="T210" s="52">
        <f>IF(OR(A210="",F210="",C210&lt;&gt;"Kapak"),0,IF(COUNTIFS($F$8:F210,F210,$C$8:C210,"Kapak")=1,1,0))</f>
        <v/>
      </c>
    </row>
    <row r="211" ht="54" customHeight="1">
      <c r="A211" s="29" t="inlineStr">
        <is>
          <t>sevilla:photo:plaza-de-toros-de-la-maestranza-03</t>
        </is>
      </c>
      <c r="B211" s="29" t="inlineStr">
        <is>
          <t>sevilla</t>
        </is>
      </c>
      <c r="C211" s="29" t="inlineStr">
        <is>
          <t>Mekân</t>
        </is>
      </c>
      <c r="D211" s="29" t="inlineStr">
        <is>
          <t>sevilla:plaza-de-toros-de-la-maestranza</t>
        </is>
      </c>
      <c r="E211" s="29" t="inlineStr">
        <is>
          <t>Fotoğraflar/sevilla_plaza-de-toros-de-la-maestranza_03.jpg</t>
        </is>
      </c>
      <c r="F211" s="29" t="inlineStr">
        <is>
          <t>2a5b8b1fa9411d22af8d67b253add083ad93f8fe358b3bffde6b05aa87381bd9</t>
        </is>
      </c>
      <c r="G211" s="29" t="inlineStr">
        <is>
          <t>Maestranza Boğa Arenası'nın kemerli üst galerisi ve kiremit çatısı.</t>
        </is>
      </c>
      <c r="H211" s="29" t="inlineStr">
        <is>
          <t>Harvey Barrison from Massapequa, NY, USA</t>
        </is>
      </c>
      <c r="I211" s="29" t="inlineStr">
        <is>
          <t>CC BY-SA 2.0</t>
        </is>
      </c>
      <c r="J211" s="29" t="inlineStr">
        <is>
          <t>https://creativecommons.org/licenses/by-sa/2.0/</t>
        </is>
      </c>
      <c r="K211" s="29" t="inlineStr">
        <is>
          <t>https://commons.wikimedia.org/wiki/File:Sevilla_2015_10_18_1524_(24438025006).jpg</t>
        </is>
      </c>
      <c r="L211" s="49" t="n"/>
      <c r="M211" s="49" t="n">
        <v>46320</v>
      </c>
      <c r="N211" s="29" t="inlineStr">
        <is>
          <t>Wikimedia Commons'taki "Sevilla 2015 10 18 1524 (24438025006).jpg" (7360×4912 px) özgün dosyasının 1280×854 px küçültülmüş kopyası indirildi; kırpma, rötuş ve renk düzeltmesi yapılmadı. Teslim dosyası: sevilla_plaza-de-toros-de-la-maestranza_03.jpg (SHA-256 2a5b8b1fa941).</t>
        </is>
      </c>
      <c r="O211" s="29" t="inlineStr">
        <is>
          <t>sevilla:evidence:plaza-de-toros-de-la-maestranza-03</t>
        </is>
      </c>
      <c r="P211" s="29" t="inlineStr">
        <is>
          <t>Evet</t>
        </is>
      </c>
      <c r="Q211" s="51" t="n">
        <v>3</v>
      </c>
      <c r="R211" s="29" t="inlineStr">
        <is>
          <t>Taslak</t>
        </is>
      </c>
      <c r="S211" s="52">
        <f>IF(OR(A211="",F211="",C211&lt;&gt;"Mekân"),0,IF(COUNTIFS($F$8:F211,F211,$C$8:C211,"Mekân")=1,1,0))</f>
        <v/>
      </c>
      <c r="T211" s="52">
        <f>IF(OR(A211="",F211="",C211&lt;&gt;"Kapak"),0,IF(COUNTIFS($F$8:F211,F211,$C$8:C211,"Kapak")=1,1,0))</f>
        <v/>
      </c>
    </row>
    <row r="212" ht="54" customHeight="1">
      <c r="A212" s="29" t="inlineStr">
        <is>
          <t>sevilla:photo:jardines-de-murillo-03</t>
        </is>
      </c>
      <c r="B212" s="29" t="inlineStr">
        <is>
          <t>sevilla</t>
        </is>
      </c>
      <c r="C212" s="29" t="inlineStr">
        <is>
          <t>Mekân</t>
        </is>
      </c>
      <c r="D212" s="29" t="inlineStr">
        <is>
          <t>sevilla:jardines-de-murillo</t>
        </is>
      </c>
      <c r="E212" s="29" t="inlineStr">
        <is>
          <t>Fotoğraflar/sevilla_jardines-de-murillo_03.jpg</t>
        </is>
      </c>
      <c r="F212" s="29" t="inlineStr">
        <is>
          <t>04daff7bf050e2e0c7c0967cf0248b688e8db42f205679f46b60f388bf36ff3e</t>
        </is>
      </c>
      <c r="G212" s="29" t="inlineStr">
        <is>
          <t>Murillo Bahçeleri'nde iri bir ağacın dibinde çinili bank.</t>
        </is>
      </c>
      <c r="H212" s="29" t="inlineStr">
        <is>
          <t>Roberto Chamoso G</t>
        </is>
      </c>
      <c r="I212" s="29" t="inlineStr">
        <is>
          <t>CC BY-SA 3.0 es</t>
        </is>
      </c>
      <c r="J212" s="29" t="inlineStr">
        <is>
          <t>https://creativecommons.org/licenses/by-sa/3.0/es/deed.en/</t>
        </is>
      </c>
      <c r="K212" s="29" t="inlineStr">
        <is>
          <t>https://commons.wikimedia.org/wiki/File:Banco_en_Jardines_Murillo._Sevilla..JPG</t>
        </is>
      </c>
      <c r="L212" s="49" t="n">
        <v>40767</v>
      </c>
      <c r="M212" s="49" t="n">
        <v>46320</v>
      </c>
      <c r="N212" s="29" t="inlineStr">
        <is>
          <t>Wikimedia Commons'taki "Banco en Jardines Murillo. Sevilla..JPG" (3612×2686 px) özgün dosyasının 1280×952 px küçültülmüş kopyası indirildi; kırpma, rötuş ve renk düzeltmesi yapılmadı. Teslim dosyası: sevilla_jardines-de-murillo_03.jpg (SHA-256 04daff7bf050).</t>
        </is>
      </c>
      <c r="O212" s="29" t="inlineStr">
        <is>
          <t>sevilla:evidence:jardines-de-murillo-03</t>
        </is>
      </c>
      <c r="P212" s="29" t="inlineStr">
        <is>
          <t>Evet</t>
        </is>
      </c>
      <c r="Q212" s="51" t="n">
        <v>3</v>
      </c>
      <c r="R212" s="29" t="inlineStr">
        <is>
          <t>Taslak</t>
        </is>
      </c>
      <c r="S212" s="52">
        <f>IF(OR(A212="",F212="",C212&lt;&gt;"Mekân"),0,IF(COUNTIFS($F$8:F212,F212,$C$8:C212,"Mekân")=1,1,0))</f>
        <v/>
      </c>
      <c r="T212" s="52">
        <f>IF(OR(A212="",F212="",C212&lt;&gt;"Kapak"),0,IF(COUNTIFS($F$8:F212,F212,$C$8:C212,"Kapak")=1,1,0))</f>
        <v/>
      </c>
    </row>
    <row r="213" ht="54" customHeight="1">
      <c r="A213" s="29" t="inlineStr">
        <is>
          <t>sevilla:photo:museo-de-bellas-artes-de-sevilla-03</t>
        </is>
      </c>
      <c r="B213" s="29" t="inlineStr">
        <is>
          <t>sevilla</t>
        </is>
      </c>
      <c r="C213" s="29" t="inlineStr">
        <is>
          <t>Mekân</t>
        </is>
      </c>
      <c r="D213" s="29" t="inlineStr">
        <is>
          <t>sevilla:museo-de-bellas-artes-de-sevilla</t>
        </is>
      </c>
      <c r="E213" s="29" t="inlineStr">
        <is>
          <t>Fotoğraflar/sevilla_museo-de-bellas-artes-de-sevilla_03.jpg</t>
        </is>
      </c>
      <c r="F213" s="29" t="inlineStr">
        <is>
          <t>0c114efc77fb01b4f56d201c6765f26da6e8df389e764ea7ba94177abb2cbfad</t>
        </is>
      </c>
      <c r="G213" s="29" t="inlineStr">
        <is>
          <t>Güzel Sanatlar Müzesi'nin kemerli galerili su sarnıcı avlusu.</t>
        </is>
      </c>
      <c r="H213" s="29" t="inlineStr">
        <is>
          <t>José Luis Filpo Cabana</t>
        </is>
      </c>
      <c r="I213" s="29" t="inlineStr">
        <is>
          <t>CC BY 3.0</t>
        </is>
      </c>
      <c r="J213" s="29" t="inlineStr">
        <is>
          <t>https://creativecommons.org/licenses/by/3.0/</t>
        </is>
      </c>
      <c r="K213" s="29" t="inlineStr">
        <is>
          <t>https://commons.wikimedia.org/wiki/File:Patio_del_Aljibe,_Museo_de_Bellas_Artes_de_Sevilla.jpg</t>
        </is>
      </c>
      <c r="L213" s="49" t="n"/>
      <c r="M213" s="49" t="n">
        <v>46320</v>
      </c>
      <c r="N213" s="29" t="inlineStr">
        <is>
          <t>Wikimedia Commons'taki "Patio del Aljibe, Museo de Bellas Artes de Sevilla.jpg" (2736×3648 px) özgün dosyasının 1280×1707 px küçültülmüş kopyası indirildi; kırpma, rötuş ve renk düzeltmesi yapılmadı. Teslim dosyası: sevilla_museo-de-bellas-artes-de-sevilla_03.jpg (SHA-256 0c114efc77fb).</t>
        </is>
      </c>
      <c r="O213" s="29" t="inlineStr">
        <is>
          <t>sevilla:evidence:museo-de-bellas-artes-de-sevilla-03</t>
        </is>
      </c>
      <c r="P213" s="29" t="inlineStr">
        <is>
          <t>Evet</t>
        </is>
      </c>
      <c r="Q213" s="51" t="n">
        <v>3</v>
      </c>
      <c r="R213" s="29" t="inlineStr">
        <is>
          <t>Taslak</t>
        </is>
      </c>
      <c r="S213" s="52">
        <f>IF(OR(A213="",F213="",C213&lt;&gt;"Mekân"),0,IF(COUNTIFS($F$8:F213,F213,$C$8:C213,"Mekân")=1,1,0))</f>
        <v/>
      </c>
      <c r="T213" s="52">
        <f>IF(OR(A213="",F213="",C213&lt;&gt;"Kapak"),0,IF(COUNTIFS($F$8:F213,F213,$C$8:C213,"Kapak")=1,1,0))</f>
        <v/>
      </c>
    </row>
    <row r="214" ht="54" customHeight="1">
      <c r="A214" s="29" t="inlineStr">
        <is>
          <t>sevilla:photo:museo-de-artes-y-costumbres-populares-02</t>
        </is>
      </c>
      <c r="B214" s="29" t="inlineStr">
        <is>
          <t>sevilla</t>
        </is>
      </c>
      <c r="C214" s="29" t="inlineStr">
        <is>
          <t>Mekân</t>
        </is>
      </c>
      <c r="D214" s="29" t="inlineStr">
        <is>
          <t>sevilla:museo-de-artes-y-costumbres-populares</t>
        </is>
      </c>
      <c r="E214" s="29" t="inlineStr">
        <is>
          <t>Fotoğraflar/sevilla_museo-de-artes-y-costumbres-populares_02.jpg</t>
        </is>
      </c>
      <c r="F214" s="29" t="inlineStr">
        <is>
          <t>c30687a3655d27f8d8629c45aea2f08fd794c6bb532d5f9ae3f449d2f862fbdf</t>
        </is>
      </c>
      <c r="G214" s="29" t="inlineStr">
        <is>
          <t>Halk Sanatları Müzesi'nin bulunduğu Mudéjar köşkün tuğla ve çini cephesi.</t>
        </is>
      </c>
      <c r="H214" s="29" t="inlineStr">
        <is>
          <t>Alberto-g-rovi</t>
        </is>
      </c>
      <c r="I214" s="29" t="inlineStr">
        <is>
          <t>CC BY 4.0</t>
        </is>
      </c>
      <c r="J214" s="29" t="inlineStr">
        <is>
          <t>https://creativecommons.org/licenses/by/4.0/</t>
        </is>
      </c>
      <c r="K214" s="29" t="inlineStr">
        <is>
          <t>https://commons.wikimedia.org/wiki/File:Museo_de_Artes_y_Costumbres_Populares_de_Sevilla_(2).jpg</t>
        </is>
      </c>
      <c r="L214" s="49" t="n">
        <v>45918</v>
      </c>
      <c r="M214" s="49" t="n">
        <v>46320</v>
      </c>
      <c r="N214" s="29" t="inlineStr">
        <is>
          <t>Wikimedia Commons'taki "Museo de Artes y Costumbres Populares de Sevilla (2).jpg" (4695×6875 px) özgün dosyasının 1280×1874 px küçültülmüş kopyası indirildi; kırpma, rötuş ve renk düzeltmesi yapılmadı. Teslim dosyası: sevilla_museo-de-artes-y-costumbres-populares_02.jpg (SHA-256 c30687a3655d).</t>
        </is>
      </c>
      <c r="O214" s="29" t="inlineStr">
        <is>
          <t>sevilla:evidence:museo-de-artes-y-costumbres-populares-02</t>
        </is>
      </c>
      <c r="P214" s="29" t="inlineStr">
        <is>
          <t>Evet</t>
        </is>
      </c>
      <c r="Q214" s="51" t="n">
        <v>2</v>
      </c>
      <c r="R214" s="29" t="inlineStr">
        <is>
          <t>Taslak</t>
        </is>
      </c>
      <c r="S214" s="52">
        <f>IF(OR(A214="",F214="",C214&lt;&gt;"Mekân"),0,IF(COUNTIFS($F$8:F214,F214,$C$8:C214,"Mekân")=1,1,0))</f>
        <v/>
      </c>
      <c r="T214" s="52">
        <f>IF(OR(A214="",F214="",C214&lt;&gt;"Kapak"),0,IF(COUNTIFS($F$8:F214,F214,$C$8:C214,"Kapak")=1,1,0))</f>
        <v/>
      </c>
    </row>
    <row r="215" ht="54" customHeight="1">
      <c r="A215" s="29" t="inlineStr">
        <is>
          <t>sevilla:photo:museo-de-artes-y-costumbres-populares-03</t>
        </is>
      </c>
      <c r="B215" s="29" t="inlineStr">
        <is>
          <t>sevilla</t>
        </is>
      </c>
      <c r="C215" s="29" t="inlineStr">
        <is>
          <t>Mekân</t>
        </is>
      </c>
      <c r="D215" s="29" t="inlineStr">
        <is>
          <t>sevilla:museo-de-artes-y-costumbres-populares</t>
        </is>
      </c>
      <c r="E215" s="29" t="inlineStr">
        <is>
          <t>Fotoğraflar/sevilla_museo-de-artes-y-costumbres-populares_03.jpg</t>
        </is>
      </c>
      <c r="F215" s="29" t="inlineStr">
        <is>
          <t>08aa2fb4332c127395ce169c74ec0e46759c224f31dd9bacbbe098b342b17057</t>
        </is>
      </c>
      <c r="G215" s="29" t="inlineStr">
        <is>
          <t>María Luisa Parkı'ndaki Mudéjar Köşkü, Halk Sanatları ve Gelenekleri Müzesi'nin binası.</t>
        </is>
      </c>
      <c r="H215" s="29" t="inlineStr">
        <is>
          <t>Emilio J. Rodríguez Posada</t>
        </is>
      </c>
      <c r="I215" s="29" t="inlineStr">
        <is>
          <t>CC BY-SA 2.0</t>
        </is>
      </c>
      <c r="J215" s="29" t="inlineStr">
        <is>
          <t>https://creativecommons.org/licenses/by-sa/2.0/</t>
        </is>
      </c>
      <c r="K215" s="29" t="inlineStr">
        <is>
          <t>https://commons.wikimedia.org/wiki/File:Museo_de_Artes_y_Costumbres_Populares_de_Sevilla_(9920920043).jpg</t>
        </is>
      </c>
      <c r="L215" s="49" t="n">
        <v>41541</v>
      </c>
      <c r="M215" s="49" t="n">
        <v>46320</v>
      </c>
      <c r="N215" s="29" t="inlineStr">
        <is>
          <t>Wikimedia Commons'taki "Museo de Artes y Costumbres Populares de Sevilla (9920920043).jpg" (4491×2991 px) özgün dosyasının 1280×852 px küçültülmüş kopyası indirildi; kırpma, rötuş ve renk düzeltmesi yapılmadı. Teslim dosyası: sevilla_museo-de-artes-y-costumbres-populares_03.jpg (SHA-256 08aa2fb4332c).</t>
        </is>
      </c>
      <c r="O215" s="29" t="inlineStr">
        <is>
          <t>sevilla:evidence:museo-de-artes-y-costumbres-populares-03</t>
        </is>
      </c>
      <c r="P215" s="29" t="inlineStr">
        <is>
          <t>Evet</t>
        </is>
      </c>
      <c r="Q215" s="51" t="n">
        <v>3</v>
      </c>
      <c r="R215" s="29" t="inlineStr">
        <is>
          <t>Taslak</t>
        </is>
      </c>
      <c r="S215" s="52">
        <f>IF(OR(A215="",F215="",C215&lt;&gt;"Mekân"),0,IF(COUNTIFS($F$8:F215,F215,$C$8:C215,"Mekân")=1,1,0))</f>
        <v/>
      </c>
      <c r="T215" s="52">
        <f>IF(OR(A215="",F215="",C215&lt;&gt;"Kapak"),0,IF(COUNTIFS($F$8:F215,F215,$C$8:C215,"Kapak")=1,1,0))</f>
        <v/>
      </c>
    </row>
    <row r="216" ht="54" customHeight="1">
      <c r="A216" s="29" t="inlineStr">
        <is>
          <t>sevilla:photo:museo-del-baile-flamenco-03</t>
        </is>
      </c>
      <c r="B216" s="29" t="inlineStr">
        <is>
          <t>sevilla</t>
        </is>
      </c>
      <c r="C216" s="29" t="inlineStr">
        <is>
          <t>Mekân</t>
        </is>
      </c>
      <c r="D216" s="29" t="inlineStr">
        <is>
          <t>sevilla:museo-del-baile-flamenco</t>
        </is>
      </c>
      <c r="E216" s="29" t="inlineStr">
        <is>
          <t>Fotoğraflar/sevilla_museo-del-baile-flamenco_03.jpg</t>
        </is>
      </c>
      <c r="F216" s="29" t="inlineStr">
        <is>
          <t>59a63437a5305732ace224189642602bc13512cfe55ca7f666728a357de955e3</t>
        </is>
      </c>
      <c r="G216" s="29" t="inlineStr">
        <is>
          <t>Flamenko Dansı Müzesi'nin avlusunda kırmızı kostümlü dansçıların gösterisi.</t>
        </is>
      </c>
      <c r="H216" s="29" t="inlineStr">
        <is>
          <t>Sefaradia</t>
        </is>
      </c>
      <c r="I216" s="29" t="inlineStr">
        <is>
          <t>CC BY-SA 4.0</t>
        </is>
      </c>
      <c r="J216" s="29" t="inlineStr">
        <is>
          <t>https://creativecommons.org/licenses/by-sa/4.0/</t>
        </is>
      </c>
      <c r="K216" s="29" t="inlineStr">
        <is>
          <t>https://commons.wikimedia.org/wiki/File:Espect%C3%A1culo_Sue%C3%B1os_Flamencos.jpg</t>
        </is>
      </c>
      <c r="L216" s="49" t="n">
        <v>44481</v>
      </c>
      <c r="M216" s="49" t="n">
        <v>46320</v>
      </c>
      <c r="N216" s="29" t="inlineStr">
        <is>
          <t>Wikimedia Commons'taki "Espectáculo Sueños Flamencos.jpg" (3576×2616 px) özgün dosyasının 1280×936 px küçültülmüş kopyası indirildi; kırpma, rötuş ve renk düzeltmesi yapılmadı. Teslim dosyası: sevilla_museo-del-baile-flamenco_03.jpg (SHA-256 59a63437a530).</t>
        </is>
      </c>
      <c r="O216" s="29" t="inlineStr">
        <is>
          <t>sevilla:evidence:museo-del-baile-flamenco-03</t>
        </is>
      </c>
      <c r="P216" s="29" t="inlineStr">
        <is>
          <t>Evet</t>
        </is>
      </c>
      <c r="Q216" s="51" t="n">
        <v>3</v>
      </c>
      <c r="R216" s="29" t="inlineStr">
        <is>
          <t>Taslak</t>
        </is>
      </c>
      <c r="S216" s="52">
        <f>IF(OR(A216="",F216="",C216&lt;&gt;"Mekân"),0,IF(COUNTIFS($F$8:F216,F216,$C$8:C216,"Mekân")=1,1,0))</f>
        <v/>
      </c>
      <c r="T216" s="52">
        <f>IF(OR(A216="",F216="",C216&lt;&gt;"Kapak"),0,IF(COUNTIFS($F$8:F216,F216,$C$8:C216,"Kapak")=1,1,0))</f>
        <v/>
      </c>
    </row>
    <row r="217" ht="54" customHeight="1">
      <c r="A217" s="29" t="inlineStr">
        <is>
          <t>sevilla:photo:museo-taurino-real-maestranza-02</t>
        </is>
      </c>
      <c r="B217" s="29" t="inlineStr">
        <is>
          <t>sevilla</t>
        </is>
      </c>
      <c r="C217" s="29" t="inlineStr">
        <is>
          <t>Mekân</t>
        </is>
      </c>
      <c r="D217" s="29" t="inlineStr">
        <is>
          <t>sevilla:museo-taurino-real-maestranza</t>
        </is>
      </c>
      <c r="E217" s="29" t="inlineStr">
        <is>
          <t>Fotoğraflar/sevilla_museo-taurino-real-maestranza_02.jpg</t>
        </is>
      </c>
      <c r="F217" s="29" t="inlineStr">
        <is>
          <t>735ba3a49362fd396b282adb8f3360fe702af8bdb27d6aa086ae74bf57fd3cb5</t>
        </is>
      </c>
      <c r="G217" s="29" t="inlineStr">
        <is>
          <t>Boğa Güreşi Müzesi'nde bayraklarla süslü tuğla kemerli geçit.</t>
        </is>
      </c>
      <c r="H217" s="29" t="inlineStr">
        <is>
          <t>CarlosVdeHabsburgo</t>
        </is>
      </c>
      <c r="I217" s="29" t="inlineStr">
        <is>
          <t>CC BY-SA 4.0</t>
        </is>
      </c>
      <c r="J217" s="29" t="inlineStr">
        <is>
          <t>https://creativecommons.org/licenses/by-sa/4.0/</t>
        </is>
      </c>
      <c r="K217" s="29" t="inlineStr">
        <is>
          <t>https://commons.wikimedia.org/wiki/File:Escudo_(Museo_Taurino).jpg</t>
        </is>
      </c>
      <c r="L217" s="49" t="n">
        <v>43024</v>
      </c>
      <c r="M217" s="49" t="n">
        <v>46320</v>
      </c>
      <c r="N217" s="29" t="inlineStr">
        <is>
          <t>Wikimedia Commons'taki "Escudo (Museo Taurino).jpg" (4320×3240 px) özgün dosyasının 1280×960 px küçültülmüş kopyası indirildi; kırpma, rötuş ve renk düzeltmesi yapılmadı. Teslim dosyası: sevilla_museo-taurino-real-maestranza_02.jpg (SHA-256 735ba3a49362).</t>
        </is>
      </c>
      <c r="O217" s="29" t="inlineStr">
        <is>
          <t>sevilla:evidence:museo-taurino-real-maestranza-02</t>
        </is>
      </c>
      <c r="P217" s="29" t="inlineStr">
        <is>
          <t>Evet</t>
        </is>
      </c>
      <c r="Q217" s="51" t="n">
        <v>2</v>
      </c>
      <c r="R217" s="29" t="inlineStr">
        <is>
          <t>Taslak</t>
        </is>
      </c>
      <c r="S217" s="52">
        <f>IF(OR(A217="",F217="",C217&lt;&gt;"Mekân"),0,IF(COUNTIFS($F$8:F217,F217,$C$8:C217,"Mekân")=1,1,0))</f>
        <v/>
      </c>
      <c r="T217" s="52">
        <f>IF(OR(A217="",F217="",C217&lt;&gt;"Kapak"),0,IF(COUNTIFS($F$8:F217,F217,$C$8:C217,"Kapak")=1,1,0))</f>
        <v/>
      </c>
    </row>
    <row r="218" ht="54" customHeight="1">
      <c r="A218" s="29" t="inlineStr">
        <is>
          <t>sevilla:photo:museo-maritimo-torre-del-oro-03</t>
        </is>
      </c>
      <c r="B218" s="29" t="inlineStr">
        <is>
          <t>sevilla</t>
        </is>
      </c>
      <c r="C218" s="29" t="inlineStr">
        <is>
          <t>Mekân</t>
        </is>
      </c>
      <c r="D218" s="29" t="inlineStr">
        <is>
          <t>sevilla:museo-maritimo-torre-del-oro</t>
        </is>
      </c>
      <c r="E218" s="29" t="inlineStr">
        <is>
          <t>Fotoğraflar/sevilla_museo-maritimo-torre-del-oro_03.jpg</t>
        </is>
      </c>
      <c r="F218" s="29" t="inlineStr">
        <is>
          <t>f9c5f6ada5fc41e846363baeaa283ff4fb1f198a7a2b3cb8fb474661ec8a64ff</t>
        </is>
      </c>
      <c r="G218" s="29" t="inlineStr">
        <is>
          <t>Palmiyeler arasında Torre del Oro'nun on iki köşeli taş gövdesi.</t>
        </is>
      </c>
      <c r="H218" s="29" t="inlineStr">
        <is>
          <t>No machine-readable author provided. Morinpat assumed (based on copyright claims).</t>
        </is>
      </c>
      <c r="I218" s="29" t="inlineStr">
        <is>
          <t>CC BY 2.5</t>
        </is>
      </c>
      <c r="J218" s="29" t="inlineStr">
        <is>
          <t>https://creativecommons.org/licenses/by/2.5/</t>
        </is>
      </c>
      <c r="K218" s="29" t="inlineStr">
        <is>
          <t>https://commons.wikimedia.org/wiki/File:Sevilla_Torre_del_oro.JPG</t>
        </is>
      </c>
      <c r="L218" s="49" t="n"/>
      <c r="M218" s="49" t="n">
        <v>46320</v>
      </c>
      <c r="N218" s="29" t="inlineStr">
        <is>
          <t>Wikimedia Commons'taki "Sevilla Torre del oro.JPG" (1728×2304 px) özgün dosyasının 1280×1707 px küçültülmüş kopyası indirildi; kırpma, rötuş ve renk düzeltmesi yapılmadı. Teslim dosyası: sevilla_museo-maritimo-torre-del-oro_03.jpg (SHA-256 f9c5f6ada5fc).</t>
        </is>
      </c>
      <c r="O218" s="29" t="inlineStr">
        <is>
          <t>sevilla:evidence:museo-maritimo-torre-del-oro-03</t>
        </is>
      </c>
      <c r="P218" s="29" t="inlineStr">
        <is>
          <t>Evet</t>
        </is>
      </c>
      <c r="Q218" s="51" t="n">
        <v>3</v>
      </c>
      <c r="R218" s="29" t="inlineStr">
        <is>
          <t>Taslak</t>
        </is>
      </c>
      <c r="S218" s="52">
        <f>IF(OR(A218="",F218="",C218&lt;&gt;"Mekân"),0,IF(COUNTIFS($F$8:F218,F218,$C$8:C218,"Mekân")=1,1,0))</f>
        <v/>
      </c>
      <c r="T218" s="52">
        <f>IF(OR(A218="",F218="",C218&lt;&gt;"Kapak"),0,IF(COUNTIFS($F$8:F218,F218,$C$8:C218,"Kapak")=1,1,0))</f>
        <v/>
      </c>
    </row>
    <row r="219" ht="54" customHeight="1">
      <c r="A219" s="29" t="inlineStr">
        <is>
          <t>sevilla:photo:caac-centro-andaluz-arte-contemporaneo-03</t>
        </is>
      </c>
      <c r="B219" s="29" t="inlineStr">
        <is>
          <t>sevilla</t>
        </is>
      </c>
      <c r="C219" s="29" t="inlineStr">
        <is>
          <t>Mekân</t>
        </is>
      </c>
      <c r="D219" s="29" t="inlineStr">
        <is>
          <t>sevilla:caac-centro-andaluz-arte-contemporaneo</t>
        </is>
      </c>
      <c r="E219" s="29" t="inlineStr">
        <is>
          <t>Fotoğraflar/sevilla_caac-centro-andaluz-arte-contemporaneo_03.jpg</t>
        </is>
      </c>
      <c r="F219" s="29" t="inlineStr">
        <is>
          <t>8a57cdd85c07fd277cf32b047d3d29183d853e100308795a51dfd993be67d96e</t>
        </is>
      </c>
      <c r="G219" s="29" t="inlineStr">
        <is>
          <t>Endülüs Çağdaş Sanat Merkezi'nin bayraklı kemerli girişi.</t>
        </is>
      </c>
      <c r="H219" s="29" t="inlineStr">
        <is>
          <t>Zarateman</t>
        </is>
      </c>
      <c r="I219" s="29" t="inlineStr">
        <is>
          <t>CC0 1.0</t>
        </is>
      </c>
      <c r="J219" s="29" t="inlineStr">
        <is>
          <t>https://creativecommons.org/publicdomain/zero/1.0/</t>
        </is>
      </c>
      <c r="K219" s="29" t="inlineStr">
        <is>
          <t>https://commons.wikimedia.org/wiki/File:Sevilla_-_Centro_Andaluz_de_Arte_Contempor%C3%A1neo_(Cartuja_de_Santa_Mar%C3%ADa_de_las_Cuevas)_05.jpg</t>
        </is>
      </c>
      <c r="L219" s="49" t="n">
        <v>45712</v>
      </c>
      <c r="M219" s="49" t="n">
        <v>46320</v>
      </c>
      <c r="N219" s="29" t="inlineStr">
        <is>
          <t>Wikimedia Commons'taki "Sevilla - Centro Andaluz de Arte Contemporáneo (Cartuja de Santa María de las Cuevas) 05.j" (1536×2048 px) özgün dosyasının 1280×1707 px küçültülmüş kopyası indirildi; kırpma, rötuş ve renk düzeltmesi yapılmadı. Teslim dosyası: sevilla_caac-centro-andaluz-arte-contemporaneo_03.jpg (SHA-256 8a57cdd85c07).</t>
        </is>
      </c>
      <c r="O219" s="29" t="inlineStr">
        <is>
          <t>sevilla:evidence:caac-centro-andaluz-arte-contemporaneo-03</t>
        </is>
      </c>
      <c r="P219" s="29" t="inlineStr">
        <is>
          <t>Evet</t>
        </is>
      </c>
      <c r="Q219" s="51" t="n">
        <v>3</v>
      </c>
      <c r="R219" s="29" t="inlineStr">
        <is>
          <t>Taslak</t>
        </is>
      </c>
      <c r="S219" s="52">
        <f>IF(OR(A219="",F219="",C219&lt;&gt;"Mekân"),0,IF(COUNTIFS($F$8:F219,F219,$C$8:C219,"Mekân")=1,1,0))</f>
        <v/>
      </c>
      <c r="T219" s="52">
        <f>IF(OR(A219="",F219="",C219&lt;&gt;"Kapak"),0,IF(COUNTIFS($F$8:F219,F219,$C$8:C219,"Kapak")=1,1,0))</f>
        <v/>
      </c>
    </row>
    <row r="220" ht="54" customHeight="1">
      <c r="A220" s="29" t="inlineStr">
        <is>
          <t>sevilla:photo:real-academia-bellas-artes-sevilla-02</t>
        </is>
      </c>
      <c r="B220" s="29" t="inlineStr">
        <is>
          <t>sevilla</t>
        </is>
      </c>
      <c r="C220" s="29" t="inlineStr">
        <is>
          <t>Mekân</t>
        </is>
      </c>
      <c r="D220" s="29" t="inlineStr">
        <is>
          <t>sevilla:real-academia-bellas-artes-sevilla</t>
        </is>
      </c>
      <c r="E220" s="29" t="inlineStr">
        <is>
          <t>Fotoğraflar/sevilla_real-academia-bellas-artes-sevilla_02.jpg</t>
        </is>
      </c>
      <c r="F220" s="29" t="inlineStr">
        <is>
          <t>970b978e843e21e486346177a99f2a5d8dbde9707fec20d364236d58f14d2515</t>
        </is>
      </c>
      <c r="G220" s="29" t="inlineStr">
        <is>
          <t>Kraliyet Güzel Sanatlar Akademisi'nin bulunduğu Casa de los Pinelo'nun kemerli iç avlusu.</t>
        </is>
      </c>
      <c r="H220" s="29" t="inlineStr">
        <is>
          <t>José Luis Filpo Cabana</t>
        </is>
      </c>
      <c r="I220" s="29" t="inlineStr">
        <is>
          <t>CC BY 3.0</t>
        </is>
      </c>
      <c r="J220" s="29" t="inlineStr">
        <is>
          <t>https://creativecommons.org/licenses/by/3.0/</t>
        </is>
      </c>
      <c r="K220" s="29" t="inlineStr">
        <is>
          <t>https://commons.wikimedia.org/wiki/File:Renacimiento_en_Sevilla,_Casa_de_los_Pinelo.jpg</t>
        </is>
      </c>
      <c r="L220" s="49" t="n"/>
      <c r="M220" s="49" t="n">
        <v>46320</v>
      </c>
      <c r="N220" s="29" t="inlineStr">
        <is>
          <t>Wikimedia Commons'taki "Renacimiento en Sevilla, Casa de los Pinelo.jpg" (3968×2232 px) özgün dosyasının 1280×720 px küçültülmüş kopyası indirildi; kırpma, rötuş ve renk düzeltmesi yapılmadı. Teslim dosyası: sevilla_real-academia-bellas-artes-sevilla_02.jpg (SHA-256 970b978e843e).</t>
        </is>
      </c>
      <c r="O220" s="29" t="inlineStr">
        <is>
          <t>sevilla:evidence:real-academia-bellas-artes-sevilla-02</t>
        </is>
      </c>
      <c r="P220" s="29" t="inlineStr">
        <is>
          <t>Evet</t>
        </is>
      </c>
      <c r="Q220" s="51" t="n">
        <v>2</v>
      </c>
      <c r="R220" s="29" t="inlineStr">
        <is>
          <t>Taslak</t>
        </is>
      </c>
      <c r="S220" s="52">
        <f>IF(OR(A220="",F220="",C220&lt;&gt;"Mekân"),0,IF(COUNTIFS($F$8:F220,F220,$C$8:C220,"Mekân")=1,1,0))</f>
        <v/>
      </c>
      <c r="T220" s="52">
        <f>IF(OR(A220="",F220="",C220&lt;&gt;"Kapak"),0,IF(COUNTIFS($F$8:F220,F220,$C$8:C220,"Kapak")=1,1,0))</f>
        <v/>
      </c>
    </row>
    <row r="221" ht="54" customHeight="1">
      <c r="A221" s="29" t="inlineStr">
        <is>
          <t>sevilla:photo:real-academia-bellas-artes-sevilla-03</t>
        </is>
      </c>
      <c r="B221" s="29" t="inlineStr">
        <is>
          <t>sevilla</t>
        </is>
      </c>
      <c r="C221" s="29" t="inlineStr">
        <is>
          <t>Mekân</t>
        </is>
      </c>
      <c r="D221" s="29" t="inlineStr">
        <is>
          <t>sevilla:real-academia-bellas-artes-sevilla</t>
        </is>
      </c>
      <c r="E221" s="29" t="inlineStr">
        <is>
          <t>Fotoğraflar/sevilla_real-academia-bellas-artes-sevilla_03.jpg</t>
        </is>
      </c>
      <c r="F221" s="29" t="inlineStr">
        <is>
          <t>cbb6ee11464ab525974681f7b9c7182b4d30502e45053ec649899ceee3d1c69d</t>
        </is>
      </c>
      <c r="G221" s="29" t="inlineStr">
        <is>
          <t>Kraliyet Güzel Sanatlar Akademisi'nde tablolarla çevrili toplantı salonu.</t>
        </is>
      </c>
      <c r="H221" s="29" t="inlineStr">
        <is>
          <t>Jl FilpoC</t>
        </is>
      </c>
      <c r="I221" s="29" t="inlineStr">
        <is>
          <t>CC BY-SA 4.0</t>
        </is>
      </c>
      <c r="J221" s="29" t="inlineStr">
        <is>
          <t>https://creativecommons.org/licenses/by-sa/4.0/</t>
        </is>
      </c>
      <c r="K221" s="29" t="inlineStr">
        <is>
          <t>https://commons.wikimedia.org/wiki/File:Sala_de_Juntas_de_la_Real_Academia_de_Bellas_Artes_de_Santa_Isabel_de_Hungr%C3%ADa,_Sevilla.jpg</t>
        </is>
      </c>
      <c r="L221" s="49" t="n">
        <v>42880</v>
      </c>
      <c r="M221" s="49" t="n">
        <v>46320</v>
      </c>
      <c r="N221" s="29" t="inlineStr">
        <is>
          <t>Wikimedia Commons'taki "Sala de Juntas de la Real Academia de Bellas Artes de Santa Isabel de Hungría, Sevilla.jpg" (4112×3088 px) özgün dosyasının 1280×961 px küçültülmüş kopyası indirildi; kırpma, rötuş ve renk düzeltmesi yapılmadı. Teslim dosyası: sevilla_real-academia-bellas-artes-sevilla_03.jpg (SHA-256 cbb6ee11464a).</t>
        </is>
      </c>
      <c r="O221" s="29" t="inlineStr">
        <is>
          <t>sevilla:evidence:real-academia-bellas-artes-sevilla-03</t>
        </is>
      </c>
      <c r="P221" s="29" t="inlineStr">
        <is>
          <t>Evet</t>
        </is>
      </c>
      <c r="Q221" s="51" t="n">
        <v>3</v>
      </c>
      <c r="R221" s="29" t="inlineStr">
        <is>
          <t>Taslak</t>
        </is>
      </c>
      <c r="S221" s="52">
        <f>IF(OR(A221="",F221="",C221&lt;&gt;"Mekân"),0,IF(COUNTIFS($F$8:F221,F221,$C$8:C221,"Mekân")=1,1,0))</f>
        <v/>
      </c>
      <c r="T221" s="52">
        <f>IF(OR(A221="",F221="",C221&lt;&gt;"Kapak"),0,IF(COUNTIFS($F$8:F221,F221,$C$8:C221,"Kapak")=1,1,0))</f>
        <v/>
      </c>
    </row>
    <row r="222" ht="54" customHeight="1">
      <c r="A222" s="29" t="inlineStr">
        <is>
          <t>sevilla:photo:teatro-de-la-maestranza-03</t>
        </is>
      </c>
      <c r="B222" s="29" t="inlineStr">
        <is>
          <t>sevilla</t>
        </is>
      </c>
      <c r="C222" s="29" t="inlineStr">
        <is>
          <t>Mekân</t>
        </is>
      </c>
      <c r="D222" s="29" t="inlineStr">
        <is>
          <t>sevilla:teatro-de-la-maestranza</t>
        </is>
      </c>
      <c r="E222" s="29" t="inlineStr">
        <is>
          <t>Fotoğraflar/sevilla_teatro-de-la-maestranza_03.jpg</t>
        </is>
      </c>
      <c r="F222" s="29" t="inlineStr">
        <is>
          <t>2c49fd0f5bf78f3d2ec228b212de18079f0b74b3cca31ae07a28cbb9629a8bcb</t>
        </is>
      </c>
      <c r="G222" s="29" t="inlineStr">
        <is>
          <t>Maestranza Tiyatrosu'nun yuvarlak binası ve önündeki ağaçlar.</t>
        </is>
      </c>
      <c r="H222" s="29" t="inlineStr">
        <is>
          <t>Harvey Barrison from Massapequa, NY, USA</t>
        </is>
      </c>
      <c r="I222" s="29" t="inlineStr">
        <is>
          <t>CC BY-SA 2.0</t>
        </is>
      </c>
      <c r="J222" s="29" t="inlineStr">
        <is>
          <t>https://creativecommons.org/licenses/by-sa/2.0/</t>
        </is>
      </c>
      <c r="K222" s="29" t="inlineStr">
        <is>
          <t>https://commons.wikimedia.org/wiki/File:Sevilla_2015_10_18_1519_(24096439679).jpg</t>
        </is>
      </c>
      <c r="L222" s="49" t="n"/>
      <c r="M222" s="49" t="n">
        <v>46320</v>
      </c>
      <c r="N222" s="29" t="inlineStr">
        <is>
          <t>Wikimedia Commons'taki "Sevilla 2015 10 18 1519 (24096439679).jpg" (7360×4912 px) özgün dosyasının 1280×854 px küçültülmüş kopyası indirildi; kırpma, rötuş ve renk düzeltmesi yapılmadı. Teslim dosyası: sevilla_teatro-de-la-maestranza_03.jpg (SHA-256 2c49fd0f5bf7).</t>
        </is>
      </c>
      <c r="O222" s="29" t="inlineStr">
        <is>
          <t>sevilla:evidence:teatro-de-la-maestranza-03</t>
        </is>
      </c>
      <c r="P222" s="29" t="inlineStr">
        <is>
          <t>Evet</t>
        </is>
      </c>
      <c r="Q222" s="51" t="n">
        <v>3</v>
      </c>
      <c r="R222" s="29" t="inlineStr">
        <is>
          <t>Taslak</t>
        </is>
      </c>
      <c r="S222" s="52">
        <f>IF(OR(A222="",F222="",C222&lt;&gt;"Mekân"),0,IF(COUNTIFS($F$8:F222,F222,$C$8:C222,"Mekân")=1,1,0))</f>
        <v/>
      </c>
      <c r="T222" s="52">
        <f>IF(OR(A222="",F222="",C222&lt;&gt;"Kapak"),0,IF(COUNTIFS($F$8:F222,F222,$C$8:C222,"Kapak")=1,1,0))</f>
        <v/>
      </c>
    </row>
    <row r="223" ht="54" customHeight="1">
      <c r="A223" s="29" t="inlineStr">
        <is>
          <t>sevilla:photo:el-patio-sevillano-03</t>
        </is>
      </c>
      <c r="B223" s="29" t="inlineStr">
        <is>
          <t>sevilla</t>
        </is>
      </c>
      <c r="C223" s="29" t="inlineStr">
        <is>
          <t>Mekân</t>
        </is>
      </c>
      <c r="D223" s="29" t="inlineStr">
        <is>
          <t>sevilla:el-patio-sevillano</t>
        </is>
      </c>
      <c r="E223" s="29" t="inlineStr">
        <is>
          <t>Fotoğraflar/sevilla_el-patio-sevillano_03.jpg</t>
        </is>
      </c>
      <c r="F223" s="29" t="inlineStr">
        <is>
          <t>36a9ff6a13c417aeab0ed3db5e4c956752edac67e4c78b31e1386b75f7fc80c6</t>
        </is>
      </c>
      <c r="G223" s="29" t="inlineStr">
        <is>
          <t>El Patio Sevillano'da mavi ışıkta saçaklı şalıyla dans eden flamenko dansçısı.</t>
        </is>
      </c>
      <c r="H223" s="29" t="inlineStr">
        <is>
          <t>Holger Uwe Schmitt</t>
        </is>
      </c>
      <c r="I223" s="29" t="inlineStr">
        <is>
          <t>CC BY-SA 4.0</t>
        </is>
      </c>
      <c r="J223" s="29" t="inlineStr">
        <is>
          <t>https://creativecommons.org/licenses/by-sa/4.0/</t>
        </is>
      </c>
      <c r="K223" s="29" t="inlineStr">
        <is>
          <t>https://commons.wikimedia.org/wiki/File:%22Flamenco_authentisch_und_beeindruckend%22._05.jpg</t>
        </is>
      </c>
      <c r="L223" s="49" t="n">
        <v>45580</v>
      </c>
      <c r="M223" s="49" t="n">
        <v>46320</v>
      </c>
      <c r="N223" s="29" t="inlineStr">
        <is>
          <t>Wikimedia Commons'taki ""Flamenco authentisch und beeindruckend". 05.jpg" (2979×4590 px) özgün dosyasının 1280×1972 px küçültülmüş kopyası indirildi; kırpma, rötuş ve renk düzeltmesi yapılmadı. Teslim dosyası: sevilla_el-patio-sevillano_03.jpg (SHA-256 36a9ff6a13c4).</t>
        </is>
      </c>
      <c r="O223" s="29" t="inlineStr">
        <is>
          <t>sevilla:evidence:el-patio-sevillano-03</t>
        </is>
      </c>
      <c r="P223" s="29" t="inlineStr">
        <is>
          <t>Evet</t>
        </is>
      </c>
      <c r="Q223" s="51" t="n">
        <v>3</v>
      </c>
      <c r="R223" s="29" t="inlineStr">
        <is>
          <t>Taslak</t>
        </is>
      </c>
      <c r="S223" s="52">
        <f>IF(OR(A223="",F223="",C223&lt;&gt;"Mekân"),0,IF(COUNTIFS($F$8:F223,F223,$C$8:C223,"Mekân")=1,1,0))</f>
        <v/>
      </c>
      <c r="T223" s="52">
        <f>IF(OR(A223="",F223="",C223&lt;&gt;"Kapak"),0,IF(COUNTIFS($F$8:F223,F223,$C$8:C223,"Kapak")=1,1,0))</f>
        <v/>
      </c>
    </row>
    <row r="224" ht="54" customHeight="1">
      <c r="A224" s="29" t="inlineStr">
        <is>
          <t>sevilla:photo:cartuja-center-cite-03</t>
        </is>
      </c>
      <c r="B224" s="29" t="inlineStr">
        <is>
          <t>sevilla</t>
        </is>
      </c>
      <c r="C224" s="29" t="inlineStr">
        <is>
          <t>Mekân</t>
        </is>
      </c>
      <c r="D224" s="29" t="inlineStr">
        <is>
          <t>sevilla:cartuja-center-cite</t>
        </is>
      </c>
      <c r="E224" s="29" t="inlineStr">
        <is>
          <t>Fotoğraflar/sevilla_cartuja-center-cite_03.jpg</t>
        </is>
      </c>
      <c r="F224" s="29" t="inlineStr">
        <is>
          <t>b9065b64f280aa9321e401803947af1f549a65776a2fed1d5d5c0794d7450c42</t>
        </is>
      </c>
      <c r="G224" s="29" t="inlineStr">
        <is>
          <t>Cartuja Center CITE'nin gri metal kaplı binası ve tabelası.</t>
        </is>
      </c>
      <c r="H224" s="29" t="inlineStr">
        <is>
          <t>Zarateman</t>
        </is>
      </c>
      <c r="I224" s="29" t="inlineStr">
        <is>
          <t>CC0 1.0</t>
        </is>
      </c>
      <c r="J224" s="29" t="inlineStr">
        <is>
          <t>https://creativecommons.org/publicdomain/zero/1.0/</t>
        </is>
      </c>
      <c r="K224" s="29" t="inlineStr">
        <is>
          <t>https://commons.wikimedia.org/wiki/File:Sevilla_-_PCT_Cartuja,_Cartuja_Center_CITE.jpg</t>
        </is>
      </c>
      <c r="L224" s="49" t="n">
        <v>44899</v>
      </c>
      <c r="M224" s="49" t="n">
        <v>46320</v>
      </c>
      <c r="N224" s="29" t="inlineStr">
        <is>
          <t>Wikimedia Commons'taki "Sevilla - PCT Cartuja, Cartuja Center CITE.jpg" (2046×1498 px) özgün dosyasının 1280×937 px küçültülmüş kopyası indirildi; kırpma, rötuş ve renk düzeltmesi yapılmadı. Teslim dosyası: sevilla_cartuja-center-cite_03.jpg (SHA-256 b9065b64f280).</t>
        </is>
      </c>
      <c r="O224" s="29" t="inlineStr">
        <is>
          <t>sevilla:evidence:cartuja-center-cite-03</t>
        </is>
      </c>
      <c r="P224" s="29" t="inlineStr">
        <is>
          <t>Evet</t>
        </is>
      </c>
      <c r="Q224" s="51" t="n">
        <v>3</v>
      </c>
      <c r="R224" s="29" t="inlineStr">
        <is>
          <t>Taslak</t>
        </is>
      </c>
      <c r="S224" s="52">
        <f>IF(OR(A224="",F224="",C224&lt;&gt;"Mekân"),0,IF(COUNTIFS($F$8:F224,F224,$C$8:C224,"Mekân")=1,1,0))</f>
        <v/>
      </c>
      <c r="T224" s="52">
        <f>IF(OR(A224="",F224="",C224&lt;&gt;"Kapak"),0,IF(COUNTIFS($F$8:F224,F224,$C$8:C224,"Kapak")=1,1,0))</f>
        <v/>
      </c>
    </row>
    <row r="225" ht="54" customHeight="1">
      <c r="A225" s="29" t="inlineStr">
        <is>
          <t>sevilla:photo:auditorio-cartuja-sevilla-02</t>
        </is>
      </c>
      <c r="B225" s="29" t="inlineStr">
        <is>
          <t>sevilla</t>
        </is>
      </c>
      <c r="C225" s="29" t="inlineStr">
        <is>
          <t>Mekân</t>
        </is>
      </c>
      <c r="D225" s="29" t="inlineStr">
        <is>
          <t>sevilla:auditorio-cartuja-sevilla</t>
        </is>
      </c>
      <c r="E225" s="29" t="inlineStr">
        <is>
          <t>Fotoğraflar/sevilla_auditorio-cartuja-sevilla_02.jpg</t>
        </is>
      </c>
      <c r="F225" s="29" t="inlineStr">
        <is>
          <t>30b1db589b012a5f175cfc4149b21af6c135566b647f2101022c3f3710c26114</t>
        </is>
      </c>
      <c r="G225" s="29" t="inlineStr">
        <is>
          <t>Ibercaja Auditorio Cartuja'nın sahnesi ve basamaklı koltuk sıraları.</t>
        </is>
      </c>
      <c r="H225" s="29" t="inlineStr">
        <is>
          <t>Josemi Castro</t>
        </is>
      </c>
      <c r="I225" s="29" t="inlineStr">
        <is>
          <t>CC BY-SA 4.0</t>
        </is>
      </c>
      <c r="J225" s="29" t="inlineStr">
        <is>
          <t>https://creativecommons.org/licenses/by-sa/4.0/</t>
        </is>
      </c>
      <c r="K225" s="29" t="inlineStr">
        <is>
          <t>https://commons.wikimedia.org/wiki/File:Auditorio_Nissan_Cartuja.jpg</t>
        </is>
      </c>
      <c r="L225" s="49" t="n">
        <v>45219</v>
      </c>
      <c r="M225" s="49" t="n">
        <v>46320</v>
      </c>
      <c r="N225" s="29" t="inlineStr">
        <is>
          <t>Wikimedia Commons'taki "Auditorio Nissan Cartuja.jpg" (6100×3978 px) özgün dosyasının 1280×835 px küçültülmüş kopyası indirildi; kırpma, rötuş ve renk düzeltmesi yapılmadı. Teslim dosyası: sevilla_auditorio-cartuja-sevilla_02.jpg (SHA-256 30b1db589b01).</t>
        </is>
      </c>
      <c r="O225" s="29" t="inlineStr">
        <is>
          <t>sevilla:evidence:auditorio-cartuja-sevilla-02</t>
        </is>
      </c>
      <c r="P225" s="29" t="inlineStr">
        <is>
          <t>Evet</t>
        </is>
      </c>
      <c r="Q225" s="51" t="n">
        <v>2</v>
      </c>
      <c r="R225" s="29" t="inlineStr">
        <is>
          <t>Taslak</t>
        </is>
      </c>
      <c r="S225" s="52">
        <f>IF(OR(A225="",F225="",C225&lt;&gt;"Mekân"),0,IF(COUNTIFS($F$8:F225,F225,$C$8:C225,"Mekân")=1,1,0))</f>
        <v/>
      </c>
      <c r="T225" s="52">
        <f>IF(OR(A225="",F225="",C225&lt;&gt;"Kapak"),0,IF(COUNTIFS($F$8:F225,F225,$C$8:C225,"Kapak")=1,1,0))</f>
        <v/>
      </c>
    </row>
    <row r="226" ht="54" customHeight="1">
      <c r="A226" s="29" t="inlineStr">
        <is>
          <t>sevilla:photo:auditorio-cartuja-sevilla-03</t>
        </is>
      </c>
      <c r="B226" s="29" t="inlineStr">
        <is>
          <t>sevilla</t>
        </is>
      </c>
      <c r="C226" s="29" t="inlineStr">
        <is>
          <t>Mekân</t>
        </is>
      </c>
      <c r="D226" s="29" t="inlineStr">
        <is>
          <t>sevilla:auditorio-cartuja-sevilla</t>
        </is>
      </c>
      <c r="E226" s="29" t="inlineStr">
        <is>
          <t>Fotoğraflar/sevilla_auditorio-cartuja-sevilla_03.jpg</t>
        </is>
      </c>
      <c r="F226" s="29" t="inlineStr">
        <is>
          <t>c89dce45d03c2f939ca569e52d6db347fad2df30c4201e9d6aff943034aba87f</t>
        </is>
      </c>
      <c r="G226" s="29" t="inlineStr">
        <is>
          <t>Ibercaja Auditorio Cartuja'nın mor ışıklı salonu ve koltukları.</t>
        </is>
      </c>
      <c r="H226" s="29" t="inlineStr">
        <is>
          <t>Auditorio Nissan Cartuja</t>
        </is>
      </c>
      <c r="I226" s="29" t="inlineStr">
        <is>
          <t>CC BY-SA 4.0</t>
        </is>
      </c>
      <c r="J226" s="29" t="inlineStr">
        <is>
          <t>https://creativecommons.org/licenses/by-sa/4.0/</t>
        </is>
      </c>
      <c r="K226" s="29" t="inlineStr">
        <is>
          <t>https://commons.wikimedia.org/wiki/File:Butacas_Interior_Auditorio.jpg</t>
        </is>
      </c>
      <c r="L226" s="49" t="n">
        <v>45226</v>
      </c>
      <c r="M226" s="49" t="n">
        <v>46320</v>
      </c>
      <c r="N226" s="29" t="inlineStr">
        <is>
          <t>Wikimedia Commons'taki "Butacas Interior Auditorio.jpg" (3024×4032 px) özgün dosyasının 1280×1707 px küçültülmüş kopyası indirildi; kırpma, rötuş ve renk düzeltmesi yapılmadı. Teslim dosyası: sevilla_auditorio-cartuja-sevilla_03.jpg (SHA-256 c89dce45d03c).</t>
        </is>
      </c>
      <c r="O226" s="29" t="inlineStr">
        <is>
          <t>sevilla:evidence:auditorio-cartuja-sevilla-03</t>
        </is>
      </c>
      <c r="P226" s="29" t="inlineStr">
        <is>
          <t>Evet</t>
        </is>
      </c>
      <c r="Q226" s="51" t="n">
        <v>3</v>
      </c>
      <c r="R226" s="29" t="inlineStr">
        <is>
          <t>Taslak</t>
        </is>
      </c>
      <c r="S226" s="52">
        <f>IF(OR(A226="",F226="",C226&lt;&gt;"Mekân"),0,IF(COUNTIFS($F$8:F226,F226,$C$8:C226,"Mekân")=1,1,0))</f>
        <v/>
      </c>
      <c r="T226" s="52">
        <f>IF(OR(A226="",F226="",C226&lt;&gt;"Kapak"),0,IF(COUNTIFS($F$8:F226,F226,$C$8:C226,"Kapak")=1,1,0))</f>
        <v/>
      </c>
    </row>
    <row r="227" ht="54" customHeight="1">
      <c r="A227" s="29" t="inlineStr">
        <is>
          <t>sevilla:photo:mercado-de-triana-03</t>
        </is>
      </c>
      <c r="B227" s="29" t="inlineStr">
        <is>
          <t>sevilla</t>
        </is>
      </c>
      <c r="C227" s="29" t="inlineStr">
        <is>
          <t>Mekân</t>
        </is>
      </c>
      <c r="D227" s="29" t="inlineStr">
        <is>
          <t>sevilla:mercado-de-triana</t>
        </is>
      </c>
      <c r="E227" s="29" t="inlineStr">
        <is>
          <t>Fotoğraflar/sevilla_mercado-de-triana_03.jpg</t>
        </is>
      </c>
      <c r="F227" s="29" t="inlineStr">
        <is>
          <t>6fe4e4aea80bde9fbd84769dc28e9eb20b50f19d9f211d918497850eba3b4f68</t>
        </is>
      </c>
      <c r="G227" s="29" t="inlineStr">
        <is>
          <t>Triana Pazarı'nda meyve ve sebze tezgâhı.</t>
        </is>
      </c>
      <c r="H227" s="29" t="inlineStr">
        <is>
          <t>Alberto-g-rovi</t>
        </is>
      </c>
      <c r="I227" s="29" t="inlineStr">
        <is>
          <t>CC BY 4.0</t>
        </is>
      </c>
      <c r="J227" s="29" t="inlineStr">
        <is>
          <t>https://creativecommons.org/licenses/by/4.0/</t>
        </is>
      </c>
      <c r="K227" s="29" t="inlineStr">
        <is>
          <t>https://commons.wikimedia.org/wiki/File:Mercado_de_Triana_(1).jpg</t>
        </is>
      </c>
      <c r="L227" s="49" t="n">
        <v>45918</v>
      </c>
      <c r="M227" s="49" t="n">
        <v>46320</v>
      </c>
      <c r="N227" s="29" t="inlineStr">
        <is>
          <t>Wikimedia Commons'taki "Mercado de Triana (1).jpg" (7360×4912 px) özgün dosyasının 1280×854 px küçültülmüş kopyası indirildi; kırpma, rötuş ve renk düzeltmesi yapılmadı. Teslim dosyası: sevilla_mercado-de-triana_03.jpg (SHA-256 6fe4e4aea80b).</t>
        </is>
      </c>
      <c r="O227" s="29" t="inlineStr">
        <is>
          <t>sevilla:evidence:mercado-de-triana-03</t>
        </is>
      </c>
      <c r="P227" s="29" t="inlineStr">
        <is>
          <t>Evet</t>
        </is>
      </c>
      <c r="Q227" s="51" t="n">
        <v>3</v>
      </c>
      <c r="R227" s="29" t="inlineStr">
        <is>
          <t>Taslak</t>
        </is>
      </c>
      <c r="S227" s="52">
        <f>IF(OR(A227="",F227="",C227&lt;&gt;"Mekân"),0,IF(COUNTIFS($F$8:F227,F227,$C$8:C227,"Mekân")=1,1,0))</f>
        <v/>
      </c>
      <c r="T227" s="52">
        <f>IF(OR(A227="",F227="",C227&lt;&gt;"Kapak"),0,IF(COUNTIFS($F$8:F227,F227,$C$8:C227,"Kapak")=1,1,0))</f>
        <v/>
      </c>
    </row>
    <row r="228" ht="54" customHeight="1">
      <c r="A228" s="29" t="inlineStr">
        <is>
          <t>sevilla:photo:casa-de-pilatos-03</t>
        </is>
      </c>
      <c r="B228" s="29" t="inlineStr">
        <is>
          <t>sevilla</t>
        </is>
      </c>
      <c r="C228" s="29" t="inlineStr">
        <is>
          <t>Mekân</t>
        </is>
      </c>
      <c r="D228" s="29" t="inlineStr">
        <is>
          <t>sevilla:casa-de-pilatos</t>
        </is>
      </c>
      <c r="E228" s="29" t="inlineStr">
        <is>
          <t>Fotoğraflar/sevilla_casa-de-pilatos_03.jpg</t>
        </is>
      </c>
      <c r="F228" s="29" t="inlineStr">
        <is>
          <t>3788a0500b002d2ee7a006ba2e47057ea702038e398e1135c38d4bd4eddfcafe</t>
        </is>
      </c>
      <c r="G228" s="29" t="inlineStr">
        <is>
          <t>Pilatos Konağı'nda çinili kemerler ve budanmış ağaçlarla avlu.</t>
        </is>
      </c>
      <c r="H228" s="29" t="inlineStr">
        <is>
          <t>Stefano Vigorelli</t>
        </is>
      </c>
      <c r="I228" s="29" t="inlineStr">
        <is>
          <t>CC BY-SA 4.0</t>
        </is>
      </c>
      <c r="J228" s="29" t="inlineStr">
        <is>
          <t>https://creativecommons.org/licenses/by-sa/4.0/</t>
        </is>
      </c>
      <c r="K228" s="29" t="inlineStr">
        <is>
          <t>https://commons.wikimedia.org/wiki/File:Casa_de_Pilatos,_Sevilla_SP(3).jpg</t>
        </is>
      </c>
      <c r="L228" s="49" t="n">
        <v>42413</v>
      </c>
      <c r="M228" s="49" t="n">
        <v>46320</v>
      </c>
      <c r="N228" s="29" t="inlineStr">
        <is>
          <t>Wikimedia Commons'taki "Casa de Pilatos, Sevilla SP(3).jpg" (3008×2000 px) özgün dosyasının 1280×851 px küçültülmüş kopyası indirildi; kırpma, rötuş ve renk düzeltmesi yapılmadı. Teslim dosyası: sevilla_casa-de-pilatos_03.jpg (SHA-256 3788a0500b00).</t>
        </is>
      </c>
      <c r="O228" s="29" t="inlineStr">
        <is>
          <t>sevilla:evidence:casa-de-pilatos-03</t>
        </is>
      </c>
      <c r="P228" s="29" t="inlineStr">
        <is>
          <t>Evet</t>
        </is>
      </c>
      <c r="Q228" s="51" t="n">
        <v>3</v>
      </c>
      <c r="R228" s="29" t="inlineStr">
        <is>
          <t>Taslak</t>
        </is>
      </c>
      <c r="S228" s="52">
        <f>IF(OR(A228="",F228="",C228&lt;&gt;"Mekân"),0,IF(COUNTIFS($F$8:F228,F228,$C$8:C228,"Mekân")=1,1,0))</f>
        <v/>
      </c>
      <c r="T228" s="52">
        <f>IF(OR(A228="",F228="",C228&lt;&gt;"Kapak"),0,IF(COUNTIFS($F$8:F228,F228,$C$8:C228,"Kapak")=1,1,0))</f>
        <v/>
      </c>
    </row>
    <row r="229" ht="54" customHeight="1">
      <c r="A229" s="29" t="inlineStr">
        <is>
          <t>sevilla:photo:real-fabrica-de-artilleria-02</t>
        </is>
      </c>
      <c r="B229" s="29" t="inlineStr">
        <is>
          <t>sevilla</t>
        </is>
      </c>
      <c r="C229" s="29" t="inlineStr">
        <is>
          <t>Mekân</t>
        </is>
      </c>
      <c r="D229" s="29" t="inlineStr">
        <is>
          <t>sevilla:real-fabrica-de-artilleria</t>
        </is>
      </c>
      <c r="E229" s="29" t="inlineStr">
        <is>
          <t>Fotoğraflar/sevilla_real-fabrica-de-artilleria_02.jpg</t>
        </is>
      </c>
      <c r="F229" s="29" t="inlineStr">
        <is>
          <t>1afe7d7a10082b959d8ff0eed0fd6dd07c91e69598d3202a5d92e66ab774b3cc</t>
        </is>
      </c>
      <c r="G229" s="29" t="inlineStr">
        <is>
          <t>Real Fábrica de Artillería'nın saat kuleli barok giriş kapısı.</t>
        </is>
      </c>
      <c r="H229" s="29" t="inlineStr">
        <is>
          <t>CarlosVdeHabsburgo</t>
        </is>
      </c>
      <c r="I229" s="29" t="inlineStr">
        <is>
          <t>CC BY-SA 3.0</t>
        </is>
      </c>
      <c r="J229" s="29" t="inlineStr">
        <is>
          <t>https://creativecommons.org/licenses/by-sa/3.0/</t>
        </is>
      </c>
      <c r="K229" s="29" t="inlineStr">
        <is>
          <t>https://commons.wikimedia.org/wiki/File:Portada_de_la_Real_F%C3%A1brica_de_Artiller%C3%ADa_de_Sevilla.JPG</t>
        </is>
      </c>
      <c r="L229" s="49" t="n"/>
      <c r="M229" s="49" t="n">
        <v>46320</v>
      </c>
      <c r="N229" s="29" t="inlineStr">
        <is>
          <t>Wikimedia Commons'taki "Portada de la Real Fábrica de Artillería de Sevilla.JPG" (2304×3072 px) özgün dosyasının 1280×1707 px küçültülmüş kopyası indirildi; kırpma, rötuş ve renk düzeltmesi yapılmadı. Teslim dosyası: sevilla_real-fabrica-de-artilleria_02.jpg (SHA-256 1afe7d7a1008).</t>
        </is>
      </c>
      <c r="O229" s="29" t="inlineStr">
        <is>
          <t>sevilla:evidence:real-fabrica-de-artilleria-02</t>
        </is>
      </c>
      <c r="P229" s="29" t="inlineStr">
        <is>
          <t>Evet</t>
        </is>
      </c>
      <c r="Q229" s="51" t="n">
        <v>2</v>
      </c>
      <c r="R229" s="29" t="inlineStr">
        <is>
          <t>Taslak</t>
        </is>
      </c>
      <c r="S229" s="52">
        <f>IF(OR(A229="",F229="",C229&lt;&gt;"Mekân"),0,IF(COUNTIFS($F$8:F229,F229,$C$8:C229,"Mekân")=1,1,0))</f>
        <v/>
      </c>
      <c r="T229" s="52">
        <f>IF(OR(A229="",F229="",C229&lt;&gt;"Kapak"),0,IF(COUNTIFS($F$8:F229,F229,$C$8:C229,"Kapak")=1,1,0))</f>
        <v/>
      </c>
    </row>
    <row r="230" ht="54" customHeight="1">
      <c r="A230" s="29" t="inlineStr">
        <is>
          <t>sevilla:photo:real-fabrica-de-artilleria-03</t>
        </is>
      </c>
      <c r="B230" s="29" t="inlineStr">
        <is>
          <t>sevilla</t>
        </is>
      </c>
      <c r="C230" s="29" t="inlineStr">
        <is>
          <t>Mekân</t>
        </is>
      </c>
      <c r="D230" s="29" t="inlineStr">
        <is>
          <t>sevilla:real-fabrica-de-artilleria</t>
        </is>
      </c>
      <c r="E230" s="29" t="inlineStr">
        <is>
          <t>Fotoğraflar/sevilla_real-fabrica-de-artilleria_03.jpg</t>
        </is>
      </c>
      <c r="F230" s="29" t="inlineStr">
        <is>
          <t>62bf21b2cfbfd2ef1b5e97a29f7cd8a6ef5b91f287c056558303e193bb72d4d0</t>
        </is>
      </c>
      <c r="G230" s="29" t="inlineStr">
        <is>
          <t>Real Fábrica de Artillería'nın bayraklı kulesi ve ağaçlar.</t>
        </is>
      </c>
      <c r="H230" s="29" t="inlineStr">
        <is>
          <t>CarlosVdeHabsburgo</t>
        </is>
      </c>
      <c r="I230" s="29" t="inlineStr">
        <is>
          <t>CC BY-SA 3.0</t>
        </is>
      </c>
      <c r="J230" s="29" t="inlineStr">
        <is>
          <t>https://creativecommons.org/licenses/by-sa/3.0/</t>
        </is>
      </c>
      <c r="K230" s="29" t="inlineStr">
        <is>
          <t>https://commons.wikimedia.org/wiki/File:Real_F%C3%A1brica_de_Artiller%C3%ADa_de_Sevilla.jpg</t>
        </is>
      </c>
      <c r="L230" s="49" t="n"/>
      <c r="M230" s="49" t="n">
        <v>46320</v>
      </c>
      <c r="N230" s="29" t="inlineStr">
        <is>
          <t>Wikimedia Commons'taki "Real Fábrica de Artillería de Sevilla.jpg" (2304×2245 px) özgün dosyasının 1280×1247 px küçültülmüş kopyası indirildi; kırpma, rötuş ve renk düzeltmesi yapılmadı. Teslim dosyası: sevilla_real-fabrica-de-artilleria_03.jpg (SHA-256 62bf21b2cfbf).</t>
        </is>
      </c>
      <c r="O230" s="29" t="inlineStr">
        <is>
          <t>sevilla:evidence:real-fabrica-de-artilleria-03</t>
        </is>
      </c>
      <c r="P230" s="29" t="inlineStr">
        <is>
          <t>Evet</t>
        </is>
      </c>
      <c r="Q230" s="51" t="n">
        <v>3</v>
      </c>
      <c r="R230" s="29" t="inlineStr">
        <is>
          <t>Taslak</t>
        </is>
      </c>
      <c r="S230" s="52">
        <f>IF(OR(A230="",F230="",C230&lt;&gt;"Mekân"),0,IF(COUNTIFS($F$8:F230,F230,$C$8:C230,"Mekân")=1,1,0))</f>
        <v/>
      </c>
      <c r="T230" s="52">
        <f>IF(OR(A230="",F230="",C230&lt;&gt;"Kapak"),0,IF(COUNTIFS($F$8:F230,F230,$C$8:C230,"Kapak")=1,1,0))</f>
        <v/>
      </c>
    </row>
    <row r="231" ht="54" customHeight="1">
      <c r="A231" s="29" t="inlineStr">
        <is>
          <t>sevilla:photo:convento-de-santa-paula-03</t>
        </is>
      </c>
      <c r="B231" s="29" t="inlineStr">
        <is>
          <t>sevilla</t>
        </is>
      </c>
      <c r="C231" s="29" t="inlineStr">
        <is>
          <t>Mekân</t>
        </is>
      </c>
      <c r="D231" s="29" t="inlineStr">
        <is>
          <t>sevilla:convento-de-santa-paula</t>
        </is>
      </c>
      <c r="E231" s="29" t="inlineStr">
        <is>
          <t>Fotoğraflar/sevilla_convento-de-santa-paula_03.jpg</t>
        </is>
      </c>
      <c r="F231" s="29" t="inlineStr">
        <is>
          <t>46f46a101f9935bb63cd0acf88c8662eb4301eca117d235a060a6818e3584018</t>
        </is>
      </c>
      <c r="G231" s="29" t="inlineStr">
        <is>
          <t>Santa Paula Manastırı'nın tuğla çan tepeliği.</t>
        </is>
      </c>
      <c r="H231" s="29" t="inlineStr">
        <is>
          <t>José Luis Filpo Cabana</t>
        </is>
      </c>
      <c r="I231" s="29" t="inlineStr">
        <is>
          <t>CC BY 4.0</t>
        </is>
      </c>
      <c r="J231" s="29" t="inlineStr">
        <is>
          <t>https://creativecommons.org/licenses/by/4.0/</t>
        </is>
      </c>
      <c r="K231" s="29" t="inlineStr">
        <is>
          <t>https://commons.wikimedia.org/wiki/File:Convento_de_Santa_Paula,_Sevilla._Espada%C3%B1a.jpg</t>
        </is>
      </c>
      <c r="L231" s="49" t="n"/>
      <c r="M231" s="49" t="n">
        <v>46320</v>
      </c>
      <c r="N231" s="29" t="inlineStr">
        <is>
          <t>Wikimedia Commons'taki "Convento de Santa Paula, Sevilla. Espadaña.jpg" (2601×3468 px) özgün dosyasının 1280×1707 px küçültülmüş kopyası indirildi; kırpma, rötuş ve renk düzeltmesi yapılmadı. Teslim dosyası: sevilla_convento-de-santa-paula_03.jpg (SHA-256 46f46a101f99).</t>
        </is>
      </c>
      <c r="O231" s="29" t="inlineStr">
        <is>
          <t>sevilla:evidence:convento-de-santa-paula-03</t>
        </is>
      </c>
      <c r="P231" s="29" t="inlineStr">
        <is>
          <t>Evet</t>
        </is>
      </c>
      <c r="Q231" s="51" t="n">
        <v>3</v>
      </c>
      <c r="R231" s="29" t="inlineStr">
        <is>
          <t>Taslak</t>
        </is>
      </c>
      <c r="S231" s="52">
        <f>IF(OR(A231="",F231="",C231&lt;&gt;"Mekân"),0,IF(COUNTIFS($F$8:F231,F231,$C$8:C231,"Mekân")=1,1,0))</f>
        <v/>
      </c>
      <c r="T231" s="52">
        <f>IF(OR(A231="",F231="",C231&lt;&gt;"Kapak"),0,IF(COUNTIFS($F$8:F231,F231,$C$8:C231,"Kapak")=1,1,0))</f>
        <v/>
      </c>
    </row>
    <row r="232" ht="54" customHeight="1">
      <c r="A232" s="29" t="inlineStr">
        <is>
          <t>sevilla:photo:iglesia-de-san-roman-03</t>
        </is>
      </c>
      <c r="B232" s="29" t="inlineStr">
        <is>
          <t>sevilla</t>
        </is>
      </c>
      <c r="C232" s="29" t="inlineStr">
        <is>
          <t>Mekân</t>
        </is>
      </c>
      <c r="D232" s="29" t="inlineStr">
        <is>
          <t>sevilla:iglesia-de-san-roman</t>
        </is>
      </c>
      <c r="E232" s="29" t="inlineStr">
        <is>
          <t>Fotoğraflar/sevilla_iglesia-de-san-roman_03.jpg</t>
        </is>
      </c>
      <c r="F232" s="29" t="inlineStr">
        <is>
          <t>22f97620ff0adc92de5923d26ef75d4ef79c5e928cb1104289daef77b599fa3d</t>
        </is>
      </c>
      <c r="G232" s="29" t="inlineStr">
        <is>
          <t>San Román Kilisesi'nin taş cephesi, gül penceresi ve kulesi.</t>
        </is>
      </c>
      <c r="H232" s="29" t="inlineStr">
        <is>
          <t>Anual</t>
        </is>
      </c>
      <c r="I232" s="29" t="inlineStr">
        <is>
          <t>CC BY-SA 4.0</t>
        </is>
      </c>
      <c r="J232" s="29" t="inlineStr">
        <is>
          <t>https://creativecommons.org/licenses/by-sa/4.0/</t>
        </is>
      </c>
      <c r="K232" s="29" t="inlineStr">
        <is>
          <t>https://commons.wikimedia.org/wiki/File:Iglesia_de_san_roman_2018001.jpg</t>
        </is>
      </c>
      <c r="L232" s="49" t="n">
        <v>43189</v>
      </c>
      <c r="M232" s="49" t="n">
        <v>46320</v>
      </c>
      <c r="N232" s="29" t="inlineStr">
        <is>
          <t>Wikimedia Commons'taki "Iglesia de san roman 2018001.jpg" (6000×4000 px) özgün dosyasının 1280×853 px küçültülmüş kopyası indirildi; kırpma, rötuş ve renk düzeltmesi yapılmadı. Teslim dosyası: sevilla_iglesia-de-san-roman_03.jpg (SHA-256 22f97620ff0a).</t>
        </is>
      </c>
      <c r="O232" s="29" t="inlineStr">
        <is>
          <t>sevilla:evidence:iglesia-de-san-roman-03</t>
        </is>
      </c>
      <c r="P232" s="29" t="inlineStr">
        <is>
          <t>Evet</t>
        </is>
      </c>
      <c r="Q232" s="51" t="n">
        <v>3</v>
      </c>
      <c r="R232" s="29" t="inlineStr">
        <is>
          <t>Taslak</t>
        </is>
      </c>
      <c r="S232" s="52">
        <f>IF(OR(A232="",F232="",C232&lt;&gt;"Mekân"),0,IF(COUNTIFS($F$8:F232,F232,$C$8:C232,"Mekân")=1,1,0))</f>
        <v/>
      </c>
      <c r="T232" s="52">
        <f>IF(OR(A232="",F232="",C232&lt;&gt;"Kapak"),0,IF(COUNTIFS($F$8:F232,F232,$C$8:C232,"Kapak")=1,1,0))</f>
        <v/>
      </c>
    </row>
    <row r="233" ht="54" customHeight="1">
      <c r="A233" s="29" t="inlineStr">
        <is>
          <t>sevilla:photo:santa-cruz-03</t>
        </is>
      </c>
      <c r="B233" s="29" t="inlineStr">
        <is>
          <t>sevilla</t>
        </is>
      </c>
      <c r="C233" s="29" t="inlineStr">
        <is>
          <t>Mekân</t>
        </is>
      </c>
      <c r="D233" s="29" t="inlineStr">
        <is>
          <t>sevilla:santa-cruz</t>
        </is>
      </c>
      <c r="E233" s="29" t="inlineStr">
        <is>
          <t>Fotoğraflar/sevilla_santa-cruz_03.jpg</t>
        </is>
      </c>
      <c r="F233" s="29" t="inlineStr">
        <is>
          <t>c82dc68ebbffc2237a8fa25c5f6635a3d2355048e7ce41cf4937589b175cbdd5</t>
        </is>
      </c>
      <c r="G233" s="29" t="inlineStr">
        <is>
          <t>Santa Cruz'da saksı çiçekleriyle dolu bir iç avlu.</t>
        </is>
      </c>
      <c r="H233" s="29" t="inlineStr">
        <is>
          <t>Rogier Want</t>
        </is>
      </c>
      <c r="I233" s="29" t="inlineStr">
        <is>
          <t>CC BY-SA 3.0</t>
        </is>
      </c>
      <c r="J233" s="29" t="inlineStr">
        <is>
          <t>https://creativecommons.org/licenses/by-sa/3.0/</t>
        </is>
      </c>
      <c r="K233" s="29" t="inlineStr">
        <is>
          <t>https://commons.wikimedia.org/wiki/File:Patio_Seville_-_panoramio.jpg</t>
        </is>
      </c>
      <c r="L233" s="49" t="n"/>
      <c r="M233" s="49" t="n">
        <v>46320</v>
      </c>
      <c r="N233" s="29" t="inlineStr">
        <is>
          <t>Wikimedia Commons'taki "Patio Seville - panoramio.jpg" (4000×3000 px) özgün dosyasının 1280×960 px küçültülmüş kopyası indirildi; kırpma, rötuş ve renk düzeltmesi yapılmadı. Teslim dosyası: sevilla_santa-cruz_03.jpg (SHA-256 c82dc68ebbff).</t>
        </is>
      </c>
      <c r="O233" s="29" t="inlineStr">
        <is>
          <t>sevilla:evidence:santa-cruz-03</t>
        </is>
      </c>
      <c r="P233" s="29" t="inlineStr">
        <is>
          <t>Evet</t>
        </is>
      </c>
      <c r="Q233" s="51" t="n">
        <v>3</v>
      </c>
      <c r="R233" s="29" t="inlineStr">
        <is>
          <t>Taslak</t>
        </is>
      </c>
      <c r="S233" s="52">
        <f>IF(OR(A233="",F233="",C233&lt;&gt;"Mekân"),0,IF(COUNTIFS($F$8:F233,F233,$C$8:C233,"Mekân")=1,1,0))</f>
        <v/>
      </c>
      <c r="T233" s="52">
        <f>IF(OR(A233="",F233="",C233&lt;&gt;"Kapak"),0,IF(COUNTIFS($F$8:F233,F233,$C$8:C233,"Kapak")=1,1,0))</f>
        <v/>
      </c>
    </row>
    <row r="234" ht="54" customHeight="1">
      <c r="A234" s="29" t="inlineStr">
        <is>
          <t>sevilla:photo:el-arenal-03</t>
        </is>
      </c>
      <c r="B234" s="29" t="inlineStr">
        <is>
          <t>sevilla</t>
        </is>
      </c>
      <c r="C234" s="29" t="inlineStr">
        <is>
          <t>Mekân</t>
        </is>
      </c>
      <c r="D234" s="29" t="inlineStr">
        <is>
          <t>sevilla:el-arenal</t>
        </is>
      </c>
      <c r="E234" s="29" t="inlineStr">
        <is>
          <t>Fotoğraflar/sevilla_el-arenal_03.jpg</t>
        </is>
      </c>
      <c r="F234" s="29" t="inlineStr">
        <is>
          <t>e913dfe696832d4a28156fd63cc9ca11c0ce6b6587ad269f2eaa9ed5c98ffb12</t>
        </is>
      </c>
      <c r="G234" s="29" t="inlineStr">
        <is>
          <t>El Arenal'de beyaz-sarı evler ve palmiye ağacıyla bir sokak.</t>
        </is>
      </c>
      <c r="H234" s="29" t="inlineStr">
        <is>
          <t>Heinz Joerg Kretschmer</t>
        </is>
      </c>
      <c r="I234" s="29" t="inlineStr">
        <is>
          <t>CC BY 3.0</t>
        </is>
      </c>
      <c r="J234" s="29" t="inlineStr">
        <is>
          <t>https://creativecommons.org/licenses/by/3.0/</t>
        </is>
      </c>
      <c r="K234" s="29" t="inlineStr">
        <is>
          <t>https://commons.wikimedia.org/wiki/File:Sevilla_Barrio_Santa_Cruz_(25574119).jpeg</t>
        </is>
      </c>
      <c r="L234" s="49" t="n"/>
      <c r="M234" s="49" t="n">
        <v>46320</v>
      </c>
      <c r="N234" s="29" t="inlineStr">
        <is>
          <t>Wikimedia Commons'taki "Sevilla Barrio Santa Cruz (25574119).jpeg" (2048×1536 px) özgün dosyasının 1280×960 px küçültülmüş kopyası indirildi; kırpma, rötuş ve renk düzeltmesi yapılmadı. Teslim dosyası: sevilla_el-arenal_03.jpg (SHA-256 e913dfe69683).</t>
        </is>
      </c>
      <c r="O234" s="29" t="inlineStr">
        <is>
          <t>sevilla:evidence:el-arenal-03</t>
        </is>
      </c>
      <c r="P234" s="29" t="inlineStr">
        <is>
          <t>Evet</t>
        </is>
      </c>
      <c r="Q234" s="51" t="n">
        <v>3</v>
      </c>
      <c r="R234" s="29" t="inlineStr">
        <is>
          <t>Taslak</t>
        </is>
      </c>
      <c r="S234" s="52">
        <f>IF(OR(A234="",F234="",C234&lt;&gt;"Mekân"),0,IF(COUNTIFS($F$8:F234,F234,$C$8:C234,"Mekân")=1,1,0))</f>
        <v/>
      </c>
      <c r="T234" s="52">
        <f>IF(OR(A234="",F234="",C234&lt;&gt;"Kapak"),0,IF(COUNTIFS($F$8:F234,F234,$C$8:C234,"Kapak")=1,1,0))</f>
        <v/>
      </c>
    </row>
    <row r="235" ht="54" customHeight="1">
      <c r="A235" s="29" t="inlineStr">
        <is>
          <t>sevilla:photo:la-macarena-03</t>
        </is>
      </c>
      <c r="B235" s="29" t="inlineStr">
        <is>
          <t>sevilla</t>
        </is>
      </c>
      <c r="C235" s="29" t="inlineStr">
        <is>
          <t>Mekân</t>
        </is>
      </c>
      <c r="D235" s="29" t="inlineStr">
        <is>
          <t>sevilla:la-macarena</t>
        </is>
      </c>
      <c r="E235" s="29" t="inlineStr">
        <is>
          <t>Fotoğraflar/sevilla_la-macarena_03.jpg</t>
        </is>
      </c>
      <c r="F235" s="29" t="inlineStr">
        <is>
          <t>0b37d37d0978185ea4af622927ffc3f6b8a4a146f4f20ebf42315460a87d4664</t>
        </is>
      </c>
      <c r="G235" s="29" t="inlineStr">
        <is>
          <t>Macarena'da portakal ağaçlı, beyaz evli dar bir meydan.</t>
        </is>
      </c>
      <c r="H235" s="29" t="inlineStr">
        <is>
          <t>El Mono Español</t>
        </is>
      </c>
      <c r="I235" s="29" t="inlineStr">
        <is>
          <t>CC BY-SA 4.0</t>
        </is>
      </c>
      <c r="J235" s="29" t="inlineStr">
        <is>
          <t>https://creativecommons.org/licenses/by-sa/4.0/</t>
        </is>
      </c>
      <c r="K235" s="29" t="inlineStr">
        <is>
          <t>https://commons.wikimedia.org/wiki/File:Centuria_Macarena_Square_(Seville,_Spain).jpg</t>
        </is>
      </c>
      <c r="L235" s="49" t="n">
        <v>45688</v>
      </c>
      <c r="M235" s="49" t="n">
        <v>46320</v>
      </c>
      <c r="N235" s="29" t="inlineStr">
        <is>
          <t>Wikimedia Commons'taki "Centuria Macarena Square (Seville, Spain).jpg" (4032×3024 px) özgün dosyasının 1280×960 px küçültülmüş kopyası indirildi; kırpma, rötuş ve renk düzeltmesi yapılmadı. Teslim dosyası: sevilla_la-macarena_03.jpg (SHA-256 0b37d37d0978).</t>
        </is>
      </c>
      <c r="O235" s="29" t="inlineStr">
        <is>
          <t>sevilla:evidence:la-macarena-03</t>
        </is>
      </c>
      <c r="P235" s="29" t="inlineStr">
        <is>
          <t>Evet</t>
        </is>
      </c>
      <c r="Q235" s="51" t="n">
        <v>3</v>
      </c>
      <c r="R235" s="29" t="inlineStr">
        <is>
          <t>Taslak</t>
        </is>
      </c>
      <c r="S235" s="52">
        <f>IF(OR(A235="",F235="",C235&lt;&gt;"Mekân"),0,IF(COUNTIFS($F$8:F235,F235,$C$8:C235,"Mekân")=1,1,0))</f>
        <v/>
      </c>
      <c r="T235" s="52">
        <f>IF(OR(A235="",F235="",C235&lt;&gt;"Kapak"),0,IF(COUNTIFS($F$8:F235,F235,$C$8:C235,"Kapak")=1,1,0))</f>
        <v/>
      </c>
    </row>
    <row r="236" ht="54" customHeight="1">
      <c r="A236" s="29" t="inlineStr">
        <is>
          <t>sevilla:photo:sevilla-este-01</t>
        </is>
      </c>
      <c r="B236" s="29" t="inlineStr">
        <is>
          <t>sevilla</t>
        </is>
      </c>
      <c r="C236" s="29" t="inlineStr">
        <is>
          <t>Mekân</t>
        </is>
      </c>
      <c r="D236" s="29" t="inlineStr">
        <is>
          <t>sevilla:sevilla-este</t>
        </is>
      </c>
      <c r="E236" s="29" t="inlineStr">
        <is>
          <t>Fotoğraflar/sevilla_sevilla-este_01.jpg</t>
        </is>
      </c>
      <c r="F236" s="29" t="inlineStr">
        <is>
          <t>bb1a92198fa5b90483df3158fcd601c7367848b184631ae6048d33285ead1396</t>
        </is>
      </c>
      <c r="G236" s="29" t="inlineStr">
        <is>
          <t>Sevilla Este'de çimenler ve ağaçlar arasından geçen yeşil bisiklet yolu.</t>
        </is>
      </c>
      <c r="H236" s="29" t="inlineStr">
        <is>
          <t>Benjamín Núñez González</t>
        </is>
      </c>
      <c r="I236" s="29" t="inlineStr">
        <is>
          <t>CC BY-SA 4.0</t>
        </is>
      </c>
      <c r="J236" s="29" t="inlineStr">
        <is>
          <t>https://creativecommons.org/licenses/by-sa/4.0/</t>
        </is>
      </c>
      <c r="K236" s="29" t="inlineStr">
        <is>
          <t>https://commons.wikimedia.org/wiki/File:Carril_bici,_Sevilla_Este,_Sevilla,_Espa%C3%B1a,_2015_01.JPG</t>
        </is>
      </c>
      <c r="L236" s="49" t="n">
        <v>42370</v>
      </c>
      <c r="M236" s="49" t="n">
        <v>46320</v>
      </c>
      <c r="N236" s="29" t="inlineStr">
        <is>
          <t>Wikimedia Commons'taki "Carril bici, Sevilla Este, Sevilla, España, 2015 01.JPG" (4000×3000 px) özgün dosyasının 1280×960 px küçültülmüş kopyası indirildi; kırpma, rötuş ve renk düzeltmesi yapılmadı. Teslim dosyası: sevilla_sevilla-este_01.jpg (SHA-256 bb1a92198fa5).</t>
        </is>
      </c>
      <c r="O236" s="29" t="inlineStr">
        <is>
          <t>sevilla:evidence:sevilla-este-01</t>
        </is>
      </c>
      <c r="P236" s="29" t="inlineStr">
        <is>
          <t>Evet</t>
        </is>
      </c>
      <c r="Q236" s="51" t="n">
        <v>1</v>
      </c>
      <c r="R236" s="29" t="inlineStr">
        <is>
          <t>Taslak</t>
        </is>
      </c>
      <c r="S236" s="52">
        <f>IF(OR(A236="",F236="",C236&lt;&gt;"Mekân"),0,IF(COUNTIFS($F$8:F236,F236,$C$8:C236,"Mekân")=1,1,0))</f>
        <v/>
      </c>
      <c r="T236" s="52">
        <f>IF(OR(A236="",F236="",C236&lt;&gt;"Kapak"),0,IF(COUNTIFS($F$8:F236,F236,$C$8:C236,"Kapak")=1,1,0))</f>
        <v/>
      </c>
    </row>
    <row r="237" ht="54" customHeight="1">
      <c r="A237" s="29" t="inlineStr">
        <is>
          <t>sevilla:photo:hospital-de-las-cinco-llagas-01</t>
        </is>
      </c>
      <c r="B237" s="29" t="inlineStr">
        <is>
          <t>sevilla</t>
        </is>
      </c>
      <c r="C237" s="29" t="inlineStr">
        <is>
          <t>Mekân</t>
        </is>
      </c>
      <c r="D237" s="29" t="inlineStr">
        <is>
          <t>sevilla:hospital-de-las-cinco-llagas</t>
        </is>
      </c>
      <c r="E237" s="29" t="inlineStr">
        <is>
          <t>Fotoğraflar/sevilla_hospital-de-las-cinco-llagas_01.jpg</t>
        </is>
      </c>
      <c r="F237" s="29" t="inlineStr">
        <is>
          <t>020d120a7badb98f56bf7a029687eec1af6d6fbc8768311f3a7936c0a4f7c23b</t>
        </is>
      </c>
      <c r="G237" s="29" t="inlineStr">
        <is>
          <t>Parlamento binası olan eski Cinco Llagas Hastanesi'nin uzun Rönesans cephesi ve palmiyeler.</t>
        </is>
      </c>
      <c r="H237" s="29" t="inlineStr">
        <is>
          <t>Anual</t>
        </is>
      </c>
      <c r="I237" s="29" t="inlineStr">
        <is>
          <t>CC BY-SA 4.0</t>
        </is>
      </c>
      <c r="J237" s="29" t="inlineStr">
        <is>
          <t>https://creativecommons.org/licenses/by-sa/4.0/</t>
        </is>
      </c>
      <c r="K237" s="29" t="inlineStr">
        <is>
          <t>https://commons.wikimedia.org/wiki/File:Hospital_5_llagas_2017001.jpg</t>
        </is>
      </c>
      <c r="L237" s="49" t="n">
        <v>43465</v>
      </c>
      <c r="M237" s="49" t="n">
        <v>46320</v>
      </c>
      <c r="N237" s="29" t="inlineStr">
        <is>
          <t>Wikimedia Commons'taki "Hospital 5 llagas 2017001.jpg" (4568×3045 px) özgün dosyasının 1280×853 px küçültülmüş kopyası indirildi; kırpma, rötuş ve renk düzeltmesi yapılmadı. Teslim dosyası: sevilla_hospital-de-las-cinco-llagas_01.jpg (SHA-256 020d120a7bad).</t>
        </is>
      </c>
      <c r="O237" s="29" t="inlineStr">
        <is>
          <t>sevilla:evidence:hospital-de-las-cinco-llagas-01</t>
        </is>
      </c>
      <c r="P237" s="29" t="inlineStr">
        <is>
          <t>Evet</t>
        </is>
      </c>
      <c r="Q237" s="51" t="n">
        <v>1</v>
      </c>
      <c r="R237" s="29" t="inlineStr">
        <is>
          <t>Taslak</t>
        </is>
      </c>
      <c r="S237" s="52">
        <f>IF(OR(A237="",F237="",C237&lt;&gt;"Mekân"),0,IF(COUNTIFS($F$8:F237,F237,$C$8:C237,"Mekân")=1,1,0))</f>
        <v/>
      </c>
      <c r="T237" s="52">
        <f>IF(OR(A237="",F237="",C237&lt;&gt;"Kapak"),0,IF(COUNTIFS($F$8:F237,F237,$C$8:C237,"Kapak")=1,1,0))</f>
        <v/>
      </c>
    </row>
    <row r="238" ht="54" customHeight="1">
      <c r="A238" s="29" t="inlineStr">
        <is>
          <t>sevilla:photo:hospital-de-las-cinco-llagas-02</t>
        </is>
      </c>
      <c r="B238" s="29" t="inlineStr">
        <is>
          <t>sevilla</t>
        </is>
      </c>
      <c r="C238" s="29" t="inlineStr">
        <is>
          <t>Mekân</t>
        </is>
      </c>
      <c r="D238" s="29" t="inlineStr">
        <is>
          <t>sevilla:hospital-de-las-cinco-llagas</t>
        </is>
      </c>
      <c r="E238" s="29" t="inlineStr">
        <is>
          <t>Fotoğraflar/sevilla_hospital-de-las-cinco-llagas_02.jpg</t>
        </is>
      </c>
      <c r="F238" s="29" t="inlineStr">
        <is>
          <t>3dc6d5ce15db0f9e6b343f6e3210e17f6ce684674f04f1b8f6a41f53482774c6</t>
        </is>
      </c>
      <c r="G238" s="29" t="inlineStr">
        <is>
          <t>Cinco Llagas binasında kasetli, yuvarlak taş kubbe tavan.</t>
        </is>
      </c>
      <c r="H238" s="29" t="inlineStr">
        <is>
          <t>José Luis Filpo Cabana</t>
        </is>
      </c>
      <c r="I238" s="29" t="inlineStr">
        <is>
          <t>CC BY 3.0</t>
        </is>
      </c>
      <c r="J238" s="29" t="inlineStr">
        <is>
          <t>https://creativecommons.org/licenses/by/3.0/</t>
        </is>
      </c>
      <c r="K238" s="29" t="inlineStr">
        <is>
          <t>https://commons.wikimedia.org/wiki/File:Hospital_de_las_Cinco_Llagas_(Sevilla)._B%C3%B3veda.jpg</t>
        </is>
      </c>
      <c r="L238" s="49" t="n"/>
      <c r="M238" s="49" t="n">
        <v>46320</v>
      </c>
      <c r="N238" s="29" t="inlineStr">
        <is>
          <t>Wikimedia Commons'taki "Hospital de las Cinco Llagas (Sevilla). Bóveda.jpg" (3338×2225 px) özgün dosyasının 1280×853 px küçültülmüş kopyası indirildi; kırpma, rötuş ve renk düzeltmesi yapılmadı. Teslim dosyası: sevilla_hospital-de-las-cinco-llagas_02.jpg (SHA-256 3dc6d5ce15db).</t>
        </is>
      </c>
      <c r="O238" s="29" t="inlineStr">
        <is>
          <t>sevilla:evidence:hospital-de-las-cinco-llagas-02</t>
        </is>
      </c>
      <c r="P238" s="29" t="inlineStr">
        <is>
          <t>Evet</t>
        </is>
      </c>
      <c r="Q238" s="51" t="n">
        <v>2</v>
      </c>
      <c r="R238" s="29" t="inlineStr">
        <is>
          <t>Taslak</t>
        </is>
      </c>
      <c r="S238" s="52">
        <f>IF(OR(A238="",F238="",C238&lt;&gt;"Mekân"),0,IF(COUNTIFS($F$8:F238,F238,$C$8:C238,"Mekân")=1,1,0))</f>
        <v/>
      </c>
      <c r="T238" s="52">
        <f>IF(OR(A238="",F238="",C238&lt;&gt;"Kapak"),0,IF(COUNTIFS($F$8:F238,F238,$C$8:C238,"Kapak")=1,1,0))</f>
        <v/>
      </c>
    </row>
    <row r="239" ht="54" customHeight="1">
      <c r="A239" s="29" t="inlineStr">
        <is>
          <t>sevilla:photo:hospital-de-las-cinco-llagas-03</t>
        </is>
      </c>
      <c r="B239" s="29" t="inlineStr">
        <is>
          <t>sevilla</t>
        </is>
      </c>
      <c r="C239" s="29" t="inlineStr">
        <is>
          <t>Mekân</t>
        </is>
      </c>
      <c r="D239" s="29" t="inlineStr">
        <is>
          <t>sevilla:hospital-de-las-cinco-llagas</t>
        </is>
      </c>
      <c r="E239" s="29" t="inlineStr">
        <is>
          <t>Fotoğraflar/sevilla_hospital-de-las-cinco-llagas_03.jpg</t>
        </is>
      </c>
      <c r="F239" s="29" t="inlineStr">
        <is>
          <t>6b94b5dbb451ccab8cab96e0ddc2dcb643075e66d897e3f957eb3976e148d0e1</t>
        </is>
      </c>
      <c r="G239" s="29" t="inlineStr">
        <is>
          <t>Palmiyeli geniş yolun sonunda Endülüs Parlamentosu'nun bulunduğu Cinco Llagas binası.</t>
        </is>
      </c>
      <c r="H239" s="29" t="inlineStr">
        <is>
          <t>Pinkitt</t>
        </is>
      </c>
      <c r="I239" s="29" t="inlineStr">
        <is>
          <t>CC BY 2.0</t>
        </is>
      </c>
      <c r="J239" s="29" t="inlineStr">
        <is>
          <t>https://creativecommons.org/licenses/by/2.0/</t>
        </is>
      </c>
      <c r="K239" s="29" t="inlineStr">
        <is>
          <t>https://commons.wikimedia.org/wiki/File:Parlamento_de_Andaluc%C3%ADa_(3508393367).jpg</t>
        </is>
      </c>
      <c r="L239" s="49" t="n">
        <v>39921</v>
      </c>
      <c r="M239" s="49" t="n">
        <v>46320</v>
      </c>
      <c r="N239" s="29" t="inlineStr">
        <is>
          <t>Wikimedia Commons'taki "Parlamento de Andalucía (3508393367).jpg" (2848×2134 px) özgün dosyasının 1280×959 px küçültülmüş kopyası indirildi; kırpma, rötuş ve renk düzeltmesi yapılmadı. Teslim dosyası: sevilla_hospital-de-las-cinco-llagas_03.jpg (SHA-256 6b94b5dbb451).</t>
        </is>
      </c>
      <c r="O239" s="29" t="inlineStr">
        <is>
          <t>sevilla:evidence:hospital-de-las-cinco-llagas-03</t>
        </is>
      </c>
      <c r="P239" s="29" t="inlineStr">
        <is>
          <t>Evet</t>
        </is>
      </c>
      <c r="Q239" s="51" t="n">
        <v>3</v>
      </c>
      <c r="R239" s="29" t="inlineStr">
        <is>
          <t>Taslak</t>
        </is>
      </c>
      <c r="S239" s="52">
        <f>IF(OR(A239="",F239="",C239&lt;&gt;"Mekân"),0,IF(COUNTIFS($F$8:F239,F239,$C$8:C239,"Mekân")=1,1,0))</f>
        <v/>
      </c>
      <c r="T239" s="52">
        <f>IF(OR(A239="",F239="",C239&lt;&gt;"Kapak"),0,IF(COUNTIFS($F$8:F239,F239,$C$8:C239,"Kapak")=1,1,0))</f>
        <v/>
      </c>
    </row>
    <row r="240" ht="54" customHeight="1">
      <c r="A240" s="29" t="inlineStr">
        <is>
          <t>sevilla:photo:convento-de-santa-ines-01</t>
        </is>
      </c>
      <c r="B240" s="29" t="inlineStr">
        <is>
          <t>sevilla</t>
        </is>
      </c>
      <c r="C240" s="29" t="inlineStr">
        <is>
          <t>Mekân</t>
        </is>
      </c>
      <c r="D240" s="29" t="inlineStr">
        <is>
          <t>sevilla:convento-de-santa-ines</t>
        </is>
      </c>
      <c r="E240" s="29" t="inlineStr">
        <is>
          <t>Fotoğraflar/sevilla_convento-de-santa-ines_01.jpg</t>
        </is>
      </c>
      <c r="F240" s="29" t="inlineStr">
        <is>
          <t>55d27ecbc5c620b0b2631193c92b9c1de99feb41462b5b4b54680840836120f8</t>
        </is>
      </c>
      <c r="G240" s="29" t="inlineStr">
        <is>
          <t>Santa Inés Manastırı'nın sütunlu girişi ve beyaz avlusu.</t>
        </is>
      </c>
      <c r="H240" s="29" t="inlineStr">
        <is>
          <t>Jl FilpoC</t>
        </is>
      </c>
      <c r="I240" s="29" t="inlineStr">
        <is>
          <t>CC BY-SA 4.0</t>
        </is>
      </c>
      <c r="J240" s="29" t="inlineStr">
        <is>
          <t>https://creativecommons.org/licenses/by-sa/4.0/</t>
        </is>
      </c>
      <c r="K240" s="29" t="inlineStr">
        <is>
          <t>https://commons.wikimedia.org/wiki/File:Atrio_del_Convento_de_Santa_In%C3%A9s,_Sevilla.jpg</t>
        </is>
      </c>
      <c r="L240" s="49" t="n">
        <v>39416</v>
      </c>
      <c r="M240" s="49" t="n">
        <v>46320</v>
      </c>
      <c r="N240" s="29" t="inlineStr">
        <is>
          <t>Wikimedia Commons'taki "Atrio del Convento de Santa Inés, Sevilla.jpg" (4224×2376 px) özgün dosyasının 1280×720 px küçültülmüş kopyası indirildi; kırpma, rötuş ve renk düzeltmesi yapılmadı. Teslim dosyası: sevilla_convento-de-santa-ines_01.jpg (SHA-256 55d27ecbc5c6).</t>
        </is>
      </c>
      <c r="O240" s="29" t="inlineStr">
        <is>
          <t>sevilla:evidence:convento-de-santa-ines-01</t>
        </is>
      </c>
      <c r="P240" s="29" t="inlineStr">
        <is>
          <t>Evet</t>
        </is>
      </c>
      <c r="Q240" s="51" t="n">
        <v>1</v>
      </c>
      <c r="R240" s="29" t="inlineStr">
        <is>
          <t>Taslak</t>
        </is>
      </c>
      <c r="S240" s="52">
        <f>IF(OR(A240="",F240="",C240&lt;&gt;"Mekân"),0,IF(COUNTIFS($F$8:F240,F240,$C$8:C240,"Mekân")=1,1,0))</f>
        <v/>
      </c>
      <c r="T240" s="52">
        <f>IF(OR(A240="",F240="",C240&lt;&gt;"Kapak"),0,IF(COUNTIFS($F$8:F240,F240,$C$8:C240,"Kapak")=1,1,0))</f>
        <v/>
      </c>
    </row>
    <row r="241" ht="54" customHeight="1">
      <c r="A241" s="29" t="inlineStr">
        <is>
          <t>sevilla:photo:convento-de-santa-ines-02</t>
        </is>
      </c>
      <c r="B241" s="29" t="inlineStr">
        <is>
          <t>sevilla</t>
        </is>
      </c>
      <c r="C241" s="29" t="inlineStr">
        <is>
          <t>Mekân</t>
        </is>
      </c>
      <c r="D241" s="29" t="inlineStr">
        <is>
          <t>sevilla:convento-de-santa-ines</t>
        </is>
      </c>
      <c r="E241" s="29" t="inlineStr">
        <is>
          <t>Fotoğraflar/sevilla_convento-de-santa-ines_02.jpg</t>
        </is>
      </c>
      <c r="F241" s="29" t="inlineStr">
        <is>
          <t>2554a3f115e4b3bb2fd7696bc11f286c817f651badc630d9c624ebfd863092cf</t>
        </is>
      </c>
      <c r="G241" s="29" t="inlineStr">
        <is>
          <t>Santa Inés Manastırı'nın avlusu (compás) ve ahşap balkonlu binası.</t>
        </is>
      </c>
      <c r="H241" s="29" t="inlineStr">
        <is>
          <t>Jl FilpoC</t>
        </is>
      </c>
      <c r="I241" s="29" t="inlineStr">
        <is>
          <t>CC BY-SA 4.0</t>
        </is>
      </c>
      <c r="J241" s="29" t="inlineStr">
        <is>
          <t>https://creativecommons.org/licenses/by-sa/4.0/</t>
        </is>
      </c>
      <c r="K241" s="29" t="inlineStr">
        <is>
          <t>https://commons.wikimedia.org/wiki/File:Comp%C3%A1s_del_Convento_de_Santa_In%C3%A9s_(Sevilla).jpg</t>
        </is>
      </c>
      <c r="L241" s="49" t="n">
        <v>43782</v>
      </c>
      <c r="M241" s="49" t="n">
        <v>46320</v>
      </c>
      <c r="N241" s="29" t="inlineStr">
        <is>
          <t>Wikimedia Commons'taki "Compás del Convento de Santa Inés (Sevilla).jpg" (3088×4112 px) özgün dosyasının 1280×1704 px küçültülmüş kopyası indirildi; kırpma, rötuş ve renk düzeltmesi yapılmadı. Teslim dosyası: sevilla_convento-de-santa-ines_02.jpg (SHA-256 2554a3f115e4).</t>
        </is>
      </c>
      <c r="O241" s="29" t="inlineStr">
        <is>
          <t>sevilla:evidence:convento-de-santa-ines-02</t>
        </is>
      </c>
      <c r="P241" s="29" t="inlineStr">
        <is>
          <t>Evet</t>
        </is>
      </c>
      <c r="Q241" s="51" t="n">
        <v>2</v>
      </c>
      <c r="R241" s="29" t="inlineStr">
        <is>
          <t>Taslak</t>
        </is>
      </c>
      <c r="S241" s="52">
        <f>IF(OR(A241="",F241="",C241&lt;&gt;"Mekân"),0,IF(COUNTIFS($F$8:F241,F241,$C$8:C241,"Mekân")=1,1,0))</f>
        <v/>
      </c>
      <c r="T241" s="52">
        <f>IF(OR(A241="",F241="",C241&lt;&gt;"Kapak"),0,IF(COUNTIFS($F$8:F241,F241,$C$8:C241,"Kapak")=1,1,0))</f>
        <v/>
      </c>
    </row>
    <row r="242" ht="54" customHeight="1">
      <c r="A242" s="29" t="inlineStr">
        <is>
          <t>sevilla:photo:convento-de-santa-ines-03</t>
        </is>
      </c>
      <c r="B242" s="29" t="inlineStr">
        <is>
          <t>sevilla</t>
        </is>
      </c>
      <c r="C242" s="29" t="inlineStr">
        <is>
          <t>Mekân</t>
        </is>
      </c>
      <c r="D242" s="29" t="inlineStr">
        <is>
          <t>sevilla:convento-de-santa-ines</t>
        </is>
      </c>
      <c r="E242" s="29" t="inlineStr">
        <is>
          <t>Fotoğraflar/sevilla_convento-de-santa-ines_03.jpg</t>
        </is>
      </c>
      <c r="F242" s="29" t="inlineStr">
        <is>
          <t>d94e9f65235ed01fde923190fc634abaad64659b4681cbd1f7bec34964d0a8a7</t>
        </is>
      </c>
      <c r="G242" s="29" t="inlineStr">
        <is>
          <t>Santa Inés Manastırı'nda kilisenin taş portali ve avludaki sütun.</t>
        </is>
      </c>
      <c r="H242" s="29" t="inlineStr">
        <is>
          <t>Jl FilpoC</t>
        </is>
      </c>
      <c r="I242" s="29" t="inlineStr">
        <is>
          <t>CC BY-SA 4.0</t>
        </is>
      </c>
      <c r="J242" s="29" t="inlineStr">
        <is>
          <t>https://creativecommons.org/licenses/by-sa/4.0/</t>
        </is>
      </c>
      <c r="K242" s="29" t="inlineStr">
        <is>
          <t>https://commons.wikimedia.org/wiki/File:Comp%C3%A1s_y_portada_de_la_iglesia_del_Convento_de_Santa_In%C3%A9s,_Sevilla.jpg</t>
        </is>
      </c>
      <c r="L242" s="49" t="n">
        <v>45994</v>
      </c>
      <c r="M242" s="49" t="n">
        <v>46320</v>
      </c>
      <c r="N242" s="29" t="inlineStr">
        <is>
          <t>Wikimedia Commons'taki "Compás y portada de la iglesia del Convento de Santa Inés, Sevilla.jpg" (3552×4736 px) özgün dosyasının 1280×1707 px küçültülmüş kopyası indirildi; kırpma, rötuş ve renk düzeltmesi yapılmadı. Teslim dosyası: sevilla_convento-de-santa-ines_03.jpg (SHA-256 d94e9f65235e).</t>
        </is>
      </c>
      <c r="O242" s="29" t="inlineStr">
        <is>
          <t>sevilla:evidence:convento-de-santa-ines-03</t>
        </is>
      </c>
      <c r="P242" s="29" t="inlineStr">
        <is>
          <t>Evet</t>
        </is>
      </c>
      <c r="Q242" s="51" t="n">
        <v>3</v>
      </c>
      <c r="R242" s="29" t="inlineStr">
        <is>
          <t>Taslak</t>
        </is>
      </c>
      <c r="S242" s="52">
        <f>IF(OR(A242="",F242="",C242&lt;&gt;"Mekân"),0,IF(COUNTIFS($F$8:F242,F242,$C$8:C242,"Mekân")=1,1,0))</f>
        <v/>
      </c>
      <c r="T242" s="52">
        <f>IF(OR(A242="",F242="",C242&lt;&gt;"Kapak"),0,IF(COUNTIFS($F$8:F242,F242,$C$8:C242,"Kapak")=1,1,0))</f>
        <v/>
      </c>
    </row>
    <row r="243" ht="54" customHeight="1">
      <c r="A243" s="29" t="inlineStr">
        <is>
          <t>sevilla:photo:monasterio-de-san-clemente-01</t>
        </is>
      </c>
      <c r="B243" s="29" t="inlineStr">
        <is>
          <t>sevilla</t>
        </is>
      </c>
      <c r="C243" s="29" t="inlineStr">
        <is>
          <t>Mekân</t>
        </is>
      </c>
      <c r="D243" s="29" t="inlineStr">
        <is>
          <t>sevilla:monasterio-de-san-clemente</t>
        </is>
      </c>
      <c r="E243" s="29" t="inlineStr">
        <is>
          <t>Fotoğraflar/sevilla_monasterio-de-san-clemente_01.jpg</t>
        </is>
      </c>
      <c r="F243" s="29" t="inlineStr">
        <is>
          <t>77dd3e690bae8b6d4d114ab8aec48bc89f902395e63bc31841dfa4b69f35f37f</t>
        </is>
      </c>
      <c r="G243" s="29" t="inlineStr">
        <is>
          <t>San Clemente Manastırı'nın beyaz dış duvarları ve yol kenarı.</t>
        </is>
      </c>
      <c r="H243" s="29" t="inlineStr">
        <is>
          <t>CarlosVdeHabsburgo</t>
        </is>
      </c>
      <c r="I243" s="29" t="inlineStr">
        <is>
          <t>CC BY-SA 4.0</t>
        </is>
      </c>
      <c r="J243" s="29" t="inlineStr">
        <is>
          <t>https://creativecommons.org/licenses/by-sa/4.0/</t>
        </is>
      </c>
      <c r="K243" s="29" t="inlineStr">
        <is>
          <t>https://commons.wikimedia.org/wiki/File:Monasterio_de_San_Clemente_(Sevilla)_01.jpg</t>
        </is>
      </c>
      <c r="L243" s="49" t="n">
        <v>43116</v>
      </c>
      <c r="M243" s="49" t="n">
        <v>46320</v>
      </c>
      <c r="N243" s="29" t="inlineStr">
        <is>
          <t>Wikimedia Commons'taki "Monasterio de San Clemente (Sevilla) 01.jpg" (4320×3240 px) özgün dosyasının 1280×960 px küçültülmüş kopyası indirildi; kırpma, rötuş ve renk düzeltmesi yapılmadı. Teslim dosyası: sevilla_monasterio-de-san-clemente_01.jpg (SHA-256 77dd3e690bae).</t>
        </is>
      </c>
      <c r="O243" s="29" t="inlineStr">
        <is>
          <t>sevilla:evidence:monasterio-de-san-clemente-01</t>
        </is>
      </c>
      <c r="P243" s="29" t="inlineStr">
        <is>
          <t>Evet</t>
        </is>
      </c>
      <c r="Q243" s="51" t="n">
        <v>1</v>
      </c>
      <c r="R243" s="29" t="inlineStr">
        <is>
          <t>Taslak</t>
        </is>
      </c>
      <c r="S243" s="52">
        <f>IF(OR(A243="",F243="",C243&lt;&gt;"Mekân"),0,IF(COUNTIFS($F$8:F243,F243,$C$8:C243,"Mekân")=1,1,0))</f>
        <v/>
      </c>
      <c r="T243" s="52">
        <f>IF(OR(A243="",F243="",C243&lt;&gt;"Kapak"),0,IF(COUNTIFS($F$8:F243,F243,$C$8:C243,"Kapak")=1,1,0))</f>
        <v/>
      </c>
    </row>
    <row r="244" ht="54" customHeight="1">
      <c r="A244" s="29" t="inlineStr">
        <is>
          <t>sevilla:photo:monasterio-de-san-clemente-02</t>
        </is>
      </c>
      <c r="B244" s="29" t="inlineStr">
        <is>
          <t>sevilla</t>
        </is>
      </c>
      <c r="C244" s="29" t="inlineStr">
        <is>
          <t>Mekân</t>
        </is>
      </c>
      <c r="D244" s="29" t="inlineStr">
        <is>
          <t>sevilla:monasterio-de-san-clemente</t>
        </is>
      </c>
      <c r="E244" s="29" t="inlineStr">
        <is>
          <t>Fotoğraflar/sevilla_monasterio-de-san-clemente_02.jpg</t>
        </is>
      </c>
      <c r="F244" s="29" t="inlineStr">
        <is>
          <t>a2e268cdf1d936effa4c808475b0cd59337b902e475abe1bcdb67ed8663a5ad9</t>
        </is>
      </c>
      <c r="G244" s="29" t="inlineStr">
        <is>
          <t>San Clemente Manastırı'nın sütunlu, bahçeli klostrosu.</t>
        </is>
      </c>
      <c r="H244" s="29" t="inlineStr">
        <is>
          <t>Jose Luis Filpo Cabana</t>
        </is>
      </c>
      <c r="I244" s="29" t="inlineStr">
        <is>
          <t>CC BY 3.0</t>
        </is>
      </c>
      <c r="J244" s="29" t="inlineStr">
        <is>
          <t>https://creativecommons.org/licenses/by/3.0/</t>
        </is>
      </c>
      <c r="K244" s="29" t="inlineStr">
        <is>
          <t>https://commons.wikimedia.org/wiki/File:Monasterio_de_San_Clemente_(Sevilla)._Claustro.jpg</t>
        </is>
      </c>
      <c r="L244" s="49" t="n"/>
      <c r="M244" s="49" t="n">
        <v>46320</v>
      </c>
      <c r="N244" s="29" t="inlineStr">
        <is>
          <t>Wikimedia Commons'taki "Monasterio de San Clemente (Sevilla). Claustro.jpg" (3968×2232 px) özgün dosyasının 1280×720 px küçültülmüş kopyası indirildi; kırpma, rötuş ve renk düzeltmesi yapılmadı. Teslim dosyası: sevilla_monasterio-de-san-clemente_02.jpg (SHA-256 a2e268cdf1d9).</t>
        </is>
      </c>
      <c r="O244" s="29" t="inlineStr">
        <is>
          <t>sevilla:evidence:monasterio-de-san-clemente-02</t>
        </is>
      </c>
      <c r="P244" s="29" t="inlineStr">
        <is>
          <t>Evet</t>
        </is>
      </c>
      <c r="Q244" s="51" t="n">
        <v>2</v>
      </c>
      <c r="R244" s="29" t="inlineStr">
        <is>
          <t>Taslak</t>
        </is>
      </c>
      <c r="S244" s="52">
        <f>IF(OR(A244="",F244="",C244&lt;&gt;"Mekân"),0,IF(COUNTIFS($F$8:F244,F244,$C$8:C244,"Mekân")=1,1,0))</f>
        <v/>
      </c>
      <c r="T244" s="52">
        <f>IF(OR(A244="",F244="",C244&lt;&gt;"Kapak"),0,IF(COUNTIFS($F$8:F244,F244,$C$8:C244,"Kapak")=1,1,0))</f>
        <v/>
      </c>
    </row>
    <row r="245" ht="54" customHeight="1">
      <c r="A245" s="29" t="inlineStr">
        <is>
          <t>sevilla:photo:monasterio-de-san-clemente-03</t>
        </is>
      </c>
      <c r="B245" s="29" t="inlineStr">
        <is>
          <t>sevilla</t>
        </is>
      </c>
      <c r="C245" s="29" t="inlineStr">
        <is>
          <t>Mekân</t>
        </is>
      </c>
      <c r="D245" s="29" t="inlineStr">
        <is>
          <t>sevilla:monasterio-de-san-clemente</t>
        </is>
      </c>
      <c r="E245" s="29" t="inlineStr">
        <is>
          <t>Fotoğraflar/sevilla_monasterio-de-san-clemente_03.jpg</t>
        </is>
      </c>
      <c r="F245" s="29" t="inlineStr">
        <is>
          <t>55b52bbe323f57c64d155b8ba66723a54be154f554984505e3fc6cebd8b365f1</t>
        </is>
      </c>
      <c r="G245" s="29" t="inlineStr">
        <is>
          <t>San Clemente Manastırı kilisesinde altın yaldızlı sunak ve sıralar.</t>
        </is>
      </c>
      <c r="H245" s="29" t="inlineStr">
        <is>
          <t>Jose Luis Filpo Cabana</t>
        </is>
      </c>
      <c r="I245" s="29" t="inlineStr">
        <is>
          <t>CC BY 3.0</t>
        </is>
      </c>
      <c r="J245" s="29" t="inlineStr">
        <is>
          <t>https://creativecommons.org/licenses/by/3.0/</t>
        </is>
      </c>
      <c r="K245" s="29" t="inlineStr">
        <is>
          <t>https://commons.wikimedia.org/wiki/File:Monasterio_de_San_Clemente_(Sevilla)._Iglesia.jpg</t>
        </is>
      </c>
      <c r="L245" s="49" t="n"/>
      <c r="M245" s="49" t="n">
        <v>46320</v>
      </c>
      <c r="N245" s="29" t="inlineStr">
        <is>
          <t>Wikimedia Commons'taki "Monasterio de San Clemente (Sevilla). Iglesia.jpg" (2471×2471 px) özgün dosyasının 1280×1280 px küçültülmüş kopyası indirildi; kırpma, rötuş ve renk düzeltmesi yapılmadı. Teslim dosyası: sevilla_monasterio-de-san-clemente_03.jpg (SHA-256 55b52bbe323f).</t>
        </is>
      </c>
      <c r="O245" s="29" t="inlineStr">
        <is>
          <t>sevilla:evidence:monasterio-de-san-clemente-03</t>
        </is>
      </c>
      <c r="P245" s="29" t="inlineStr">
        <is>
          <t>Evet</t>
        </is>
      </c>
      <c r="Q245" s="51" t="n">
        <v>3</v>
      </c>
      <c r="R245" s="29" t="inlineStr">
        <is>
          <t>Taslak</t>
        </is>
      </c>
      <c r="S245" s="52">
        <f>IF(OR(A245="",F245="",C245&lt;&gt;"Mekân"),0,IF(COUNTIFS($F$8:F245,F245,$C$8:C245,"Mekân")=1,1,0))</f>
        <v/>
      </c>
      <c r="T245" s="52">
        <f>IF(OR(A245="",F245="",C245&lt;&gt;"Kapak"),0,IF(COUNTIFS($F$8:F245,F245,$C$8:C245,"Kapak")=1,1,0))</f>
        <v/>
      </c>
    </row>
    <row r="246" ht="54" customHeight="1">
      <c r="A246" s="29" t="inlineStr">
        <is>
          <t>sevilla:photo:real-fabrica-de-tabacos-rectorado-01</t>
        </is>
      </c>
      <c r="B246" s="29" t="inlineStr">
        <is>
          <t>sevilla</t>
        </is>
      </c>
      <c r="C246" s="29" t="inlineStr">
        <is>
          <t>Mekân</t>
        </is>
      </c>
      <c r="D246" s="29" t="inlineStr">
        <is>
          <t>sevilla:real-fabrica-de-tabacos-rectorado</t>
        </is>
      </c>
      <c r="E246" s="29" t="inlineStr">
        <is>
          <t>Fotoğraflar/sevilla_real-fabrica-de-tabacos-rectorado_01.jpg</t>
        </is>
      </c>
      <c r="F246" s="29" t="inlineStr">
        <is>
          <t>38386b67e293fa7d76b3606988083479f1e0ccbaef0aeddfdcfca83645cb9ae2</t>
        </is>
      </c>
      <c r="G246" s="29" t="inlineStr">
        <is>
          <t>Eski Kraliyet Tütün Fabrikası'nın, bugün üniversite rektörlüğü, bahçeli uzun taş cephesi.</t>
        </is>
      </c>
      <c r="H246" s="29" t="inlineStr">
        <is>
          <t>Chabe01</t>
        </is>
      </c>
      <c r="I246" s="29" t="inlineStr">
        <is>
          <t>CC BY-SA 4.0</t>
        </is>
      </c>
      <c r="J246" s="29" t="inlineStr">
        <is>
          <t>https://creativecommons.org/licenses/by-sa/4.0/</t>
        </is>
      </c>
      <c r="K246" s="29" t="inlineStr">
        <is>
          <t>https://commons.wikimedia.org/wiki/File:Fabrique_Royale_Tabac_-_S%C3%A9ville_(ES61)_-_2023-04-25_-_1.jpg</t>
        </is>
      </c>
      <c r="L246" s="49" t="n">
        <v>45041</v>
      </c>
      <c r="M246" s="49" t="n">
        <v>46320</v>
      </c>
      <c r="N246" s="29" t="inlineStr">
        <is>
          <t>Wikimedia Commons'taki "Fabrique Royale Tabac - Séville (ES61) - 2023-04-25 - 1.jpg" (4032×3024 px) özgün dosyasının 1280×960 px küçültülmüş kopyası indirildi; kırpma, rötuş ve renk düzeltmesi yapılmadı. Teslim dosyası: sevilla_real-fabrica-de-tabacos-rectorado_01.jpg (SHA-256 38386b67e293).</t>
        </is>
      </c>
      <c r="O246" s="29" t="inlineStr">
        <is>
          <t>sevilla:evidence:real-fabrica-de-tabacos-rectorado-01</t>
        </is>
      </c>
      <c r="P246" s="29" t="inlineStr">
        <is>
          <t>Evet</t>
        </is>
      </c>
      <c r="Q246" s="51" t="n">
        <v>1</v>
      </c>
      <c r="R246" s="29" t="inlineStr">
        <is>
          <t>Taslak</t>
        </is>
      </c>
      <c r="S246" s="52">
        <f>IF(OR(A246="",F246="",C246&lt;&gt;"Mekân"),0,IF(COUNTIFS($F$8:F246,F246,$C$8:C246,"Mekân")=1,1,0))</f>
        <v/>
      </c>
      <c r="T246" s="52">
        <f>IF(OR(A246="",F246="",C246&lt;&gt;"Kapak"),0,IF(COUNTIFS($F$8:F246,F246,$C$8:C246,"Kapak")=1,1,0))</f>
        <v/>
      </c>
    </row>
    <row r="247" ht="54" customHeight="1">
      <c r="A247" s="29" t="inlineStr">
        <is>
          <t>sevilla:photo:real-fabrica-de-tabacos-rectorado-02</t>
        </is>
      </c>
      <c r="B247" s="29" t="inlineStr">
        <is>
          <t>sevilla</t>
        </is>
      </c>
      <c r="C247" s="29" t="inlineStr">
        <is>
          <t>Mekân</t>
        </is>
      </c>
      <c r="D247" s="29" t="inlineStr">
        <is>
          <t>sevilla:real-fabrica-de-tabacos-rectorado</t>
        </is>
      </c>
      <c r="E247" s="29" t="inlineStr">
        <is>
          <t>Fotoğraflar/sevilla_real-fabrica-de-tabacos-rectorado_02.jpg</t>
        </is>
      </c>
      <c r="F247" s="29" t="inlineStr">
        <is>
          <t>2760dca23e3314ae02e134c9016cae3094208c1dc1a770e2c6cd677f7ed27289</t>
        </is>
      </c>
      <c r="G247" s="29" t="inlineStr">
        <is>
          <t>Kraliyet Tütün Fabrikası'nın barok giriş cephesi ve meydanı.</t>
        </is>
      </c>
      <c r="H247" s="29" t="inlineStr">
        <is>
          <t>Chabe01</t>
        </is>
      </c>
      <c r="I247" s="29" t="inlineStr">
        <is>
          <t>CC BY-SA 4.0</t>
        </is>
      </c>
      <c r="J247" s="29" t="inlineStr">
        <is>
          <t>https://creativecommons.org/licenses/by-sa/4.0/</t>
        </is>
      </c>
      <c r="K247" s="29" t="inlineStr">
        <is>
          <t>https://commons.wikimedia.org/wiki/File:Fabrique_Royale_Tabac_-_S%C3%A9ville_(ES61)_-_2023-04-25_-_2.jpg</t>
        </is>
      </c>
      <c r="L247" s="49" t="n">
        <v>45041</v>
      </c>
      <c r="M247" s="49" t="n">
        <v>46320</v>
      </c>
      <c r="N247" s="29" t="inlineStr">
        <is>
          <t>Wikimedia Commons'taki "Fabrique Royale Tabac - Séville (ES61) - 2023-04-25 - 2.jpg" (4032×3024 px) özgün dosyasının 1280×960 px küçültülmüş kopyası indirildi; kırpma, rötuş ve renk düzeltmesi yapılmadı. Teslim dosyası: sevilla_real-fabrica-de-tabacos-rectorado_02.jpg (SHA-256 2760dca23e33).</t>
        </is>
      </c>
      <c r="O247" s="29" t="inlineStr">
        <is>
          <t>sevilla:evidence:real-fabrica-de-tabacos-rectorado-02</t>
        </is>
      </c>
      <c r="P247" s="29" t="inlineStr">
        <is>
          <t>Evet</t>
        </is>
      </c>
      <c r="Q247" s="51" t="n">
        <v>2</v>
      </c>
      <c r="R247" s="29" t="inlineStr">
        <is>
          <t>Taslak</t>
        </is>
      </c>
      <c r="S247" s="52">
        <f>IF(OR(A247="",F247="",C247&lt;&gt;"Mekân"),0,IF(COUNTIFS($F$8:F247,F247,$C$8:C247,"Mekân")=1,1,0))</f>
        <v/>
      </c>
      <c r="T247" s="52">
        <f>IF(OR(A247="",F247="",C247&lt;&gt;"Kapak"),0,IF(COUNTIFS($F$8:F247,F247,$C$8:C247,"Kapak")=1,1,0))</f>
        <v/>
      </c>
    </row>
    <row r="248" ht="54" customHeight="1">
      <c r="A248" s="29" t="inlineStr">
        <is>
          <t>sevilla:photo:real-fabrica-de-tabacos-rectorado-03</t>
        </is>
      </c>
      <c r="B248" s="29" t="inlineStr">
        <is>
          <t>sevilla</t>
        </is>
      </c>
      <c r="C248" s="29" t="inlineStr">
        <is>
          <t>Mekân</t>
        </is>
      </c>
      <c r="D248" s="29" t="inlineStr">
        <is>
          <t>sevilla:real-fabrica-de-tabacos-rectorado</t>
        </is>
      </c>
      <c r="E248" s="29" t="inlineStr">
        <is>
          <t>Fotoğraflar/sevilla_real-fabrica-de-tabacos-rectorado_03.jpg</t>
        </is>
      </c>
      <c r="F248" s="29" t="inlineStr">
        <is>
          <t>3866d55974c60a9e63030f2a766d03e9707cc8667e942861e17701e2313de02c</t>
        </is>
      </c>
      <c r="G248" s="29" t="inlineStr">
        <is>
          <t>Kraliyet Tütün Fabrikası'nın kapı üstündeki heykelli barok alınlığı.</t>
        </is>
      </c>
      <c r="H248" s="29" t="inlineStr">
        <is>
          <t>Chabe01</t>
        </is>
      </c>
      <c r="I248" s="29" t="inlineStr">
        <is>
          <t>CC BY-SA 4.0</t>
        </is>
      </c>
      <c r="J248" s="29" t="inlineStr">
        <is>
          <t>https://creativecommons.org/licenses/by-sa/4.0/</t>
        </is>
      </c>
      <c r="K248" s="29" t="inlineStr">
        <is>
          <t>https://commons.wikimedia.org/wiki/File:Fabrique_Royale_Tabac_-_S%C3%A9ville_(ES61)_-_2023-04-25_-_4.jpg</t>
        </is>
      </c>
      <c r="L248" s="49" t="n">
        <v>45041</v>
      </c>
      <c r="M248" s="49" t="n">
        <v>46320</v>
      </c>
      <c r="N248" s="29" t="inlineStr">
        <is>
          <t>Wikimedia Commons'taki "Fabrique Royale Tabac - Séville (ES61) - 2023-04-25 - 4.jpg" (4032×3024 px) özgün dosyasının 1280×960 px küçültülmüş kopyası indirildi; kırpma, rötuş ve renk düzeltmesi yapılmadı. Teslim dosyası: sevilla_real-fabrica-de-tabacos-rectorado_03.jpg (SHA-256 3866d55974c6).</t>
        </is>
      </c>
      <c r="O248" s="29" t="inlineStr">
        <is>
          <t>sevilla:evidence:real-fabrica-de-tabacos-rectorado-03</t>
        </is>
      </c>
      <c r="P248" s="29" t="inlineStr">
        <is>
          <t>Evet</t>
        </is>
      </c>
      <c r="Q248" s="51" t="n">
        <v>3</v>
      </c>
      <c r="R248" s="29" t="inlineStr">
        <is>
          <t>Taslak</t>
        </is>
      </c>
      <c r="S248" s="52">
        <f>IF(OR(A248="",F248="",C248&lt;&gt;"Mekân"),0,IF(COUNTIFS($F$8:F248,F248,$C$8:C248,"Mekân")=1,1,0))</f>
        <v/>
      </c>
      <c r="T248" s="52">
        <f>IF(OR(A248="",F248="",C248&lt;&gt;"Kapak"),0,IF(COUNTIFS($F$8:F248,F248,$C$8:C248,"Kapak")=1,1,0))</f>
        <v/>
      </c>
    </row>
    <row r="249" ht="54" customHeight="1">
      <c r="A249" s="29" t="inlineStr">
        <is>
          <t>sevilla:photo:parroquia-de-san-jacinto-01</t>
        </is>
      </c>
      <c r="B249" s="29" t="inlineStr">
        <is>
          <t>sevilla</t>
        </is>
      </c>
      <c r="C249" s="29" t="inlineStr">
        <is>
          <t>Mekân</t>
        </is>
      </c>
      <c r="D249" s="29" t="inlineStr">
        <is>
          <t>sevilla:parroquia-de-san-jacinto</t>
        </is>
      </c>
      <c r="E249" s="29" t="inlineStr">
        <is>
          <t>Fotoğraflar/sevilla_parroquia-de-san-jacinto_01.jpg</t>
        </is>
      </c>
      <c r="F249" s="29" t="inlineStr">
        <is>
          <t>7c63de8093a55ed2b9f2927ad08d4c0278af002da96e8bbbb2d6abcf2cd8040a</t>
        </is>
      </c>
      <c r="G249" s="29" t="inlineStr">
        <is>
          <t>Triana'da San Jacinto Kilisesi'nin kırmızı tuğla cephesi ve önündeki yaya yolu.</t>
        </is>
      </c>
      <c r="H249" s="29" t="inlineStr">
        <is>
          <t>Thomas Dahlstrøm Nielsen</t>
        </is>
      </c>
      <c r="I249" s="29" t="inlineStr">
        <is>
          <t>CC BY-SA 4.0</t>
        </is>
      </c>
      <c r="J249" s="29" t="inlineStr">
        <is>
          <t>https://creativecommons.org/licenses/by-sa/4.0/</t>
        </is>
      </c>
      <c r="K249" s="29" t="inlineStr">
        <is>
          <t>https://commons.wikimedia.org/wiki/File:Ficus_Centenario_de_San_Jacinto.jpg</t>
        </is>
      </c>
      <c r="L249" s="49" t="n">
        <v>44858</v>
      </c>
      <c r="M249" s="49" t="n">
        <v>46320</v>
      </c>
      <c r="N249" s="29" t="inlineStr">
        <is>
          <t>Wikimedia Commons'taki "Ficus Centenario de San Jacinto.jpg" (6000×4000 px) özgün dosyasının 1280×853 px küçültülmüş kopyası indirildi; kırpma, rötuş ve renk düzeltmesi yapılmadı. Teslim dosyası: sevilla_parroquia-de-san-jacinto_01.jpg (SHA-256 7c63de8093a5).</t>
        </is>
      </c>
      <c r="O249" s="29" t="inlineStr">
        <is>
          <t>sevilla:evidence:parroquia-de-san-jacinto-01</t>
        </is>
      </c>
      <c r="P249" s="29" t="inlineStr">
        <is>
          <t>Evet</t>
        </is>
      </c>
      <c r="Q249" s="51" t="n">
        <v>1</v>
      </c>
      <c r="R249" s="29" t="inlineStr">
        <is>
          <t>Taslak</t>
        </is>
      </c>
      <c r="S249" s="52">
        <f>IF(OR(A249="",F249="",C249&lt;&gt;"Mekân"),0,IF(COUNTIFS($F$8:F249,F249,$C$8:C249,"Mekân")=1,1,0))</f>
        <v/>
      </c>
      <c r="T249" s="52">
        <f>IF(OR(A249="",F249="",C249&lt;&gt;"Kapak"),0,IF(COUNTIFS($F$8:F249,F249,$C$8:C249,"Kapak")=1,1,0))</f>
        <v/>
      </c>
    </row>
    <row r="250" ht="54" customHeight="1">
      <c r="A250" s="29" t="inlineStr">
        <is>
          <t>sevilla:photo:parroquia-de-san-jacinto-02</t>
        </is>
      </c>
      <c r="B250" s="29" t="inlineStr">
        <is>
          <t>sevilla</t>
        </is>
      </c>
      <c r="C250" s="29" t="inlineStr">
        <is>
          <t>Mekân</t>
        </is>
      </c>
      <c r="D250" s="29" t="inlineStr">
        <is>
          <t>sevilla:parroquia-de-san-jacinto</t>
        </is>
      </c>
      <c r="E250" s="29" t="inlineStr">
        <is>
          <t>Fotoğraflar/sevilla_parroquia-de-san-jacinto_02.jpg</t>
        </is>
      </c>
      <c r="F250" s="29" t="inlineStr">
        <is>
          <t>3ab1a2552d26a123257b900fc12be689d3c2efc2ec1f78a52cefc7088498bb7c</t>
        </is>
      </c>
      <c r="G250" s="29" t="inlineStr">
        <is>
          <t>San Jacinto Kilisesi'nin cephesi ve önündeki ağaçlar ile çiçekler.</t>
        </is>
      </c>
      <c r="H250" s="29" t="inlineStr">
        <is>
          <t>Anual</t>
        </is>
      </c>
      <c r="I250" s="29" t="inlineStr">
        <is>
          <t>CC BY-SA 4.0</t>
        </is>
      </c>
      <c r="J250" s="29" t="inlineStr">
        <is>
          <t>https://creativecommons.org/licenses/by-sa/4.0/</t>
        </is>
      </c>
      <c r="K250" s="29" t="inlineStr">
        <is>
          <t>https://commons.wikimedia.org/wiki/File:San_jacinto_2016001.jpg</t>
        </is>
      </c>
      <c r="L250" s="49" t="n">
        <v>42624</v>
      </c>
      <c r="M250" s="49" t="n">
        <v>46320</v>
      </c>
      <c r="N250" s="29" t="inlineStr">
        <is>
          <t>Wikimedia Commons'taki "San jacinto 2016001.jpg" (5678×3785 px) özgün dosyasının 1280×853 px küçültülmüş kopyası indirildi; kırpma, rötuş ve renk düzeltmesi yapılmadı. Teslim dosyası: sevilla_parroquia-de-san-jacinto_02.jpg (SHA-256 3ab1a2552d26).</t>
        </is>
      </c>
      <c r="O250" s="29" t="inlineStr">
        <is>
          <t>sevilla:evidence:parroquia-de-san-jacinto-02</t>
        </is>
      </c>
      <c r="P250" s="29" t="inlineStr">
        <is>
          <t>Evet</t>
        </is>
      </c>
      <c r="Q250" s="51" t="n">
        <v>2</v>
      </c>
      <c r="R250" s="29" t="inlineStr">
        <is>
          <t>Taslak</t>
        </is>
      </c>
      <c r="S250" s="52">
        <f>IF(OR(A250="",F250="",C250&lt;&gt;"Mekân"),0,IF(COUNTIFS($F$8:F250,F250,$C$8:C250,"Mekân")=1,1,0))</f>
        <v/>
      </c>
      <c r="T250" s="52">
        <f>IF(OR(A250="",F250="",C250&lt;&gt;"Kapak"),0,IF(COUNTIFS($F$8:F250,F250,$C$8:C250,"Kapak")=1,1,0))</f>
        <v/>
      </c>
    </row>
    <row r="251" ht="54" customHeight="1">
      <c r="A251" s="29" t="inlineStr">
        <is>
          <t>sevilla:photo:capilla-del-carmen-triana-01</t>
        </is>
      </c>
      <c r="B251" s="29" t="inlineStr">
        <is>
          <t>sevilla</t>
        </is>
      </c>
      <c r="C251" s="29" t="inlineStr">
        <is>
          <t>Mekân</t>
        </is>
      </c>
      <c r="D251" s="29" t="inlineStr">
        <is>
          <t>sevilla:capilla-del-carmen-triana</t>
        </is>
      </c>
      <c r="E251" s="29" t="inlineStr">
        <is>
          <t>Fotoğraflar/sevilla_capilla-del-carmen-triana_01.jpg</t>
        </is>
      </c>
      <c r="F251" s="29" t="inlineStr">
        <is>
          <t>9c79132fd1b4a65138fd93db8bb4f778d854e03a00ce87f51d4eee4debe6c752</t>
        </is>
      </c>
      <c r="G251" s="29" t="inlineStr">
        <is>
          <t>Triana Köprüsü'nün başındaki Capilla del Carmen'in tuğla kulesi ve kubbesi.</t>
        </is>
      </c>
      <c r="H251" s="29" t="inlineStr">
        <is>
          <t>Anual</t>
        </is>
      </c>
      <c r="I251" s="29" t="inlineStr">
        <is>
          <t>CC BY-SA 3.0</t>
        </is>
      </c>
      <c r="J251" s="29" t="inlineStr">
        <is>
          <t>https://creativecommons.org/licenses/by-sa/3.0/</t>
        </is>
      </c>
      <c r="K251" s="29" t="inlineStr">
        <is>
          <t>https://commons.wikimedia.org/wiki/File:20120810_4503v02.JPG</t>
        </is>
      </c>
      <c r="L251" s="49" t="n">
        <v>41134</v>
      </c>
      <c r="M251" s="49" t="n">
        <v>46320</v>
      </c>
      <c r="N251" s="29" t="inlineStr">
        <is>
          <t>Wikimedia Commons'taki "20120810 4503v02.JPG" (3552×2368 px) özgün dosyasının 1280×853 px küçültülmüş kopyası indirildi; kırpma, rötuş ve renk düzeltmesi yapılmadı. Teslim dosyası: sevilla_capilla-del-carmen-triana_01.jpg (SHA-256 9c79132fd1b4).</t>
        </is>
      </c>
      <c r="O251" s="29" t="inlineStr">
        <is>
          <t>sevilla:evidence:capilla-del-carmen-triana-01</t>
        </is>
      </c>
      <c r="P251" s="29" t="inlineStr">
        <is>
          <t>Evet</t>
        </is>
      </c>
      <c r="Q251" s="51" t="n">
        <v>1</v>
      </c>
      <c r="R251" s="29" t="inlineStr">
        <is>
          <t>Taslak</t>
        </is>
      </c>
      <c r="S251" s="52">
        <f>IF(OR(A251="",F251="",C251&lt;&gt;"Mekân"),0,IF(COUNTIFS($F$8:F251,F251,$C$8:C251,"Mekân")=1,1,0))</f>
        <v/>
      </c>
      <c r="T251" s="52">
        <f>IF(OR(A251="",F251="",C251&lt;&gt;"Kapak"),0,IF(COUNTIFS($F$8:F251,F251,$C$8:C251,"Kapak")=1,1,0))</f>
        <v/>
      </c>
    </row>
    <row r="252" ht="54" customHeight="1">
      <c r="A252" s="29" t="inlineStr">
        <is>
          <t>sevilla:photo:capilla-del-carmen-triana-02</t>
        </is>
      </c>
      <c r="B252" s="29" t="inlineStr">
        <is>
          <t>sevilla</t>
        </is>
      </c>
      <c r="C252" s="29" t="inlineStr">
        <is>
          <t>Mekân</t>
        </is>
      </c>
      <c r="D252" s="29" t="inlineStr">
        <is>
          <t>sevilla:capilla-del-carmen-triana</t>
        </is>
      </c>
      <c r="E252" s="29" t="inlineStr">
        <is>
          <t>Fotoğraflar/sevilla_capilla-del-carmen-triana_02.jpg</t>
        </is>
      </c>
      <c r="F252" s="29" t="inlineStr">
        <is>
          <t>e4e43bd79f8b9e7d3fe69b7b421d2775f4158ff1912f81d08a2e943edb1b144d</t>
        </is>
      </c>
      <c r="G252" s="29" t="inlineStr">
        <is>
          <t>Capilla del Carmen'in kuleleri ve köprü başındaki meydan.</t>
        </is>
      </c>
      <c r="H252" s="29" t="inlineStr">
        <is>
          <t>Thomas Dahlstrøm Nielsen</t>
        </is>
      </c>
      <c r="I252" s="29" t="inlineStr">
        <is>
          <t>CC BY-SA 4.0</t>
        </is>
      </c>
      <c r="J252" s="29" t="inlineStr">
        <is>
          <t>https://creativecommons.org/licenses/by-sa/4.0/</t>
        </is>
      </c>
      <c r="K252" s="29" t="inlineStr">
        <is>
          <t>https://commons.wikimedia.org/wiki/File:Capilla_Virgen_del_Carmen,_2022.jpg</t>
        </is>
      </c>
      <c r="L252" s="49" t="n">
        <v>44858</v>
      </c>
      <c r="M252" s="49" t="n">
        <v>46320</v>
      </c>
      <c r="N252" s="29" t="inlineStr">
        <is>
          <t>Wikimedia Commons'taki "Capilla Virgen del Carmen, 2022.jpg" (6000×4000 px) özgün dosyasının 1280×853 px küçültülmüş kopyası indirildi; kırpma, rötuş ve renk düzeltmesi yapılmadı. Teslim dosyası: sevilla_capilla-del-carmen-triana_02.jpg (SHA-256 e4e43bd79f8b).</t>
        </is>
      </c>
      <c r="O252" s="29" t="inlineStr">
        <is>
          <t>sevilla:evidence:capilla-del-carmen-triana-02</t>
        </is>
      </c>
      <c r="P252" s="29" t="inlineStr">
        <is>
          <t>Evet</t>
        </is>
      </c>
      <c r="Q252" s="51" t="n">
        <v>2</v>
      </c>
      <c r="R252" s="29" t="inlineStr">
        <is>
          <t>Taslak</t>
        </is>
      </c>
      <c r="S252" s="52">
        <f>IF(OR(A252="",F252="",C252&lt;&gt;"Mekân"),0,IF(COUNTIFS($F$8:F252,F252,$C$8:C252,"Mekân")=1,1,0))</f>
        <v/>
      </c>
      <c r="T252" s="52">
        <f>IF(OR(A252="",F252="",C252&lt;&gt;"Kapak"),0,IF(COUNTIFS($F$8:F252,F252,$C$8:C252,"Kapak")=1,1,0))</f>
        <v/>
      </c>
    </row>
    <row r="253" ht="54" customHeight="1">
      <c r="A253" s="29" t="inlineStr">
        <is>
          <t>sevilla:photo:capilla-del-carmen-triana-03</t>
        </is>
      </c>
      <c r="B253" s="29" t="inlineStr">
        <is>
          <t>sevilla</t>
        </is>
      </c>
      <c r="C253" s="29" t="inlineStr">
        <is>
          <t>Mekân</t>
        </is>
      </c>
      <c r="D253" s="29" t="inlineStr">
        <is>
          <t>sevilla:capilla-del-carmen-triana</t>
        </is>
      </c>
      <c r="E253" s="29" t="inlineStr">
        <is>
          <t>Fotoğraflar/sevilla_capilla-del-carmen-triana_03.jpg</t>
        </is>
      </c>
      <c r="F253" s="29" t="inlineStr">
        <is>
          <t>d672cb1f2e9116f6eee998c08404673ee524f4189a5feffe71b4dadb999688d9</t>
        </is>
      </c>
      <c r="G253" s="29" t="inlineStr">
        <is>
          <t>Capilla del Carmen'in çinili kubbesi ve tepesindeki haç.</t>
        </is>
      </c>
      <c r="H253" s="29" t="inlineStr">
        <is>
          <t>Anual</t>
        </is>
      </c>
      <c r="I253" s="29" t="inlineStr">
        <is>
          <t>CC BY 3.0</t>
        </is>
      </c>
      <c r="J253" s="29" t="inlineStr">
        <is>
          <t>https://creativecommons.org/licenses/by/3.0/</t>
        </is>
      </c>
      <c r="K253" s="29" t="inlineStr">
        <is>
          <t>https://commons.wikimedia.org/wiki/File:Capilla_del_Carmen_001.jpg</t>
        </is>
      </c>
      <c r="L253" s="49" t="n"/>
      <c r="M253" s="49" t="n">
        <v>46320</v>
      </c>
      <c r="N253" s="29" t="inlineStr">
        <is>
          <t>Wikimedia Commons'taki "Capilla del Carmen 001.jpg" (2592×3872 px) özgün dosyasının 1280×1912 px küçültülmüş kopyası indirildi; kırpma, rötuş ve renk düzeltmesi yapılmadı. Teslim dosyası: sevilla_capilla-del-carmen-triana_03.jpg (SHA-256 d672cb1f2e91).</t>
        </is>
      </c>
      <c r="O253" s="29" t="inlineStr">
        <is>
          <t>sevilla:evidence:capilla-del-carmen-triana-03</t>
        </is>
      </c>
      <c r="P253" s="29" t="inlineStr">
        <is>
          <t>Evet</t>
        </is>
      </c>
      <c r="Q253" s="51" t="n">
        <v>3</v>
      </c>
      <c r="R253" s="29" t="inlineStr">
        <is>
          <t>Taslak</t>
        </is>
      </c>
      <c r="S253" s="52">
        <f>IF(OR(A253="",F253="",C253&lt;&gt;"Mekân"),0,IF(COUNTIFS($F$8:F253,F253,$C$8:C253,"Mekân")=1,1,0))</f>
        <v/>
      </c>
      <c r="T253" s="52">
        <f>IF(OR(A253="",F253="",C253&lt;&gt;"Kapak"),0,IF(COUNTIFS($F$8:F253,F253,$C$8:C253,"Kapak")=1,1,0))</f>
        <v/>
      </c>
    </row>
    <row r="254" ht="54" customHeight="1">
      <c r="A254" s="29" t="inlineStr">
        <is>
          <t>sevilla:photo:iglesia-de-santa-maria-la-blanca-01</t>
        </is>
      </c>
      <c r="B254" s="29" t="inlineStr">
        <is>
          <t>sevilla</t>
        </is>
      </c>
      <c r="C254" s="29" t="inlineStr">
        <is>
          <t>Mekân</t>
        </is>
      </c>
      <c r="D254" s="29" t="inlineStr">
        <is>
          <t>sevilla:iglesia-de-santa-maria-la-blanca</t>
        </is>
      </c>
      <c r="E254" s="29" t="inlineStr">
        <is>
          <t>Fotoğraflar/sevilla_iglesia-de-santa-maria-la-blanca_01.jpg</t>
        </is>
      </c>
      <c r="F254" s="29" t="inlineStr">
        <is>
          <t>c8ec9fcd47b3981aac5f3f3b26945e41fe20bc0565fe384f73f2168935219b4d</t>
        </is>
      </c>
      <c r="G254" s="29" t="inlineStr">
        <is>
          <t>Santa María la Blanca Kilisesi'nin sarı cephesi, çan kulesi ve dar sokak.</t>
        </is>
      </c>
      <c r="H254" s="29" t="inlineStr">
        <is>
          <t>CarlosVdeHabsburgo</t>
        </is>
      </c>
      <c r="I254" s="29" t="inlineStr">
        <is>
          <t>CC BY-SA 4.0</t>
        </is>
      </c>
      <c r="J254" s="29" t="inlineStr">
        <is>
          <t>https://creativecommons.org/licenses/by-sa/4.0/</t>
        </is>
      </c>
      <c r="K254" s="29" t="inlineStr">
        <is>
          <t>https://commons.wikimedia.org/wiki/File:Iglesia_de_Santa_Mar%C3%ADa_la_Blanca_(Sevilla).jpg</t>
        </is>
      </c>
      <c r="L254" s="49" t="n">
        <v>43702</v>
      </c>
      <c r="M254" s="49" t="n">
        <v>46320</v>
      </c>
      <c r="N254" s="29" t="inlineStr">
        <is>
          <t>Wikimedia Commons'taki "Iglesia de Santa María la Blanca (Sevilla).jpg" (2278×3038 px) özgün dosyasının 1280×1707 px küçültülmüş kopyası indirildi; kırpma, rötuş ve renk düzeltmesi yapılmadı. Teslim dosyası: sevilla_iglesia-de-santa-maria-la-blanca_01.jpg (SHA-256 c8ec9fcd47b3).</t>
        </is>
      </c>
      <c r="O254" s="29" t="inlineStr">
        <is>
          <t>sevilla:evidence:iglesia-de-santa-maria-la-blanca-01</t>
        </is>
      </c>
      <c r="P254" s="29" t="inlineStr">
        <is>
          <t>Evet</t>
        </is>
      </c>
      <c r="Q254" s="51" t="n">
        <v>1</v>
      </c>
      <c r="R254" s="29" t="inlineStr">
        <is>
          <t>Taslak</t>
        </is>
      </c>
      <c r="S254" s="52">
        <f>IF(OR(A254="",F254="",C254&lt;&gt;"Mekân"),0,IF(COUNTIFS($F$8:F254,F254,$C$8:C254,"Mekân")=1,1,0))</f>
        <v/>
      </c>
      <c r="T254" s="52">
        <f>IF(OR(A254="",F254="",C254&lt;&gt;"Kapak"),0,IF(COUNTIFS($F$8:F254,F254,$C$8:C254,"Kapak")=1,1,0))</f>
        <v/>
      </c>
    </row>
    <row r="255" ht="54" customHeight="1">
      <c r="A255" s="29" t="inlineStr">
        <is>
          <t>sevilla:photo:iglesia-de-santa-maria-la-blanca-02</t>
        </is>
      </c>
      <c r="B255" s="29" t="inlineStr">
        <is>
          <t>sevilla</t>
        </is>
      </c>
      <c r="C255" s="29" t="inlineStr">
        <is>
          <t>Mekân</t>
        </is>
      </c>
      <c r="D255" s="29" t="inlineStr">
        <is>
          <t>sevilla:iglesia-de-santa-maria-la-blanca</t>
        </is>
      </c>
      <c r="E255" s="29" t="inlineStr">
        <is>
          <t>Fotoğraflar/sevilla_iglesia-de-santa-maria-la-blanca_02.jpg</t>
        </is>
      </c>
      <c r="F255" s="29" t="inlineStr">
        <is>
          <t>a6a0f28bdd5b7f45e27a1a02448f7caaa6937a7d1177f4771a7464ec81097021</t>
        </is>
      </c>
      <c r="G255" s="29" t="inlineStr">
        <is>
          <t>Santa María la Blanca Kilisesi'nin gotik kapısı ve çan tepeliği.</t>
        </is>
      </c>
      <c r="H255" s="29" t="inlineStr">
        <is>
          <t>Anual</t>
        </is>
      </c>
      <c r="I255" s="29" t="inlineStr">
        <is>
          <t>CC BY 3.0</t>
        </is>
      </c>
      <c r="J255" s="29" t="inlineStr">
        <is>
          <t>https://creativecommons.org/licenses/by/3.0/</t>
        </is>
      </c>
      <c r="K255" s="29" t="inlineStr">
        <is>
          <t>https://commons.wikimedia.org/wiki/File:Iglesia_de_Santa_Mar%C3%ADa_la_Blanca,_Sevilla.jpg</t>
        </is>
      </c>
      <c r="L255" s="49" t="n">
        <v>39740</v>
      </c>
      <c r="M255" s="49" t="n">
        <v>46320</v>
      </c>
      <c r="N255" s="29" t="inlineStr">
        <is>
          <t>Wikimedia Commons'taki "Iglesia de Santa María la Blanca, Sevilla.jpg" (2436×3778 px) özgün dosyasının 1280×1985 px küçültülmüş kopyası indirildi; kırpma, rötuş ve renk düzeltmesi yapılmadı. Teslim dosyası: sevilla_iglesia-de-santa-maria-la-blanca_02.jpg (SHA-256 a6a0f28bdd5b).</t>
        </is>
      </c>
      <c r="O255" s="29" t="inlineStr">
        <is>
          <t>sevilla:evidence:iglesia-de-santa-maria-la-blanca-02</t>
        </is>
      </c>
      <c r="P255" s="29" t="inlineStr">
        <is>
          <t>Evet</t>
        </is>
      </c>
      <c r="Q255" s="51" t="n">
        <v>2</v>
      </c>
      <c r="R255" s="29" t="inlineStr">
        <is>
          <t>Taslak</t>
        </is>
      </c>
      <c r="S255" s="52">
        <f>IF(OR(A255="",F255="",C255&lt;&gt;"Mekân"),0,IF(COUNTIFS($F$8:F255,F255,$C$8:C255,"Mekân")=1,1,0))</f>
        <v/>
      </c>
      <c r="T255" s="52">
        <f>IF(OR(A255="",F255="",C255&lt;&gt;"Kapak"),0,IF(COUNTIFS($F$8:F255,F255,$C$8:C255,"Kapak")=1,1,0))</f>
        <v/>
      </c>
    </row>
    <row r="256" ht="54" customHeight="1">
      <c r="A256" s="29" t="inlineStr">
        <is>
          <t>sevilla:photo:iglesia-de-san-pedro-01</t>
        </is>
      </c>
      <c r="B256" s="29" t="inlineStr">
        <is>
          <t>sevilla</t>
        </is>
      </c>
      <c r="C256" s="29" t="inlineStr">
        <is>
          <t>Mekân</t>
        </is>
      </c>
      <c r="D256" s="29" t="inlineStr">
        <is>
          <t>sevilla:iglesia-de-san-pedro</t>
        </is>
      </c>
      <c r="E256" s="29" t="inlineStr">
        <is>
          <t>Fotoğraflar/sevilla_iglesia-de-san-pedro_01.jpg</t>
        </is>
      </c>
      <c r="F256" s="29" t="inlineStr">
        <is>
          <t>ff07e67d35a2003c0a258d06263b078341dfdb8b5a09b3f623855a66b1c77faf</t>
        </is>
      </c>
      <c r="G256" s="29" t="inlineStr">
        <is>
          <t>San Pedro Kilisesi'nde çinili duvarlar ve yan sunak.</t>
        </is>
      </c>
      <c r="H256" s="29" t="inlineStr">
        <is>
          <t>Jl FilpoC</t>
        </is>
      </c>
      <c r="I256" s="29" t="inlineStr">
        <is>
          <t>CC BY-SA 4.0</t>
        </is>
      </c>
      <c r="J256" s="29" t="inlineStr">
        <is>
          <t>https://creativecommons.org/licenses/by-sa/4.0/</t>
        </is>
      </c>
      <c r="K256" s="29" t="inlineStr">
        <is>
          <t>https://commons.wikimedia.org/wiki/File:Altar_de_la_Iglesia_de_San_Pedro_de_Alc%C3%A1ntara,_Sevilla.jpg</t>
        </is>
      </c>
      <c r="L256" s="49" t="n">
        <v>44912</v>
      </c>
      <c r="M256" s="49" t="n">
        <v>46320</v>
      </c>
      <c r="N256" s="29" t="inlineStr">
        <is>
          <t>Wikimedia Commons'taki "Altar de la Iglesia de San Pedro de Alcántara, Sevilla.jpg" (2879×3839 px) özgün dosyasının 1280×1707 px küçültülmüş kopyası indirildi; kırpma, rötuş ve renk düzeltmesi yapılmadı. Teslim dosyası: sevilla_iglesia-de-san-pedro_01.jpg (SHA-256 ff07e67d35a2).</t>
        </is>
      </c>
      <c r="O256" s="29" t="inlineStr">
        <is>
          <t>sevilla:evidence:iglesia-de-san-pedro-01</t>
        </is>
      </c>
      <c r="P256" s="29" t="inlineStr">
        <is>
          <t>Evet</t>
        </is>
      </c>
      <c r="Q256" s="51" t="n">
        <v>1</v>
      </c>
      <c r="R256" s="29" t="inlineStr">
        <is>
          <t>Taslak</t>
        </is>
      </c>
      <c r="S256" s="52">
        <f>IF(OR(A256="",F256="",C256&lt;&gt;"Mekân"),0,IF(COUNTIFS($F$8:F256,F256,$C$8:C256,"Mekân")=1,1,0))</f>
        <v/>
      </c>
      <c r="T256" s="52">
        <f>IF(OR(A256="",F256="",C256&lt;&gt;"Kapak"),0,IF(COUNTIFS($F$8:F256,F256,$C$8:C256,"Kapak")=1,1,0))</f>
        <v/>
      </c>
    </row>
    <row r="257" ht="54" customHeight="1">
      <c r="A257" s="29" t="inlineStr">
        <is>
          <t>sevilla:photo:iglesia-de-san-pedro-02</t>
        </is>
      </c>
      <c r="B257" s="29" t="inlineStr">
        <is>
          <t>sevilla</t>
        </is>
      </c>
      <c r="C257" s="29" t="inlineStr">
        <is>
          <t>Mekân</t>
        </is>
      </c>
      <c r="D257" s="29" t="inlineStr">
        <is>
          <t>sevilla:iglesia-de-san-pedro</t>
        </is>
      </c>
      <c r="E257" s="29" t="inlineStr">
        <is>
          <t>Fotoğraflar/sevilla_iglesia-de-san-pedro_02.jpg</t>
        </is>
      </c>
      <c r="F257" s="29" t="inlineStr">
        <is>
          <t>f8084aba4c0baa14c4680f527b76fb0ca9a9575974c42c9a057fdb26e7ac19e4</t>
        </is>
      </c>
      <c r="G257" s="29" t="inlineStr">
        <is>
          <t>San Pedro Kilisesi'nde altın yaldızlı ana sunak ve nef.</t>
        </is>
      </c>
      <c r="H257" s="29" t="inlineStr">
        <is>
          <t>Jl FilpoC</t>
        </is>
      </c>
      <c r="I257" s="29" t="inlineStr">
        <is>
          <t>CC BY-SA 4.0</t>
        </is>
      </c>
      <c r="J257" s="29" t="inlineStr">
        <is>
          <t>https://creativecommons.org/licenses/by-sa/4.0/</t>
        </is>
      </c>
      <c r="K257" s="29" t="inlineStr">
        <is>
          <t>https://commons.wikimedia.org/wiki/File:Capilla_mayor_de_la_Iglesia_de_San_Pedro_(Sevilla).jpg</t>
        </is>
      </c>
      <c r="L257" s="49" t="n">
        <v>43780</v>
      </c>
      <c r="M257" s="49" t="n">
        <v>46320</v>
      </c>
      <c r="N257" s="29" t="inlineStr">
        <is>
          <t>Wikimedia Commons'taki "Capilla mayor de la Iglesia de San Pedro (Sevilla).jpg" (3043×3043 px) özgün dosyasının 1280×1280 px küçültülmüş kopyası indirildi; kırpma, rötuş ve renk düzeltmesi yapılmadı. Teslim dosyası: sevilla_iglesia-de-san-pedro_02.jpg (SHA-256 f8084aba4c0b).</t>
        </is>
      </c>
      <c r="O257" s="29" t="inlineStr">
        <is>
          <t>sevilla:evidence:iglesia-de-san-pedro-02</t>
        </is>
      </c>
      <c r="P257" s="29" t="inlineStr">
        <is>
          <t>Evet</t>
        </is>
      </c>
      <c r="Q257" s="51" t="n">
        <v>2</v>
      </c>
      <c r="R257" s="29" t="inlineStr">
        <is>
          <t>Taslak</t>
        </is>
      </c>
      <c r="S257" s="52">
        <f>IF(OR(A257="",F257="",C257&lt;&gt;"Mekân"),0,IF(COUNTIFS($F$8:F257,F257,$C$8:C257,"Mekân")=1,1,0))</f>
        <v/>
      </c>
      <c r="T257" s="52">
        <f>IF(OR(A257="",F257="",C257&lt;&gt;"Kapak"),0,IF(COUNTIFS($F$8:F257,F257,$C$8:C257,"Kapak")=1,1,0))</f>
        <v/>
      </c>
    </row>
    <row r="258" ht="54" customHeight="1">
      <c r="A258" s="29" t="inlineStr">
        <is>
          <t>sevilla:photo:kapak-01</t>
        </is>
      </c>
      <c r="B258" s="29" t="inlineStr">
        <is>
          <t>sevilla</t>
        </is>
      </c>
      <c r="C258" s="29" t="inlineStr">
        <is>
          <t>Kapak</t>
        </is>
      </c>
      <c r="D258" s="29" t="n"/>
      <c r="E258" s="29" t="inlineStr">
        <is>
          <t>Fotoğraflar/sevilla_kapak_01.jpg</t>
        </is>
      </c>
      <c r="F258" s="29" t="inlineStr">
        <is>
          <t>931993f5b1e06c6f5e9a5ecdaff97804bf4bfb6fb5048f40695d1f5246dd6e2b</t>
        </is>
      </c>
      <c r="G258" s="29" t="inlineStr">
        <is>
          <t>Sevilla'nın simgelerinden Plaza de España: tuğla galeriler, kuleler ve açık mavi gökyüzü.</t>
        </is>
      </c>
      <c r="H258" s="29" t="inlineStr">
        <is>
          <t>Holger Uwe Schmitt</t>
        </is>
      </c>
      <c r="I258" s="29" t="inlineStr">
        <is>
          <t>CC BY-SA 4.0</t>
        </is>
      </c>
      <c r="J258" s="29" t="inlineStr">
        <is>
          <t>https://creativecommons.org/licenses/by-sa/4.0/</t>
        </is>
      </c>
      <c r="K258" s="29" t="inlineStr">
        <is>
          <t>https://commons.wikimedia.org/wiki/File:9._Mai_1929,_an_diesem_Tag_wurde_die_Iberoamerikanische_Ausstellung_in_Sevilla_er%C3%B6ffnet._01.jpg</t>
        </is>
      </c>
      <c r="L258" s="49" t="n">
        <v>44560</v>
      </c>
      <c r="M258" s="49" t="n">
        <v>46320</v>
      </c>
      <c r="N258" s="29" t="inlineStr">
        <is>
          <t>Wikimedia Commons'taki "9. Mai 1929, an diesem Tag wurde die Iberoamerikanische Ausstellung in Sevilla eröffnet. 0" (6677×2995 px) özgün dosyasının 1280×574 px küçültülmüş kopyası indirildi; kırpma, rötuş ve renk düzeltmesi yapılmadı. Teslim dosyası: sevilla_kapak_01.jpg (SHA-256 931993f5b1e0).</t>
        </is>
      </c>
      <c r="O258" s="29" t="inlineStr">
        <is>
          <t>sevilla:evidence:kapak-01</t>
        </is>
      </c>
      <c r="P258" s="29" t="inlineStr">
        <is>
          <t>Evet</t>
        </is>
      </c>
      <c r="Q258" s="51" t="n">
        <v>1</v>
      </c>
      <c r="R258" s="29" t="inlineStr">
        <is>
          <t>Taslak</t>
        </is>
      </c>
      <c r="S258" s="52">
        <f>IF(OR(A258="",F258="",C258&lt;&gt;"Mekân"),0,IF(COUNTIFS($F$8:F258,F258,$C$8:C258,"Mekân")=1,1,0))</f>
        <v/>
      </c>
      <c r="T258" s="52">
        <f>IF(OR(A258="",F258="",C258&lt;&gt;"Kapak"),0,IF(COUNTIFS($F$8:F258,F258,$C$8:C258,"Kapak")=1,1,0))</f>
        <v/>
      </c>
    </row>
    <row r="259" ht="54" customHeight="1">
      <c r="A259" s="29" t="inlineStr">
        <is>
          <t>sevilla:photo:kapak-02</t>
        </is>
      </c>
      <c r="B259" s="29" t="inlineStr">
        <is>
          <t>sevilla</t>
        </is>
      </c>
      <c r="C259" s="29" t="inlineStr">
        <is>
          <t>Kapak</t>
        </is>
      </c>
      <c r="D259" s="29" t="n"/>
      <c r="E259" s="29" t="inlineStr">
        <is>
          <t>Fotoğraflar/sevilla_kapak_02.jpg</t>
        </is>
      </c>
      <c r="F259" s="29" t="inlineStr">
        <is>
          <t>2dbfca3a9cd5507924bc3ddcdf4964caf4c02ff5f75aa95471ab8fcb3ac3dede</t>
        </is>
      </c>
      <c r="G259" s="29" t="inlineStr">
        <is>
          <t>Sevilla'nın tarihî merkezinde katedral cephesi; meydanda atlı arabalar bekliyor.</t>
        </is>
      </c>
      <c r="H259" s="29" t="inlineStr">
        <is>
          <t>PEPE GADEIRAS</t>
        </is>
      </c>
      <c r="I259" s="29" t="inlineStr">
        <is>
          <t>CC BY-SA 4.0</t>
        </is>
      </c>
      <c r="J259" s="29" t="inlineStr">
        <is>
          <t>https://creativecommons.org/licenses/by-sa/4.0/</t>
        </is>
      </c>
      <c r="K259" s="29" t="inlineStr">
        <is>
          <t>https://commons.wikimedia.org/wiki/File:CATEDRAL_DE_SEVILLA.jpg</t>
        </is>
      </c>
      <c r="L259" s="49" t="n">
        <v>43121</v>
      </c>
      <c r="M259" s="49" t="n">
        <v>46320</v>
      </c>
      <c r="N259" s="29" t="inlineStr">
        <is>
          <t>Wikimedia Commons'taki "CATEDRAL DE SEVILLA.jpg" (5184×3456 px) özgün dosyasının 1280×853 px küçültülmüş kopyası indirildi; kırpma, rötuş ve renk düzeltmesi yapılmadı. Teslim dosyası: sevilla_kapak_02.jpg (SHA-256 2dbfca3a9cd5).</t>
        </is>
      </c>
      <c r="O259" s="29" t="inlineStr">
        <is>
          <t>sevilla:evidence:kapak-02</t>
        </is>
      </c>
      <c r="P259" s="29" t="inlineStr">
        <is>
          <t>Evet</t>
        </is>
      </c>
      <c r="Q259" s="51" t="n">
        <v>2</v>
      </c>
      <c r="R259" s="29" t="inlineStr">
        <is>
          <t>Taslak</t>
        </is>
      </c>
      <c r="S259" s="52">
        <f>IF(OR(A259="",F259="",C259&lt;&gt;"Mekân"),0,IF(COUNTIFS($F$8:F259,F259,$C$8:C259,"Mekân")=1,1,0))</f>
        <v/>
      </c>
      <c r="T259" s="52">
        <f>IF(OR(A259="",F259="",C259&lt;&gt;"Kapak"),0,IF(COUNTIFS($F$8:F259,F259,$C$8:C259,"Kapak")=1,1,0))</f>
        <v/>
      </c>
    </row>
    <row r="260" ht="54" customHeight="1">
      <c r="A260" s="29" t="inlineStr">
        <is>
          <t>sevilla:photo:kapak-03</t>
        </is>
      </c>
      <c r="B260" s="29" t="inlineStr">
        <is>
          <t>sevilla</t>
        </is>
      </c>
      <c r="C260" s="29" t="inlineStr">
        <is>
          <t>Kapak</t>
        </is>
      </c>
      <c r="D260" s="29" t="n"/>
      <c r="E260" s="29" t="inlineStr">
        <is>
          <t>Fotoğraflar/sevilla_kapak_03.jpg</t>
        </is>
      </c>
      <c r="F260" s="29" t="inlineStr">
        <is>
          <t>3ef99414f915c060326e46c7dfc55c3d0c8644fc91f582ec19cd1d6f97ae3d5b</t>
        </is>
      </c>
      <c r="G260" s="29" t="inlineStr">
        <is>
          <t>Sevilla'da baharda açan jakarandalar ve arkada Triana'ya geçen tarihî demir köprü.</t>
        </is>
      </c>
      <c r="H260" s="29" t="inlineStr">
        <is>
          <t>Adam Jones, Ph.D.</t>
        </is>
      </c>
      <c r="I260" s="29" t="inlineStr">
        <is>
          <t>CC BY-SA 3.0</t>
        </is>
      </c>
      <c r="J260" s="29" t="inlineStr">
        <is>
          <t>https://creativecommons.org/licenses/by-sa/3.0/</t>
        </is>
      </c>
      <c r="K260" s="29" t="inlineStr">
        <is>
          <t>https://commons.wikimedia.org/wiki/File:Bridge_with_Jacaranda_Tree_in_Bloom_-_Seville_-_Spain.jpg</t>
        </is>
      </c>
      <c r="L260" s="49" t="n">
        <v>40312</v>
      </c>
      <c r="M260" s="49" t="n">
        <v>46320</v>
      </c>
      <c r="N260" s="29" t="inlineStr">
        <is>
          <t>Wikimedia Commons'taki "Bridge with Jacaranda Tree in Bloom - Seville - Spain.jpg" (3456×2304 px) özgün dosyasının 1280×853 px küçültülmüş kopyası indirildi; kırpma, rötuş ve renk düzeltmesi yapılmadı. Teslim dosyası: sevilla_kapak_03.jpg (SHA-256 3ef99414f915).</t>
        </is>
      </c>
      <c r="O260" s="29" t="inlineStr">
        <is>
          <t>sevilla:evidence:kapak-03</t>
        </is>
      </c>
      <c r="P260" s="29" t="inlineStr">
        <is>
          <t>Evet</t>
        </is>
      </c>
      <c r="Q260" s="51" t="n">
        <v>3</v>
      </c>
      <c r="R260" s="29" t="inlineStr">
        <is>
          <t>Taslak</t>
        </is>
      </c>
      <c r="S260" s="52">
        <f>IF(OR(A260="",F260="",C260&lt;&gt;"Mekân"),0,IF(COUNTIFS($F$8:F260,F260,$C$8:C260,"Mekân")=1,1,0))</f>
        <v/>
      </c>
      <c r="T260" s="52">
        <f>IF(OR(A260="",F260="",C260&lt;&gt;"Kapak"),0,IF(COUNTIFS($F$8:F260,F260,$C$8:C260,"Kapak")=1,1,0))</f>
        <v/>
      </c>
    </row>
    <row r="261" ht="54" customHeight="1">
      <c r="A261" s="29" t="inlineStr">
        <is>
          <t>sevilla:photo:kapak-04</t>
        </is>
      </c>
      <c r="B261" s="29" t="inlineStr">
        <is>
          <t>sevilla</t>
        </is>
      </c>
      <c r="C261" s="29" t="inlineStr">
        <is>
          <t>Kapak</t>
        </is>
      </c>
      <c r="D261" s="29" t="n"/>
      <c r="E261" s="29" t="inlineStr">
        <is>
          <t>Fotoğraflar/sevilla_kapak_04.jpg</t>
        </is>
      </c>
      <c r="F261" s="29" t="inlineStr">
        <is>
          <t>6a35efd62fb5f61d58af688d5d72137a1af47a33b0cb859ee686e8469032be30</t>
        </is>
      </c>
      <c r="G261" s="29" t="inlineStr">
        <is>
          <t>Sevilla'nın en bilinen parkında portakal ağaçları ve geometrik çit bahçeleri.</t>
        </is>
      </c>
      <c r="H261" s="29" t="inlineStr">
        <is>
          <t>Максим Массалитин (Maxim Massalitin)</t>
        </is>
      </c>
      <c r="I261" s="29" t="inlineStr">
        <is>
          <t>CC BY 2.0</t>
        </is>
      </c>
      <c r="J261" s="29" t="inlineStr">
        <is>
          <t>https://creativecommons.org/licenses/by/2.0/</t>
        </is>
      </c>
      <c r="K261" s="29" t="inlineStr">
        <is>
          <t>https://commons.wikimedia.org/wiki/File:Andaluc%C3%ADa,_Sevilla,_plaza_de_America_(16488311286).jpg</t>
        </is>
      </c>
      <c r="L261" s="49" t="n">
        <v>42031</v>
      </c>
      <c r="M261" s="49" t="n">
        <v>46320</v>
      </c>
      <c r="N261" s="29" t="inlineStr">
        <is>
          <t>Wikimedia Commons'taki "Andalucía, Sevilla, plaza de America (16488311286).jpg" (4928×3264 px) özgün dosyasının 1280×848 px küçültülmüş kopyası indirildi; kırpma, rötuş ve renk düzeltmesi yapılmadı. Teslim dosyası: sevilla_kapak_04.jpg (SHA-256 6a35efd62fb5).</t>
        </is>
      </c>
      <c r="O261" s="29" t="inlineStr">
        <is>
          <t>sevilla:evidence:kapak-04</t>
        </is>
      </c>
      <c r="P261" s="29" t="inlineStr">
        <is>
          <t>Evet</t>
        </is>
      </c>
      <c r="Q261" s="51" t="n">
        <v>4</v>
      </c>
      <c r="R261" s="29" t="inlineStr">
        <is>
          <t>Taslak</t>
        </is>
      </c>
      <c r="S261" s="52">
        <f>IF(OR(A261="",F261="",C261&lt;&gt;"Mekân"),0,IF(COUNTIFS($F$8:F261,F261,$C$8:C261,"Mekân")=1,1,0))</f>
        <v/>
      </c>
      <c r="T261" s="52">
        <f>IF(OR(A261="",F261="",C261&lt;&gt;"Kapak"),0,IF(COUNTIFS($F$8:F261,F261,$C$8:C261,"Kapak")=1,1,0))</f>
        <v/>
      </c>
    </row>
    <row r="262" ht="54" customHeight="1">
      <c r="A262" s="29" t="inlineStr">
        <is>
          <t>sevilla:photo:kapak-05</t>
        </is>
      </c>
      <c r="B262" s="29" t="inlineStr">
        <is>
          <t>sevilla</t>
        </is>
      </c>
      <c r="C262" s="29" t="inlineStr">
        <is>
          <t>Kapak</t>
        </is>
      </c>
      <c r="D262" s="29" t="n"/>
      <c r="E262" s="29" t="inlineStr">
        <is>
          <t>Fotoğraflar/sevilla_kapak_05.jpg</t>
        </is>
      </c>
      <c r="F262" s="29" t="inlineStr">
        <is>
          <t>de71278d170c7023c7c00409de13ac18c07f812d3d2d082c33f326016b390890</t>
        </is>
      </c>
      <c r="G262" s="29" t="inlineStr">
        <is>
          <t>Sevilla'yı ikiye bölen Guadalquivir; tekneler ve nehrin batı yakasında Triana evleri.</t>
        </is>
      </c>
      <c r="H262" s="29" t="inlineStr">
        <is>
          <t>CarlosVdeHabsburgo</t>
        </is>
      </c>
      <c r="I262" s="29" t="inlineStr">
        <is>
          <t>CC BY-SA 4.0</t>
        </is>
      </c>
      <c r="J262" s="29" t="inlineStr">
        <is>
          <t>https://creativecommons.org/licenses/by-sa/4.0/</t>
        </is>
      </c>
      <c r="K262" s="29" t="inlineStr">
        <is>
          <t>https://commons.wikimedia.org/wiki/File:Barcos_en_el_Guadalquivir.jpg</t>
        </is>
      </c>
      <c r="L262" s="49" t="n">
        <v>43203</v>
      </c>
      <c r="M262" s="49" t="n">
        <v>46320</v>
      </c>
      <c r="N262" s="29" t="inlineStr">
        <is>
          <t>Wikimedia Commons'taki "Barcos en el Guadalquivir.jpg" (4320×3240 px) özgün dosyasının 1280×960 px küçültülmüş kopyası indirildi; kırpma, rötuş ve renk düzeltmesi yapılmadı. Teslim dosyası: sevilla_kapak_05.jpg (SHA-256 de71278d170c).</t>
        </is>
      </c>
      <c r="O262" s="29" t="inlineStr">
        <is>
          <t>sevilla:evidence:kapak-05</t>
        </is>
      </c>
      <c r="P262" s="29" t="inlineStr">
        <is>
          <t>Evet</t>
        </is>
      </c>
      <c r="Q262" s="51" t="n">
        <v>5</v>
      </c>
      <c r="R262" s="29" t="inlineStr">
        <is>
          <t>Taslak</t>
        </is>
      </c>
      <c r="S262" s="52">
        <f>IF(OR(A262="",F262="",C262&lt;&gt;"Mekân"),0,IF(COUNTIFS($F$8:F262,F262,$C$8:C262,"Mekân")=1,1,0))</f>
        <v/>
      </c>
      <c r="T262" s="52">
        <f>IF(OR(A262="",F262="",C262&lt;&gt;"Kapak"),0,IF(COUNTIFS($F$8:F262,F262,$C$8:C262,"Kapak")=1,1,0))</f>
        <v/>
      </c>
    </row>
    <row r="263" ht="54" customHeight="1">
      <c r="A263" s="29" t="inlineStr">
        <is>
          <t>sevilla:photo:kapak-06</t>
        </is>
      </c>
      <c r="B263" s="29" t="inlineStr">
        <is>
          <t>sevilla</t>
        </is>
      </c>
      <c r="C263" s="29" t="inlineStr">
        <is>
          <t>Kapak</t>
        </is>
      </c>
      <c r="D263" s="29" t="n"/>
      <c r="E263" s="29" t="inlineStr">
        <is>
          <t>Fotoğraflar/sevilla_kapak_06.jpg</t>
        </is>
      </c>
      <c r="F263" s="29" t="inlineStr">
        <is>
          <t>41635123510449125b72ad2e6ae69fd302ac901c331b304329f9fb030e24d63f</t>
        </is>
      </c>
      <c r="G263" s="29" t="inlineStr">
        <is>
          <t>Sevilla'nın Arenal semtinde beyaz-sarı barok cepheli tarihî boğa arenası.</t>
        </is>
      </c>
      <c r="H263" s="29" t="inlineStr">
        <is>
          <t>Andrei Dimofte from Stuttgart, Germany</t>
        </is>
      </c>
      <c r="I263" s="29" t="inlineStr">
        <is>
          <t>CC BY 2.0</t>
        </is>
      </c>
      <c r="J263" s="29" t="inlineStr">
        <is>
          <t>https://creativecommons.org/licenses/by/2.0/</t>
        </is>
      </c>
      <c r="K263" s="29" t="inlineStr">
        <is>
          <t>https://commons.wikimedia.org/wiki/File:Andalucia-01-0062_(8086361611).jpg</t>
        </is>
      </c>
      <c r="L263" s="49" t="n">
        <v>41192</v>
      </c>
      <c r="M263" s="49" t="n">
        <v>46320</v>
      </c>
      <c r="N263" s="29" t="inlineStr">
        <is>
          <t>Wikimedia Commons'taki "Andalucia-01-0062 (8086361611).jpg" (3872×2592 px) özgün dosyasının 1280×857 px küçültülmüş kopyası indirildi; kırpma, rötuş ve renk düzeltmesi yapılmadı. Teslim dosyası: sevilla_kapak_06.jpg (SHA-256 416351235104).</t>
        </is>
      </c>
      <c r="O263" s="29" t="inlineStr">
        <is>
          <t>sevilla:evidence:kapak-06</t>
        </is>
      </c>
      <c r="P263" s="29" t="inlineStr">
        <is>
          <t>Evet</t>
        </is>
      </c>
      <c r="Q263" s="51" t="n">
        <v>6</v>
      </c>
      <c r="R263" s="29" t="inlineStr">
        <is>
          <t>Taslak</t>
        </is>
      </c>
      <c r="S263" s="52">
        <f>IF(OR(A263="",F263="",C263&lt;&gt;"Mekân"),0,IF(COUNTIFS($F$8:F263,F263,$C$8:C263,"Mekân")=1,1,0))</f>
        <v/>
      </c>
      <c r="T263" s="52">
        <f>IF(OR(A263="",F263="",C263&lt;&gt;"Kapak"),0,IF(COUNTIFS($F$8:F263,F263,$C$8:C263,"Kapak")=1,1,0))</f>
        <v/>
      </c>
    </row>
    <row r="264" ht="54" customHeight="1">
      <c r="A264" s="29" t="inlineStr">
        <is>
          <t>sevilla:photo:kapak-07</t>
        </is>
      </c>
      <c r="B264" s="29" t="inlineStr">
        <is>
          <t>sevilla</t>
        </is>
      </c>
      <c r="C264" s="29" t="inlineStr">
        <is>
          <t>Kapak</t>
        </is>
      </c>
      <c r="D264" s="29" t="n"/>
      <c r="E264" s="29" t="inlineStr">
        <is>
          <t>Fotoğraflar/sevilla_kapak_07.jpg</t>
        </is>
      </c>
      <c r="F264" s="29" t="inlineStr">
        <is>
          <t>3b015c3b3a8c7d5839acbb477cb71cc8b8812983d7ab5fe4ce40057bbfb56aba</t>
        </is>
      </c>
      <c r="G264" s="29" t="inlineStr">
        <is>
          <t>Sevilla'da nehir kıyısına yakın, kırmızı-sarı cepheli barok San Telmo Sarayı.</t>
        </is>
      </c>
      <c r="H264" s="29" t="inlineStr">
        <is>
          <t>PEPE GADEIRAS</t>
        </is>
      </c>
      <c r="I264" s="29" t="inlineStr">
        <is>
          <t>CC BY-SA 4.0</t>
        </is>
      </c>
      <c r="J264" s="29" t="inlineStr">
        <is>
          <t>https://creativecommons.org/licenses/by-sa/4.0/</t>
        </is>
      </c>
      <c r="K264" s="29" t="inlineStr">
        <is>
          <t>https://commons.wikimedia.org/wiki/File:Palacio_San_Telmo_de_Sevilla.jpg</t>
        </is>
      </c>
      <c r="L264" s="49" t="n">
        <v>40650</v>
      </c>
      <c r="M264" s="49" t="n">
        <v>46320</v>
      </c>
      <c r="N264" s="29" t="inlineStr">
        <is>
          <t>Wikimedia Commons'taki "Palacio San Telmo de Sevilla.jpg" (5184×3456 px) özgün dosyasının 1280×853 px küçültülmüş kopyası indirildi; kırpma, rötuş ve renk düzeltmesi yapılmadı. Teslim dosyası: sevilla_kapak_07.jpg (SHA-256 3b015c3b3a8c).</t>
        </is>
      </c>
      <c r="O264" s="29" t="inlineStr">
        <is>
          <t>sevilla:evidence:kapak-07</t>
        </is>
      </c>
      <c r="P264" s="29" t="inlineStr">
        <is>
          <t>Evet</t>
        </is>
      </c>
      <c r="Q264" s="51" t="n">
        <v>7</v>
      </c>
      <c r="R264" s="29" t="inlineStr">
        <is>
          <t>Taslak</t>
        </is>
      </c>
      <c r="S264" s="52">
        <f>IF(OR(A264="",F264="",C264&lt;&gt;"Mekân"),0,IF(COUNTIFS($F$8:F264,F264,$C$8:C264,"Mekân")=1,1,0))</f>
        <v/>
      </c>
      <c r="T264" s="52">
        <f>IF(OR(A264="",F264="",C264&lt;&gt;"Kapak"),0,IF(COUNTIFS($F$8:F264,F264,$C$8:C264,"Kapak")=1,1,0))</f>
        <v/>
      </c>
    </row>
    <row r="265" ht="54" customHeight="1">
      <c r="A265" s="29" t="inlineStr">
        <is>
          <t>sevilla:photo:kapak-08</t>
        </is>
      </c>
      <c r="B265" s="29" t="inlineStr">
        <is>
          <t>sevilla</t>
        </is>
      </c>
      <c r="C265" s="29" t="inlineStr">
        <is>
          <t>Kapak</t>
        </is>
      </c>
      <c r="D265" s="29" t="n"/>
      <c r="E265" s="29" t="inlineStr">
        <is>
          <t>Fotoğraflar/sevilla_kapak_08.jpg</t>
        </is>
      </c>
      <c r="F265" s="29" t="inlineStr">
        <is>
          <t>f0d69c26993dfa07e671917e2607329a20873b7d44b368ea288904370731f868</t>
        </is>
      </c>
      <c r="G265" s="29" t="inlineStr">
        <is>
          <t>Sevilla'nın kuzeyindeki Alameda'da ağaç gölgesinde kafeler ve geniş yaya meydanı.</t>
        </is>
      </c>
      <c r="H265" s="29" t="inlineStr">
        <is>
          <t>Chabe01</t>
        </is>
      </c>
      <c r="I265" s="29" t="inlineStr">
        <is>
          <t>CC BY-SA 4.0</t>
        </is>
      </c>
      <c r="J265" s="29" t="inlineStr">
        <is>
          <t>https://creativecommons.org/licenses/by-sa/4.0/</t>
        </is>
      </c>
      <c r="K265" s="29" t="inlineStr">
        <is>
          <t>https://commons.wikimedia.org/wiki/File:Alameda_H%C3%A9rcules_-_S%C3%A9ville_(ES-SE)_-_2023-04-24_-_1.jpg</t>
        </is>
      </c>
      <c r="L265" s="49" t="n">
        <v>45040</v>
      </c>
      <c r="M265" s="49" t="n">
        <v>46320</v>
      </c>
      <c r="N265" s="29" t="inlineStr">
        <is>
          <t>Wikimedia Commons'taki "Alameda Hércules - Séville (ES-SE) - 2023-04-24 - 1.jpg" (4032×3024 px) özgün dosyasının 1280×960 px küçültülmüş kopyası indirildi; kırpma, rötuş ve renk düzeltmesi yapılmadı. Teslim dosyası: sevilla_kapak_08.jpg (SHA-256 f0d69c26993d).</t>
        </is>
      </c>
      <c r="O265" s="29" t="inlineStr">
        <is>
          <t>sevilla:evidence:kapak-08</t>
        </is>
      </c>
      <c r="P265" s="29" t="inlineStr">
        <is>
          <t>Evet</t>
        </is>
      </c>
      <c r="Q265" s="51" t="n">
        <v>8</v>
      </c>
      <c r="R265" s="29" t="inlineStr">
        <is>
          <t>Taslak</t>
        </is>
      </c>
      <c r="S265" s="52">
        <f>IF(OR(A265="",F265="",C265&lt;&gt;"Mekân"),0,IF(COUNTIFS($F$8:F265,F265,$C$8:C265,"Mekân")=1,1,0))</f>
        <v/>
      </c>
      <c r="T265" s="52">
        <f>IF(OR(A265="",F265="",C265&lt;&gt;"Kapak"),0,IF(COUNTIFS($F$8:F265,F265,$C$8:C265,"Kapak")=1,1,0))</f>
        <v/>
      </c>
    </row>
    <row r="266" ht="54" customHeight="1">
      <c r="A266" s="29" t="n"/>
      <c r="B266" s="29" t="n"/>
      <c r="C266" s="29" t="n"/>
      <c r="D266" s="29" t="n"/>
      <c r="E266" s="29" t="n"/>
      <c r="F266" s="29" t="n"/>
      <c r="G266" s="29" t="n"/>
      <c r="H266" s="29" t="n"/>
      <c r="I266" s="29" t="n"/>
      <c r="J266" s="29" t="n"/>
      <c r="K266" s="29" t="n"/>
      <c r="L266" s="49" t="n"/>
      <c r="M266" s="49" t="n"/>
      <c r="N266" s="29" t="n"/>
      <c r="O266" s="29" t="n"/>
      <c r="P266" s="29" t="n"/>
      <c r="Q266" s="51" t="n"/>
      <c r="R266" s="29" t="n"/>
      <c r="S266" s="52">
        <f>IF(OR(A266="",F266="",C266&lt;&gt;"Mekân"),0,IF(COUNTIFS($F$8:F266,F266,$C$8:C266,"Mekân")=1,1,0))</f>
        <v/>
      </c>
      <c r="T266" s="52">
        <f>IF(OR(A266="",F266="",C266&lt;&gt;"Kapak"),0,IF(COUNTIFS($F$8:F266,F266,$C$8:C266,"Kapak")=1,1,0))</f>
        <v/>
      </c>
    </row>
    <row r="267" ht="54" customHeight="1">
      <c r="A267" s="29" t="n"/>
      <c r="B267" s="29" t="n"/>
      <c r="C267" s="29" t="n"/>
      <c r="D267" s="29" t="n"/>
      <c r="E267" s="29" t="n"/>
      <c r="F267" s="29" t="n"/>
      <c r="G267" s="29" t="n"/>
      <c r="H267" s="29" t="n"/>
      <c r="I267" s="29" t="n"/>
      <c r="J267" s="29" t="n"/>
      <c r="K267" s="29" t="n"/>
      <c r="L267" s="49" t="n"/>
      <c r="M267" s="49" t="n"/>
      <c r="N267" s="29" t="n"/>
      <c r="O267" s="29" t="n"/>
      <c r="P267" s="29" t="n"/>
      <c r="Q267" s="51" t="n"/>
      <c r="R267" s="29" t="n"/>
      <c r="S267" s="52">
        <f>IF(OR(A267="",F267="",C267&lt;&gt;"Mekân"),0,IF(COUNTIFS($F$8:F267,F267,$C$8:C267,"Mekân")=1,1,0))</f>
        <v/>
      </c>
      <c r="T267" s="52">
        <f>IF(OR(A267="",F267="",C267&lt;&gt;"Kapak"),0,IF(COUNTIFS($F$8:F267,F267,$C$8:C267,"Kapak")=1,1,0))</f>
        <v/>
      </c>
    </row>
    <row r="268" ht="54" customHeight="1">
      <c r="A268" s="29" t="n"/>
      <c r="B268" s="29" t="n"/>
      <c r="C268" s="29" t="n"/>
      <c r="D268" s="29" t="n"/>
      <c r="E268" s="29" t="n"/>
      <c r="F268" s="29" t="n"/>
      <c r="G268" s="29" t="n"/>
      <c r="H268" s="29" t="n"/>
      <c r="I268" s="29" t="n"/>
      <c r="J268" s="29" t="n"/>
      <c r="K268" s="29" t="n"/>
      <c r="L268" s="49" t="n"/>
      <c r="M268" s="49" t="n"/>
      <c r="N268" s="29" t="n"/>
      <c r="O268" s="29" t="n"/>
      <c r="P268" s="29" t="n"/>
      <c r="Q268" s="51" t="n"/>
      <c r="R268" s="29" t="n"/>
      <c r="S268" s="52">
        <f>IF(OR(A268="",F268="",C268&lt;&gt;"Mekân"),0,IF(COUNTIFS($F$8:F268,F268,$C$8:C268,"Mekân")=1,1,0))</f>
        <v/>
      </c>
      <c r="T268" s="52">
        <f>IF(OR(A268="",F268="",C268&lt;&gt;"Kapak"),0,IF(COUNTIFS($F$8:F268,F268,$C$8:C268,"Kapak")=1,1,0))</f>
        <v/>
      </c>
    </row>
    <row r="269" ht="54" customHeight="1">
      <c r="A269" s="29" t="n"/>
      <c r="B269" s="29" t="n"/>
      <c r="C269" s="29" t="n"/>
      <c r="D269" s="29" t="n"/>
      <c r="E269" s="29" t="n"/>
      <c r="F269" s="29" t="n"/>
      <c r="G269" s="29" t="n"/>
      <c r="H269" s="29" t="n"/>
      <c r="I269" s="29" t="n"/>
      <c r="J269" s="29" t="n"/>
      <c r="K269" s="29" t="n"/>
      <c r="L269" s="49" t="n"/>
      <c r="M269" s="49" t="n"/>
      <c r="N269" s="29" t="n"/>
      <c r="O269" s="29" t="n"/>
      <c r="P269" s="29" t="n"/>
      <c r="Q269" s="51" t="n"/>
      <c r="R269" s="29" t="n"/>
      <c r="S269" s="52">
        <f>IF(OR(A269="",F269="",C269&lt;&gt;"Mekân"),0,IF(COUNTIFS($F$8:F269,F269,$C$8:C269,"Mekân")=1,1,0))</f>
        <v/>
      </c>
      <c r="T269" s="52">
        <f>IF(OR(A269="",F269="",C269&lt;&gt;"Kapak"),0,IF(COUNTIFS($F$8:F269,F269,$C$8:C269,"Kapak")=1,1,0))</f>
        <v/>
      </c>
    </row>
    <row r="270" ht="54" customHeight="1">
      <c r="A270" s="29" t="n"/>
      <c r="B270" s="29" t="n"/>
      <c r="C270" s="29" t="n"/>
      <c r="D270" s="29" t="n"/>
      <c r="E270" s="29" t="n"/>
      <c r="F270" s="29" t="n"/>
      <c r="G270" s="29" t="n"/>
      <c r="H270" s="29" t="n"/>
      <c r="I270" s="29" t="n"/>
      <c r="J270" s="29" t="n"/>
      <c r="K270" s="29" t="n"/>
      <c r="L270" s="49" t="n"/>
      <c r="M270" s="49" t="n"/>
      <c r="N270" s="29" t="n"/>
      <c r="O270" s="29" t="n"/>
      <c r="P270" s="29" t="n"/>
      <c r="Q270" s="51" t="n"/>
      <c r="R270" s="29" t="n"/>
      <c r="S270" s="52">
        <f>IF(OR(A270="",F270="",C270&lt;&gt;"Mekân"),0,IF(COUNTIFS($F$8:F270,F270,$C$8:C270,"Mekân")=1,1,0))</f>
        <v/>
      </c>
      <c r="T270" s="52">
        <f>IF(OR(A270="",F270="",C270&lt;&gt;"Kapak"),0,IF(COUNTIFS($F$8:F270,F270,$C$8:C270,"Kapak")=1,1,0))</f>
        <v/>
      </c>
    </row>
    <row r="271" ht="54" customHeight="1">
      <c r="A271" s="29" t="n"/>
      <c r="B271" s="29" t="n"/>
      <c r="C271" s="29" t="n"/>
      <c r="D271" s="29" t="n"/>
      <c r="E271" s="29" t="n"/>
      <c r="F271" s="29" t="n"/>
      <c r="G271" s="29" t="n"/>
      <c r="H271" s="29" t="n"/>
      <c r="I271" s="29" t="n"/>
      <c r="J271" s="29" t="n"/>
      <c r="K271" s="29" t="n"/>
      <c r="L271" s="49" t="n"/>
      <c r="M271" s="49" t="n"/>
      <c r="N271" s="29" t="n"/>
      <c r="O271" s="29" t="n"/>
      <c r="P271" s="29" t="n"/>
      <c r="Q271" s="51" t="n"/>
      <c r="R271" s="29" t="n"/>
      <c r="S271" s="52">
        <f>IF(OR(A271="",F271="",C271&lt;&gt;"Mekân"),0,IF(COUNTIFS($F$8:F271,F271,$C$8:C271,"Mekân")=1,1,0))</f>
        <v/>
      </c>
      <c r="T271" s="52">
        <f>IF(OR(A271="",F271="",C271&lt;&gt;"Kapak"),0,IF(COUNTIFS($F$8:F271,F271,$C$8:C271,"Kapak")=1,1,0))</f>
        <v/>
      </c>
    </row>
    <row r="272" ht="54" customHeight="1">
      <c r="A272" s="29" t="n"/>
      <c r="B272" s="29" t="n"/>
      <c r="C272" s="29" t="n"/>
      <c r="D272" s="29" t="n"/>
      <c r="E272" s="29" t="n"/>
      <c r="F272" s="29" t="n"/>
      <c r="G272" s="29" t="n"/>
      <c r="H272" s="29" t="n"/>
      <c r="I272" s="29" t="n"/>
      <c r="J272" s="29" t="n"/>
      <c r="K272" s="29" t="n"/>
      <c r="L272" s="49" t="n"/>
      <c r="M272" s="49" t="n"/>
      <c r="N272" s="29" t="n"/>
      <c r="O272" s="29" t="n"/>
      <c r="P272" s="29" t="n"/>
      <c r="Q272" s="51" t="n"/>
      <c r="R272" s="29" t="n"/>
      <c r="S272" s="52">
        <f>IF(OR(A272="",F272="",C272&lt;&gt;"Mekân"),0,IF(COUNTIFS($F$8:F272,F272,$C$8:C272,"Mekân")=1,1,0))</f>
        <v/>
      </c>
      <c r="T272" s="52">
        <f>IF(OR(A272="",F272="",C272&lt;&gt;"Kapak"),0,IF(COUNTIFS($F$8:F272,F272,$C$8:C272,"Kapak")=1,1,0))</f>
        <v/>
      </c>
    </row>
    <row r="273" ht="54" customHeight="1">
      <c r="A273" s="29" t="n"/>
      <c r="B273" s="29" t="n"/>
      <c r="C273" s="29" t="n"/>
      <c r="D273" s="29" t="n"/>
      <c r="E273" s="29" t="n"/>
      <c r="F273" s="29" t="n"/>
      <c r="G273" s="29" t="n"/>
      <c r="H273" s="29" t="n"/>
      <c r="I273" s="29" t="n"/>
      <c r="J273" s="29" t="n"/>
      <c r="K273" s="29" t="n"/>
      <c r="L273" s="49" t="n"/>
      <c r="M273" s="49" t="n"/>
      <c r="N273" s="29" t="n"/>
      <c r="O273" s="29" t="n"/>
      <c r="P273" s="29" t="n"/>
      <c r="Q273" s="51" t="n"/>
      <c r="R273" s="29" t="n"/>
      <c r="S273" s="52">
        <f>IF(OR(A273="",F273="",C273&lt;&gt;"Mekân"),0,IF(COUNTIFS($F$8:F273,F273,$C$8:C273,"Mekân")=1,1,0))</f>
        <v/>
      </c>
      <c r="T273" s="52">
        <f>IF(OR(A273="",F273="",C273&lt;&gt;"Kapak"),0,IF(COUNTIFS($F$8:F273,F273,$C$8:C273,"Kapak")=1,1,0))</f>
        <v/>
      </c>
    </row>
    <row r="274" ht="54" customHeight="1">
      <c r="A274" s="29" t="n"/>
      <c r="B274" s="29" t="n"/>
      <c r="C274" s="29" t="n"/>
      <c r="D274" s="29" t="n"/>
      <c r="E274" s="29" t="n"/>
      <c r="F274" s="29" t="n"/>
      <c r="G274" s="29" t="n"/>
      <c r="H274" s="29" t="n"/>
      <c r="I274" s="29" t="n"/>
      <c r="J274" s="29" t="n"/>
      <c r="K274" s="29" t="n"/>
      <c r="L274" s="49" t="n"/>
      <c r="M274" s="49" t="n"/>
      <c r="N274" s="29" t="n"/>
      <c r="O274" s="29" t="n"/>
      <c r="P274" s="29" t="n"/>
      <c r="Q274" s="51" t="n"/>
      <c r="R274" s="29" t="n"/>
      <c r="S274" s="52">
        <f>IF(OR(A274="",F274="",C274&lt;&gt;"Mekân"),0,IF(COUNTIFS($F$8:F274,F274,$C$8:C274,"Mekân")=1,1,0))</f>
        <v/>
      </c>
      <c r="T274" s="52">
        <f>IF(OR(A274="",F274="",C274&lt;&gt;"Kapak"),0,IF(COUNTIFS($F$8:F274,F274,$C$8:C274,"Kapak")=1,1,0))</f>
        <v/>
      </c>
    </row>
    <row r="275" ht="54" customHeight="1">
      <c r="A275" s="29" t="n"/>
      <c r="B275" s="29" t="n"/>
      <c r="C275" s="29" t="n"/>
      <c r="D275" s="29" t="n"/>
      <c r="E275" s="29" t="n"/>
      <c r="F275" s="29" t="n"/>
      <c r="G275" s="29" t="n"/>
      <c r="H275" s="29" t="n"/>
      <c r="I275" s="29" t="n"/>
      <c r="J275" s="29" t="n"/>
      <c r="K275" s="29" t="n"/>
      <c r="L275" s="49" t="n"/>
      <c r="M275" s="49" t="n"/>
      <c r="N275" s="29" t="n"/>
      <c r="O275" s="29" t="n"/>
      <c r="P275" s="29" t="n"/>
      <c r="Q275" s="51" t="n"/>
      <c r="R275" s="29" t="n"/>
      <c r="S275" s="52">
        <f>IF(OR(A275="",F275="",C275&lt;&gt;"Mekân"),0,IF(COUNTIFS($F$8:F275,F275,$C$8:C275,"Mekân")=1,1,0))</f>
        <v/>
      </c>
      <c r="T275" s="52">
        <f>IF(OR(A275="",F275="",C275&lt;&gt;"Kapak"),0,IF(COUNTIFS($F$8:F275,F275,$C$8:C275,"Kapak")=1,1,0))</f>
        <v/>
      </c>
    </row>
    <row r="276" ht="54" customHeight="1">
      <c r="A276" s="29" t="n"/>
      <c r="B276" s="29" t="n"/>
      <c r="C276" s="29" t="n"/>
      <c r="D276" s="29" t="n"/>
      <c r="E276" s="29" t="n"/>
      <c r="F276" s="29" t="n"/>
      <c r="G276" s="29" t="n"/>
      <c r="H276" s="29" t="n"/>
      <c r="I276" s="29" t="n"/>
      <c r="J276" s="29" t="n"/>
      <c r="K276" s="29" t="n"/>
      <c r="L276" s="49" t="n"/>
      <c r="M276" s="49" t="n"/>
      <c r="N276" s="29" t="n"/>
      <c r="O276" s="29" t="n"/>
      <c r="P276" s="29" t="n"/>
      <c r="Q276" s="51" t="n"/>
      <c r="R276" s="29" t="n"/>
      <c r="S276" s="52">
        <f>IF(OR(A276="",F276="",C276&lt;&gt;"Mekân"),0,IF(COUNTIFS($F$8:F276,F276,$C$8:C276,"Mekân")=1,1,0))</f>
        <v/>
      </c>
      <c r="T276" s="52">
        <f>IF(OR(A276="",F276="",C276&lt;&gt;"Kapak"),0,IF(COUNTIFS($F$8:F276,F276,$C$8:C276,"Kapak")=1,1,0))</f>
        <v/>
      </c>
    </row>
    <row r="277" ht="54" customHeight="1">
      <c r="A277" s="29" t="n"/>
      <c r="B277" s="29" t="n"/>
      <c r="C277" s="29" t="n"/>
      <c r="D277" s="29" t="n"/>
      <c r="E277" s="29" t="n"/>
      <c r="F277" s="29" t="n"/>
      <c r="G277" s="29" t="n"/>
      <c r="H277" s="29" t="n"/>
      <c r="I277" s="29" t="n"/>
      <c r="J277" s="29" t="n"/>
      <c r="K277" s="29" t="n"/>
      <c r="L277" s="49" t="n"/>
      <c r="M277" s="49" t="n"/>
      <c r="N277" s="29" t="n"/>
      <c r="O277" s="29" t="n"/>
      <c r="P277" s="29" t="n"/>
      <c r="Q277" s="51" t="n"/>
      <c r="R277" s="29" t="n"/>
      <c r="S277" s="52">
        <f>IF(OR(A277="",F277="",C277&lt;&gt;"Mekân"),0,IF(COUNTIFS($F$8:F277,F277,$C$8:C277,"Mekân")=1,1,0))</f>
        <v/>
      </c>
      <c r="T277" s="52">
        <f>IF(OR(A277="",F277="",C277&lt;&gt;"Kapak"),0,IF(COUNTIFS($F$8:F277,F277,$C$8:C277,"Kapak")=1,1,0))</f>
        <v/>
      </c>
    </row>
    <row r="278" ht="54" customHeight="1">
      <c r="A278" s="29" t="n"/>
      <c r="B278" s="29" t="n"/>
      <c r="C278" s="29" t="n"/>
      <c r="D278" s="29" t="n"/>
      <c r="E278" s="29" t="n"/>
      <c r="F278" s="29" t="n"/>
      <c r="G278" s="29" t="n"/>
      <c r="H278" s="29" t="n"/>
      <c r="I278" s="29" t="n"/>
      <c r="J278" s="29" t="n"/>
      <c r="K278" s="29" t="n"/>
      <c r="L278" s="49" t="n"/>
      <c r="M278" s="49" t="n"/>
      <c r="N278" s="29" t="n"/>
      <c r="O278" s="29" t="n"/>
      <c r="P278" s="29" t="n"/>
      <c r="Q278" s="51" t="n"/>
      <c r="R278" s="29" t="n"/>
      <c r="S278" s="52">
        <f>IF(OR(A278="",F278="",C278&lt;&gt;"Mekân"),0,IF(COUNTIFS($F$8:F278,F278,$C$8:C278,"Mekân")=1,1,0))</f>
        <v/>
      </c>
      <c r="T278" s="52">
        <f>IF(OR(A278="",F278="",C278&lt;&gt;"Kapak"),0,IF(COUNTIFS($F$8:F278,F278,$C$8:C278,"Kapak")=1,1,0))</f>
        <v/>
      </c>
    </row>
    <row r="279" ht="54" customHeight="1">
      <c r="A279" s="29" t="n"/>
      <c r="B279" s="29" t="n"/>
      <c r="C279" s="29" t="n"/>
      <c r="D279" s="29" t="n"/>
      <c r="E279" s="29" t="n"/>
      <c r="F279" s="29" t="n"/>
      <c r="G279" s="29" t="n"/>
      <c r="H279" s="29" t="n"/>
      <c r="I279" s="29" t="n"/>
      <c r="J279" s="29" t="n"/>
      <c r="K279" s="29" t="n"/>
      <c r="L279" s="49" t="n"/>
      <c r="M279" s="49" t="n"/>
      <c r="N279" s="29" t="n"/>
      <c r="O279" s="29" t="n"/>
      <c r="P279" s="29" t="n"/>
      <c r="Q279" s="51" t="n"/>
      <c r="R279" s="29" t="n"/>
      <c r="S279" s="52">
        <f>IF(OR(A279="",F279="",C279&lt;&gt;"Mekân"),0,IF(COUNTIFS($F$8:F279,F279,$C$8:C279,"Mekân")=1,1,0))</f>
        <v/>
      </c>
      <c r="T279" s="52">
        <f>IF(OR(A279="",F279="",C279&lt;&gt;"Kapak"),0,IF(COUNTIFS($F$8:F279,F279,$C$8:C279,"Kapak")=1,1,0))</f>
        <v/>
      </c>
    </row>
    <row r="280" ht="54" customHeight="1">
      <c r="A280" s="29" t="n"/>
      <c r="B280" s="29" t="n"/>
      <c r="C280" s="29" t="n"/>
      <c r="D280" s="29" t="n"/>
      <c r="E280" s="29" t="n"/>
      <c r="F280" s="29" t="n"/>
      <c r="G280" s="29" t="n"/>
      <c r="H280" s="29" t="n"/>
      <c r="I280" s="29" t="n"/>
      <c r="J280" s="29" t="n"/>
      <c r="K280" s="29" t="n"/>
      <c r="L280" s="49" t="n"/>
      <c r="M280" s="49" t="n"/>
      <c r="N280" s="29" t="n"/>
      <c r="O280" s="29" t="n"/>
      <c r="P280" s="29" t="n"/>
      <c r="Q280" s="51" t="n"/>
      <c r="R280" s="29" t="n"/>
      <c r="S280" s="52">
        <f>IF(OR(A280="",F280="",C280&lt;&gt;"Mekân"),0,IF(COUNTIFS($F$8:F280,F280,$C$8:C280,"Mekân")=1,1,0))</f>
        <v/>
      </c>
      <c r="T280" s="52">
        <f>IF(OR(A280="",F280="",C280&lt;&gt;"Kapak"),0,IF(COUNTIFS($F$8:F280,F280,$C$8:C280,"Kapak")=1,1,0))</f>
        <v/>
      </c>
    </row>
    <row r="281" ht="54" customHeight="1">
      <c r="A281" s="29" t="n"/>
      <c r="B281" s="29" t="n"/>
      <c r="C281" s="29" t="n"/>
      <c r="D281" s="29" t="n"/>
      <c r="E281" s="29" t="n"/>
      <c r="F281" s="29" t="n"/>
      <c r="G281" s="29" t="n"/>
      <c r="H281" s="29" t="n"/>
      <c r="I281" s="29" t="n"/>
      <c r="J281" s="29" t="n"/>
      <c r="K281" s="29" t="n"/>
      <c r="L281" s="49" t="n"/>
      <c r="M281" s="49" t="n"/>
      <c r="N281" s="29" t="n"/>
      <c r="O281" s="29" t="n"/>
      <c r="P281" s="29" t="n"/>
      <c r="Q281" s="51" t="n"/>
      <c r="R281" s="29" t="n"/>
      <c r="S281" s="52">
        <f>IF(OR(A281="",F281="",C281&lt;&gt;"Mekân"),0,IF(COUNTIFS($F$8:F281,F281,$C$8:C281,"Mekân")=1,1,0))</f>
        <v/>
      </c>
      <c r="T281" s="52">
        <f>IF(OR(A281="",F281="",C281&lt;&gt;"Kapak"),0,IF(COUNTIFS($F$8:F281,F281,$C$8:C281,"Kapak")=1,1,0))</f>
        <v/>
      </c>
    </row>
    <row r="282" ht="54" customHeight="1">
      <c r="A282" s="29" t="n"/>
      <c r="B282" s="29" t="n"/>
      <c r="C282" s="29" t="n"/>
      <c r="D282" s="29" t="n"/>
      <c r="E282" s="29" t="n"/>
      <c r="F282" s="29" t="n"/>
      <c r="G282" s="29" t="n"/>
      <c r="H282" s="29" t="n"/>
      <c r="I282" s="29" t="n"/>
      <c r="J282" s="29" t="n"/>
      <c r="K282" s="29" t="n"/>
      <c r="L282" s="49" t="n"/>
      <c r="M282" s="49" t="n"/>
      <c r="N282" s="29" t="n"/>
      <c r="O282" s="29" t="n"/>
      <c r="P282" s="29" t="n"/>
      <c r="Q282" s="51" t="n"/>
      <c r="R282" s="29" t="n"/>
      <c r="S282" s="52">
        <f>IF(OR(A282="",F282="",C282&lt;&gt;"Mekân"),0,IF(COUNTIFS($F$8:F282,F282,$C$8:C282,"Mekân")=1,1,0))</f>
        <v/>
      </c>
      <c r="T282" s="52">
        <f>IF(OR(A282="",F282="",C282&lt;&gt;"Kapak"),0,IF(COUNTIFS($F$8:F282,F282,$C$8:C282,"Kapak")=1,1,0))</f>
        <v/>
      </c>
    </row>
    <row r="283" ht="54" customHeight="1">
      <c r="A283" s="29" t="n"/>
      <c r="B283" s="29" t="n"/>
      <c r="C283" s="29" t="n"/>
      <c r="D283" s="29" t="n"/>
      <c r="E283" s="29" t="n"/>
      <c r="F283" s="29" t="n"/>
      <c r="G283" s="29" t="n"/>
      <c r="H283" s="29" t="n"/>
      <c r="I283" s="29" t="n"/>
      <c r="J283" s="29" t="n"/>
      <c r="K283" s="29" t="n"/>
      <c r="L283" s="49" t="n"/>
      <c r="M283" s="49" t="n"/>
      <c r="N283" s="29" t="n"/>
      <c r="O283" s="29" t="n"/>
      <c r="P283" s="29" t="n"/>
      <c r="Q283" s="51" t="n"/>
      <c r="R283" s="29" t="n"/>
      <c r="S283" s="52">
        <f>IF(OR(A283="",F283="",C283&lt;&gt;"Mekân"),0,IF(COUNTIFS($F$8:F283,F283,$C$8:C283,"Mekân")=1,1,0))</f>
        <v/>
      </c>
      <c r="T283" s="52">
        <f>IF(OR(A283="",F283="",C283&lt;&gt;"Kapak"),0,IF(COUNTIFS($F$8:F283,F283,$C$8:C283,"Kapak")=1,1,0))</f>
        <v/>
      </c>
    </row>
    <row r="284" ht="54" customHeight="1">
      <c r="A284" s="29" t="n"/>
      <c r="B284" s="29" t="n"/>
      <c r="C284" s="29" t="n"/>
      <c r="D284" s="29" t="n"/>
      <c r="E284" s="29" t="n"/>
      <c r="F284" s="29" t="n"/>
      <c r="G284" s="29" t="n"/>
      <c r="H284" s="29" t="n"/>
      <c r="I284" s="29" t="n"/>
      <c r="J284" s="29" t="n"/>
      <c r="K284" s="29" t="n"/>
      <c r="L284" s="49" t="n"/>
      <c r="M284" s="49" t="n"/>
      <c r="N284" s="29" t="n"/>
      <c r="O284" s="29" t="n"/>
      <c r="P284" s="29" t="n"/>
      <c r="Q284" s="51" t="n"/>
      <c r="R284" s="29" t="n"/>
      <c r="S284" s="52">
        <f>IF(OR(A284="",F284="",C284&lt;&gt;"Mekân"),0,IF(COUNTIFS($F$8:F284,F284,$C$8:C284,"Mekân")=1,1,0))</f>
        <v/>
      </c>
      <c r="T284" s="52">
        <f>IF(OR(A284="",F284="",C284&lt;&gt;"Kapak"),0,IF(COUNTIFS($F$8:F284,F284,$C$8:C284,"Kapak")=1,1,0))</f>
        <v/>
      </c>
    </row>
    <row r="285" ht="54" customHeight="1">
      <c r="A285" s="29" t="n"/>
      <c r="B285" s="29" t="n"/>
      <c r="C285" s="29" t="n"/>
      <c r="D285" s="29" t="n"/>
      <c r="E285" s="29" t="n"/>
      <c r="F285" s="29" t="n"/>
      <c r="G285" s="29" t="n"/>
      <c r="H285" s="29" t="n"/>
      <c r="I285" s="29" t="n"/>
      <c r="J285" s="29" t="n"/>
      <c r="K285" s="29" t="n"/>
      <c r="L285" s="49" t="n"/>
      <c r="M285" s="49" t="n"/>
      <c r="N285" s="29" t="n"/>
      <c r="O285" s="29" t="n"/>
      <c r="P285" s="29" t="n"/>
      <c r="Q285" s="51" t="n"/>
      <c r="R285" s="29" t="n"/>
      <c r="S285" s="52">
        <f>IF(OR(A285="",F285="",C285&lt;&gt;"Mekân"),0,IF(COUNTIFS($F$8:F285,F285,$C$8:C285,"Mekân")=1,1,0))</f>
        <v/>
      </c>
      <c r="T285" s="52">
        <f>IF(OR(A285="",F285="",C285&lt;&gt;"Kapak"),0,IF(COUNTIFS($F$8:F285,F285,$C$8:C285,"Kapak")=1,1,0))</f>
        <v/>
      </c>
    </row>
    <row r="286" ht="54" customHeight="1">
      <c r="A286" s="29" t="n"/>
      <c r="B286" s="29" t="n"/>
      <c r="C286" s="29" t="n"/>
      <c r="D286" s="29" t="n"/>
      <c r="E286" s="29" t="n"/>
      <c r="F286" s="29" t="n"/>
      <c r="G286" s="29" t="n"/>
      <c r="H286" s="29" t="n"/>
      <c r="I286" s="29" t="n"/>
      <c r="J286" s="29" t="n"/>
      <c r="K286" s="29" t="n"/>
      <c r="L286" s="49" t="n"/>
      <c r="M286" s="49" t="n"/>
      <c r="N286" s="29" t="n"/>
      <c r="O286" s="29" t="n"/>
      <c r="P286" s="29" t="n"/>
      <c r="Q286" s="51" t="n"/>
      <c r="R286" s="29" t="n"/>
      <c r="S286" s="52">
        <f>IF(OR(A286="",F286="",C286&lt;&gt;"Mekân"),0,IF(COUNTIFS($F$8:F286,F286,$C$8:C286,"Mekân")=1,1,0))</f>
        <v/>
      </c>
      <c r="T286" s="52">
        <f>IF(OR(A286="",F286="",C286&lt;&gt;"Kapak"),0,IF(COUNTIFS($F$8:F286,F286,$C$8:C286,"Kapak")=1,1,0))</f>
        <v/>
      </c>
    </row>
    <row r="287" ht="54" customHeight="1">
      <c r="A287" s="29" t="n"/>
      <c r="B287" s="29" t="n"/>
      <c r="C287" s="29" t="n"/>
      <c r="D287" s="29" t="n"/>
      <c r="E287" s="29" t="n"/>
      <c r="F287" s="29" t="n"/>
      <c r="G287" s="29" t="n"/>
      <c r="H287" s="29" t="n"/>
      <c r="I287" s="29" t="n"/>
      <c r="J287" s="29" t="n"/>
      <c r="K287" s="29" t="n"/>
      <c r="L287" s="49" t="n"/>
      <c r="M287" s="49" t="n"/>
      <c r="N287" s="29" t="n"/>
      <c r="O287" s="29" t="n"/>
      <c r="P287" s="29" t="n"/>
      <c r="Q287" s="51" t="n"/>
      <c r="R287" s="29" t="n"/>
      <c r="S287" s="52">
        <f>IF(OR(A287="",F287="",C287&lt;&gt;"Mekân"),0,IF(COUNTIFS($F$8:F287,F287,$C$8:C287,"Mekân")=1,1,0))</f>
        <v/>
      </c>
      <c r="T287" s="52">
        <f>IF(OR(A287="",F287="",C287&lt;&gt;"Kapak"),0,IF(COUNTIFS($F$8:F287,F287,$C$8:C287,"Kapak")=1,1,0))</f>
        <v/>
      </c>
    </row>
    <row r="288" ht="54" customHeight="1">
      <c r="A288" s="29" t="n"/>
      <c r="B288" s="29" t="n"/>
      <c r="C288" s="29" t="n"/>
      <c r="D288" s="29" t="n"/>
      <c r="E288" s="29" t="n"/>
      <c r="F288" s="29" t="n"/>
      <c r="G288" s="29" t="n"/>
      <c r="H288" s="29" t="n"/>
      <c r="I288" s="29" t="n"/>
      <c r="J288" s="29" t="n"/>
      <c r="K288" s="29" t="n"/>
      <c r="L288" s="49" t="n"/>
      <c r="M288" s="49" t="n"/>
      <c r="N288" s="29" t="n"/>
      <c r="O288" s="29" t="n"/>
      <c r="P288" s="29" t="n"/>
      <c r="Q288" s="51" t="n"/>
      <c r="R288" s="29" t="n"/>
      <c r="S288" s="52">
        <f>IF(OR(A288="",F288="",C288&lt;&gt;"Mekân"),0,IF(COUNTIFS($F$8:F288,F288,$C$8:C288,"Mekân")=1,1,0))</f>
        <v/>
      </c>
      <c r="T288" s="52">
        <f>IF(OR(A288="",F288="",C288&lt;&gt;"Kapak"),0,IF(COUNTIFS($F$8:F288,F288,$C$8:C288,"Kapak")=1,1,0))</f>
        <v/>
      </c>
    </row>
    <row r="289" ht="54" customHeight="1">
      <c r="A289" s="29" t="n"/>
      <c r="B289" s="29" t="n"/>
      <c r="C289" s="29" t="n"/>
      <c r="D289" s="29" t="n"/>
      <c r="E289" s="29" t="n"/>
      <c r="F289" s="29" t="n"/>
      <c r="G289" s="29" t="n"/>
      <c r="H289" s="29" t="n"/>
      <c r="I289" s="29" t="n"/>
      <c r="J289" s="29" t="n"/>
      <c r="K289" s="29" t="n"/>
      <c r="L289" s="49" t="n"/>
      <c r="M289" s="49" t="n"/>
      <c r="N289" s="29" t="n"/>
      <c r="O289" s="29" t="n"/>
      <c r="P289" s="29" t="n"/>
      <c r="Q289" s="51" t="n"/>
      <c r="R289" s="29" t="n"/>
      <c r="S289" s="52">
        <f>IF(OR(A289="",F289="",C289&lt;&gt;"Mekân"),0,IF(COUNTIFS($F$8:F289,F289,$C$8:C289,"Mekân")=1,1,0))</f>
        <v/>
      </c>
      <c r="T289" s="52">
        <f>IF(OR(A289="",F289="",C289&lt;&gt;"Kapak"),0,IF(COUNTIFS($F$8:F289,F289,$C$8:C289,"Kapak")=1,1,0))</f>
        <v/>
      </c>
    </row>
    <row r="290" ht="54" customHeight="1">
      <c r="A290" s="29" t="n"/>
      <c r="B290" s="29" t="n"/>
      <c r="C290" s="29" t="n"/>
      <c r="D290" s="29" t="n"/>
      <c r="E290" s="29" t="n"/>
      <c r="F290" s="29" t="n"/>
      <c r="G290" s="29" t="n"/>
      <c r="H290" s="29" t="n"/>
      <c r="I290" s="29" t="n"/>
      <c r="J290" s="29" t="n"/>
      <c r="K290" s="29" t="n"/>
      <c r="L290" s="49" t="n"/>
      <c r="M290" s="49" t="n"/>
      <c r="N290" s="29" t="n"/>
      <c r="O290" s="29" t="n"/>
      <c r="P290" s="29" t="n"/>
      <c r="Q290" s="51" t="n"/>
      <c r="R290" s="29" t="n"/>
      <c r="S290" s="52">
        <f>IF(OR(A290="",F290="",C290&lt;&gt;"Mekân"),0,IF(COUNTIFS($F$8:F290,F290,$C$8:C290,"Mekân")=1,1,0))</f>
        <v/>
      </c>
      <c r="T290" s="52">
        <f>IF(OR(A290="",F290="",C290&lt;&gt;"Kapak"),0,IF(COUNTIFS($F$8:F290,F290,$C$8:C290,"Kapak")=1,1,0))</f>
        <v/>
      </c>
    </row>
    <row r="291" ht="54" customHeight="1">
      <c r="A291" s="29" t="n"/>
      <c r="B291" s="29" t="n"/>
      <c r="C291" s="29" t="n"/>
      <c r="D291" s="29" t="n"/>
      <c r="E291" s="29" t="n"/>
      <c r="F291" s="29" t="n"/>
      <c r="G291" s="29" t="n"/>
      <c r="H291" s="29" t="n"/>
      <c r="I291" s="29" t="n"/>
      <c r="J291" s="29" t="n"/>
      <c r="K291" s="29" t="n"/>
      <c r="L291" s="49" t="n"/>
      <c r="M291" s="49" t="n"/>
      <c r="N291" s="29" t="n"/>
      <c r="O291" s="29" t="n"/>
      <c r="P291" s="29" t="n"/>
      <c r="Q291" s="51" t="n"/>
      <c r="R291" s="29" t="n"/>
      <c r="S291" s="52">
        <f>IF(OR(A291="",F291="",C291&lt;&gt;"Mekân"),0,IF(COUNTIFS($F$8:F291,F291,$C$8:C291,"Mekân")=1,1,0))</f>
        <v/>
      </c>
      <c r="T291" s="52">
        <f>IF(OR(A291="",F291="",C291&lt;&gt;"Kapak"),0,IF(COUNTIFS($F$8:F291,F291,$C$8:C291,"Kapak")=1,1,0))</f>
        <v/>
      </c>
    </row>
    <row r="292" ht="54" customHeight="1">
      <c r="A292" s="29" t="n"/>
      <c r="B292" s="29" t="n"/>
      <c r="C292" s="29" t="n"/>
      <c r="D292" s="29" t="n"/>
      <c r="E292" s="29" t="n"/>
      <c r="F292" s="29" t="n"/>
      <c r="G292" s="29" t="n"/>
      <c r="H292" s="29" t="n"/>
      <c r="I292" s="29" t="n"/>
      <c r="J292" s="29" t="n"/>
      <c r="K292" s="29" t="n"/>
      <c r="L292" s="49" t="n"/>
      <c r="M292" s="49" t="n"/>
      <c r="N292" s="29" t="n"/>
      <c r="O292" s="29" t="n"/>
      <c r="P292" s="29" t="n"/>
      <c r="Q292" s="51" t="n"/>
      <c r="R292" s="29" t="n"/>
      <c r="S292" s="52">
        <f>IF(OR(A292="",F292="",C292&lt;&gt;"Mekân"),0,IF(COUNTIFS($F$8:F292,F292,$C$8:C292,"Mekân")=1,1,0))</f>
        <v/>
      </c>
      <c r="T292" s="52">
        <f>IF(OR(A292="",F292="",C292&lt;&gt;"Kapak"),0,IF(COUNTIFS($F$8:F292,F292,$C$8:C292,"Kapak")=1,1,0))</f>
        <v/>
      </c>
    </row>
    <row r="293" ht="54" customHeight="1">
      <c r="A293" s="29" t="n"/>
      <c r="B293" s="29" t="n"/>
      <c r="C293" s="29" t="n"/>
      <c r="D293" s="29" t="n"/>
      <c r="E293" s="29" t="n"/>
      <c r="F293" s="29" t="n"/>
      <c r="G293" s="29" t="n"/>
      <c r="H293" s="29" t="n"/>
      <c r="I293" s="29" t="n"/>
      <c r="J293" s="29" t="n"/>
      <c r="K293" s="29" t="n"/>
      <c r="L293" s="49" t="n"/>
      <c r="M293" s="49" t="n"/>
      <c r="N293" s="29" t="n"/>
      <c r="O293" s="29" t="n"/>
      <c r="P293" s="29" t="n"/>
      <c r="Q293" s="51" t="n"/>
      <c r="R293" s="29" t="n"/>
      <c r="S293" s="52">
        <f>IF(OR(A293="",F293="",C293&lt;&gt;"Mekân"),0,IF(COUNTIFS($F$8:F293,F293,$C$8:C293,"Mekân")=1,1,0))</f>
        <v/>
      </c>
      <c r="T293" s="52">
        <f>IF(OR(A293="",F293="",C293&lt;&gt;"Kapak"),0,IF(COUNTIFS($F$8:F293,F293,$C$8:C293,"Kapak")=1,1,0))</f>
        <v/>
      </c>
    </row>
    <row r="294" ht="54" customHeight="1">
      <c r="A294" s="29" t="n"/>
      <c r="B294" s="29" t="n"/>
      <c r="C294" s="29" t="n"/>
      <c r="D294" s="29" t="n"/>
      <c r="E294" s="29" t="n"/>
      <c r="F294" s="29" t="n"/>
      <c r="G294" s="29" t="n"/>
      <c r="H294" s="29" t="n"/>
      <c r="I294" s="29" t="n"/>
      <c r="J294" s="29" t="n"/>
      <c r="K294" s="29" t="n"/>
      <c r="L294" s="49" t="n"/>
      <c r="M294" s="49" t="n"/>
      <c r="N294" s="29" t="n"/>
      <c r="O294" s="29" t="n"/>
      <c r="P294" s="29" t="n"/>
      <c r="Q294" s="51" t="n"/>
      <c r="R294" s="29" t="n"/>
      <c r="S294" s="52">
        <f>IF(OR(A294="",F294="",C294&lt;&gt;"Mekân"),0,IF(COUNTIFS($F$8:F294,F294,$C$8:C294,"Mekân")=1,1,0))</f>
        <v/>
      </c>
      <c r="T294" s="52">
        <f>IF(OR(A294="",F294="",C294&lt;&gt;"Kapak"),0,IF(COUNTIFS($F$8:F294,F294,$C$8:C294,"Kapak")=1,1,0))</f>
        <v/>
      </c>
    </row>
    <row r="295" ht="54" customHeight="1">
      <c r="A295" s="29" t="n"/>
      <c r="B295" s="29" t="n"/>
      <c r="C295" s="29" t="n"/>
      <c r="D295" s="29" t="n"/>
      <c r="E295" s="29" t="n"/>
      <c r="F295" s="29" t="n"/>
      <c r="G295" s="29" t="n"/>
      <c r="H295" s="29" t="n"/>
      <c r="I295" s="29" t="n"/>
      <c r="J295" s="29" t="n"/>
      <c r="K295" s="29" t="n"/>
      <c r="L295" s="49" t="n"/>
      <c r="M295" s="49" t="n"/>
      <c r="N295" s="29" t="n"/>
      <c r="O295" s="29" t="n"/>
      <c r="P295" s="29" t="n"/>
      <c r="Q295" s="51" t="n"/>
      <c r="R295" s="29" t="n"/>
      <c r="S295" s="52">
        <f>IF(OR(A295="",F295="",C295&lt;&gt;"Mekân"),0,IF(COUNTIFS($F$8:F295,F295,$C$8:C295,"Mekân")=1,1,0))</f>
        <v/>
      </c>
      <c r="T295" s="52">
        <f>IF(OR(A295="",F295="",C295&lt;&gt;"Kapak"),0,IF(COUNTIFS($F$8:F295,F295,$C$8:C295,"Kapak")=1,1,0))</f>
        <v/>
      </c>
    </row>
    <row r="296" ht="54" customHeight="1">
      <c r="A296" s="29" t="n"/>
      <c r="B296" s="29" t="n"/>
      <c r="C296" s="29" t="n"/>
      <c r="D296" s="29" t="n"/>
      <c r="E296" s="29" t="n"/>
      <c r="F296" s="29" t="n"/>
      <c r="G296" s="29" t="n"/>
      <c r="H296" s="29" t="n"/>
      <c r="I296" s="29" t="n"/>
      <c r="J296" s="29" t="n"/>
      <c r="K296" s="29" t="n"/>
      <c r="L296" s="49" t="n"/>
      <c r="M296" s="49" t="n"/>
      <c r="N296" s="29" t="n"/>
      <c r="O296" s="29" t="n"/>
      <c r="P296" s="29" t="n"/>
      <c r="Q296" s="51" t="n"/>
      <c r="R296" s="29" t="n"/>
      <c r="S296" s="52">
        <f>IF(OR(A296="",F296="",C296&lt;&gt;"Mekân"),0,IF(COUNTIFS($F$8:F296,F296,$C$8:C296,"Mekân")=1,1,0))</f>
        <v/>
      </c>
      <c r="T296" s="52">
        <f>IF(OR(A296="",F296="",C296&lt;&gt;"Kapak"),0,IF(COUNTIFS($F$8:F296,F296,$C$8:C296,"Kapak")=1,1,0))</f>
        <v/>
      </c>
    </row>
    <row r="297" ht="54" customHeight="1">
      <c r="A297" s="29" t="n"/>
      <c r="B297" s="29" t="n"/>
      <c r="C297" s="29" t="n"/>
      <c r="D297" s="29" t="n"/>
      <c r="E297" s="29" t="n"/>
      <c r="F297" s="29" t="n"/>
      <c r="G297" s="29" t="n"/>
      <c r="H297" s="29" t="n"/>
      <c r="I297" s="29" t="n"/>
      <c r="J297" s="29" t="n"/>
      <c r="K297" s="29" t="n"/>
      <c r="L297" s="49" t="n"/>
      <c r="M297" s="49" t="n"/>
      <c r="N297" s="29" t="n"/>
      <c r="O297" s="29" t="n"/>
      <c r="P297" s="29" t="n"/>
      <c r="Q297" s="51" t="n"/>
      <c r="R297" s="29" t="n"/>
      <c r="S297" s="52">
        <f>IF(OR(A297="",F297="",C297&lt;&gt;"Mekân"),0,IF(COUNTIFS($F$8:F297,F297,$C$8:C297,"Mekân")=1,1,0))</f>
        <v/>
      </c>
      <c r="T297" s="52">
        <f>IF(OR(A297="",F297="",C297&lt;&gt;"Kapak"),0,IF(COUNTIFS($F$8:F297,F297,$C$8:C297,"Kapak")=1,1,0))</f>
        <v/>
      </c>
    </row>
    <row r="298" ht="54" customHeight="1">
      <c r="A298" s="29" t="n"/>
      <c r="B298" s="29" t="n"/>
      <c r="C298" s="29" t="n"/>
      <c r="D298" s="29" t="n"/>
      <c r="E298" s="29" t="n"/>
      <c r="F298" s="29" t="n"/>
      <c r="G298" s="29" t="n"/>
      <c r="H298" s="29" t="n"/>
      <c r="I298" s="29" t="n"/>
      <c r="J298" s="29" t="n"/>
      <c r="K298" s="29" t="n"/>
      <c r="L298" s="49" t="n"/>
      <c r="M298" s="49" t="n"/>
      <c r="N298" s="29" t="n"/>
      <c r="O298" s="29" t="n"/>
      <c r="P298" s="29" t="n"/>
      <c r="Q298" s="51" t="n"/>
      <c r="R298" s="29" t="n"/>
      <c r="S298" s="52">
        <f>IF(OR(A298="",F298="",C298&lt;&gt;"Mekân"),0,IF(COUNTIFS($F$8:F298,F298,$C$8:C298,"Mekân")=1,1,0))</f>
        <v/>
      </c>
      <c r="T298" s="52">
        <f>IF(OR(A298="",F298="",C298&lt;&gt;"Kapak"),0,IF(COUNTIFS($F$8:F298,F298,$C$8:C298,"Kapak")=1,1,0))</f>
        <v/>
      </c>
    </row>
    <row r="299" ht="54" customHeight="1">
      <c r="A299" s="29" t="n"/>
      <c r="B299" s="29" t="n"/>
      <c r="C299" s="29" t="n"/>
      <c r="D299" s="29" t="n"/>
      <c r="E299" s="29" t="n"/>
      <c r="F299" s="29" t="n"/>
      <c r="G299" s="29" t="n"/>
      <c r="H299" s="29" t="n"/>
      <c r="I299" s="29" t="n"/>
      <c r="J299" s="29" t="n"/>
      <c r="K299" s="29" t="n"/>
      <c r="L299" s="49" t="n"/>
      <c r="M299" s="49" t="n"/>
      <c r="N299" s="29" t="n"/>
      <c r="O299" s="29" t="n"/>
      <c r="P299" s="29" t="n"/>
      <c r="Q299" s="51" t="n"/>
      <c r="R299" s="29" t="n"/>
      <c r="S299" s="52">
        <f>IF(OR(A299="",F299="",C299&lt;&gt;"Mekân"),0,IF(COUNTIFS($F$8:F299,F299,$C$8:C299,"Mekân")=1,1,0))</f>
        <v/>
      </c>
      <c r="T299" s="52">
        <f>IF(OR(A299="",F299="",C299&lt;&gt;"Kapak"),0,IF(COUNTIFS($F$8:F299,F299,$C$8:C299,"Kapak")=1,1,0))</f>
        <v/>
      </c>
    </row>
    <row r="300" ht="54" customHeight="1">
      <c r="A300" s="29" t="n"/>
      <c r="B300" s="29" t="n"/>
      <c r="C300" s="29" t="n"/>
      <c r="D300" s="29" t="n"/>
      <c r="E300" s="29" t="n"/>
      <c r="F300" s="29" t="n"/>
      <c r="G300" s="29" t="n"/>
      <c r="H300" s="29" t="n"/>
      <c r="I300" s="29" t="n"/>
      <c r="J300" s="29" t="n"/>
      <c r="K300" s="29" t="n"/>
      <c r="L300" s="49" t="n"/>
      <c r="M300" s="49" t="n"/>
      <c r="N300" s="29" t="n"/>
      <c r="O300" s="29" t="n"/>
      <c r="P300" s="29" t="n"/>
      <c r="Q300" s="51" t="n"/>
      <c r="R300" s="29" t="n"/>
      <c r="S300" s="52">
        <f>IF(OR(A300="",F300="",C300&lt;&gt;"Mekân"),0,IF(COUNTIFS($F$8:F300,F300,$C$8:C300,"Mekân")=1,1,0))</f>
        <v/>
      </c>
      <c r="T300" s="52">
        <f>IF(OR(A300="",F300="",C300&lt;&gt;"Kapak"),0,IF(COUNTIFS($F$8:F300,F300,$C$8:C300,"Kapak")=1,1,0))</f>
        <v/>
      </c>
    </row>
    <row r="301" ht="54" customHeight="1">
      <c r="A301" s="29" t="n"/>
      <c r="B301" s="29" t="n"/>
      <c r="C301" s="29" t="n"/>
      <c r="D301" s="29" t="n"/>
      <c r="E301" s="29" t="n"/>
      <c r="F301" s="29" t="n"/>
      <c r="G301" s="29" t="n"/>
      <c r="H301" s="29" t="n"/>
      <c r="I301" s="29" t="n"/>
      <c r="J301" s="29" t="n"/>
      <c r="K301" s="29" t="n"/>
      <c r="L301" s="49" t="n"/>
      <c r="M301" s="49" t="n"/>
      <c r="N301" s="29" t="n"/>
      <c r="O301" s="29" t="n"/>
      <c r="P301" s="29" t="n"/>
      <c r="Q301" s="51" t="n"/>
      <c r="R301" s="29" t="n"/>
      <c r="S301" s="52">
        <f>IF(OR(A301="",F301="",C301&lt;&gt;"Mekân"),0,IF(COUNTIFS($F$8:F301,F301,$C$8:C301,"Mekân")=1,1,0))</f>
        <v/>
      </c>
      <c r="T301" s="52">
        <f>IF(OR(A301="",F301="",C301&lt;&gt;"Kapak"),0,IF(COUNTIFS($F$8:F301,F301,$C$8:C301,"Kapak")=1,1,0))</f>
        <v/>
      </c>
    </row>
    <row r="302" ht="54" customHeight="1">
      <c r="A302" s="29" t="n"/>
      <c r="B302" s="29" t="n"/>
      <c r="C302" s="29" t="n"/>
      <c r="D302" s="29" t="n"/>
      <c r="E302" s="29" t="n"/>
      <c r="F302" s="29" t="n"/>
      <c r="G302" s="29" t="n"/>
      <c r="H302" s="29" t="n"/>
      <c r="I302" s="29" t="n"/>
      <c r="J302" s="29" t="n"/>
      <c r="K302" s="29" t="n"/>
      <c r="L302" s="49" t="n"/>
      <c r="M302" s="49" t="n"/>
      <c r="N302" s="29" t="n"/>
      <c r="O302" s="29" t="n"/>
      <c r="P302" s="29" t="n"/>
      <c r="Q302" s="51" t="n"/>
      <c r="R302" s="29" t="n"/>
      <c r="S302" s="52">
        <f>IF(OR(A302="",F302="",C302&lt;&gt;"Mekân"),0,IF(COUNTIFS($F$8:F302,F302,$C$8:C302,"Mekân")=1,1,0))</f>
        <v/>
      </c>
      <c r="T302" s="52">
        <f>IF(OR(A302="",F302="",C302&lt;&gt;"Kapak"),0,IF(COUNTIFS($F$8:F302,F302,$C$8:C302,"Kapak")=1,1,0))</f>
        <v/>
      </c>
    </row>
    <row r="303" ht="54" customHeight="1">
      <c r="A303" s="29" t="n"/>
      <c r="B303" s="29" t="n"/>
      <c r="C303" s="29" t="n"/>
      <c r="D303" s="29" t="n"/>
      <c r="E303" s="29" t="n"/>
      <c r="F303" s="29" t="n"/>
      <c r="G303" s="29" t="n"/>
      <c r="H303" s="29" t="n"/>
      <c r="I303" s="29" t="n"/>
      <c r="J303" s="29" t="n"/>
      <c r="K303" s="29" t="n"/>
      <c r="L303" s="49" t="n"/>
      <c r="M303" s="49" t="n"/>
      <c r="N303" s="29" t="n"/>
      <c r="O303" s="29" t="n"/>
      <c r="P303" s="29" t="n"/>
      <c r="Q303" s="51" t="n"/>
      <c r="R303" s="29" t="n"/>
      <c r="S303" s="52">
        <f>IF(OR(A303="",F303="",C303&lt;&gt;"Mekân"),0,IF(COUNTIFS($F$8:F303,F303,$C$8:C303,"Mekân")=1,1,0))</f>
        <v/>
      </c>
      <c r="T303" s="52">
        <f>IF(OR(A303="",F303="",C303&lt;&gt;"Kapak"),0,IF(COUNTIFS($F$8:F303,F303,$C$8:C303,"Kapak")=1,1,0))</f>
        <v/>
      </c>
    </row>
    <row r="304" ht="54" customHeight="1">
      <c r="A304" s="29" t="n"/>
      <c r="B304" s="29" t="n"/>
      <c r="C304" s="29" t="n"/>
      <c r="D304" s="29" t="n"/>
      <c r="E304" s="29" t="n"/>
      <c r="F304" s="29" t="n"/>
      <c r="G304" s="29" t="n"/>
      <c r="H304" s="29" t="n"/>
      <c r="I304" s="29" t="n"/>
      <c r="J304" s="29" t="n"/>
      <c r="K304" s="29" t="n"/>
      <c r="L304" s="49" t="n"/>
      <c r="M304" s="49" t="n"/>
      <c r="N304" s="29" t="n"/>
      <c r="O304" s="29" t="n"/>
      <c r="P304" s="29" t="n"/>
      <c r="Q304" s="51" t="n"/>
      <c r="R304" s="29" t="n"/>
      <c r="S304" s="52">
        <f>IF(OR(A304="",F304="",C304&lt;&gt;"Mekân"),0,IF(COUNTIFS($F$8:F304,F304,$C$8:C304,"Mekân")=1,1,0))</f>
        <v/>
      </c>
      <c r="T304" s="52">
        <f>IF(OR(A304="",F304="",C304&lt;&gt;"Kapak"),0,IF(COUNTIFS($F$8:F304,F304,$C$8:C304,"Kapak")=1,1,0))</f>
        <v/>
      </c>
    </row>
    <row r="305" ht="54" customHeight="1">
      <c r="A305" s="29" t="n"/>
      <c r="B305" s="29" t="n"/>
      <c r="C305" s="29" t="n"/>
      <c r="D305" s="29" t="n"/>
      <c r="E305" s="29" t="n"/>
      <c r="F305" s="29" t="n"/>
      <c r="G305" s="29" t="n"/>
      <c r="H305" s="29" t="n"/>
      <c r="I305" s="29" t="n"/>
      <c r="J305" s="29" t="n"/>
      <c r="K305" s="29" t="n"/>
      <c r="L305" s="49" t="n"/>
      <c r="M305" s="49" t="n"/>
      <c r="N305" s="29" t="n"/>
      <c r="O305" s="29" t="n"/>
      <c r="P305" s="29" t="n"/>
      <c r="Q305" s="51" t="n"/>
      <c r="R305" s="29" t="n"/>
      <c r="S305" s="52">
        <f>IF(OR(A305="",F305="",C305&lt;&gt;"Mekân"),0,IF(COUNTIFS($F$8:F305,F305,$C$8:C305,"Mekân")=1,1,0))</f>
        <v/>
      </c>
      <c r="T305" s="52">
        <f>IF(OR(A305="",F305="",C305&lt;&gt;"Kapak"),0,IF(COUNTIFS($F$8:F305,F305,$C$8:C305,"Kapak")=1,1,0))</f>
        <v/>
      </c>
    </row>
    <row r="306" ht="54" customHeight="1">
      <c r="A306" s="29" t="n"/>
      <c r="B306" s="29" t="n"/>
      <c r="C306" s="29" t="n"/>
      <c r="D306" s="29" t="n"/>
      <c r="E306" s="29" t="n"/>
      <c r="F306" s="29" t="n"/>
      <c r="G306" s="29" t="n"/>
      <c r="H306" s="29" t="n"/>
      <c r="I306" s="29" t="n"/>
      <c r="J306" s="29" t="n"/>
      <c r="K306" s="29" t="n"/>
      <c r="L306" s="49" t="n"/>
      <c r="M306" s="49" t="n"/>
      <c r="N306" s="29" t="n"/>
      <c r="O306" s="29" t="n"/>
      <c r="P306" s="29" t="n"/>
      <c r="Q306" s="51" t="n"/>
      <c r="R306" s="29" t="n"/>
      <c r="S306" s="52">
        <f>IF(OR(A306="",F306="",C306&lt;&gt;"Mekân"),0,IF(COUNTIFS($F$8:F306,F306,$C$8:C306,"Mekân")=1,1,0))</f>
        <v/>
      </c>
      <c r="T306" s="52">
        <f>IF(OR(A306="",F306="",C306&lt;&gt;"Kapak"),0,IF(COUNTIFS($F$8:F306,F306,$C$8:C306,"Kapak")=1,1,0))</f>
        <v/>
      </c>
    </row>
    <row r="307" ht="54" customHeight="1">
      <c r="A307" s="29" t="n"/>
      <c r="B307" s="29" t="n"/>
      <c r="C307" s="29" t="n"/>
      <c r="D307" s="29" t="n"/>
      <c r="E307" s="29" t="n"/>
      <c r="F307" s="29" t="n"/>
      <c r="G307" s="29" t="n"/>
      <c r="H307" s="29" t="n"/>
      <c r="I307" s="29" t="n"/>
      <c r="J307" s="29" t="n"/>
      <c r="K307" s="29" t="n"/>
      <c r="L307" s="49" t="n"/>
      <c r="M307" s="49" t="n"/>
      <c r="N307" s="29" t="n"/>
      <c r="O307" s="29" t="n"/>
      <c r="P307" s="29" t="n"/>
      <c r="Q307" s="51" t="n"/>
      <c r="R307" s="29" t="n"/>
      <c r="S307" s="52">
        <f>IF(OR(A307="",F307="",C307&lt;&gt;"Mekân"),0,IF(COUNTIFS($F$8:F307,F307,$C$8:C307,"Mekân")=1,1,0))</f>
        <v/>
      </c>
      <c r="T307" s="52">
        <f>IF(OR(A307="",F307="",C307&lt;&gt;"Kapak"),0,IF(COUNTIFS($F$8:F307,F307,$C$8:C307,"Kapak")=1,1,0))</f>
        <v/>
      </c>
    </row>
    <row r="308" ht="54" customHeight="1">
      <c r="A308" s="29" t="n"/>
      <c r="B308" s="29" t="n"/>
      <c r="C308" s="29" t="n"/>
      <c r="D308" s="29" t="n"/>
      <c r="E308" s="29" t="n"/>
      <c r="F308" s="29" t="n"/>
      <c r="G308" s="29" t="n"/>
      <c r="H308" s="29" t="n"/>
      <c r="I308" s="29" t="n"/>
      <c r="J308" s="29" t="n"/>
      <c r="K308" s="29" t="n"/>
      <c r="L308" s="49" t="n"/>
      <c r="M308" s="49" t="n"/>
      <c r="N308" s="29" t="n"/>
      <c r="O308" s="29" t="n"/>
      <c r="P308" s="29" t="n"/>
      <c r="Q308" s="51" t="n"/>
      <c r="R308" s="29" t="n"/>
      <c r="S308" s="52">
        <f>IF(OR(A308="",F308="",C308&lt;&gt;"Mekân"),0,IF(COUNTIFS($F$8:F308,F308,$C$8:C308,"Mekân")=1,1,0))</f>
        <v/>
      </c>
      <c r="T308" s="52">
        <f>IF(OR(A308="",F308="",C308&lt;&gt;"Kapak"),0,IF(COUNTIFS($F$8:F308,F308,$C$8:C308,"Kapak")=1,1,0))</f>
        <v/>
      </c>
    </row>
    <row r="309" ht="54" customHeight="1">
      <c r="A309" s="29" t="n"/>
      <c r="B309" s="29" t="n"/>
      <c r="C309" s="29" t="n"/>
      <c r="D309" s="29" t="n"/>
      <c r="E309" s="29" t="n"/>
      <c r="F309" s="29" t="n"/>
      <c r="G309" s="29" t="n"/>
      <c r="H309" s="29" t="n"/>
      <c r="I309" s="29" t="n"/>
      <c r="J309" s="29" t="n"/>
      <c r="K309" s="29" t="n"/>
      <c r="L309" s="49" t="n"/>
      <c r="M309" s="49" t="n"/>
      <c r="N309" s="29" t="n"/>
      <c r="O309" s="29" t="n"/>
      <c r="P309" s="29" t="n"/>
      <c r="Q309" s="51" t="n"/>
      <c r="R309" s="29" t="n"/>
      <c r="S309" s="52">
        <f>IF(OR(A309="",F309="",C309&lt;&gt;"Mekân"),0,IF(COUNTIFS($F$8:F309,F309,$C$8:C309,"Mekân")=1,1,0))</f>
        <v/>
      </c>
      <c r="T309" s="52">
        <f>IF(OR(A309="",F309="",C309&lt;&gt;"Kapak"),0,IF(COUNTIFS($F$8:F309,F309,$C$8:C309,"Kapak")=1,1,0))</f>
        <v/>
      </c>
    </row>
    <row r="310" ht="54" customHeight="1">
      <c r="A310" s="29" t="n"/>
      <c r="B310" s="29" t="n"/>
      <c r="C310" s="29" t="n"/>
      <c r="D310" s="29" t="n"/>
      <c r="E310" s="29" t="n"/>
      <c r="F310" s="29" t="n"/>
      <c r="G310" s="29" t="n"/>
      <c r="H310" s="29" t="n"/>
      <c r="I310" s="29" t="n"/>
      <c r="J310" s="29" t="n"/>
      <c r="K310" s="29" t="n"/>
      <c r="L310" s="49" t="n"/>
      <c r="M310" s="49" t="n"/>
      <c r="N310" s="29" t="n"/>
      <c r="O310" s="29" t="n"/>
      <c r="P310" s="29" t="n"/>
      <c r="Q310" s="51" t="n"/>
      <c r="R310" s="29" t="n"/>
      <c r="S310" s="52">
        <f>IF(OR(A310="",F310="",C310&lt;&gt;"Mekân"),0,IF(COUNTIFS($F$8:F310,F310,$C$8:C310,"Mekân")=1,1,0))</f>
        <v/>
      </c>
      <c r="T310" s="52">
        <f>IF(OR(A310="",F310="",C310&lt;&gt;"Kapak"),0,IF(COUNTIFS($F$8:F310,F310,$C$8:C310,"Kapak")=1,1,0))</f>
        <v/>
      </c>
    </row>
    <row r="311" ht="54" customHeight="1">
      <c r="A311" s="29" t="n"/>
      <c r="B311" s="29" t="n"/>
      <c r="C311" s="29" t="n"/>
      <c r="D311" s="29" t="n"/>
      <c r="E311" s="29" t="n"/>
      <c r="F311" s="29" t="n"/>
      <c r="G311" s="29" t="n"/>
      <c r="H311" s="29" t="n"/>
      <c r="I311" s="29" t="n"/>
      <c r="J311" s="29" t="n"/>
      <c r="K311" s="29" t="n"/>
      <c r="L311" s="49" t="n"/>
      <c r="M311" s="49" t="n"/>
      <c r="N311" s="29" t="n"/>
      <c r="O311" s="29" t="n"/>
      <c r="P311" s="29" t="n"/>
      <c r="Q311" s="51" t="n"/>
      <c r="R311" s="29" t="n"/>
      <c r="S311" s="52">
        <f>IF(OR(A311="",F311="",C311&lt;&gt;"Mekân"),0,IF(COUNTIFS($F$8:F311,F311,$C$8:C311,"Mekân")=1,1,0))</f>
        <v/>
      </c>
      <c r="T311" s="52">
        <f>IF(OR(A311="",F311="",C311&lt;&gt;"Kapak"),0,IF(COUNTIFS($F$8:F311,F311,$C$8:C311,"Kapak")=1,1,0))</f>
        <v/>
      </c>
    </row>
    <row r="312" ht="54" customHeight="1">
      <c r="A312" s="29" t="n"/>
      <c r="B312" s="29" t="n"/>
      <c r="C312" s="29" t="n"/>
      <c r="D312" s="29" t="n"/>
      <c r="E312" s="29" t="n"/>
      <c r="F312" s="29" t="n"/>
      <c r="G312" s="29" t="n"/>
      <c r="H312" s="29" t="n"/>
      <c r="I312" s="29" t="n"/>
      <c r="J312" s="29" t="n"/>
      <c r="K312" s="29" t="n"/>
      <c r="L312" s="49" t="n"/>
      <c r="M312" s="49" t="n"/>
      <c r="N312" s="29" t="n"/>
      <c r="O312" s="29" t="n"/>
      <c r="P312" s="29" t="n"/>
      <c r="Q312" s="51" t="n"/>
      <c r="R312" s="29" t="n"/>
      <c r="S312" s="52">
        <f>IF(OR(A312="",F312="",C312&lt;&gt;"Mekân"),0,IF(COUNTIFS($F$8:F312,F312,$C$8:C312,"Mekân")=1,1,0))</f>
        <v/>
      </c>
      <c r="T312" s="52">
        <f>IF(OR(A312="",F312="",C312&lt;&gt;"Kapak"),0,IF(COUNTIFS($F$8:F312,F312,$C$8:C312,"Kapak")=1,1,0))</f>
        <v/>
      </c>
    </row>
    <row r="313" ht="54" customHeight="1">
      <c r="A313" s="29" t="n"/>
      <c r="B313" s="29" t="n"/>
      <c r="C313" s="29" t="n"/>
      <c r="D313" s="29" t="n"/>
      <c r="E313" s="29" t="n"/>
      <c r="F313" s="29" t="n"/>
      <c r="G313" s="29" t="n"/>
      <c r="H313" s="29" t="n"/>
      <c r="I313" s="29" t="n"/>
      <c r="J313" s="29" t="n"/>
      <c r="K313" s="29" t="n"/>
      <c r="L313" s="49" t="n"/>
      <c r="M313" s="49" t="n"/>
      <c r="N313" s="29" t="n"/>
      <c r="O313" s="29" t="n"/>
      <c r="P313" s="29" t="n"/>
      <c r="Q313" s="51" t="n"/>
      <c r="R313" s="29" t="n"/>
      <c r="S313" s="52">
        <f>IF(OR(A313="",F313="",C313&lt;&gt;"Mekân"),0,IF(COUNTIFS($F$8:F313,F313,$C$8:C313,"Mekân")=1,1,0))</f>
        <v/>
      </c>
      <c r="T313" s="52">
        <f>IF(OR(A313="",F313="",C313&lt;&gt;"Kapak"),0,IF(COUNTIFS($F$8:F313,F313,$C$8:C313,"Kapak")=1,1,0))</f>
        <v/>
      </c>
    </row>
    <row r="314" ht="54" customHeight="1">
      <c r="A314" s="29" t="n"/>
      <c r="B314" s="29" t="n"/>
      <c r="C314" s="29" t="n"/>
      <c r="D314" s="29" t="n"/>
      <c r="E314" s="29" t="n"/>
      <c r="F314" s="29" t="n"/>
      <c r="G314" s="29" t="n"/>
      <c r="H314" s="29" t="n"/>
      <c r="I314" s="29" t="n"/>
      <c r="J314" s="29" t="n"/>
      <c r="K314" s="29" t="n"/>
      <c r="L314" s="49" t="n"/>
      <c r="M314" s="49" t="n"/>
      <c r="N314" s="29" t="n"/>
      <c r="O314" s="29" t="n"/>
      <c r="P314" s="29" t="n"/>
      <c r="Q314" s="51" t="n"/>
      <c r="R314" s="29" t="n"/>
      <c r="S314" s="52">
        <f>IF(OR(A314="",F314="",C314&lt;&gt;"Mekân"),0,IF(COUNTIFS($F$8:F314,F314,$C$8:C314,"Mekân")=1,1,0))</f>
        <v/>
      </c>
      <c r="T314" s="52">
        <f>IF(OR(A314="",F314="",C314&lt;&gt;"Kapak"),0,IF(COUNTIFS($F$8:F314,F314,$C$8:C314,"Kapak")=1,1,0))</f>
        <v/>
      </c>
    </row>
    <row r="315" ht="54" customHeight="1">
      <c r="A315" s="29" t="n"/>
      <c r="B315" s="29" t="n"/>
      <c r="C315" s="29" t="n"/>
      <c r="D315" s="29" t="n"/>
      <c r="E315" s="29" t="n"/>
      <c r="F315" s="29" t="n"/>
      <c r="G315" s="29" t="n"/>
      <c r="H315" s="29" t="n"/>
      <c r="I315" s="29" t="n"/>
      <c r="J315" s="29" t="n"/>
      <c r="K315" s="29" t="n"/>
      <c r="L315" s="49" t="n"/>
      <c r="M315" s="49" t="n"/>
      <c r="N315" s="29" t="n"/>
      <c r="O315" s="29" t="n"/>
      <c r="P315" s="29" t="n"/>
      <c r="Q315" s="51" t="n"/>
      <c r="R315" s="29" t="n"/>
      <c r="S315" s="52">
        <f>IF(OR(A315="",F315="",C315&lt;&gt;"Mekân"),0,IF(COUNTIFS($F$8:F315,F315,$C$8:C315,"Mekân")=1,1,0))</f>
        <v/>
      </c>
      <c r="T315" s="52">
        <f>IF(OR(A315="",F315="",C315&lt;&gt;"Kapak"),0,IF(COUNTIFS($F$8:F315,F315,$C$8:C315,"Kapak")=1,1,0))</f>
        <v/>
      </c>
    </row>
    <row r="316" ht="54" customHeight="1">
      <c r="A316" s="29" t="n"/>
      <c r="B316" s="29" t="n"/>
      <c r="C316" s="29" t="n"/>
      <c r="D316" s="29" t="n"/>
      <c r="E316" s="29" t="n"/>
      <c r="F316" s="29" t="n"/>
      <c r="G316" s="29" t="n"/>
      <c r="H316" s="29" t="n"/>
      <c r="I316" s="29" t="n"/>
      <c r="J316" s="29" t="n"/>
      <c r="K316" s="29" t="n"/>
      <c r="L316" s="49" t="n"/>
      <c r="M316" s="49" t="n"/>
      <c r="N316" s="29" t="n"/>
      <c r="O316" s="29" t="n"/>
      <c r="P316" s="29" t="n"/>
      <c r="Q316" s="51" t="n"/>
      <c r="R316" s="29" t="n"/>
      <c r="S316" s="52">
        <f>IF(OR(A316="",F316="",C316&lt;&gt;"Mekân"),0,IF(COUNTIFS($F$8:F316,F316,$C$8:C316,"Mekân")=1,1,0))</f>
        <v/>
      </c>
      <c r="T316" s="52">
        <f>IF(OR(A316="",F316="",C316&lt;&gt;"Kapak"),0,IF(COUNTIFS($F$8:F316,F316,$C$8:C316,"Kapak")=1,1,0))</f>
        <v/>
      </c>
    </row>
    <row r="317" ht="54" customHeight="1">
      <c r="A317" s="29" t="n"/>
      <c r="B317" s="29" t="n"/>
      <c r="C317" s="29" t="n"/>
      <c r="D317" s="29" t="n"/>
      <c r="E317" s="29" t="n"/>
      <c r="F317" s="29" t="n"/>
      <c r="G317" s="29" t="n"/>
      <c r="H317" s="29" t="n"/>
      <c r="I317" s="29" t="n"/>
      <c r="J317" s="29" t="n"/>
      <c r="K317" s="29" t="n"/>
      <c r="L317" s="49" t="n"/>
      <c r="M317" s="49" t="n"/>
      <c r="N317" s="29" t="n"/>
      <c r="O317" s="29" t="n"/>
      <c r="P317" s="29" t="n"/>
      <c r="Q317" s="51" t="n"/>
      <c r="R317" s="29" t="n"/>
      <c r="S317" s="52">
        <f>IF(OR(A317="",F317="",C317&lt;&gt;"Mekân"),0,IF(COUNTIFS($F$8:F317,F317,$C$8:C317,"Mekân")=1,1,0))</f>
        <v/>
      </c>
      <c r="T317" s="52">
        <f>IF(OR(A317="",F317="",C317&lt;&gt;"Kapak"),0,IF(COUNTIFS($F$8:F317,F317,$C$8:C317,"Kapak")=1,1,0))</f>
        <v/>
      </c>
    </row>
    <row r="318" ht="54" customHeight="1">
      <c r="A318" s="29" t="n"/>
      <c r="B318" s="29" t="n"/>
      <c r="C318" s="29" t="n"/>
      <c r="D318" s="29" t="n"/>
      <c r="E318" s="29" t="n"/>
      <c r="F318" s="29" t="n"/>
      <c r="G318" s="29" t="n"/>
      <c r="H318" s="29" t="n"/>
      <c r="I318" s="29" t="n"/>
      <c r="J318" s="29" t="n"/>
      <c r="K318" s="29" t="n"/>
      <c r="L318" s="49" t="n"/>
      <c r="M318" s="49" t="n"/>
      <c r="N318" s="29" t="n"/>
      <c r="O318" s="29" t="n"/>
      <c r="P318" s="29" t="n"/>
      <c r="Q318" s="51" t="n"/>
      <c r="R318" s="29" t="n"/>
      <c r="S318" s="52">
        <f>IF(OR(A318="",F318="",C318&lt;&gt;"Mekân"),0,IF(COUNTIFS($F$8:F318,F318,$C$8:C318,"Mekân")=1,1,0))</f>
        <v/>
      </c>
      <c r="T318" s="52">
        <f>IF(OR(A318="",F318="",C318&lt;&gt;"Kapak"),0,IF(COUNTIFS($F$8:F318,F318,$C$8:C318,"Kapak")=1,1,0))</f>
        <v/>
      </c>
    </row>
    <row r="319" ht="54" customHeight="1">
      <c r="A319" s="29" t="n"/>
      <c r="B319" s="29" t="n"/>
      <c r="C319" s="29" t="n"/>
      <c r="D319" s="29" t="n"/>
      <c r="E319" s="29" t="n"/>
      <c r="F319" s="29" t="n"/>
      <c r="G319" s="29" t="n"/>
      <c r="H319" s="29" t="n"/>
      <c r="I319" s="29" t="n"/>
      <c r="J319" s="29" t="n"/>
      <c r="K319" s="29" t="n"/>
      <c r="L319" s="49" t="n"/>
      <c r="M319" s="49" t="n"/>
      <c r="N319" s="29" t="n"/>
      <c r="O319" s="29" t="n"/>
      <c r="P319" s="29" t="n"/>
      <c r="Q319" s="51" t="n"/>
      <c r="R319" s="29" t="n"/>
      <c r="S319" s="52">
        <f>IF(OR(A319="",F319="",C319&lt;&gt;"Mekân"),0,IF(COUNTIFS($F$8:F319,F319,$C$8:C319,"Mekân")=1,1,0))</f>
        <v/>
      </c>
      <c r="T319" s="52">
        <f>IF(OR(A319="",F319="",C319&lt;&gt;"Kapak"),0,IF(COUNTIFS($F$8:F319,F319,$C$8:C319,"Kapak")=1,1,0))</f>
        <v/>
      </c>
    </row>
    <row r="320" ht="54" customHeight="1">
      <c r="A320" s="29" t="n"/>
      <c r="B320" s="29" t="n"/>
      <c r="C320" s="29" t="n"/>
      <c r="D320" s="29" t="n"/>
      <c r="E320" s="29" t="n"/>
      <c r="F320" s="29" t="n"/>
      <c r="G320" s="29" t="n"/>
      <c r="H320" s="29" t="n"/>
      <c r="I320" s="29" t="n"/>
      <c r="J320" s="29" t="n"/>
      <c r="K320" s="29" t="n"/>
      <c r="L320" s="49" t="n"/>
      <c r="M320" s="49" t="n"/>
      <c r="N320" s="29" t="n"/>
      <c r="O320" s="29" t="n"/>
      <c r="P320" s="29" t="n"/>
      <c r="Q320" s="51" t="n"/>
      <c r="R320" s="29" t="n"/>
      <c r="S320" s="52">
        <f>IF(OR(A320="",F320="",C320&lt;&gt;"Mekân"),0,IF(COUNTIFS($F$8:F320,F320,$C$8:C320,"Mekân")=1,1,0))</f>
        <v/>
      </c>
      <c r="T320" s="52">
        <f>IF(OR(A320="",F320="",C320&lt;&gt;"Kapak"),0,IF(COUNTIFS($F$8:F320,F320,$C$8:C320,"Kapak")=1,1,0))</f>
        <v/>
      </c>
    </row>
    <row r="321" ht="54" customHeight="1">
      <c r="A321" s="29" t="n"/>
      <c r="B321" s="29" t="n"/>
      <c r="C321" s="29" t="n"/>
      <c r="D321" s="29" t="n"/>
      <c r="E321" s="29" t="n"/>
      <c r="F321" s="29" t="n"/>
      <c r="G321" s="29" t="n"/>
      <c r="H321" s="29" t="n"/>
      <c r="I321" s="29" t="n"/>
      <c r="J321" s="29" t="n"/>
      <c r="K321" s="29" t="n"/>
      <c r="L321" s="49" t="n"/>
      <c r="M321" s="49" t="n"/>
      <c r="N321" s="29" t="n"/>
      <c r="O321" s="29" t="n"/>
      <c r="P321" s="29" t="n"/>
      <c r="Q321" s="51" t="n"/>
      <c r="R321" s="29" t="n"/>
      <c r="S321" s="52">
        <f>IF(OR(A321="",F321="",C321&lt;&gt;"Mekân"),0,IF(COUNTIFS($F$8:F321,F321,$C$8:C321,"Mekân")=1,1,0))</f>
        <v/>
      </c>
      <c r="T321" s="52">
        <f>IF(OR(A321="",F321="",C321&lt;&gt;"Kapak"),0,IF(COUNTIFS($F$8:F321,F321,$C$8:C321,"Kapak")=1,1,0))</f>
        <v/>
      </c>
    </row>
    <row r="322" ht="54" customHeight="1">
      <c r="A322" s="29" t="n"/>
      <c r="B322" s="29" t="n"/>
      <c r="C322" s="29" t="n"/>
      <c r="D322" s="29" t="n"/>
      <c r="E322" s="29" t="n"/>
      <c r="F322" s="29" t="n"/>
      <c r="G322" s="29" t="n"/>
      <c r="H322" s="29" t="n"/>
      <c r="I322" s="29" t="n"/>
      <c r="J322" s="29" t="n"/>
      <c r="K322" s="29" t="n"/>
      <c r="L322" s="49" t="n"/>
      <c r="M322" s="49" t="n"/>
      <c r="N322" s="29" t="n"/>
      <c r="O322" s="29" t="n"/>
      <c r="P322" s="29" t="n"/>
      <c r="Q322" s="51" t="n"/>
      <c r="R322" s="29" t="n"/>
      <c r="S322" s="52">
        <f>IF(OR(A322="",F322="",C322&lt;&gt;"Mekân"),0,IF(COUNTIFS($F$8:F322,F322,$C$8:C322,"Mekân")=1,1,0))</f>
        <v/>
      </c>
      <c r="T322" s="52">
        <f>IF(OR(A322="",F322="",C322&lt;&gt;"Kapak"),0,IF(COUNTIFS($F$8:F322,F322,$C$8:C322,"Kapak")=1,1,0))</f>
        <v/>
      </c>
    </row>
    <row r="323" ht="54" customHeight="1">
      <c r="A323" s="29" t="n"/>
      <c r="B323" s="29" t="n"/>
      <c r="C323" s="29" t="n"/>
      <c r="D323" s="29" t="n"/>
      <c r="E323" s="29" t="n"/>
      <c r="F323" s="29" t="n"/>
      <c r="G323" s="29" t="n"/>
      <c r="H323" s="29" t="n"/>
      <c r="I323" s="29" t="n"/>
      <c r="J323" s="29" t="n"/>
      <c r="K323" s="29" t="n"/>
      <c r="L323" s="49" t="n"/>
      <c r="M323" s="49" t="n"/>
      <c r="N323" s="29" t="n"/>
      <c r="O323" s="29" t="n"/>
      <c r="P323" s="29" t="n"/>
      <c r="Q323" s="51" t="n"/>
      <c r="R323" s="29" t="n"/>
      <c r="S323" s="52">
        <f>IF(OR(A323="",F323="",C323&lt;&gt;"Mekân"),0,IF(COUNTIFS($F$8:F323,F323,$C$8:C323,"Mekân")=1,1,0))</f>
        <v/>
      </c>
      <c r="T323" s="52">
        <f>IF(OR(A323="",F323="",C323&lt;&gt;"Kapak"),0,IF(COUNTIFS($F$8:F323,F323,$C$8:C323,"Kapak")=1,1,0))</f>
        <v/>
      </c>
    </row>
    <row r="324" ht="54" customHeight="1">
      <c r="A324" s="29" t="n"/>
      <c r="B324" s="29" t="n"/>
      <c r="C324" s="29" t="n"/>
      <c r="D324" s="29" t="n"/>
      <c r="E324" s="29" t="n"/>
      <c r="F324" s="29" t="n"/>
      <c r="G324" s="29" t="n"/>
      <c r="H324" s="29" t="n"/>
      <c r="I324" s="29" t="n"/>
      <c r="J324" s="29" t="n"/>
      <c r="K324" s="29" t="n"/>
      <c r="L324" s="49" t="n"/>
      <c r="M324" s="49" t="n"/>
      <c r="N324" s="29" t="n"/>
      <c r="O324" s="29" t="n"/>
      <c r="P324" s="29" t="n"/>
      <c r="Q324" s="51" t="n"/>
      <c r="R324" s="29" t="n"/>
      <c r="S324" s="52">
        <f>IF(OR(A324="",F324="",C324&lt;&gt;"Mekân"),0,IF(COUNTIFS($F$8:F324,F324,$C$8:C324,"Mekân")=1,1,0))</f>
        <v/>
      </c>
      <c r="T324" s="52">
        <f>IF(OR(A324="",F324="",C324&lt;&gt;"Kapak"),0,IF(COUNTIFS($F$8:F324,F324,$C$8:C324,"Kapak")=1,1,0))</f>
        <v/>
      </c>
    </row>
    <row r="325" ht="54" customHeight="1">
      <c r="A325" s="29" t="n"/>
      <c r="B325" s="29" t="n"/>
      <c r="C325" s="29" t="n"/>
      <c r="D325" s="29" t="n"/>
      <c r="E325" s="29" t="n"/>
      <c r="F325" s="29" t="n"/>
      <c r="G325" s="29" t="n"/>
      <c r="H325" s="29" t="n"/>
      <c r="I325" s="29" t="n"/>
      <c r="J325" s="29" t="n"/>
      <c r="K325" s="29" t="n"/>
      <c r="L325" s="49" t="n"/>
      <c r="M325" s="49" t="n"/>
      <c r="N325" s="29" t="n"/>
      <c r="O325" s="29" t="n"/>
      <c r="P325" s="29" t="n"/>
      <c r="Q325" s="51" t="n"/>
      <c r="R325" s="29" t="n"/>
      <c r="S325" s="52">
        <f>IF(OR(A325="",F325="",C325&lt;&gt;"Mekân"),0,IF(COUNTIFS($F$8:F325,F325,$C$8:C325,"Mekân")=1,1,0))</f>
        <v/>
      </c>
      <c r="T325" s="52">
        <f>IF(OR(A325="",F325="",C325&lt;&gt;"Kapak"),0,IF(COUNTIFS($F$8:F325,F325,$C$8:C325,"Kapak")=1,1,0))</f>
        <v/>
      </c>
    </row>
    <row r="326" ht="54" customHeight="1">
      <c r="A326" s="29" t="n"/>
      <c r="B326" s="29" t="n"/>
      <c r="C326" s="29" t="n"/>
      <c r="D326" s="29" t="n"/>
      <c r="E326" s="29" t="n"/>
      <c r="F326" s="29" t="n"/>
      <c r="G326" s="29" t="n"/>
      <c r="H326" s="29" t="n"/>
      <c r="I326" s="29" t="n"/>
      <c r="J326" s="29" t="n"/>
      <c r="K326" s="29" t="n"/>
      <c r="L326" s="49" t="n"/>
      <c r="M326" s="49" t="n"/>
      <c r="N326" s="29" t="n"/>
      <c r="O326" s="29" t="n"/>
      <c r="P326" s="29" t="n"/>
      <c r="Q326" s="51" t="n"/>
      <c r="R326" s="29" t="n"/>
      <c r="S326" s="52">
        <f>IF(OR(A326="",F326="",C326&lt;&gt;"Mekân"),0,IF(COUNTIFS($F$8:F326,F326,$C$8:C326,"Mekân")=1,1,0))</f>
        <v/>
      </c>
      <c r="T326" s="52">
        <f>IF(OR(A326="",F326="",C326&lt;&gt;"Kapak"),0,IF(COUNTIFS($F$8:F326,F326,$C$8:C326,"Kapak")=1,1,0))</f>
        <v/>
      </c>
    </row>
    <row r="327" ht="54" customHeight="1">
      <c r="A327" s="29" t="n"/>
      <c r="B327" s="29" t="n"/>
      <c r="C327" s="29" t="n"/>
      <c r="D327" s="29" t="n"/>
      <c r="E327" s="29" t="n"/>
      <c r="F327" s="29" t="n"/>
      <c r="G327" s="29" t="n"/>
      <c r="H327" s="29" t="n"/>
      <c r="I327" s="29" t="n"/>
      <c r="J327" s="29" t="n"/>
      <c r="K327" s="29" t="n"/>
      <c r="L327" s="49" t="n"/>
      <c r="M327" s="49" t="n"/>
      <c r="N327" s="29" t="n"/>
      <c r="O327" s="29" t="n"/>
      <c r="P327" s="29" t="n"/>
      <c r="Q327" s="51" t="n"/>
      <c r="R327" s="29" t="n"/>
      <c r="S327" s="52">
        <f>IF(OR(A327="",F327="",C327&lt;&gt;"Mekân"),0,IF(COUNTIFS($F$8:F327,F327,$C$8:C327,"Mekân")=1,1,0))</f>
        <v/>
      </c>
      <c r="T327" s="52">
        <f>IF(OR(A327="",F327="",C327&lt;&gt;"Kapak"),0,IF(COUNTIFS($F$8:F327,F327,$C$8:C327,"Kapak")=1,1,0))</f>
        <v/>
      </c>
    </row>
    <row r="328" ht="54" customHeight="1">
      <c r="A328" s="29" t="n"/>
      <c r="B328" s="29" t="n"/>
      <c r="C328" s="29" t="n"/>
      <c r="D328" s="29" t="n"/>
      <c r="E328" s="29" t="n"/>
      <c r="F328" s="29" t="n"/>
      <c r="G328" s="29" t="n"/>
      <c r="H328" s="29" t="n"/>
      <c r="I328" s="29" t="n"/>
      <c r="J328" s="29" t="n"/>
      <c r="K328" s="29" t="n"/>
      <c r="L328" s="49" t="n"/>
      <c r="M328" s="49" t="n"/>
      <c r="N328" s="29" t="n"/>
      <c r="O328" s="29" t="n"/>
      <c r="P328" s="29" t="n"/>
      <c r="Q328" s="51" t="n"/>
      <c r="R328" s="29" t="n"/>
      <c r="S328" s="52">
        <f>IF(OR(A328="",F328="",C328&lt;&gt;"Mekân"),0,IF(COUNTIFS($F$8:F328,F328,$C$8:C328,"Mekân")=1,1,0))</f>
        <v/>
      </c>
      <c r="T328" s="52">
        <f>IF(OR(A328="",F328="",C328&lt;&gt;"Kapak"),0,IF(COUNTIFS($F$8:F328,F328,$C$8:C328,"Kapak")=1,1,0))</f>
        <v/>
      </c>
    </row>
    <row r="329" ht="54" customHeight="1">
      <c r="A329" s="29" t="n"/>
      <c r="B329" s="29" t="n"/>
      <c r="C329" s="29" t="n"/>
      <c r="D329" s="29" t="n"/>
      <c r="E329" s="29" t="n"/>
      <c r="F329" s="29" t="n"/>
      <c r="G329" s="29" t="n"/>
      <c r="H329" s="29" t="n"/>
      <c r="I329" s="29" t="n"/>
      <c r="J329" s="29" t="n"/>
      <c r="K329" s="29" t="n"/>
      <c r="L329" s="49" t="n"/>
      <c r="M329" s="49" t="n"/>
      <c r="N329" s="29" t="n"/>
      <c r="O329" s="29" t="n"/>
      <c r="P329" s="29" t="n"/>
      <c r="Q329" s="51" t="n"/>
      <c r="R329" s="29" t="n"/>
      <c r="S329" s="52">
        <f>IF(OR(A329="",F329="",C329&lt;&gt;"Mekân"),0,IF(COUNTIFS($F$8:F329,F329,$C$8:C329,"Mekân")=1,1,0))</f>
        <v/>
      </c>
      <c r="T329" s="52">
        <f>IF(OR(A329="",F329="",C329&lt;&gt;"Kapak"),0,IF(COUNTIFS($F$8:F329,F329,$C$8:C329,"Kapak")=1,1,0))</f>
        <v/>
      </c>
    </row>
    <row r="330" ht="54" customHeight="1">
      <c r="A330" s="29" t="n"/>
      <c r="B330" s="29" t="n"/>
      <c r="C330" s="29" t="n"/>
      <c r="D330" s="29" t="n"/>
      <c r="E330" s="29" t="n"/>
      <c r="F330" s="29" t="n"/>
      <c r="G330" s="29" t="n"/>
      <c r="H330" s="29" t="n"/>
      <c r="I330" s="29" t="n"/>
      <c r="J330" s="29" t="n"/>
      <c r="K330" s="29" t="n"/>
      <c r="L330" s="49" t="n"/>
      <c r="M330" s="49" t="n"/>
      <c r="N330" s="29" t="n"/>
      <c r="O330" s="29" t="n"/>
      <c r="P330" s="29" t="n"/>
      <c r="Q330" s="51" t="n"/>
      <c r="R330" s="29" t="n"/>
      <c r="S330" s="52">
        <f>IF(OR(A330="",F330="",C330&lt;&gt;"Mekân"),0,IF(COUNTIFS($F$8:F330,F330,$C$8:C330,"Mekân")=1,1,0))</f>
        <v/>
      </c>
      <c r="T330" s="52">
        <f>IF(OR(A330="",F330="",C330&lt;&gt;"Kapak"),0,IF(COUNTIFS($F$8:F330,F330,$C$8:C330,"Kapak")=1,1,0))</f>
        <v/>
      </c>
    </row>
    <row r="331" ht="54" customHeight="1">
      <c r="A331" s="29" t="n"/>
      <c r="B331" s="29" t="n"/>
      <c r="C331" s="29" t="n"/>
      <c r="D331" s="29" t="n"/>
      <c r="E331" s="29" t="n"/>
      <c r="F331" s="29" t="n"/>
      <c r="G331" s="29" t="n"/>
      <c r="H331" s="29" t="n"/>
      <c r="I331" s="29" t="n"/>
      <c r="J331" s="29" t="n"/>
      <c r="K331" s="29" t="n"/>
      <c r="L331" s="49" t="n"/>
      <c r="M331" s="49" t="n"/>
      <c r="N331" s="29" t="n"/>
      <c r="O331" s="29" t="n"/>
      <c r="P331" s="29" t="n"/>
      <c r="Q331" s="51" t="n"/>
      <c r="R331" s="29" t="n"/>
      <c r="S331" s="52">
        <f>IF(OR(A331="",F331="",C331&lt;&gt;"Mekân"),0,IF(COUNTIFS($F$8:F331,F331,$C$8:C331,"Mekân")=1,1,0))</f>
        <v/>
      </c>
      <c r="T331" s="52">
        <f>IF(OR(A331="",F331="",C331&lt;&gt;"Kapak"),0,IF(COUNTIFS($F$8:F331,F331,$C$8:C331,"Kapak")=1,1,0))</f>
        <v/>
      </c>
    </row>
    <row r="332" ht="54" customHeight="1">
      <c r="A332" s="29" t="n"/>
      <c r="B332" s="29" t="n"/>
      <c r="C332" s="29" t="n"/>
      <c r="D332" s="29" t="n"/>
      <c r="E332" s="29" t="n"/>
      <c r="F332" s="29" t="n"/>
      <c r="G332" s="29" t="n"/>
      <c r="H332" s="29" t="n"/>
      <c r="I332" s="29" t="n"/>
      <c r="J332" s="29" t="n"/>
      <c r="K332" s="29" t="n"/>
      <c r="L332" s="49" t="n"/>
      <c r="M332" s="49" t="n"/>
      <c r="N332" s="29" t="n"/>
      <c r="O332" s="29" t="n"/>
      <c r="P332" s="29" t="n"/>
      <c r="Q332" s="51" t="n"/>
      <c r="R332" s="29" t="n"/>
      <c r="S332" s="52">
        <f>IF(OR(A332="",F332="",C332&lt;&gt;"Mekân"),0,IF(COUNTIFS($F$8:F332,F332,$C$8:C332,"Mekân")=1,1,0))</f>
        <v/>
      </c>
      <c r="T332" s="52">
        <f>IF(OR(A332="",F332="",C332&lt;&gt;"Kapak"),0,IF(COUNTIFS($F$8:F332,F332,$C$8:C332,"Kapak")=1,1,0))</f>
        <v/>
      </c>
    </row>
    <row r="333" ht="54" customHeight="1">
      <c r="A333" s="29" t="n"/>
      <c r="B333" s="29" t="n"/>
      <c r="C333" s="29" t="n"/>
      <c r="D333" s="29" t="n"/>
      <c r="E333" s="29" t="n"/>
      <c r="F333" s="29" t="n"/>
      <c r="G333" s="29" t="n"/>
      <c r="H333" s="29" t="n"/>
      <c r="I333" s="29" t="n"/>
      <c r="J333" s="29" t="n"/>
      <c r="K333" s="29" t="n"/>
      <c r="L333" s="49" t="n"/>
      <c r="M333" s="49" t="n"/>
      <c r="N333" s="29" t="n"/>
      <c r="O333" s="29" t="n"/>
      <c r="P333" s="29" t="n"/>
      <c r="Q333" s="51" t="n"/>
      <c r="R333" s="29" t="n"/>
      <c r="S333" s="52">
        <f>IF(OR(A333="",F333="",C333&lt;&gt;"Mekân"),0,IF(COUNTIFS($F$8:F333,F333,$C$8:C333,"Mekân")=1,1,0))</f>
        <v/>
      </c>
      <c r="T333" s="52">
        <f>IF(OR(A333="",F333="",C333&lt;&gt;"Kapak"),0,IF(COUNTIFS($F$8:F333,F333,$C$8:C333,"Kapak")=1,1,0))</f>
        <v/>
      </c>
    </row>
    <row r="334" ht="54" customHeight="1">
      <c r="A334" s="29" t="n"/>
      <c r="B334" s="29" t="n"/>
      <c r="C334" s="29" t="n"/>
      <c r="D334" s="29" t="n"/>
      <c r="E334" s="29" t="n"/>
      <c r="F334" s="29" t="n"/>
      <c r="G334" s="29" t="n"/>
      <c r="H334" s="29" t="n"/>
      <c r="I334" s="29" t="n"/>
      <c r="J334" s="29" t="n"/>
      <c r="K334" s="29" t="n"/>
      <c r="L334" s="49" t="n"/>
      <c r="M334" s="49" t="n"/>
      <c r="N334" s="29" t="n"/>
      <c r="O334" s="29" t="n"/>
      <c r="P334" s="29" t="n"/>
      <c r="Q334" s="51" t="n"/>
      <c r="R334" s="29" t="n"/>
      <c r="S334" s="52">
        <f>IF(OR(A334="",F334="",C334&lt;&gt;"Mekân"),0,IF(COUNTIFS($F$8:F334,F334,$C$8:C334,"Mekân")=1,1,0))</f>
        <v/>
      </c>
      <c r="T334" s="52">
        <f>IF(OR(A334="",F334="",C334&lt;&gt;"Kapak"),0,IF(COUNTIFS($F$8:F334,F334,$C$8:C334,"Kapak")=1,1,0))</f>
        <v/>
      </c>
    </row>
    <row r="335" ht="54" customHeight="1">
      <c r="A335" s="29" t="n"/>
      <c r="B335" s="29" t="n"/>
      <c r="C335" s="29" t="n"/>
      <c r="D335" s="29" t="n"/>
      <c r="E335" s="29" t="n"/>
      <c r="F335" s="29" t="n"/>
      <c r="G335" s="29" t="n"/>
      <c r="H335" s="29" t="n"/>
      <c r="I335" s="29" t="n"/>
      <c r="J335" s="29" t="n"/>
      <c r="K335" s="29" t="n"/>
      <c r="L335" s="49" t="n"/>
      <c r="M335" s="49" t="n"/>
      <c r="N335" s="29" t="n"/>
      <c r="O335" s="29" t="n"/>
      <c r="P335" s="29" t="n"/>
      <c r="Q335" s="51" t="n"/>
      <c r="R335" s="29" t="n"/>
      <c r="S335" s="52">
        <f>IF(OR(A335="",F335="",C335&lt;&gt;"Mekân"),0,IF(COUNTIFS($F$8:F335,F335,$C$8:C335,"Mekân")=1,1,0))</f>
        <v/>
      </c>
      <c r="T335" s="52">
        <f>IF(OR(A335="",F335="",C335&lt;&gt;"Kapak"),0,IF(COUNTIFS($F$8:F335,F335,$C$8:C335,"Kapak")=1,1,0))</f>
        <v/>
      </c>
    </row>
    <row r="336" ht="54" customHeight="1">
      <c r="A336" s="29" t="n"/>
      <c r="B336" s="29" t="n"/>
      <c r="C336" s="29" t="n"/>
      <c r="D336" s="29" t="n"/>
      <c r="E336" s="29" t="n"/>
      <c r="F336" s="29" t="n"/>
      <c r="G336" s="29" t="n"/>
      <c r="H336" s="29" t="n"/>
      <c r="I336" s="29" t="n"/>
      <c r="J336" s="29" t="n"/>
      <c r="K336" s="29" t="n"/>
      <c r="L336" s="49" t="n"/>
      <c r="M336" s="49" t="n"/>
      <c r="N336" s="29" t="n"/>
      <c r="O336" s="29" t="n"/>
      <c r="P336" s="29" t="n"/>
      <c r="Q336" s="51" t="n"/>
      <c r="R336" s="29" t="n"/>
      <c r="S336" s="52">
        <f>IF(OR(A336="",F336="",C336&lt;&gt;"Mekân"),0,IF(COUNTIFS($F$8:F336,F336,$C$8:C336,"Mekân")=1,1,0))</f>
        <v/>
      </c>
      <c r="T336" s="52">
        <f>IF(OR(A336="",F336="",C336&lt;&gt;"Kapak"),0,IF(COUNTIFS($F$8:F336,F336,$C$8:C336,"Kapak")=1,1,0))</f>
        <v/>
      </c>
    </row>
    <row r="337" ht="54" customHeight="1">
      <c r="A337" s="29" t="n"/>
      <c r="B337" s="29" t="n"/>
      <c r="C337" s="29" t="n"/>
      <c r="D337" s="29" t="n"/>
      <c r="E337" s="29" t="n"/>
      <c r="F337" s="29" t="n"/>
      <c r="G337" s="29" t="n"/>
      <c r="H337" s="29" t="n"/>
      <c r="I337" s="29" t="n"/>
      <c r="J337" s="29" t="n"/>
      <c r="K337" s="29" t="n"/>
      <c r="L337" s="49" t="n"/>
      <c r="M337" s="49" t="n"/>
      <c r="N337" s="29" t="n"/>
      <c r="O337" s="29" t="n"/>
      <c r="P337" s="29" t="n"/>
      <c r="Q337" s="51" t="n"/>
      <c r="R337" s="29" t="n"/>
      <c r="S337" s="52">
        <f>IF(OR(A337="",F337="",C337&lt;&gt;"Mekân"),0,IF(COUNTIFS($F$8:F337,F337,$C$8:C337,"Mekân")=1,1,0))</f>
        <v/>
      </c>
      <c r="T337" s="52">
        <f>IF(OR(A337="",F337="",C337&lt;&gt;"Kapak"),0,IF(COUNTIFS($F$8:F337,F337,$C$8:C337,"Kapak")=1,1,0))</f>
        <v/>
      </c>
    </row>
    <row r="338" ht="54" customHeight="1">
      <c r="A338" s="29" t="n"/>
      <c r="B338" s="29" t="n"/>
      <c r="C338" s="29" t="n"/>
      <c r="D338" s="29" t="n"/>
      <c r="E338" s="29" t="n"/>
      <c r="F338" s="29" t="n"/>
      <c r="G338" s="29" t="n"/>
      <c r="H338" s="29" t="n"/>
      <c r="I338" s="29" t="n"/>
      <c r="J338" s="29" t="n"/>
      <c r="K338" s="29" t="n"/>
      <c r="L338" s="49" t="n"/>
      <c r="M338" s="49" t="n"/>
      <c r="N338" s="29" t="n"/>
      <c r="O338" s="29" t="n"/>
      <c r="P338" s="29" t="n"/>
      <c r="Q338" s="51" t="n"/>
      <c r="R338" s="29" t="n"/>
      <c r="S338" s="52">
        <f>IF(OR(A338="",F338="",C338&lt;&gt;"Mekân"),0,IF(COUNTIFS($F$8:F338,F338,$C$8:C338,"Mekân")=1,1,0))</f>
        <v/>
      </c>
      <c r="T338" s="52">
        <f>IF(OR(A338="",F338="",C338&lt;&gt;"Kapak"),0,IF(COUNTIFS($F$8:F338,F338,$C$8:C338,"Kapak")=1,1,0))</f>
        <v/>
      </c>
    </row>
    <row r="339" ht="54" customHeight="1">
      <c r="A339" s="29" t="n"/>
      <c r="B339" s="29" t="n"/>
      <c r="C339" s="29" t="n"/>
      <c r="D339" s="29" t="n"/>
      <c r="E339" s="29" t="n"/>
      <c r="F339" s="29" t="n"/>
      <c r="G339" s="29" t="n"/>
      <c r="H339" s="29" t="n"/>
      <c r="I339" s="29" t="n"/>
      <c r="J339" s="29" t="n"/>
      <c r="K339" s="29" t="n"/>
      <c r="L339" s="49" t="n"/>
      <c r="M339" s="49" t="n"/>
      <c r="N339" s="29" t="n"/>
      <c r="O339" s="29" t="n"/>
      <c r="P339" s="29" t="n"/>
      <c r="Q339" s="51" t="n"/>
      <c r="R339" s="29" t="n"/>
      <c r="S339" s="52">
        <f>IF(OR(A339="",F339="",C339&lt;&gt;"Mekân"),0,IF(COUNTIFS($F$8:F339,F339,$C$8:C339,"Mekân")=1,1,0))</f>
        <v/>
      </c>
      <c r="T339" s="52">
        <f>IF(OR(A339="",F339="",C339&lt;&gt;"Kapak"),0,IF(COUNTIFS($F$8:F339,F339,$C$8:C339,"Kapak")=1,1,0))</f>
        <v/>
      </c>
    </row>
    <row r="340" ht="54" customHeight="1">
      <c r="A340" s="29" t="n"/>
      <c r="B340" s="29" t="n"/>
      <c r="C340" s="29" t="n"/>
      <c r="D340" s="29" t="n"/>
      <c r="E340" s="29" t="n"/>
      <c r="F340" s="29" t="n"/>
      <c r="G340" s="29" t="n"/>
      <c r="H340" s="29" t="n"/>
      <c r="I340" s="29" t="n"/>
      <c r="J340" s="29" t="n"/>
      <c r="K340" s="29" t="n"/>
      <c r="L340" s="49" t="n"/>
      <c r="M340" s="49" t="n"/>
      <c r="N340" s="29" t="n"/>
      <c r="O340" s="29" t="n"/>
      <c r="P340" s="29" t="n"/>
      <c r="Q340" s="51" t="n"/>
      <c r="R340" s="29" t="n"/>
      <c r="S340" s="52">
        <f>IF(OR(A340="",F340="",C340&lt;&gt;"Mekân"),0,IF(COUNTIFS($F$8:F340,F340,$C$8:C340,"Mekân")=1,1,0))</f>
        <v/>
      </c>
      <c r="T340" s="52">
        <f>IF(OR(A340="",F340="",C340&lt;&gt;"Kapak"),0,IF(COUNTIFS($F$8:F340,F340,$C$8:C340,"Kapak")=1,1,0))</f>
        <v/>
      </c>
    </row>
    <row r="341" ht="54" customHeight="1">
      <c r="A341" s="29" t="n"/>
      <c r="B341" s="29" t="n"/>
      <c r="C341" s="29" t="n"/>
      <c r="D341" s="29" t="n"/>
      <c r="E341" s="29" t="n"/>
      <c r="F341" s="29" t="n"/>
      <c r="G341" s="29" t="n"/>
      <c r="H341" s="29" t="n"/>
      <c r="I341" s="29" t="n"/>
      <c r="J341" s="29" t="n"/>
      <c r="K341" s="29" t="n"/>
      <c r="L341" s="49" t="n"/>
      <c r="M341" s="49" t="n"/>
      <c r="N341" s="29" t="n"/>
      <c r="O341" s="29" t="n"/>
      <c r="P341" s="29" t="n"/>
      <c r="Q341" s="51" t="n"/>
      <c r="R341" s="29" t="n"/>
      <c r="S341" s="52">
        <f>IF(OR(A341="",F341="",C341&lt;&gt;"Mekân"),0,IF(COUNTIFS($F$8:F341,F341,$C$8:C341,"Mekân")=1,1,0))</f>
        <v/>
      </c>
      <c r="T341" s="52">
        <f>IF(OR(A341="",F341="",C341&lt;&gt;"Kapak"),0,IF(COUNTIFS($F$8:F341,F341,$C$8:C341,"Kapak")=1,1,0))</f>
        <v/>
      </c>
    </row>
    <row r="342" ht="54" customHeight="1">
      <c r="A342" s="29" t="n"/>
      <c r="B342" s="29" t="n"/>
      <c r="C342" s="29" t="n"/>
      <c r="D342" s="29" t="n"/>
      <c r="E342" s="29" t="n"/>
      <c r="F342" s="29" t="n"/>
      <c r="G342" s="29" t="n"/>
      <c r="H342" s="29" t="n"/>
      <c r="I342" s="29" t="n"/>
      <c r="J342" s="29" t="n"/>
      <c r="K342" s="29" t="n"/>
      <c r="L342" s="49" t="n"/>
      <c r="M342" s="49" t="n"/>
      <c r="N342" s="29" t="n"/>
      <c r="O342" s="29" t="n"/>
      <c r="P342" s="29" t="n"/>
      <c r="Q342" s="51" t="n"/>
      <c r="R342" s="29" t="n"/>
      <c r="S342" s="52">
        <f>IF(OR(A342="",F342="",C342&lt;&gt;"Mekân"),0,IF(COUNTIFS($F$8:F342,F342,$C$8:C342,"Mekân")=1,1,0))</f>
        <v/>
      </c>
      <c r="T342" s="52">
        <f>IF(OR(A342="",F342="",C342&lt;&gt;"Kapak"),0,IF(COUNTIFS($F$8:F342,F342,$C$8:C342,"Kapak")=1,1,0))</f>
        <v/>
      </c>
    </row>
    <row r="343" ht="54" customHeight="1">
      <c r="A343" s="29" t="n"/>
      <c r="B343" s="29" t="n"/>
      <c r="C343" s="29" t="n"/>
      <c r="D343" s="29" t="n"/>
      <c r="E343" s="29" t="n"/>
      <c r="F343" s="29" t="n"/>
      <c r="G343" s="29" t="n"/>
      <c r="H343" s="29" t="n"/>
      <c r="I343" s="29" t="n"/>
      <c r="J343" s="29" t="n"/>
      <c r="K343" s="29" t="n"/>
      <c r="L343" s="49" t="n"/>
      <c r="M343" s="49" t="n"/>
      <c r="N343" s="29" t="n"/>
      <c r="O343" s="29" t="n"/>
      <c r="P343" s="29" t="n"/>
      <c r="Q343" s="51" t="n"/>
      <c r="R343" s="29" t="n"/>
      <c r="S343" s="52">
        <f>IF(OR(A343="",F343="",C343&lt;&gt;"Mekân"),0,IF(COUNTIFS($F$8:F343,F343,$C$8:C343,"Mekân")=1,1,0))</f>
        <v/>
      </c>
      <c r="T343" s="52">
        <f>IF(OR(A343="",F343="",C343&lt;&gt;"Kapak"),0,IF(COUNTIFS($F$8:F343,F343,$C$8:C343,"Kapak")=1,1,0))</f>
        <v/>
      </c>
    </row>
    <row r="344" ht="54" customHeight="1">
      <c r="A344" s="29" t="n"/>
      <c r="B344" s="29" t="n"/>
      <c r="C344" s="29" t="n"/>
      <c r="D344" s="29" t="n"/>
      <c r="E344" s="29" t="n"/>
      <c r="F344" s="29" t="n"/>
      <c r="G344" s="29" t="n"/>
      <c r="H344" s="29" t="n"/>
      <c r="I344" s="29" t="n"/>
      <c r="J344" s="29" t="n"/>
      <c r="K344" s="29" t="n"/>
      <c r="L344" s="49" t="n"/>
      <c r="M344" s="49" t="n"/>
      <c r="N344" s="29" t="n"/>
      <c r="O344" s="29" t="n"/>
      <c r="P344" s="29" t="n"/>
      <c r="Q344" s="51" t="n"/>
      <c r="R344" s="29" t="n"/>
      <c r="S344" s="52">
        <f>IF(OR(A344="",F344="",C344&lt;&gt;"Mekân"),0,IF(COUNTIFS($F$8:F344,F344,$C$8:C344,"Mekân")=1,1,0))</f>
        <v/>
      </c>
      <c r="T344" s="52">
        <f>IF(OR(A344="",F344="",C344&lt;&gt;"Kapak"),0,IF(COUNTIFS($F$8:F344,F344,$C$8:C344,"Kapak")=1,1,0))</f>
        <v/>
      </c>
    </row>
    <row r="345" ht="54" customHeight="1">
      <c r="A345" s="29" t="n"/>
      <c r="B345" s="29" t="n"/>
      <c r="C345" s="29" t="n"/>
      <c r="D345" s="29" t="n"/>
      <c r="E345" s="29" t="n"/>
      <c r="F345" s="29" t="n"/>
      <c r="G345" s="29" t="n"/>
      <c r="H345" s="29" t="n"/>
      <c r="I345" s="29" t="n"/>
      <c r="J345" s="29" t="n"/>
      <c r="K345" s="29" t="n"/>
      <c r="L345" s="49" t="n"/>
      <c r="M345" s="49" t="n"/>
      <c r="N345" s="29" t="n"/>
      <c r="O345" s="29" t="n"/>
      <c r="P345" s="29" t="n"/>
      <c r="Q345" s="51" t="n"/>
      <c r="R345" s="29" t="n"/>
      <c r="S345" s="52">
        <f>IF(OR(A345="",F345="",C345&lt;&gt;"Mekân"),0,IF(COUNTIFS($F$8:F345,F345,$C$8:C345,"Mekân")=1,1,0))</f>
        <v/>
      </c>
      <c r="T345" s="52">
        <f>IF(OR(A345="",F345="",C345&lt;&gt;"Kapak"),0,IF(COUNTIFS($F$8:F345,F345,$C$8:C345,"Kapak")=1,1,0))</f>
        <v/>
      </c>
    </row>
    <row r="346" ht="54" customHeight="1">
      <c r="A346" s="29" t="n"/>
      <c r="B346" s="29" t="n"/>
      <c r="C346" s="29" t="n"/>
      <c r="D346" s="29" t="n"/>
      <c r="E346" s="29" t="n"/>
      <c r="F346" s="29" t="n"/>
      <c r="G346" s="29" t="n"/>
      <c r="H346" s="29" t="n"/>
      <c r="I346" s="29" t="n"/>
      <c r="J346" s="29" t="n"/>
      <c r="K346" s="29" t="n"/>
      <c r="L346" s="49" t="n"/>
      <c r="M346" s="49" t="n"/>
      <c r="N346" s="29" t="n"/>
      <c r="O346" s="29" t="n"/>
      <c r="P346" s="29" t="n"/>
      <c r="Q346" s="51" t="n"/>
      <c r="R346" s="29" t="n"/>
      <c r="S346" s="52">
        <f>IF(OR(A346="",F346="",C346&lt;&gt;"Mekân"),0,IF(COUNTIFS($F$8:F346,F346,$C$8:C346,"Mekân")=1,1,0))</f>
        <v/>
      </c>
      <c r="T346" s="52">
        <f>IF(OR(A346="",F346="",C346&lt;&gt;"Kapak"),0,IF(COUNTIFS($F$8:F346,F346,$C$8:C346,"Kapak")=1,1,0))</f>
        <v/>
      </c>
    </row>
    <row r="347" ht="54" customHeight="1">
      <c r="A347" s="29" t="n"/>
      <c r="B347" s="29" t="n"/>
      <c r="C347" s="29" t="n"/>
      <c r="D347" s="29" t="n"/>
      <c r="E347" s="29" t="n"/>
      <c r="F347" s="29" t="n"/>
      <c r="G347" s="29" t="n"/>
      <c r="H347" s="29" t="n"/>
      <c r="I347" s="29" t="n"/>
      <c r="J347" s="29" t="n"/>
      <c r="K347" s="29" t="n"/>
      <c r="L347" s="49" t="n"/>
      <c r="M347" s="49" t="n"/>
      <c r="N347" s="29" t="n"/>
      <c r="O347" s="29" t="n"/>
      <c r="P347" s="29" t="n"/>
      <c r="Q347" s="51" t="n"/>
      <c r="R347" s="29" t="n"/>
      <c r="S347" s="52">
        <f>IF(OR(A347="",F347="",C347&lt;&gt;"Mekân"),0,IF(COUNTIFS($F$8:F347,F347,$C$8:C347,"Mekân")=1,1,0))</f>
        <v/>
      </c>
      <c r="T347" s="52">
        <f>IF(OR(A347="",F347="",C347&lt;&gt;"Kapak"),0,IF(COUNTIFS($F$8:F347,F347,$C$8:C347,"Kapak")=1,1,0))</f>
        <v/>
      </c>
    </row>
    <row r="348" ht="54" customHeight="1">
      <c r="A348" s="29" t="n"/>
      <c r="B348" s="29" t="n"/>
      <c r="C348" s="29" t="n"/>
      <c r="D348" s="29" t="n"/>
      <c r="E348" s="29" t="n"/>
      <c r="F348" s="29" t="n"/>
      <c r="G348" s="29" t="n"/>
      <c r="H348" s="29" t="n"/>
      <c r="I348" s="29" t="n"/>
      <c r="J348" s="29" t="n"/>
      <c r="K348" s="29" t="n"/>
      <c r="L348" s="49" t="n"/>
      <c r="M348" s="49" t="n"/>
      <c r="N348" s="29" t="n"/>
      <c r="O348" s="29" t="n"/>
      <c r="P348" s="29" t="n"/>
      <c r="Q348" s="51" t="n"/>
      <c r="R348" s="29" t="n"/>
      <c r="S348" s="52">
        <f>IF(OR(A348="",F348="",C348&lt;&gt;"Mekân"),0,IF(COUNTIFS($F$8:F348,F348,$C$8:C348,"Mekân")=1,1,0))</f>
        <v/>
      </c>
      <c r="T348" s="52">
        <f>IF(OR(A348="",F348="",C348&lt;&gt;"Kapak"),0,IF(COUNTIFS($F$8:F348,F348,$C$8:C348,"Kapak")=1,1,0))</f>
        <v/>
      </c>
    </row>
    <row r="349" ht="54" customHeight="1">
      <c r="A349" s="29" t="n"/>
      <c r="B349" s="29" t="n"/>
      <c r="C349" s="29" t="n"/>
      <c r="D349" s="29" t="n"/>
      <c r="E349" s="29" t="n"/>
      <c r="F349" s="29" t="n"/>
      <c r="G349" s="29" t="n"/>
      <c r="H349" s="29" t="n"/>
      <c r="I349" s="29" t="n"/>
      <c r="J349" s="29" t="n"/>
      <c r="K349" s="29" t="n"/>
      <c r="L349" s="49" t="n"/>
      <c r="M349" s="49" t="n"/>
      <c r="N349" s="29" t="n"/>
      <c r="O349" s="29" t="n"/>
      <c r="P349" s="29" t="n"/>
      <c r="Q349" s="51" t="n"/>
      <c r="R349" s="29" t="n"/>
      <c r="S349" s="52">
        <f>IF(OR(A349="",F349="",C349&lt;&gt;"Mekân"),0,IF(COUNTIFS($F$8:F349,F349,$C$8:C349,"Mekân")=1,1,0))</f>
        <v/>
      </c>
      <c r="T349" s="52">
        <f>IF(OR(A349="",F349="",C349&lt;&gt;"Kapak"),0,IF(COUNTIFS($F$8:F349,F349,$C$8:C349,"Kapak")=1,1,0))</f>
        <v/>
      </c>
    </row>
    <row r="350" ht="54" customHeight="1">
      <c r="A350" s="29" t="n"/>
      <c r="B350" s="29" t="n"/>
      <c r="C350" s="29" t="n"/>
      <c r="D350" s="29" t="n"/>
      <c r="E350" s="29" t="n"/>
      <c r="F350" s="29" t="n"/>
      <c r="G350" s="29" t="n"/>
      <c r="H350" s="29" t="n"/>
      <c r="I350" s="29" t="n"/>
      <c r="J350" s="29" t="n"/>
      <c r="K350" s="29" t="n"/>
      <c r="L350" s="49" t="n"/>
      <c r="M350" s="49" t="n"/>
      <c r="N350" s="29" t="n"/>
      <c r="O350" s="29" t="n"/>
      <c r="P350" s="29" t="n"/>
      <c r="Q350" s="51" t="n"/>
      <c r="R350" s="29" t="n"/>
      <c r="S350" s="52">
        <f>IF(OR(A350="",F350="",C350&lt;&gt;"Mekân"),0,IF(COUNTIFS($F$8:F350,F350,$C$8:C350,"Mekân")=1,1,0))</f>
        <v/>
      </c>
      <c r="T350" s="52">
        <f>IF(OR(A350="",F350="",C350&lt;&gt;"Kapak"),0,IF(COUNTIFS($F$8:F350,F350,$C$8:C350,"Kapak")=1,1,0))</f>
        <v/>
      </c>
    </row>
    <row r="351" ht="54" customHeight="1">
      <c r="A351" s="29" t="n"/>
      <c r="B351" s="29" t="n"/>
      <c r="C351" s="29" t="n"/>
      <c r="D351" s="29" t="n"/>
      <c r="E351" s="29" t="n"/>
      <c r="F351" s="29" t="n"/>
      <c r="G351" s="29" t="n"/>
      <c r="H351" s="29" t="n"/>
      <c r="I351" s="29" t="n"/>
      <c r="J351" s="29" t="n"/>
      <c r="K351" s="29" t="n"/>
      <c r="L351" s="49" t="n"/>
      <c r="M351" s="49" t="n"/>
      <c r="N351" s="29" t="n"/>
      <c r="O351" s="29" t="n"/>
      <c r="P351" s="29" t="n"/>
      <c r="Q351" s="51" t="n"/>
      <c r="R351" s="29" t="n"/>
      <c r="S351" s="52">
        <f>IF(OR(A351="",F351="",C351&lt;&gt;"Mekân"),0,IF(COUNTIFS($F$8:F351,F351,$C$8:C351,"Mekân")=1,1,0))</f>
        <v/>
      </c>
      <c r="T351" s="52">
        <f>IF(OR(A351="",F351="",C351&lt;&gt;"Kapak"),0,IF(COUNTIFS($F$8:F351,F351,$C$8:C351,"Kapak")=1,1,0))</f>
        <v/>
      </c>
    </row>
    <row r="352" ht="54" customHeight="1">
      <c r="A352" s="29" t="n"/>
      <c r="B352" s="29" t="n"/>
      <c r="C352" s="29" t="n"/>
      <c r="D352" s="29" t="n"/>
      <c r="E352" s="29" t="n"/>
      <c r="F352" s="29" t="n"/>
      <c r="G352" s="29" t="n"/>
      <c r="H352" s="29" t="n"/>
      <c r="I352" s="29" t="n"/>
      <c r="J352" s="29" t="n"/>
      <c r="K352" s="29" t="n"/>
      <c r="L352" s="49" t="n"/>
      <c r="M352" s="49" t="n"/>
      <c r="N352" s="29" t="n"/>
      <c r="O352" s="29" t="n"/>
      <c r="P352" s="29" t="n"/>
      <c r="Q352" s="51" t="n"/>
      <c r="R352" s="29" t="n"/>
      <c r="S352" s="52">
        <f>IF(OR(A352="",F352="",C352&lt;&gt;"Mekân"),0,IF(COUNTIFS($F$8:F352,F352,$C$8:C352,"Mekân")=1,1,0))</f>
        <v/>
      </c>
      <c r="T352" s="52">
        <f>IF(OR(A352="",F352="",C352&lt;&gt;"Kapak"),0,IF(COUNTIFS($F$8:F352,F352,$C$8:C352,"Kapak")=1,1,0))</f>
        <v/>
      </c>
    </row>
    <row r="353" ht="54" customHeight="1">
      <c r="A353" s="29" t="n"/>
      <c r="B353" s="29" t="n"/>
      <c r="C353" s="29" t="n"/>
      <c r="D353" s="29" t="n"/>
      <c r="E353" s="29" t="n"/>
      <c r="F353" s="29" t="n"/>
      <c r="G353" s="29" t="n"/>
      <c r="H353" s="29" t="n"/>
      <c r="I353" s="29" t="n"/>
      <c r="J353" s="29" t="n"/>
      <c r="K353" s="29" t="n"/>
      <c r="L353" s="49" t="n"/>
      <c r="M353" s="49" t="n"/>
      <c r="N353" s="29" t="n"/>
      <c r="O353" s="29" t="n"/>
      <c r="P353" s="29" t="n"/>
      <c r="Q353" s="51" t="n"/>
      <c r="R353" s="29" t="n"/>
      <c r="S353" s="52">
        <f>IF(OR(A353="",F353="",C353&lt;&gt;"Mekân"),0,IF(COUNTIFS($F$8:F353,F353,$C$8:C353,"Mekân")=1,1,0))</f>
        <v/>
      </c>
      <c r="T353" s="52">
        <f>IF(OR(A353="",F353="",C353&lt;&gt;"Kapak"),0,IF(COUNTIFS($F$8:F353,F353,$C$8:C353,"Kapak")=1,1,0))</f>
        <v/>
      </c>
    </row>
    <row r="354" ht="54" customHeight="1">
      <c r="A354" s="29" t="n"/>
      <c r="B354" s="29" t="n"/>
      <c r="C354" s="29" t="n"/>
      <c r="D354" s="29" t="n"/>
      <c r="E354" s="29" t="n"/>
      <c r="F354" s="29" t="n"/>
      <c r="G354" s="29" t="n"/>
      <c r="H354" s="29" t="n"/>
      <c r="I354" s="29" t="n"/>
      <c r="J354" s="29" t="n"/>
      <c r="K354" s="29" t="n"/>
      <c r="L354" s="49" t="n"/>
      <c r="M354" s="49" t="n"/>
      <c r="N354" s="29" t="n"/>
      <c r="O354" s="29" t="n"/>
      <c r="P354" s="29" t="n"/>
      <c r="Q354" s="51" t="n"/>
      <c r="R354" s="29" t="n"/>
      <c r="S354" s="52">
        <f>IF(OR(A354="",F354="",C354&lt;&gt;"Mekân"),0,IF(COUNTIFS($F$8:F354,F354,$C$8:C354,"Mekân")=1,1,0))</f>
        <v/>
      </c>
      <c r="T354" s="52">
        <f>IF(OR(A354="",F354="",C354&lt;&gt;"Kapak"),0,IF(COUNTIFS($F$8:F354,F354,$C$8:C354,"Kapak")=1,1,0))</f>
        <v/>
      </c>
    </row>
    <row r="355" ht="54" customHeight="1">
      <c r="A355" s="29" t="n"/>
      <c r="B355" s="29" t="n"/>
      <c r="C355" s="29" t="n"/>
      <c r="D355" s="29" t="n"/>
      <c r="E355" s="29" t="n"/>
      <c r="F355" s="29" t="n"/>
      <c r="G355" s="29" t="n"/>
      <c r="H355" s="29" t="n"/>
      <c r="I355" s="29" t="n"/>
      <c r="J355" s="29" t="n"/>
      <c r="K355" s="29" t="n"/>
      <c r="L355" s="49" t="n"/>
      <c r="M355" s="49" t="n"/>
      <c r="N355" s="29" t="n"/>
      <c r="O355" s="29" t="n"/>
      <c r="P355" s="29" t="n"/>
      <c r="Q355" s="51" t="n"/>
      <c r="R355" s="29" t="n"/>
      <c r="S355" s="52">
        <f>IF(OR(A355="",F355="",C355&lt;&gt;"Mekân"),0,IF(COUNTIFS($F$8:F355,F355,$C$8:C355,"Mekân")=1,1,0))</f>
        <v/>
      </c>
      <c r="T355" s="52">
        <f>IF(OR(A355="",F355="",C355&lt;&gt;"Kapak"),0,IF(COUNTIFS($F$8:F355,F355,$C$8:C355,"Kapak")=1,1,0))</f>
        <v/>
      </c>
    </row>
    <row r="356" ht="54" customHeight="1">
      <c r="A356" s="29" t="n"/>
      <c r="B356" s="29" t="n"/>
      <c r="C356" s="29" t="n"/>
      <c r="D356" s="29" t="n"/>
      <c r="E356" s="29" t="n"/>
      <c r="F356" s="29" t="n"/>
      <c r="G356" s="29" t="n"/>
      <c r="H356" s="29" t="n"/>
      <c r="I356" s="29" t="n"/>
      <c r="J356" s="29" t="n"/>
      <c r="K356" s="29" t="n"/>
      <c r="L356" s="49" t="n"/>
      <c r="M356" s="49" t="n"/>
      <c r="N356" s="29" t="n"/>
      <c r="O356" s="29" t="n"/>
      <c r="P356" s="29" t="n"/>
      <c r="Q356" s="51" t="n"/>
      <c r="R356" s="29" t="n"/>
      <c r="S356" s="52">
        <f>IF(OR(A356="",F356="",C356&lt;&gt;"Mekân"),0,IF(COUNTIFS($F$8:F356,F356,$C$8:C356,"Mekân")=1,1,0))</f>
        <v/>
      </c>
      <c r="T356" s="52">
        <f>IF(OR(A356="",F356="",C356&lt;&gt;"Kapak"),0,IF(COUNTIFS($F$8:F356,F356,$C$8:C356,"Kapak")=1,1,0))</f>
        <v/>
      </c>
    </row>
    <row r="357" ht="54" customHeight="1">
      <c r="A357" s="29" t="n"/>
      <c r="B357" s="29" t="n"/>
      <c r="C357" s="29" t="n"/>
      <c r="D357" s="29" t="n"/>
      <c r="E357" s="29" t="n"/>
      <c r="F357" s="29" t="n"/>
      <c r="G357" s="29" t="n"/>
      <c r="H357" s="29" t="n"/>
      <c r="I357" s="29" t="n"/>
      <c r="J357" s="29" t="n"/>
      <c r="K357" s="29" t="n"/>
      <c r="L357" s="49" t="n"/>
      <c r="M357" s="49" t="n"/>
      <c r="N357" s="29" t="n"/>
      <c r="O357" s="29" t="n"/>
      <c r="P357" s="29" t="n"/>
      <c r="Q357" s="51" t="n"/>
      <c r="R357" s="29" t="n"/>
      <c r="S357" s="52">
        <f>IF(OR(A357="",F357="",C357&lt;&gt;"Mekân"),0,IF(COUNTIFS($F$8:F357,F357,$C$8:C357,"Mekân")=1,1,0))</f>
        <v/>
      </c>
      <c r="T357" s="52">
        <f>IF(OR(A357="",F357="",C357&lt;&gt;"Kapak"),0,IF(COUNTIFS($F$8:F357,F357,$C$8:C357,"Kapak")=1,1,0))</f>
        <v/>
      </c>
    </row>
    <row r="358">
      <c r="S358" s="52">
        <f>IF(OR(A358="",F358="",C358&lt;&gt;"Mekân"),0,IF(COUNTIFS($F$8:F358,F358,$C$8:C358,"Mekân")=1,1,0))</f>
        <v/>
      </c>
      <c r="T358" s="52">
        <f>IF(OR(A358="",F358="",C358&lt;&gt;"Kapak"),0,IF(COUNTIFS($F$8:F358,F358,$C$8:C358,"Kapak")=1,1,0))</f>
        <v/>
      </c>
    </row>
    <row r="359">
      <c r="S359" s="52">
        <f>IF(OR(A359="",F359="",C359&lt;&gt;"Mekân"),0,IF(COUNTIFS($F$8:F359,F359,$C$8:C359,"Mekân")=1,1,0))</f>
        <v/>
      </c>
      <c r="T359" s="52">
        <f>IF(OR(A359="",F359="",C359&lt;&gt;"Kapak"),0,IF(COUNTIFS($F$8:F359,F359,$C$8:C359,"Kapak")=1,1,0))</f>
        <v/>
      </c>
    </row>
    <row r="360">
      <c r="S360" s="52">
        <f>IF(OR(A360="",F360="",C360&lt;&gt;"Mekân"),0,IF(COUNTIFS($F$8:F360,F360,$C$8:C360,"Mekân")=1,1,0))</f>
        <v/>
      </c>
      <c r="T360" s="52">
        <f>IF(OR(A360="",F360="",C360&lt;&gt;"Kapak"),0,IF(COUNTIFS($F$8:F360,F360,$C$8:C360,"Kapak")=1,1,0))</f>
        <v/>
      </c>
    </row>
    <row r="361">
      <c r="S361" s="52">
        <f>IF(OR(A361="",F361="",C361&lt;&gt;"Mekân"),0,IF(COUNTIFS($F$8:F361,F361,$C$8:C361,"Mekân")=1,1,0))</f>
        <v/>
      </c>
      <c r="T361" s="52">
        <f>IF(OR(A361="",F361="",C361&lt;&gt;"Kapak"),0,IF(COUNTIFS($F$8:F361,F361,$C$8:C361,"Kapak")=1,1,0))</f>
        <v/>
      </c>
    </row>
    <row r="362">
      <c r="S362" s="52">
        <f>IF(OR(A362="",F362="",C362&lt;&gt;"Mekân"),0,IF(COUNTIFS($F$8:F362,F362,$C$8:C362,"Mekân")=1,1,0))</f>
        <v/>
      </c>
      <c r="T362" s="52">
        <f>IF(OR(A362="",F362="",C362&lt;&gt;"Kapak"),0,IF(COUNTIFS($F$8:F362,F362,$C$8:C362,"Kapak")=1,1,0))</f>
        <v/>
      </c>
    </row>
    <row r="363">
      <c r="S363" s="52">
        <f>IF(OR(A363="",F363="",C363&lt;&gt;"Mekân"),0,IF(COUNTIFS($F$8:F363,F363,$C$8:C363,"Mekân")=1,1,0))</f>
        <v/>
      </c>
      <c r="T363" s="52">
        <f>IF(OR(A363="",F363="",C363&lt;&gt;"Kapak"),0,IF(COUNTIFS($F$8:F363,F363,$C$8:C363,"Kapak")=1,1,0))</f>
        <v/>
      </c>
    </row>
    <row r="364">
      <c r="S364" s="52">
        <f>IF(OR(A364="",F364="",C364&lt;&gt;"Mekân"),0,IF(COUNTIFS($F$8:F364,F364,$C$8:C364,"Mekân")=1,1,0))</f>
        <v/>
      </c>
      <c r="T364" s="52">
        <f>IF(OR(A364="",F364="",C364&lt;&gt;"Kapak"),0,IF(COUNTIFS($F$8:F364,F364,$C$8:C364,"Kapak")=1,1,0))</f>
        <v/>
      </c>
    </row>
    <row r="365">
      <c r="S365" s="52">
        <f>IF(OR(A365="",F365="",C365&lt;&gt;"Mekân"),0,IF(COUNTIFS($F$8:F365,F365,$C$8:C365,"Mekân")=1,1,0))</f>
        <v/>
      </c>
      <c r="T365" s="52">
        <f>IF(OR(A365="",F365="",C365&lt;&gt;"Kapak"),0,IF(COUNTIFS($F$8:F365,F365,$C$8:C365,"Kapak")=1,1,0))</f>
        <v/>
      </c>
    </row>
    <row r="366">
      <c r="S366" s="52">
        <f>IF(OR(A366="",F366="",C366&lt;&gt;"Mekân"),0,IF(COUNTIFS($F$8:F366,F366,$C$8:C366,"Mekân")=1,1,0))</f>
        <v/>
      </c>
      <c r="T366" s="52">
        <f>IF(OR(A366="",F366="",C366&lt;&gt;"Kapak"),0,IF(COUNTIFS($F$8:F366,F366,$C$8:C366,"Kapak")=1,1,0))</f>
        <v/>
      </c>
    </row>
    <row r="367">
      <c r="S367" s="52">
        <f>IF(OR(A367="",F367="",C367&lt;&gt;"Mekân"),0,IF(COUNTIFS($F$8:F367,F367,$C$8:C367,"Mekân")=1,1,0))</f>
        <v/>
      </c>
      <c r="T367" s="52">
        <f>IF(OR(A367="",F367="",C367&lt;&gt;"Kapak"),0,IF(COUNTIFS($F$8:F367,F367,$C$8:C367,"Kapak")=1,1,0))</f>
        <v/>
      </c>
    </row>
    <row r="368">
      <c r="S368" s="52">
        <f>IF(OR(A368="",F368="",C368&lt;&gt;"Mekân"),0,IF(COUNTIFS($F$8:F368,F368,$C$8:C368,"Mekân")=1,1,0))</f>
        <v/>
      </c>
      <c r="T368" s="52">
        <f>IF(OR(A368="",F368="",C368&lt;&gt;"Kapak"),0,IF(COUNTIFS($F$8:F368,F368,$C$8:C368,"Kapak")=1,1,0))</f>
        <v/>
      </c>
    </row>
    <row r="369">
      <c r="S369" s="52">
        <f>IF(OR(A369="",F369="",C369&lt;&gt;"Mekân"),0,IF(COUNTIFS($F$8:F369,F369,$C$8:C369,"Mekân")=1,1,0))</f>
        <v/>
      </c>
      <c r="T369" s="52">
        <f>IF(OR(A369="",F369="",C369&lt;&gt;"Kapak"),0,IF(COUNTIFS($F$8:F369,F369,$C$8:C369,"Kapak")=1,1,0))</f>
        <v/>
      </c>
    </row>
    <row r="370">
      <c r="S370" s="52">
        <f>IF(OR(A370="",F370="",C370&lt;&gt;"Mekân"),0,IF(COUNTIFS($F$8:F370,F370,$C$8:C370,"Mekân")=1,1,0))</f>
        <v/>
      </c>
      <c r="T370" s="52">
        <f>IF(OR(A370="",F370="",C370&lt;&gt;"Kapak"),0,IF(COUNTIFS($F$8:F370,F370,$C$8:C370,"Kapak")=1,1,0))</f>
        <v/>
      </c>
    </row>
    <row r="371">
      <c r="S371" s="52">
        <f>IF(OR(A371="",F371="",C371&lt;&gt;"Mekân"),0,IF(COUNTIFS($F$8:F371,F371,$C$8:C371,"Mekân")=1,1,0))</f>
        <v/>
      </c>
      <c r="T371" s="52">
        <f>IF(OR(A371="",F371="",C371&lt;&gt;"Kapak"),0,IF(COUNTIFS($F$8:F371,F371,$C$8:C371,"Kapak")=1,1,0))</f>
        <v/>
      </c>
    </row>
    <row r="372">
      <c r="S372" s="52">
        <f>IF(OR(A372="",F372="",C372&lt;&gt;"Mekân"),0,IF(COUNTIFS($F$8:F372,F372,$C$8:C372,"Mekân")=1,1,0))</f>
        <v/>
      </c>
      <c r="T372" s="52">
        <f>IF(OR(A372="",F372="",C372&lt;&gt;"Kapak"),0,IF(COUNTIFS($F$8:F372,F372,$C$8:C372,"Kapak")=1,1,0))</f>
        <v/>
      </c>
    </row>
    <row r="373">
      <c r="S373" s="52">
        <f>IF(OR(A373="",F373="",C373&lt;&gt;"Mekân"),0,IF(COUNTIFS($F$8:F373,F373,$C$8:C373,"Mekân")=1,1,0))</f>
        <v/>
      </c>
      <c r="T373" s="52">
        <f>IF(OR(A373="",F373="",C373&lt;&gt;"Kapak"),0,IF(COUNTIFS($F$8:F373,F373,$C$8:C373,"Kapak")=1,1,0))</f>
        <v/>
      </c>
    </row>
    <row r="374">
      <c r="S374" s="52">
        <f>IF(OR(A374="",F374="",C374&lt;&gt;"Mekân"),0,IF(COUNTIFS($F$8:F374,F374,$C$8:C374,"Mekân")=1,1,0))</f>
        <v/>
      </c>
      <c r="T374" s="52">
        <f>IF(OR(A374="",F374="",C374&lt;&gt;"Kapak"),0,IF(COUNTIFS($F$8:F374,F374,$C$8:C374,"Kapak")=1,1,0))</f>
        <v/>
      </c>
    </row>
    <row r="375">
      <c r="S375" s="52">
        <f>IF(OR(A375="",F375="",C375&lt;&gt;"Mekân"),0,IF(COUNTIFS($F$8:F375,F375,$C$8:C375,"Mekân")=1,1,0))</f>
        <v/>
      </c>
      <c r="T375" s="52">
        <f>IF(OR(A375="",F375="",C375&lt;&gt;"Kapak"),0,IF(COUNTIFS($F$8:F375,F375,$C$8:C375,"Kapak")=1,1,0))</f>
        <v/>
      </c>
    </row>
    <row r="376">
      <c r="S376" s="52">
        <f>IF(OR(A376="",F376="",C376&lt;&gt;"Mekân"),0,IF(COUNTIFS($F$8:F376,F376,$C$8:C376,"Mekân")=1,1,0))</f>
        <v/>
      </c>
      <c r="T376" s="52">
        <f>IF(OR(A376="",F376="",C376&lt;&gt;"Kapak"),0,IF(COUNTIFS($F$8:F376,F376,$C$8:C376,"Kapak")=1,1,0))</f>
        <v/>
      </c>
    </row>
    <row r="377">
      <c r="S377" s="52">
        <f>IF(OR(A377="",F377="",C377&lt;&gt;"Mekân"),0,IF(COUNTIFS($F$8:F377,F377,$C$8:C377,"Mekân")=1,1,0))</f>
        <v/>
      </c>
      <c r="T377" s="52">
        <f>IF(OR(A377="",F377="",C377&lt;&gt;"Kapak"),0,IF(COUNTIFS($F$8:F377,F377,$C$8:C377,"Kapak")=1,1,0))</f>
        <v/>
      </c>
    </row>
    <row r="378">
      <c r="S378" s="52">
        <f>IF(OR(A378="",F378="",C378&lt;&gt;"Mekân"),0,IF(COUNTIFS($F$8:F378,F378,$C$8:C378,"Mekân")=1,1,0))</f>
        <v/>
      </c>
      <c r="T378" s="52">
        <f>IF(OR(A378="",F378="",C378&lt;&gt;"Kapak"),0,IF(COUNTIFS($F$8:F378,F378,$C$8:C378,"Kapak")=1,1,0))</f>
        <v/>
      </c>
    </row>
    <row r="379">
      <c r="S379" s="52">
        <f>IF(OR(A379="",F379="",C379&lt;&gt;"Mekân"),0,IF(COUNTIFS($F$8:F379,F379,$C$8:C379,"Mekân")=1,1,0))</f>
        <v/>
      </c>
      <c r="T379" s="52">
        <f>IF(OR(A379="",F379="",C379&lt;&gt;"Kapak"),0,IF(COUNTIFS($F$8:F379,F379,$C$8:C379,"Kapak")=1,1,0))</f>
        <v/>
      </c>
    </row>
    <row r="380">
      <c r="S380" s="52">
        <f>IF(OR(A380="",F380="",C380&lt;&gt;"Mekân"),0,IF(COUNTIFS($F$8:F380,F380,$C$8:C380,"Mekân")=1,1,0))</f>
        <v/>
      </c>
      <c r="T380" s="52">
        <f>IF(OR(A380="",F380="",C380&lt;&gt;"Kapak"),0,IF(COUNTIFS($F$8:F380,F380,$C$8:C380,"Kapak")=1,1,0))</f>
        <v/>
      </c>
    </row>
    <row r="381">
      <c r="S381" s="52">
        <f>IF(OR(A381="",F381="",C381&lt;&gt;"Mekân"),0,IF(COUNTIFS($F$8:F381,F381,$C$8:C381,"Mekân")=1,1,0))</f>
        <v/>
      </c>
      <c r="T381" s="52">
        <f>IF(OR(A381="",F381="",C381&lt;&gt;"Kapak"),0,IF(COUNTIFS($F$8:F381,F381,$C$8:C381,"Kapak")=1,1,0))</f>
        <v/>
      </c>
    </row>
    <row r="382">
      <c r="S382" s="52">
        <f>IF(OR(A382="",F382="",C382&lt;&gt;"Mekân"),0,IF(COUNTIFS($F$8:F382,F382,$C$8:C382,"Mekân")=1,1,0))</f>
        <v/>
      </c>
      <c r="T382" s="52">
        <f>IF(OR(A382="",F382="",C382&lt;&gt;"Kapak"),0,IF(COUNTIFS($F$8:F382,F382,$C$8:C382,"Kapak")=1,1,0))</f>
        <v/>
      </c>
    </row>
    <row r="383">
      <c r="S383" s="52">
        <f>IF(OR(A383="",F383="",C383&lt;&gt;"Mekân"),0,IF(COUNTIFS($F$8:F383,F383,$C$8:C383,"Mekân")=1,1,0))</f>
        <v/>
      </c>
      <c r="T383" s="52">
        <f>IF(OR(A383="",F383="",C383&lt;&gt;"Kapak"),0,IF(COUNTIFS($F$8:F383,F383,$C$8:C383,"Kapak")=1,1,0))</f>
        <v/>
      </c>
    </row>
    <row r="384">
      <c r="S384" s="52">
        <f>IF(OR(A384="",F384="",C384&lt;&gt;"Mekân"),0,IF(COUNTIFS($F$8:F384,F384,$C$8:C384,"Mekân")=1,1,0))</f>
        <v/>
      </c>
      <c r="T384" s="52">
        <f>IF(OR(A384="",F384="",C384&lt;&gt;"Kapak"),0,IF(COUNTIFS($F$8:F384,F384,$C$8:C384,"Kapak")=1,1,0))</f>
        <v/>
      </c>
    </row>
    <row r="385">
      <c r="S385" s="52">
        <f>IF(OR(A385="",F385="",C385&lt;&gt;"Mekân"),0,IF(COUNTIFS($F$8:F385,F385,$C$8:C385,"Mekân")=1,1,0))</f>
        <v/>
      </c>
      <c r="T385" s="52">
        <f>IF(OR(A385="",F385="",C385&lt;&gt;"Kapak"),0,IF(COUNTIFS($F$8:F385,F385,$C$8:C385,"Kapak")=1,1,0))</f>
        <v/>
      </c>
    </row>
    <row r="386">
      <c r="S386" s="52">
        <f>IF(OR(A386="",F386="",C386&lt;&gt;"Mekân"),0,IF(COUNTIFS($F$8:F386,F386,$C$8:C386,"Mekân")=1,1,0))</f>
        <v/>
      </c>
      <c r="T386" s="52">
        <f>IF(OR(A386="",F386="",C386&lt;&gt;"Kapak"),0,IF(COUNTIFS($F$8:F386,F386,$C$8:C386,"Kapak")=1,1,0))</f>
        <v/>
      </c>
    </row>
    <row r="387">
      <c r="S387" s="52">
        <f>IF(OR(A387="",F387="",C387&lt;&gt;"Mekân"),0,IF(COUNTIFS($F$8:F387,F387,$C$8:C387,"Mekân")=1,1,0))</f>
        <v/>
      </c>
      <c r="T387" s="52">
        <f>IF(OR(A387="",F387="",C387&lt;&gt;"Kapak"),0,IF(COUNTIFS($F$8:F387,F387,$C$8:C387,"Kapak")=1,1,0))</f>
        <v/>
      </c>
    </row>
    <row r="388">
      <c r="S388" s="52">
        <f>IF(OR(A388="",F388="",C388&lt;&gt;"Mekân"),0,IF(COUNTIFS($F$8:F388,F388,$C$8:C388,"Mekân")=1,1,0))</f>
        <v/>
      </c>
      <c r="T388" s="52">
        <f>IF(OR(A388="",F388="",C388&lt;&gt;"Kapak"),0,IF(COUNTIFS($F$8:F388,F388,$C$8:C388,"Kapak")=1,1,0))</f>
        <v/>
      </c>
    </row>
    <row r="389">
      <c r="S389" s="52">
        <f>IF(OR(A389="",F389="",C389&lt;&gt;"Mekân"),0,IF(COUNTIFS($F$8:F389,F389,$C$8:C389,"Mekân")=1,1,0))</f>
        <v/>
      </c>
      <c r="T389" s="52">
        <f>IF(OR(A389="",F389="",C389&lt;&gt;"Kapak"),0,IF(COUNTIFS($F$8:F389,F389,$C$8:C389,"Kapak")=1,1,0))</f>
        <v/>
      </c>
    </row>
    <row r="390">
      <c r="S390" s="52">
        <f>IF(OR(A390="",F390="",C390&lt;&gt;"Mekân"),0,IF(COUNTIFS($F$8:F390,F390,$C$8:C390,"Mekân")=1,1,0))</f>
        <v/>
      </c>
      <c r="T390" s="52">
        <f>IF(OR(A390="",F390="",C390&lt;&gt;"Kapak"),0,IF(COUNTIFS($F$8:F390,F390,$C$8:C390,"Kapak")=1,1,0))</f>
        <v/>
      </c>
    </row>
    <row r="391">
      <c r="S391" s="52">
        <f>IF(OR(A391="",F391="",C391&lt;&gt;"Mekân"),0,IF(COUNTIFS($F$8:F391,F391,$C$8:C391,"Mekân")=1,1,0))</f>
        <v/>
      </c>
      <c r="T391" s="52">
        <f>IF(OR(A391="",F391="",C391&lt;&gt;"Kapak"),0,IF(COUNTIFS($F$8:F391,F391,$C$8:C391,"Kapak")=1,1,0))</f>
        <v/>
      </c>
    </row>
    <row r="392">
      <c r="S392" s="52">
        <f>IF(OR(A392="",F392="",C392&lt;&gt;"Mekân"),0,IF(COUNTIFS($F$8:F392,F392,$C$8:C392,"Mekân")=1,1,0))</f>
        <v/>
      </c>
      <c r="T392" s="52">
        <f>IF(OR(A392="",F392="",C392&lt;&gt;"Kapak"),0,IF(COUNTIFS($F$8:F392,F392,$C$8:C392,"Kapak")=1,1,0))</f>
        <v/>
      </c>
    </row>
    <row r="393">
      <c r="S393" s="52">
        <f>IF(OR(A393="",F393="",C393&lt;&gt;"Mekân"),0,IF(COUNTIFS($F$8:F393,F393,$C$8:C393,"Mekân")=1,1,0))</f>
        <v/>
      </c>
      <c r="T393" s="52">
        <f>IF(OR(A393="",F393="",C393&lt;&gt;"Kapak"),0,IF(COUNTIFS($F$8:F393,F393,$C$8:C393,"Kapak")=1,1,0))</f>
        <v/>
      </c>
    </row>
    <row r="394">
      <c r="S394" s="52">
        <f>IF(OR(A394="",F394="",C394&lt;&gt;"Mekân"),0,IF(COUNTIFS($F$8:F394,F394,$C$8:C394,"Mekân")=1,1,0))</f>
        <v/>
      </c>
      <c r="T394" s="52">
        <f>IF(OR(A394="",F394="",C394&lt;&gt;"Kapak"),0,IF(COUNTIFS($F$8:F394,F394,$C$8:C394,"Kapak")=1,1,0))</f>
        <v/>
      </c>
    </row>
    <row r="395">
      <c r="S395" s="52">
        <f>IF(OR(A395="",F395="",C395&lt;&gt;"Mekân"),0,IF(COUNTIFS($F$8:F395,F395,$C$8:C395,"Mekân")=1,1,0))</f>
        <v/>
      </c>
      <c r="T395" s="52">
        <f>IF(OR(A395="",F395="",C395&lt;&gt;"Kapak"),0,IF(COUNTIFS($F$8:F395,F395,$C$8:C395,"Kapak")=1,1,0))</f>
        <v/>
      </c>
    </row>
    <row r="396">
      <c r="S396" s="52">
        <f>IF(OR(A396="",F396="",C396&lt;&gt;"Mekân"),0,IF(COUNTIFS($F$8:F396,F396,$C$8:C396,"Mekân")=1,1,0))</f>
        <v/>
      </c>
      <c r="T396" s="52">
        <f>IF(OR(A396="",F396="",C396&lt;&gt;"Kapak"),0,IF(COUNTIFS($F$8:F396,F396,$C$8:C396,"Kapak")=1,1,0))</f>
        <v/>
      </c>
    </row>
    <row r="397">
      <c r="S397" s="52">
        <f>IF(OR(A397="",F397="",C397&lt;&gt;"Mekân"),0,IF(COUNTIFS($F$8:F397,F397,$C$8:C397,"Mekân")=1,1,0))</f>
        <v/>
      </c>
      <c r="T397" s="52">
        <f>IF(OR(A397="",F397="",C397&lt;&gt;"Kapak"),0,IF(COUNTIFS($F$8:F397,F397,$C$8:C397,"Kapak")=1,1,0))</f>
        <v/>
      </c>
    </row>
    <row r="398">
      <c r="S398" s="52">
        <f>IF(OR(A398="",F398="",C398&lt;&gt;"Mekân"),0,IF(COUNTIFS($F$8:F398,F398,$C$8:C398,"Mekân")=1,1,0))</f>
        <v/>
      </c>
      <c r="T398" s="52">
        <f>IF(OR(A398="",F398="",C398&lt;&gt;"Kapak"),0,IF(COUNTIFS($F$8:F398,F398,$C$8:C398,"Kapak")=1,1,0))</f>
        <v/>
      </c>
    </row>
    <row r="399">
      <c r="S399" s="52">
        <f>IF(OR(A399="",F399="",C399&lt;&gt;"Mekân"),0,IF(COUNTIFS($F$8:F399,F399,$C$8:C399,"Mekân")=1,1,0))</f>
        <v/>
      </c>
      <c r="T399" s="52">
        <f>IF(OR(A399="",F399="",C399&lt;&gt;"Kapak"),0,IF(COUNTIFS($F$8:F399,F399,$C$8:C399,"Kapak")=1,1,0))</f>
        <v/>
      </c>
    </row>
    <row r="400">
      <c r="S400" s="52">
        <f>IF(OR(A400="",F400="",C400&lt;&gt;"Mekân"),0,IF(COUNTIFS($F$8:F400,F400,$C$8:C400,"Mekân")=1,1,0))</f>
        <v/>
      </c>
      <c r="T400" s="52">
        <f>IF(OR(A400="",F400="",C400&lt;&gt;"Kapak"),0,IF(COUNTIFS($F$8:F400,F400,$C$8:C400,"Kapak")=1,1,0))</f>
        <v/>
      </c>
    </row>
    <row r="401">
      <c r="S401" s="52">
        <f>IF(OR(A401="",F401="",C401&lt;&gt;"Mekân"),0,IF(COUNTIFS($F$8:F401,F401,$C$8:C401,"Mekân")=1,1,0))</f>
        <v/>
      </c>
      <c r="T401" s="52">
        <f>IF(OR(A401="",F401="",C401&lt;&gt;"Kapak"),0,IF(COUNTIFS($F$8:F401,F401,$C$8:C401,"Kapak")=1,1,0))</f>
        <v/>
      </c>
    </row>
    <row r="402">
      <c r="S402" s="52">
        <f>IF(OR(A402="",F402="",C402&lt;&gt;"Mekân"),0,IF(COUNTIFS($F$8:F402,F402,$C$8:C402,"Mekân")=1,1,0))</f>
        <v/>
      </c>
      <c r="T402" s="52">
        <f>IF(OR(A402="",F402="",C402&lt;&gt;"Kapak"),0,IF(COUNTIFS($F$8:F402,F402,$C$8:C402,"Kapak")=1,1,0))</f>
        <v/>
      </c>
    </row>
    <row r="403">
      <c r="S403" s="52">
        <f>IF(OR(A403="",F403="",C403&lt;&gt;"Mekân"),0,IF(COUNTIFS($F$8:F403,F403,$C$8:C403,"Mekân")=1,1,0))</f>
        <v/>
      </c>
      <c r="T403" s="52">
        <f>IF(OR(A403="",F403="",C403&lt;&gt;"Kapak"),0,IF(COUNTIFS($F$8:F403,F403,$C$8:C403,"Kapak")=1,1,0))</f>
        <v/>
      </c>
    </row>
    <row r="404">
      <c r="S404" s="52">
        <f>IF(OR(A404="",F404="",C404&lt;&gt;"Mekân"),0,IF(COUNTIFS($F$8:F404,F404,$C$8:C404,"Mekân")=1,1,0))</f>
        <v/>
      </c>
      <c r="T404" s="52">
        <f>IF(OR(A404="",F404="",C404&lt;&gt;"Kapak"),0,IF(COUNTIFS($F$8:F404,F404,$C$8:C404,"Kapak")=1,1,0))</f>
        <v/>
      </c>
    </row>
    <row r="405">
      <c r="S405" s="52">
        <f>IF(OR(A405="",F405="",C405&lt;&gt;"Mekân"),0,IF(COUNTIFS($F$8:F405,F405,$C$8:C405,"Mekân")=1,1,0))</f>
        <v/>
      </c>
      <c r="T405" s="52">
        <f>IF(OR(A405="",F405="",C405&lt;&gt;"Kapak"),0,IF(COUNTIFS($F$8:F405,F405,$C$8:C405,"Kapak")=1,1,0))</f>
        <v/>
      </c>
    </row>
    <row r="406">
      <c r="S406" s="52">
        <f>IF(OR(A406="",F406="",C406&lt;&gt;"Mekân"),0,IF(COUNTIFS($F$8:F406,F406,$C$8:C406,"Mekân")=1,1,0))</f>
        <v/>
      </c>
      <c r="T406" s="52">
        <f>IF(OR(A406="",F406="",C406&lt;&gt;"Kapak"),0,IF(COUNTIFS($F$8:F406,F406,$C$8:C406,"Kapak")=1,1,0))</f>
        <v/>
      </c>
    </row>
    <row r="407">
      <c r="S407" s="52">
        <f>IF(OR(A407="",F407="",C407&lt;&gt;"Mekân"),0,IF(COUNTIFS($F$8:F407,F407,$C$8:C407,"Mekân")=1,1,0))</f>
        <v/>
      </c>
      <c r="T407" s="52">
        <f>IF(OR(A407="",F407="",C407&lt;&gt;"Kapak"),0,IF(COUNTIFS($F$8:F407,F407,$C$8:C407,"Kapak")=1,1,0))</f>
        <v/>
      </c>
    </row>
    <row r="408">
      <c r="S408" s="52">
        <f>IF(OR(A408="",F408="",C408&lt;&gt;"Mekân"),0,IF(COUNTIFS($F$8:F408,F408,$C$8:C408,"Mekân")=1,1,0))</f>
        <v/>
      </c>
      <c r="T408" s="52">
        <f>IF(OR(A408="",F408="",C408&lt;&gt;"Kapak"),0,IF(COUNTIFS($F$8:F408,F408,$C$8:C408,"Kapak")=1,1,0))</f>
        <v/>
      </c>
    </row>
    <row r="409">
      <c r="S409" s="52">
        <f>IF(OR(A409="",F409="",C409&lt;&gt;"Mekân"),0,IF(COUNTIFS($F$8:F409,F409,$C$8:C409,"Mekân")=1,1,0))</f>
        <v/>
      </c>
      <c r="T409" s="52">
        <f>IF(OR(A409="",F409="",C409&lt;&gt;"Kapak"),0,IF(COUNTIFS($F$8:F409,F409,$C$8:C409,"Kapak")=1,1,0))</f>
        <v/>
      </c>
    </row>
    <row r="410">
      <c r="S410" s="52">
        <f>IF(OR(A410="",F410="",C410&lt;&gt;"Mekân"),0,IF(COUNTIFS($F$8:F410,F410,$C$8:C410,"Mekân")=1,1,0))</f>
        <v/>
      </c>
      <c r="T410" s="52">
        <f>IF(OR(A410="",F410="",C410&lt;&gt;"Kapak"),0,IF(COUNTIFS($F$8:F410,F410,$C$8:C410,"Kapak")=1,1,0))</f>
        <v/>
      </c>
    </row>
    <row r="411">
      <c r="S411" s="52">
        <f>IF(OR(A411="",F411="",C411&lt;&gt;"Mekân"),0,IF(COUNTIFS($F$8:F411,F411,$C$8:C411,"Mekân")=1,1,0))</f>
        <v/>
      </c>
      <c r="T411" s="52">
        <f>IF(OR(A411="",F411="",C411&lt;&gt;"Kapak"),0,IF(COUNTIFS($F$8:F411,F411,$C$8:C411,"Kapak")=1,1,0))</f>
        <v/>
      </c>
    </row>
    <row r="412">
      <c r="S412" s="52">
        <f>IF(OR(A412="",F412="",C412&lt;&gt;"Mekân"),0,IF(COUNTIFS($F$8:F412,F412,$C$8:C412,"Mekân")=1,1,0))</f>
        <v/>
      </c>
      <c r="T412" s="52">
        <f>IF(OR(A412="",F412="",C412&lt;&gt;"Kapak"),0,IF(COUNTIFS($F$8:F412,F412,$C$8:C412,"Kapak")=1,1,0))</f>
        <v/>
      </c>
    </row>
    <row r="413">
      <c r="S413" s="52">
        <f>IF(OR(A413="",F413="",C413&lt;&gt;"Mekân"),0,IF(COUNTIFS($F$8:F413,F413,$C$8:C413,"Mekân")=1,1,0))</f>
        <v/>
      </c>
      <c r="T413" s="52">
        <f>IF(OR(A413="",F413="",C413&lt;&gt;"Kapak"),0,IF(COUNTIFS($F$8:F413,F413,$C$8:C413,"Kapak")=1,1,0))</f>
        <v/>
      </c>
    </row>
    <row r="414">
      <c r="S414" s="52">
        <f>IF(OR(A414="",F414="",C414&lt;&gt;"Mekân"),0,IF(COUNTIFS($F$8:F414,F414,$C$8:C414,"Mekân")=1,1,0))</f>
        <v/>
      </c>
      <c r="T414" s="52">
        <f>IF(OR(A414="",F414="",C414&lt;&gt;"Kapak"),0,IF(COUNTIFS($F$8:F414,F414,$C$8:C414,"Kapak")=1,1,0))</f>
        <v/>
      </c>
    </row>
    <row r="415">
      <c r="S415" s="52">
        <f>IF(OR(A415="",F415="",C415&lt;&gt;"Mekân"),0,IF(COUNTIFS($F$8:F415,F415,$C$8:C415,"Mekân")=1,1,0))</f>
        <v/>
      </c>
      <c r="T415" s="52">
        <f>IF(OR(A415="",F415="",C415&lt;&gt;"Kapak"),0,IF(COUNTIFS($F$8:F415,F415,$C$8:C415,"Kapak")=1,1,0))</f>
        <v/>
      </c>
    </row>
    <row r="416">
      <c r="S416" s="52">
        <f>IF(OR(A416="",F416="",C416&lt;&gt;"Mekân"),0,IF(COUNTIFS($F$8:F416,F416,$C$8:C416,"Mekân")=1,1,0))</f>
        <v/>
      </c>
      <c r="T416" s="52">
        <f>IF(OR(A416="",F416="",C416&lt;&gt;"Kapak"),0,IF(COUNTIFS($F$8:F416,F416,$C$8:C416,"Kapak")=1,1,0))</f>
        <v/>
      </c>
    </row>
    <row r="417">
      <c r="S417" s="52">
        <f>IF(OR(A417="",F417="",C417&lt;&gt;"Mekân"),0,IF(COUNTIFS($F$8:F417,F417,$C$8:C417,"Mekân")=1,1,0))</f>
        <v/>
      </c>
      <c r="T417" s="52">
        <f>IF(OR(A417="",F417="",C417&lt;&gt;"Kapak"),0,IF(COUNTIFS($F$8:F417,F417,$C$8:C417,"Kapak")=1,1,0))</f>
        <v/>
      </c>
    </row>
    <row r="418">
      <c r="S418" s="52">
        <f>IF(OR(A418="",F418="",C418&lt;&gt;"Mekân"),0,IF(COUNTIFS($F$8:F418,F418,$C$8:C418,"Mekân")=1,1,0))</f>
        <v/>
      </c>
      <c r="T418" s="52">
        <f>IF(OR(A418="",F418="",C418&lt;&gt;"Kapak"),0,IF(COUNTIFS($F$8:F418,F418,$C$8:C418,"Kapak")=1,1,0))</f>
        <v/>
      </c>
    </row>
    <row r="419">
      <c r="S419" s="52">
        <f>IF(OR(A419="",F419="",C419&lt;&gt;"Mekân"),0,IF(COUNTIFS($F$8:F419,F419,$C$8:C419,"Mekân")=1,1,0))</f>
        <v/>
      </c>
      <c r="T419" s="52">
        <f>IF(OR(A419="",F419="",C419&lt;&gt;"Kapak"),0,IF(COUNTIFS($F$8:F419,F419,$C$8:C419,"Kapak")=1,1,0))</f>
        <v/>
      </c>
    </row>
    <row r="420">
      <c r="S420" s="52">
        <f>IF(OR(A420="",F420="",C420&lt;&gt;"Mekân"),0,IF(COUNTIFS($F$8:F420,F420,$C$8:C420,"Mekân")=1,1,0))</f>
        <v/>
      </c>
      <c r="T420" s="52">
        <f>IF(OR(A420="",F420="",C420&lt;&gt;"Kapak"),0,IF(COUNTIFS($F$8:F420,F420,$C$8:C420,"Kapak")=1,1,0))</f>
        <v/>
      </c>
    </row>
    <row r="421">
      <c r="S421" s="52">
        <f>IF(OR(A421="",F421="",C421&lt;&gt;"Mekân"),0,IF(COUNTIFS($F$8:F421,F421,$C$8:C421,"Mekân")=1,1,0))</f>
        <v/>
      </c>
      <c r="T421" s="52">
        <f>IF(OR(A421="",F421="",C421&lt;&gt;"Kapak"),0,IF(COUNTIFS($F$8:F421,F421,$C$8:C421,"Kapak")=1,1,0))</f>
        <v/>
      </c>
    </row>
    <row r="422">
      <c r="S422" s="52">
        <f>IF(OR(A422="",F422="",C422&lt;&gt;"Mekân"),0,IF(COUNTIFS($F$8:F422,F422,$C$8:C422,"Mekân")=1,1,0))</f>
        <v/>
      </c>
      <c r="T422" s="52">
        <f>IF(OR(A422="",F422="",C422&lt;&gt;"Kapak"),0,IF(COUNTIFS($F$8:F422,F422,$C$8:C422,"Kapak")=1,1,0))</f>
        <v/>
      </c>
    </row>
    <row r="423">
      <c r="S423" s="52">
        <f>IF(OR(A423="",F423="",C423&lt;&gt;"Mekân"),0,IF(COUNTIFS($F$8:F423,F423,$C$8:C423,"Mekân")=1,1,0))</f>
        <v/>
      </c>
      <c r="T423" s="52">
        <f>IF(OR(A423="",F423="",C423&lt;&gt;"Kapak"),0,IF(COUNTIFS($F$8:F423,F423,$C$8:C423,"Kapak")=1,1,0))</f>
        <v/>
      </c>
    </row>
    <row r="424">
      <c r="S424" s="52">
        <f>IF(OR(A424="",F424="",C424&lt;&gt;"Mekân"),0,IF(COUNTIFS($F$8:F424,F424,$C$8:C424,"Mekân")=1,1,0))</f>
        <v/>
      </c>
      <c r="T424" s="52">
        <f>IF(OR(A424="",F424="",C424&lt;&gt;"Kapak"),0,IF(COUNTIFS($F$8:F424,F424,$C$8:C424,"Kapak")=1,1,0))</f>
        <v/>
      </c>
    </row>
    <row r="425">
      <c r="S425" s="52">
        <f>IF(OR(A425="",F425="",C425&lt;&gt;"Mekân"),0,IF(COUNTIFS($F$8:F425,F425,$C$8:C425,"Mekân")=1,1,0))</f>
        <v/>
      </c>
      <c r="T425" s="52">
        <f>IF(OR(A425="",F425="",C425&lt;&gt;"Kapak"),0,IF(COUNTIFS($F$8:F425,F425,$C$8:C425,"Kapak")=1,1,0))</f>
        <v/>
      </c>
    </row>
    <row r="426">
      <c r="S426" s="52">
        <f>IF(OR(A426="",F426="",C426&lt;&gt;"Mekân"),0,IF(COUNTIFS($F$8:F426,F426,$C$8:C426,"Mekân")=1,1,0))</f>
        <v/>
      </c>
      <c r="T426" s="52">
        <f>IF(OR(A426="",F426="",C426&lt;&gt;"Kapak"),0,IF(COUNTIFS($F$8:F426,F426,$C$8:C426,"Kapak")=1,1,0))</f>
        <v/>
      </c>
    </row>
    <row r="427">
      <c r="S427" s="52">
        <f>IF(OR(A427="",F427="",C427&lt;&gt;"Mekân"),0,IF(COUNTIFS($F$8:F427,F427,$C$8:C427,"Mekân")=1,1,0))</f>
        <v/>
      </c>
      <c r="T427" s="52">
        <f>IF(OR(A427="",F427="",C427&lt;&gt;"Kapak"),0,IF(COUNTIFS($F$8:F427,F427,$C$8:C427,"Kapak")=1,1,0))</f>
        <v/>
      </c>
    </row>
    <row r="428">
      <c r="S428" s="52">
        <f>IF(OR(A428="",F428="",C428&lt;&gt;"Mekân"),0,IF(COUNTIFS($F$8:F428,F428,$C$8:C428,"Mekân")=1,1,0))</f>
        <v/>
      </c>
      <c r="T428" s="52">
        <f>IF(OR(A428="",F428="",C428&lt;&gt;"Kapak"),0,IF(COUNTIFS($F$8:F428,F428,$C$8:C428,"Kapak")=1,1,0))</f>
        <v/>
      </c>
    </row>
    <row r="429">
      <c r="S429" s="52">
        <f>IF(OR(A429="",F429="",C429&lt;&gt;"Mekân"),0,IF(COUNTIFS($F$8:F429,F429,$C$8:C429,"Mekân")=1,1,0))</f>
        <v/>
      </c>
      <c r="T429" s="52">
        <f>IF(OR(A429="",F429="",C429&lt;&gt;"Kapak"),0,IF(COUNTIFS($F$8:F429,F429,$C$8:C429,"Kapak")=1,1,0))</f>
        <v/>
      </c>
    </row>
    <row r="430">
      <c r="S430" s="52">
        <f>IF(OR(A430="",F430="",C430&lt;&gt;"Mekân"),0,IF(COUNTIFS($F$8:F430,F430,$C$8:C430,"Mekân")=1,1,0))</f>
        <v/>
      </c>
      <c r="T430" s="52">
        <f>IF(OR(A430="",F430="",C430&lt;&gt;"Kapak"),0,IF(COUNTIFS($F$8:F430,F430,$C$8:C430,"Kapak")=1,1,0))</f>
        <v/>
      </c>
    </row>
    <row r="431">
      <c r="S431" s="52">
        <f>IF(OR(A431="",F431="",C431&lt;&gt;"Mekân"),0,IF(COUNTIFS($F$8:F431,F431,$C$8:C431,"Mekân")=1,1,0))</f>
        <v/>
      </c>
      <c r="T431" s="52">
        <f>IF(OR(A431="",F431="",C431&lt;&gt;"Kapak"),0,IF(COUNTIFS($F$8:F431,F431,$C$8:C431,"Kapak")=1,1,0))</f>
        <v/>
      </c>
    </row>
    <row r="432">
      <c r="S432" s="52">
        <f>IF(OR(A432="",F432="",C432&lt;&gt;"Mekân"),0,IF(COUNTIFS($F$8:F432,F432,$C$8:C432,"Mekân")=1,1,0))</f>
        <v/>
      </c>
      <c r="T432" s="52">
        <f>IF(OR(A432="",F432="",C432&lt;&gt;"Kapak"),0,IF(COUNTIFS($F$8:F432,F432,$C$8:C432,"Kapak")=1,1,0))</f>
        <v/>
      </c>
    </row>
    <row r="433">
      <c r="S433" s="52">
        <f>IF(OR(A433="",F433="",C433&lt;&gt;"Mekân"),0,IF(COUNTIFS($F$8:F433,F433,$C$8:C433,"Mekân")=1,1,0))</f>
        <v/>
      </c>
      <c r="T433" s="52">
        <f>IF(OR(A433="",F433="",C433&lt;&gt;"Kapak"),0,IF(COUNTIFS($F$8:F433,F433,$C$8:C433,"Kapak")=1,1,0))</f>
        <v/>
      </c>
    </row>
    <row r="434">
      <c r="S434" s="52">
        <f>IF(OR(A434="",F434="",C434&lt;&gt;"Mekân"),0,IF(COUNTIFS($F$8:F434,F434,$C$8:C434,"Mekân")=1,1,0))</f>
        <v/>
      </c>
      <c r="T434" s="52">
        <f>IF(OR(A434="",F434="",C434&lt;&gt;"Kapak"),0,IF(COUNTIFS($F$8:F434,F434,$C$8:C434,"Kapak")=1,1,0))</f>
        <v/>
      </c>
    </row>
    <row r="435">
      <c r="S435" s="52">
        <f>IF(OR(A435="",F435="",C435&lt;&gt;"Mekân"),0,IF(COUNTIFS($F$8:F435,F435,$C$8:C435,"Mekân")=1,1,0))</f>
        <v/>
      </c>
      <c r="T435" s="52">
        <f>IF(OR(A435="",F435="",C435&lt;&gt;"Kapak"),0,IF(COUNTIFS($F$8:F435,F435,$C$8:C435,"Kapak")=1,1,0))</f>
        <v/>
      </c>
    </row>
    <row r="436">
      <c r="S436" s="52">
        <f>IF(OR(A436="",F436="",C436&lt;&gt;"Mekân"),0,IF(COUNTIFS($F$8:F436,F436,$C$8:C436,"Mekân")=1,1,0))</f>
        <v/>
      </c>
      <c r="T436" s="52">
        <f>IF(OR(A436="",F436="",C436&lt;&gt;"Kapak"),0,IF(COUNTIFS($F$8:F436,F436,$C$8:C436,"Kapak")=1,1,0))</f>
        <v/>
      </c>
    </row>
    <row r="437">
      <c r="S437" s="52">
        <f>IF(OR(A437="",F437="",C437&lt;&gt;"Mekân"),0,IF(COUNTIFS($F$8:F437,F437,$C$8:C437,"Mekân")=1,1,0))</f>
        <v/>
      </c>
      <c r="T437" s="52">
        <f>IF(OR(A437="",F437="",C437&lt;&gt;"Kapak"),0,IF(COUNTIFS($F$8:F437,F437,$C$8:C437,"Kapak")=1,1,0))</f>
        <v/>
      </c>
    </row>
    <row r="438">
      <c r="S438" s="52">
        <f>IF(OR(A438="",F438="",C438&lt;&gt;"Mekân"),0,IF(COUNTIFS($F$8:F438,F438,$C$8:C438,"Mekân")=1,1,0))</f>
        <v/>
      </c>
      <c r="T438" s="52">
        <f>IF(OR(A438="",F438="",C438&lt;&gt;"Kapak"),0,IF(COUNTIFS($F$8:F438,F438,$C$8:C438,"Kapak")=1,1,0))</f>
        <v/>
      </c>
    </row>
    <row r="439">
      <c r="S439" s="52">
        <f>IF(OR(A439="",F439="",C439&lt;&gt;"Mekân"),0,IF(COUNTIFS($F$8:F439,F439,$C$8:C439,"Mekân")=1,1,0))</f>
        <v/>
      </c>
      <c r="T439" s="52">
        <f>IF(OR(A439="",F439="",C439&lt;&gt;"Kapak"),0,IF(COUNTIFS($F$8:F439,F439,$C$8:C439,"Kapak")=1,1,0))</f>
        <v/>
      </c>
    </row>
    <row r="440">
      <c r="S440" s="52">
        <f>IF(OR(A440="",F440="",C440&lt;&gt;"Mekân"),0,IF(COUNTIFS($F$8:F440,F440,$C$8:C440,"Mekân")=1,1,0))</f>
        <v/>
      </c>
      <c r="T440" s="52">
        <f>IF(OR(A440="",F440="",C440&lt;&gt;"Kapak"),0,IF(COUNTIFS($F$8:F440,F440,$C$8:C440,"Kapak")=1,1,0))</f>
        <v/>
      </c>
    </row>
    <row r="441">
      <c r="S441" s="52">
        <f>IF(OR(A441="",F441="",C441&lt;&gt;"Mekân"),0,IF(COUNTIFS($F$8:F441,F441,$C$8:C441,"Mekân")=1,1,0))</f>
        <v/>
      </c>
      <c r="T441" s="52">
        <f>IF(OR(A441="",F441="",C441&lt;&gt;"Kapak"),0,IF(COUNTIFS($F$8:F441,F441,$C$8:C441,"Kapak")=1,1,0))</f>
        <v/>
      </c>
    </row>
    <row r="442">
      <c r="S442" s="52">
        <f>IF(OR(A442="",F442="",C442&lt;&gt;"Mekân"),0,IF(COUNTIFS($F$8:F442,F442,$C$8:C442,"Mekân")=1,1,0))</f>
        <v/>
      </c>
      <c r="T442" s="52">
        <f>IF(OR(A442="",F442="",C442&lt;&gt;"Kapak"),0,IF(COUNTIFS($F$8:F442,F442,$C$8:C442,"Kapak")=1,1,0))</f>
        <v/>
      </c>
    </row>
    <row r="443">
      <c r="S443" s="52">
        <f>IF(OR(A443="",F443="",C443&lt;&gt;"Mekân"),0,IF(COUNTIFS($F$8:F443,F443,$C$8:C443,"Mekân")=1,1,0))</f>
        <v/>
      </c>
      <c r="T443" s="52">
        <f>IF(OR(A443="",F443="",C443&lt;&gt;"Kapak"),0,IF(COUNTIFS($F$8:F443,F443,$C$8:C443,"Kapak")=1,1,0))</f>
        <v/>
      </c>
    </row>
    <row r="444">
      <c r="S444" s="52">
        <f>IF(OR(A444="",F444="",C444&lt;&gt;"Mekân"),0,IF(COUNTIFS($F$8:F444,F444,$C$8:C444,"Mekân")=1,1,0))</f>
        <v/>
      </c>
      <c r="T444" s="52">
        <f>IF(OR(A444="",F444="",C444&lt;&gt;"Kapak"),0,IF(COUNTIFS($F$8:F444,F444,$C$8:C444,"Kapak")=1,1,0))</f>
        <v/>
      </c>
    </row>
    <row r="445">
      <c r="S445" s="52">
        <f>IF(OR(A445="",F445="",C445&lt;&gt;"Mekân"),0,IF(COUNTIFS($F$8:F445,F445,$C$8:C445,"Mekân")=1,1,0))</f>
        <v/>
      </c>
      <c r="T445" s="52">
        <f>IF(OR(A445="",F445="",C445&lt;&gt;"Kapak"),0,IF(COUNTIFS($F$8:F445,F445,$C$8:C445,"Kapak")=1,1,0))</f>
        <v/>
      </c>
    </row>
    <row r="446">
      <c r="S446" s="52">
        <f>IF(OR(A446="",F446="",C446&lt;&gt;"Mekân"),0,IF(COUNTIFS($F$8:F446,F446,$C$8:C446,"Mekân")=1,1,0))</f>
        <v/>
      </c>
      <c r="T446" s="52">
        <f>IF(OR(A446="",F446="",C446&lt;&gt;"Kapak"),0,IF(COUNTIFS($F$8:F446,F446,$C$8:C446,"Kapak")=1,1,0))</f>
        <v/>
      </c>
    </row>
    <row r="447">
      <c r="S447" s="52">
        <f>IF(OR(A447="",F447="",C447&lt;&gt;"Mekân"),0,IF(COUNTIFS($F$8:F447,F447,$C$8:C447,"Mekân")=1,1,0))</f>
        <v/>
      </c>
      <c r="T447" s="52">
        <f>IF(OR(A447="",F447="",C447&lt;&gt;"Kapak"),0,IF(COUNTIFS($F$8:F447,F447,$C$8:C447,"Kapak")=1,1,0))</f>
        <v/>
      </c>
    </row>
    <row r="448">
      <c r="S448" s="52">
        <f>IF(OR(A448="",F448="",C448&lt;&gt;"Mekân"),0,IF(COUNTIFS($F$8:F448,F448,$C$8:C448,"Mekân")=1,1,0))</f>
        <v/>
      </c>
      <c r="T448" s="52">
        <f>IF(OR(A448="",F448="",C448&lt;&gt;"Kapak"),0,IF(COUNTIFS($F$8:F448,F448,$C$8:C448,"Kapak")=1,1,0))</f>
        <v/>
      </c>
    </row>
    <row r="449">
      <c r="S449" s="52">
        <f>IF(OR(A449="",F449="",C449&lt;&gt;"Mekân"),0,IF(COUNTIFS($F$8:F449,F449,$C$8:C449,"Mekân")=1,1,0))</f>
        <v/>
      </c>
      <c r="T449" s="52">
        <f>IF(OR(A449="",F449="",C449&lt;&gt;"Kapak"),0,IF(COUNTIFS($F$8:F449,F449,$C$8:C449,"Kapak")=1,1,0))</f>
        <v/>
      </c>
    </row>
    <row r="450">
      <c r="S450" s="52">
        <f>IF(OR(A450="",F450="",C450&lt;&gt;"Mekân"),0,IF(COUNTIFS($F$8:F450,F450,$C$8:C450,"Mekân")=1,1,0))</f>
        <v/>
      </c>
      <c r="T450" s="52">
        <f>IF(OR(A450="",F450="",C450&lt;&gt;"Kapak"),0,IF(COUNTIFS($F$8:F450,F450,$C$8:C450,"Kapak")=1,1,0))</f>
        <v/>
      </c>
    </row>
    <row r="451">
      <c r="S451" s="52">
        <f>IF(OR(A451="",F451="",C451&lt;&gt;"Mekân"),0,IF(COUNTIFS($F$8:F451,F451,$C$8:C451,"Mekân")=1,1,0))</f>
        <v/>
      </c>
      <c r="T451" s="52">
        <f>IF(OR(A451="",F451="",C451&lt;&gt;"Kapak"),0,IF(COUNTIFS($F$8:F451,F451,$C$8:C451,"Kapak")=1,1,0))</f>
        <v/>
      </c>
    </row>
    <row r="452">
      <c r="S452" s="52">
        <f>IF(OR(A452="",F452="",C452&lt;&gt;"Mekân"),0,IF(COUNTIFS($F$8:F452,F452,$C$8:C452,"Mekân")=1,1,0))</f>
        <v/>
      </c>
      <c r="T452" s="52">
        <f>IF(OR(A452="",F452="",C452&lt;&gt;"Kapak"),0,IF(COUNTIFS($F$8:F452,F452,$C$8:C452,"Kapak")=1,1,0))</f>
        <v/>
      </c>
    </row>
    <row r="453">
      <c r="S453" s="52">
        <f>IF(OR(A453="",F453="",C453&lt;&gt;"Mekân"),0,IF(COUNTIFS($F$8:F453,F453,$C$8:C453,"Mekân")=1,1,0))</f>
        <v/>
      </c>
      <c r="T453" s="52">
        <f>IF(OR(A453="",F453="",C453&lt;&gt;"Kapak"),0,IF(COUNTIFS($F$8:F453,F453,$C$8:C453,"Kapak")=1,1,0))</f>
        <v/>
      </c>
    </row>
    <row r="454">
      <c r="S454" s="52">
        <f>IF(OR(A454="",F454="",C454&lt;&gt;"Mekân"),0,IF(COUNTIFS($F$8:F454,F454,$C$8:C454,"Mekân")=1,1,0))</f>
        <v/>
      </c>
      <c r="T454" s="52">
        <f>IF(OR(A454="",F454="",C454&lt;&gt;"Kapak"),0,IF(COUNTIFS($F$8:F454,F454,$C$8:C454,"Kapak")=1,1,0))</f>
        <v/>
      </c>
    </row>
    <row r="455">
      <c r="S455" s="52">
        <f>IF(OR(A455="",F455="",C455&lt;&gt;"Mekân"),0,IF(COUNTIFS($F$8:F455,F455,$C$8:C455,"Mekân")=1,1,0))</f>
        <v/>
      </c>
      <c r="T455" s="52">
        <f>IF(OR(A455="",F455="",C455&lt;&gt;"Kapak"),0,IF(COUNTIFS($F$8:F455,F455,$C$8:C455,"Kapak")=1,1,0))</f>
        <v/>
      </c>
    </row>
    <row r="456">
      <c r="S456" s="52">
        <f>IF(OR(A456="",F456="",C456&lt;&gt;"Mekân"),0,IF(COUNTIFS($F$8:F456,F456,$C$8:C456,"Mekân")=1,1,0))</f>
        <v/>
      </c>
      <c r="T456" s="52">
        <f>IF(OR(A456="",F456="",C456&lt;&gt;"Kapak"),0,IF(COUNTIFS($F$8:F456,F456,$C$8:C456,"Kapak")=1,1,0))</f>
        <v/>
      </c>
    </row>
    <row r="457">
      <c r="S457" s="52">
        <f>IF(OR(A457="",F457="",C457&lt;&gt;"Mekân"),0,IF(COUNTIFS($F$8:F457,F457,$C$8:C457,"Mekân")=1,1,0))</f>
        <v/>
      </c>
      <c r="T457" s="52">
        <f>IF(OR(A457="",F457="",C457&lt;&gt;"Kapak"),0,IF(COUNTIFS($F$8:F457,F457,$C$8:C457,"Kapak")=1,1,0))</f>
        <v/>
      </c>
    </row>
    <row r="458">
      <c r="S458" s="52">
        <f>IF(OR(A458="",F458="",C458&lt;&gt;"Mekân"),0,IF(COUNTIFS($F$8:F458,F458,$C$8:C458,"Mekân")=1,1,0))</f>
        <v/>
      </c>
      <c r="T458" s="52">
        <f>IF(OR(A458="",F458="",C458&lt;&gt;"Kapak"),0,IF(COUNTIFS($F$8:F458,F458,$C$8:C458,"Kapak")=1,1,0))</f>
        <v/>
      </c>
    </row>
    <row r="459">
      <c r="S459" s="52">
        <f>IF(OR(A459="",F459="",C459&lt;&gt;"Mekân"),0,IF(COUNTIFS($F$8:F459,F459,$C$8:C459,"Mekân")=1,1,0))</f>
        <v/>
      </c>
      <c r="T459" s="52">
        <f>IF(OR(A459="",F459="",C459&lt;&gt;"Kapak"),0,IF(COUNTIFS($F$8:F459,F459,$C$8:C459,"Kapak")=1,1,0))</f>
        <v/>
      </c>
    </row>
    <row r="460">
      <c r="S460" s="52">
        <f>IF(OR(A460="",F460="",C460&lt;&gt;"Mekân"),0,IF(COUNTIFS($F$8:F460,F460,$C$8:C460,"Mekân")=1,1,0))</f>
        <v/>
      </c>
      <c r="T460" s="52">
        <f>IF(OR(A460="",F460="",C460&lt;&gt;"Kapak"),0,IF(COUNTIFS($F$8:F460,F460,$C$8:C460,"Kapak")=1,1,0))</f>
        <v/>
      </c>
    </row>
    <row r="461">
      <c r="S461" s="52">
        <f>IF(OR(A461="",F461="",C461&lt;&gt;"Mekân"),0,IF(COUNTIFS($F$8:F461,F461,$C$8:C461,"Mekân")=1,1,0))</f>
        <v/>
      </c>
      <c r="T461" s="52">
        <f>IF(OR(A461="",F461="",C461&lt;&gt;"Kapak"),0,IF(COUNTIFS($F$8:F461,F461,$C$8:C461,"Kapak")=1,1,0))</f>
        <v/>
      </c>
    </row>
    <row r="462">
      <c r="S462" s="52">
        <f>IF(OR(A462="",F462="",C462&lt;&gt;"Mekân"),0,IF(COUNTIFS($F$8:F462,F462,$C$8:C462,"Mekân")=1,1,0))</f>
        <v/>
      </c>
      <c r="T462" s="52">
        <f>IF(OR(A462="",F462="",C462&lt;&gt;"Kapak"),0,IF(COUNTIFS($F$8:F462,F462,$C$8:C462,"Kapak")=1,1,0))</f>
        <v/>
      </c>
    </row>
    <row r="463">
      <c r="S463" s="52">
        <f>IF(OR(A463="",F463="",C463&lt;&gt;"Mekân"),0,IF(COUNTIFS($F$8:F463,F463,$C$8:C463,"Mekân")=1,1,0))</f>
        <v/>
      </c>
      <c r="T463" s="52">
        <f>IF(OR(A463="",F463="",C463&lt;&gt;"Kapak"),0,IF(COUNTIFS($F$8:F463,F463,$C$8:C463,"Kapak")=1,1,0))</f>
        <v/>
      </c>
    </row>
    <row r="464">
      <c r="S464" s="52">
        <f>IF(OR(A464="",F464="",C464&lt;&gt;"Mekân"),0,IF(COUNTIFS($F$8:F464,F464,$C$8:C464,"Mekân")=1,1,0))</f>
        <v/>
      </c>
      <c r="T464" s="52">
        <f>IF(OR(A464="",F464="",C464&lt;&gt;"Kapak"),0,IF(COUNTIFS($F$8:F464,F464,$C$8:C464,"Kapak")=1,1,0))</f>
        <v/>
      </c>
    </row>
    <row r="465">
      <c r="S465" s="52">
        <f>IF(OR(A465="",F465="",C465&lt;&gt;"Mekân"),0,IF(COUNTIFS($F$8:F465,F465,$C$8:C465,"Mekân")=1,1,0))</f>
        <v/>
      </c>
      <c r="T465" s="52">
        <f>IF(OR(A465="",F465="",C465&lt;&gt;"Kapak"),0,IF(COUNTIFS($F$8:F465,F465,$C$8:C465,"Kapak")=1,1,0))</f>
        <v/>
      </c>
    </row>
    <row r="466">
      <c r="S466" s="52">
        <f>IF(OR(A466="",F466="",C466&lt;&gt;"Mekân"),0,IF(COUNTIFS($F$8:F466,F466,$C$8:C466,"Mekân")=1,1,0))</f>
        <v/>
      </c>
      <c r="T466" s="52">
        <f>IF(OR(A466="",F466="",C466&lt;&gt;"Kapak"),0,IF(COUNTIFS($F$8:F466,F466,$C$8:C466,"Kapak")=1,1,0))</f>
        <v/>
      </c>
    </row>
    <row r="467">
      <c r="S467" s="52">
        <f>IF(OR(A467="",F467="",C467&lt;&gt;"Mekân"),0,IF(COUNTIFS($F$8:F467,F467,$C$8:C467,"Mekân")=1,1,0))</f>
        <v/>
      </c>
      <c r="T467" s="52">
        <f>IF(OR(A467="",F467="",C467&lt;&gt;"Kapak"),0,IF(COUNTIFS($F$8:F467,F467,$C$8:C467,"Kapak")=1,1,0))</f>
        <v/>
      </c>
    </row>
    <row r="468">
      <c r="S468" s="52">
        <f>IF(OR(A468="",F468="",C468&lt;&gt;"Mekân"),0,IF(COUNTIFS($F$8:F468,F468,$C$8:C468,"Mekân")=1,1,0))</f>
        <v/>
      </c>
      <c r="T468" s="52">
        <f>IF(OR(A468="",F468="",C468&lt;&gt;"Kapak"),0,IF(COUNTIFS($F$8:F468,F468,$C$8:C468,"Kapak")=1,1,0))</f>
        <v/>
      </c>
    </row>
    <row r="469">
      <c r="S469" s="52">
        <f>IF(OR(A469="",F469="",C469&lt;&gt;"Mekân"),0,IF(COUNTIFS($F$8:F469,F469,$C$8:C469,"Mekân")=1,1,0))</f>
        <v/>
      </c>
      <c r="T469" s="52">
        <f>IF(OR(A469="",F469="",C469&lt;&gt;"Kapak"),0,IF(COUNTIFS($F$8:F469,F469,$C$8:C469,"Kapak")=1,1,0))</f>
        <v/>
      </c>
    </row>
    <row r="470">
      <c r="S470" s="52">
        <f>IF(OR(A470="",F470="",C470&lt;&gt;"Mekân"),0,IF(COUNTIFS($F$8:F470,F470,$C$8:C470,"Mekân")=1,1,0))</f>
        <v/>
      </c>
      <c r="T470" s="52">
        <f>IF(OR(A470="",F470="",C470&lt;&gt;"Kapak"),0,IF(COUNTIFS($F$8:F470,F470,$C$8:C470,"Kapak")=1,1,0))</f>
        <v/>
      </c>
    </row>
    <row r="471">
      <c r="S471" s="52">
        <f>IF(OR(A471="",F471="",C471&lt;&gt;"Mekân"),0,IF(COUNTIFS($F$8:F471,F471,$C$8:C471,"Mekân")=1,1,0))</f>
        <v/>
      </c>
      <c r="T471" s="52">
        <f>IF(OR(A471="",F471="",C471&lt;&gt;"Kapak"),0,IF(COUNTIFS($F$8:F471,F471,$C$8:C471,"Kapak")=1,1,0))</f>
        <v/>
      </c>
    </row>
    <row r="472">
      <c r="S472" s="52">
        <f>IF(OR(A472="",F472="",C472&lt;&gt;"Mekân"),0,IF(COUNTIFS($F$8:F472,F472,$C$8:C472,"Mekân")=1,1,0))</f>
        <v/>
      </c>
      <c r="T472" s="52">
        <f>IF(OR(A472="",F472="",C472&lt;&gt;"Kapak"),0,IF(COUNTIFS($F$8:F472,F472,$C$8:C472,"Kapak")=1,1,0))</f>
        <v/>
      </c>
    </row>
    <row r="473">
      <c r="S473" s="52">
        <f>IF(OR(A473="",F473="",C473&lt;&gt;"Mekân"),0,IF(COUNTIFS($F$8:F473,F473,$C$8:C473,"Mekân")=1,1,0))</f>
        <v/>
      </c>
      <c r="T473" s="52">
        <f>IF(OR(A473="",F473="",C473&lt;&gt;"Kapak"),0,IF(COUNTIFS($F$8:F473,F473,$C$8:C473,"Kapak")=1,1,0))</f>
        <v/>
      </c>
    </row>
    <row r="474">
      <c r="S474" s="52">
        <f>IF(OR(A474="",F474="",C474&lt;&gt;"Mekân"),0,IF(COUNTIFS($F$8:F474,F474,$C$8:C474,"Mekân")=1,1,0))</f>
        <v/>
      </c>
      <c r="T474" s="52">
        <f>IF(OR(A474="",F474="",C474&lt;&gt;"Kapak"),0,IF(COUNTIFS($F$8:F474,F474,$C$8:C474,"Kapak")=1,1,0))</f>
        <v/>
      </c>
    </row>
    <row r="475">
      <c r="S475" s="52">
        <f>IF(OR(A475="",F475="",C475&lt;&gt;"Mekân"),0,IF(COUNTIFS($F$8:F475,F475,$C$8:C475,"Mekân")=1,1,0))</f>
        <v/>
      </c>
      <c r="T475" s="52">
        <f>IF(OR(A475="",F475="",C475&lt;&gt;"Kapak"),0,IF(COUNTIFS($F$8:F475,F475,$C$8:C475,"Kapak")=1,1,0))</f>
        <v/>
      </c>
    </row>
    <row r="476">
      <c r="S476" s="52">
        <f>IF(OR(A476="",F476="",C476&lt;&gt;"Mekân"),0,IF(COUNTIFS($F$8:F476,F476,$C$8:C476,"Mekân")=1,1,0))</f>
        <v/>
      </c>
      <c r="T476" s="52">
        <f>IF(OR(A476="",F476="",C476&lt;&gt;"Kapak"),0,IF(COUNTIFS($F$8:F476,F476,$C$8:C476,"Kapak")=1,1,0))</f>
        <v/>
      </c>
    </row>
    <row r="477">
      <c r="S477" s="52">
        <f>IF(OR(A477="",F477="",C477&lt;&gt;"Mekân"),0,IF(COUNTIFS($F$8:F477,F477,$C$8:C477,"Mekân")=1,1,0))</f>
        <v/>
      </c>
      <c r="T477" s="52">
        <f>IF(OR(A477="",F477="",C477&lt;&gt;"Kapak"),0,IF(COUNTIFS($F$8:F477,F477,$C$8:C477,"Kapak")=1,1,0))</f>
        <v/>
      </c>
    </row>
    <row r="478">
      <c r="S478" s="52">
        <f>IF(OR(A478="",F478="",C478&lt;&gt;"Mekân"),0,IF(COUNTIFS($F$8:F478,F478,$C$8:C478,"Mekân")=1,1,0))</f>
        <v/>
      </c>
      <c r="T478" s="52">
        <f>IF(OR(A478="",F478="",C478&lt;&gt;"Kapak"),0,IF(COUNTIFS($F$8:F478,F478,$C$8:C478,"Kapak")=1,1,0))</f>
        <v/>
      </c>
    </row>
    <row r="479">
      <c r="S479" s="52">
        <f>IF(OR(A479="",F479="",C479&lt;&gt;"Mekân"),0,IF(COUNTIFS($F$8:F479,F479,$C$8:C479,"Mekân")=1,1,0))</f>
        <v/>
      </c>
      <c r="T479" s="52">
        <f>IF(OR(A479="",F479="",C479&lt;&gt;"Kapak"),0,IF(COUNTIFS($F$8:F479,F479,$C$8:C479,"Kapak")=1,1,0))</f>
        <v/>
      </c>
    </row>
    <row r="480">
      <c r="S480" s="52">
        <f>IF(OR(A480="",F480="",C480&lt;&gt;"Mekân"),0,IF(COUNTIFS($F$8:F480,F480,$C$8:C480,"Mekân")=1,1,0))</f>
        <v/>
      </c>
      <c r="T480" s="52">
        <f>IF(OR(A480="",F480="",C480&lt;&gt;"Kapak"),0,IF(COUNTIFS($F$8:F480,F480,$C$8:C480,"Kapak")=1,1,0))</f>
        <v/>
      </c>
    </row>
    <row r="481">
      <c r="S481" s="52">
        <f>IF(OR(A481="",F481="",C481&lt;&gt;"Mekân"),0,IF(COUNTIFS($F$8:F481,F481,$C$8:C481,"Mekân")=1,1,0))</f>
        <v/>
      </c>
      <c r="T481" s="52">
        <f>IF(OR(A481="",F481="",C481&lt;&gt;"Kapak"),0,IF(COUNTIFS($F$8:F481,F481,$C$8:C481,"Kapak")=1,1,0))</f>
        <v/>
      </c>
    </row>
    <row r="482">
      <c r="S482" s="52">
        <f>IF(OR(A482="",F482="",C482&lt;&gt;"Mekân"),0,IF(COUNTIFS($F$8:F482,F482,$C$8:C482,"Mekân")=1,1,0))</f>
        <v/>
      </c>
      <c r="T482" s="52">
        <f>IF(OR(A482="",F482="",C482&lt;&gt;"Kapak"),0,IF(COUNTIFS($F$8:F482,F482,$C$8:C482,"Kapak")=1,1,0))</f>
        <v/>
      </c>
    </row>
    <row r="483">
      <c r="S483" s="52">
        <f>IF(OR(A483="",F483="",C483&lt;&gt;"Mekân"),0,IF(COUNTIFS($F$8:F483,F483,$C$8:C483,"Mekân")=1,1,0))</f>
        <v/>
      </c>
      <c r="T483" s="52">
        <f>IF(OR(A483="",F483="",C483&lt;&gt;"Kapak"),0,IF(COUNTIFS($F$8:F483,F483,$C$8:C483,"Kapak")=1,1,0))</f>
        <v/>
      </c>
    </row>
    <row r="484">
      <c r="S484" s="52">
        <f>IF(OR(A484="",F484="",C484&lt;&gt;"Mekân"),0,IF(COUNTIFS($F$8:F484,F484,$C$8:C484,"Mekân")=1,1,0))</f>
        <v/>
      </c>
      <c r="T484" s="52">
        <f>IF(OR(A484="",F484="",C484&lt;&gt;"Kapak"),0,IF(COUNTIFS($F$8:F484,F484,$C$8:C484,"Kapak")=1,1,0))</f>
        <v/>
      </c>
    </row>
    <row r="485">
      <c r="S485" s="52">
        <f>IF(OR(A485="",F485="",C485&lt;&gt;"Mekân"),0,IF(COUNTIFS($F$8:F485,F485,$C$8:C485,"Mekân")=1,1,0))</f>
        <v/>
      </c>
      <c r="T485" s="52">
        <f>IF(OR(A485="",F485="",C485&lt;&gt;"Kapak"),0,IF(COUNTIFS($F$8:F485,F485,$C$8:C485,"Kapak")=1,1,0))</f>
        <v/>
      </c>
    </row>
    <row r="486">
      <c r="S486" s="52">
        <f>IF(OR(A486="",F486="",C486&lt;&gt;"Mekân"),0,IF(COUNTIFS($F$8:F486,F486,$C$8:C486,"Mekân")=1,1,0))</f>
        <v/>
      </c>
      <c r="T486" s="52">
        <f>IF(OR(A486="",F486="",C486&lt;&gt;"Kapak"),0,IF(COUNTIFS($F$8:F486,F486,$C$8:C486,"Kapak")=1,1,0))</f>
        <v/>
      </c>
    </row>
    <row r="487">
      <c r="S487" s="52">
        <f>IF(OR(A487="",F487="",C487&lt;&gt;"Mekân"),0,IF(COUNTIFS($F$8:F487,F487,$C$8:C487,"Mekân")=1,1,0))</f>
        <v/>
      </c>
      <c r="T487" s="52">
        <f>IF(OR(A487="",F487="",C487&lt;&gt;"Kapak"),0,IF(COUNTIFS($F$8:F487,F487,$C$8:C487,"Kapak")=1,1,0))</f>
        <v/>
      </c>
    </row>
    <row r="488">
      <c r="S488" s="52">
        <f>IF(OR(A488="",F488="",C488&lt;&gt;"Mekân"),0,IF(COUNTIFS($F$8:F488,F488,$C$8:C488,"Mekân")=1,1,0))</f>
        <v/>
      </c>
      <c r="T488" s="52">
        <f>IF(OR(A488="",F488="",C488&lt;&gt;"Kapak"),0,IF(COUNTIFS($F$8:F488,F488,$C$8:C488,"Kapak")=1,1,0))</f>
        <v/>
      </c>
    </row>
    <row r="489">
      <c r="S489" s="52">
        <f>IF(OR(A489="",F489="",C489&lt;&gt;"Mekân"),0,IF(COUNTIFS($F$8:F489,F489,$C$8:C489,"Mekân")=1,1,0))</f>
        <v/>
      </c>
      <c r="T489" s="52">
        <f>IF(OR(A489="",F489="",C489&lt;&gt;"Kapak"),0,IF(COUNTIFS($F$8:F489,F489,$C$8:C489,"Kapak")=1,1,0))</f>
        <v/>
      </c>
    </row>
    <row r="490">
      <c r="S490" s="52">
        <f>IF(OR(A490="",F490="",C490&lt;&gt;"Mekân"),0,IF(COUNTIFS($F$8:F490,F490,$C$8:C490,"Mekân")=1,1,0))</f>
        <v/>
      </c>
      <c r="T490" s="52">
        <f>IF(OR(A490="",F490="",C490&lt;&gt;"Kapak"),0,IF(COUNTIFS($F$8:F490,F490,$C$8:C490,"Kapak")=1,1,0))</f>
        <v/>
      </c>
    </row>
    <row r="491">
      <c r="S491" s="52">
        <f>IF(OR(A491="",F491="",C491&lt;&gt;"Mekân"),0,IF(COUNTIFS($F$8:F491,F491,$C$8:C491,"Mekân")=1,1,0))</f>
        <v/>
      </c>
      <c r="T491" s="52">
        <f>IF(OR(A491="",F491="",C491&lt;&gt;"Kapak"),0,IF(COUNTIFS($F$8:F491,F491,$C$8:C491,"Kapak")=1,1,0))</f>
        <v/>
      </c>
    </row>
    <row r="492">
      <c r="S492" s="52">
        <f>IF(OR(A492="",F492="",C492&lt;&gt;"Mekân"),0,IF(COUNTIFS($F$8:F492,F492,$C$8:C492,"Mekân")=1,1,0))</f>
        <v/>
      </c>
      <c r="T492" s="52">
        <f>IF(OR(A492="",F492="",C492&lt;&gt;"Kapak"),0,IF(COUNTIFS($F$8:F492,F492,$C$8:C492,"Kapak")=1,1,0))</f>
        <v/>
      </c>
    </row>
    <row r="493">
      <c r="S493" s="52">
        <f>IF(OR(A493="",F493="",C493&lt;&gt;"Mekân"),0,IF(COUNTIFS($F$8:F493,F493,$C$8:C493,"Mekân")=1,1,0))</f>
        <v/>
      </c>
      <c r="T493" s="52">
        <f>IF(OR(A493="",F493="",C493&lt;&gt;"Kapak"),0,IF(COUNTIFS($F$8:F493,F493,$C$8:C493,"Kapak")=1,1,0))</f>
        <v/>
      </c>
    </row>
    <row r="494">
      <c r="S494" s="52">
        <f>IF(OR(A494="",F494="",C494&lt;&gt;"Mekân"),0,IF(COUNTIFS($F$8:F494,F494,$C$8:C494,"Mekân")=1,1,0))</f>
        <v/>
      </c>
      <c r="T494" s="52">
        <f>IF(OR(A494="",F494="",C494&lt;&gt;"Kapak"),0,IF(COUNTIFS($F$8:F494,F494,$C$8:C494,"Kapak")=1,1,0))</f>
        <v/>
      </c>
    </row>
    <row r="495">
      <c r="S495" s="52">
        <f>IF(OR(A495="",F495="",C495&lt;&gt;"Mekân"),0,IF(COUNTIFS($F$8:F495,F495,$C$8:C495,"Mekân")=1,1,0))</f>
        <v/>
      </c>
      <c r="T495" s="52">
        <f>IF(OR(A495="",F495="",C495&lt;&gt;"Kapak"),0,IF(COUNTIFS($F$8:F495,F495,$C$8:C495,"Kapak")=1,1,0))</f>
        <v/>
      </c>
    </row>
    <row r="496">
      <c r="S496" s="52">
        <f>IF(OR(A496="",F496="",C496&lt;&gt;"Mekân"),0,IF(COUNTIFS($F$8:F496,F496,$C$8:C496,"Mekân")=1,1,0))</f>
        <v/>
      </c>
      <c r="T496" s="52">
        <f>IF(OR(A496="",F496="",C496&lt;&gt;"Kapak"),0,IF(COUNTIFS($F$8:F496,F496,$C$8:C496,"Kapak")=1,1,0))</f>
        <v/>
      </c>
    </row>
    <row r="497">
      <c r="S497" s="52">
        <f>IF(OR(A497="",F497="",C497&lt;&gt;"Mekân"),0,IF(COUNTIFS($F$8:F497,F497,$C$8:C497,"Mekân")=1,1,0))</f>
        <v/>
      </c>
      <c r="T497" s="52">
        <f>IF(OR(A497="",F497="",C497&lt;&gt;"Kapak"),0,IF(COUNTIFS($F$8:F497,F497,$C$8:C497,"Kapak")=1,1,0))</f>
        <v/>
      </c>
    </row>
    <row r="498">
      <c r="S498" s="52">
        <f>IF(OR(A498="",F498="",C498&lt;&gt;"Mekân"),0,IF(COUNTIFS($F$8:F498,F498,$C$8:C498,"Mekân")=1,1,0))</f>
        <v/>
      </c>
      <c r="T498" s="52">
        <f>IF(OR(A498="",F498="",C498&lt;&gt;"Kapak"),0,IF(COUNTIFS($F$8:F498,F498,$C$8:C498,"Kapak")=1,1,0))</f>
        <v/>
      </c>
    </row>
    <row r="499">
      <c r="S499" s="52">
        <f>IF(OR(A499="",F499="",C499&lt;&gt;"Mekân"),0,IF(COUNTIFS($F$8:F499,F499,$C$8:C499,"Mekân")=1,1,0))</f>
        <v/>
      </c>
      <c r="T499" s="52">
        <f>IF(OR(A499="",F499="",C499&lt;&gt;"Kapak"),0,IF(COUNTIFS($F$8:F499,F499,$C$8:C499,"Kapak")=1,1,0))</f>
        <v/>
      </c>
    </row>
    <row r="500">
      <c r="S500" s="52">
        <f>IF(OR(A500="",F500="",C500&lt;&gt;"Mekân"),0,IF(COUNTIFS($F$8:F500,F500,$C$8:C500,"Mekân")=1,1,0))</f>
        <v/>
      </c>
      <c r="T500" s="52">
        <f>IF(OR(A500="",F500="",C500&lt;&gt;"Kapak"),0,IF(COUNTIFS($F$8:F500,F500,$C$8:C500,"Kapak")=1,1,0))</f>
        <v/>
      </c>
    </row>
    <row r="501">
      <c r="S501" s="52">
        <f>IF(OR(A501="",F501="",C501&lt;&gt;"Mekân"),0,IF(COUNTIFS($F$8:F501,F501,$C$8:C501,"Mekân")=1,1,0))</f>
        <v/>
      </c>
      <c r="T501" s="52">
        <f>IF(OR(A501="",F501="",C501&lt;&gt;"Kapak"),0,IF(COUNTIFS($F$8:F501,F501,$C$8:C501,"Kapak")=1,1,0))</f>
        <v/>
      </c>
    </row>
    <row r="502">
      <c r="S502" s="52">
        <f>IF(OR(A502="",F502="",C502&lt;&gt;"Mekân"),0,IF(COUNTIFS($F$8:F502,F502,$C$8:C502,"Mekân")=1,1,0))</f>
        <v/>
      </c>
      <c r="T502" s="52">
        <f>IF(OR(A502="",F502="",C502&lt;&gt;"Kapak"),0,IF(COUNTIFS($F$8:F502,F502,$C$8:C502,"Kapak")=1,1,0))</f>
        <v/>
      </c>
    </row>
    <row r="503">
      <c r="S503" s="52">
        <f>IF(OR(A503="",F503="",C503&lt;&gt;"Mekân"),0,IF(COUNTIFS($F$8:F503,F503,$C$8:C503,"Mekân")=1,1,0))</f>
        <v/>
      </c>
      <c r="T503" s="52">
        <f>IF(OR(A503="",F503="",C503&lt;&gt;"Kapak"),0,IF(COUNTIFS($F$8:F503,F503,$C$8:C503,"Kapak")=1,1,0))</f>
        <v/>
      </c>
    </row>
    <row r="504">
      <c r="S504" s="52">
        <f>IF(OR(A504="",F504="",C504&lt;&gt;"Mekân"),0,IF(COUNTIFS($F$8:F504,F504,$C$8:C504,"Mekân")=1,1,0))</f>
        <v/>
      </c>
      <c r="T504" s="52">
        <f>IF(OR(A504="",F504="",C504&lt;&gt;"Kapak"),0,IF(COUNTIFS($F$8:F504,F504,$C$8:C504,"Kapak")=1,1,0))</f>
        <v/>
      </c>
    </row>
    <row r="505">
      <c r="S505" s="52">
        <f>IF(OR(A505="",F505="",C505&lt;&gt;"Mekân"),0,IF(COUNTIFS($F$8:F505,F505,$C$8:C505,"Mekân")=1,1,0))</f>
        <v/>
      </c>
      <c r="T505" s="52">
        <f>IF(OR(A505="",F505="",C505&lt;&gt;"Kapak"),0,IF(COUNTIFS($F$8:F505,F505,$C$8:C505,"Kapak")=1,1,0))</f>
        <v/>
      </c>
    </row>
    <row r="506">
      <c r="S506" s="52">
        <f>IF(OR(A506="",F506="",C506&lt;&gt;"Mekân"),0,IF(COUNTIFS($F$8:F506,F506,$C$8:C506,"Mekân")=1,1,0))</f>
        <v/>
      </c>
      <c r="T506" s="52">
        <f>IF(OR(A506="",F506="",C506&lt;&gt;"Kapak"),0,IF(COUNTIFS($F$8:F506,F506,$C$8:C506,"Kapak")=1,1,0))</f>
        <v/>
      </c>
    </row>
    <row r="507">
      <c r="S507" s="52">
        <f>IF(OR(A507="",F507="",C507&lt;&gt;"Mekân"),0,IF(COUNTIFS($F$8:F507,F507,$C$8:C507,"Mekân")=1,1,0))</f>
        <v/>
      </c>
      <c r="T507" s="52">
        <f>IF(OR(A507="",F507="",C507&lt;&gt;"Kapak"),0,IF(COUNTIFS($F$8:F507,F507,$C$8:C507,"Kapak")=1,1,0))</f>
        <v/>
      </c>
    </row>
    <row r="508">
      <c r="S508" s="52">
        <f>IF(OR(A508="",F508="",C508&lt;&gt;"Mekân"),0,IF(COUNTIFS($F$8:F508,F508,$C$8:C508,"Mekân")=1,1,0))</f>
        <v/>
      </c>
      <c r="T508" s="52">
        <f>IF(OR(A508="",F508="",C508&lt;&gt;"Kapak"),0,IF(COUNTIFS($F$8:F508,F508,$C$8:C508,"Kapak")=1,1,0))</f>
        <v/>
      </c>
    </row>
    <row r="509">
      <c r="S509" s="52">
        <f>IF(OR(A509="",F509="",C509&lt;&gt;"Mekân"),0,IF(COUNTIFS($F$8:F509,F509,$C$8:C509,"Mekân")=1,1,0))</f>
        <v/>
      </c>
      <c r="T509" s="52">
        <f>IF(OR(A509="",F509="",C509&lt;&gt;"Kapak"),0,IF(COUNTIFS($F$8:F509,F509,$C$8:C509,"Kapak")=1,1,0))</f>
        <v/>
      </c>
    </row>
    <row r="510">
      <c r="S510" s="52">
        <f>IF(OR(A510="",F510="",C510&lt;&gt;"Mekân"),0,IF(COUNTIFS($F$8:F510,F510,$C$8:C510,"Mekân")=1,1,0))</f>
        <v/>
      </c>
      <c r="T510" s="52">
        <f>IF(OR(A510="",F510="",C510&lt;&gt;"Kapak"),0,IF(COUNTIFS($F$8:F510,F510,$C$8:C510,"Kapak")=1,1,0))</f>
        <v/>
      </c>
    </row>
    <row r="511">
      <c r="S511" s="52">
        <f>IF(OR(A511="",F511="",C511&lt;&gt;"Mekân"),0,IF(COUNTIFS($F$8:F511,F511,$C$8:C511,"Mekân")=1,1,0))</f>
        <v/>
      </c>
      <c r="T511" s="52">
        <f>IF(OR(A511="",F511="",C511&lt;&gt;"Kapak"),0,IF(COUNTIFS($F$8:F511,F511,$C$8:C511,"Kapak")=1,1,0))</f>
        <v/>
      </c>
    </row>
    <row r="512">
      <c r="S512" s="52">
        <f>IF(OR(A512="",F512="",C512&lt;&gt;"Mekân"),0,IF(COUNTIFS($F$8:F512,F512,$C$8:C512,"Mekân")=1,1,0))</f>
        <v/>
      </c>
      <c r="T512" s="52">
        <f>IF(OR(A512="",F512="",C512&lt;&gt;"Kapak"),0,IF(COUNTIFS($F$8:F512,F512,$C$8:C512,"Kapak")=1,1,0))</f>
        <v/>
      </c>
    </row>
    <row r="513">
      <c r="S513" s="52">
        <f>IF(OR(A513="",F513="",C513&lt;&gt;"Mekân"),0,IF(COUNTIFS($F$8:F513,F513,$C$8:C513,"Mekân")=1,1,0))</f>
        <v/>
      </c>
      <c r="T513" s="52">
        <f>IF(OR(A513="",F513="",C513&lt;&gt;"Kapak"),0,IF(COUNTIFS($F$8:F513,F513,$C$8:C513,"Kapak")=1,1,0))</f>
        <v/>
      </c>
    </row>
    <row r="514">
      <c r="S514" s="52">
        <f>IF(OR(A514="",F514="",C514&lt;&gt;"Mekân"),0,IF(COUNTIFS($F$8:F514,F514,$C$8:C514,"Mekân")=1,1,0))</f>
        <v/>
      </c>
      <c r="T514" s="52">
        <f>IF(OR(A514="",F514="",C514&lt;&gt;"Kapak"),0,IF(COUNTIFS($F$8:F514,F514,$C$8:C514,"Kapak")=1,1,0))</f>
        <v/>
      </c>
    </row>
    <row r="515">
      <c r="S515" s="52">
        <f>IF(OR(A515="",F515="",C515&lt;&gt;"Mekân"),0,IF(COUNTIFS($F$8:F515,F515,$C$8:C515,"Mekân")=1,1,0))</f>
        <v/>
      </c>
      <c r="T515" s="52">
        <f>IF(OR(A515="",F515="",C515&lt;&gt;"Kapak"),0,IF(COUNTIFS($F$8:F515,F515,$C$8:C515,"Kapak")=1,1,0))</f>
        <v/>
      </c>
    </row>
    <row r="516">
      <c r="S516" s="52">
        <f>IF(OR(A516="",F516="",C516&lt;&gt;"Mekân"),0,IF(COUNTIFS($F$8:F516,F516,$C$8:C516,"Mekân")=1,1,0))</f>
        <v/>
      </c>
      <c r="T516" s="52">
        <f>IF(OR(A516="",F516="",C516&lt;&gt;"Kapak"),0,IF(COUNTIFS($F$8:F516,F516,$C$8:C516,"Kapak")=1,1,0))</f>
        <v/>
      </c>
    </row>
    <row r="517">
      <c r="S517" s="52">
        <f>IF(OR(A517="",F517="",C517&lt;&gt;"Mekân"),0,IF(COUNTIFS($F$8:F517,F517,$C$8:C517,"Mekân")=1,1,0))</f>
        <v/>
      </c>
      <c r="T517" s="52">
        <f>IF(OR(A517="",F517="",C517&lt;&gt;"Kapak"),0,IF(COUNTIFS($F$8:F517,F517,$C$8:C517,"Kapak")=1,1,0))</f>
        <v/>
      </c>
    </row>
    <row r="518">
      <c r="S518" s="52">
        <f>IF(OR(A518="",F518="",C518&lt;&gt;"Mekân"),0,IF(COUNTIFS($F$8:F518,F518,$C$8:C518,"Mekân")=1,1,0))</f>
        <v/>
      </c>
      <c r="T518" s="52">
        <f>IF(OR(A518="",F518="",C518&lt;&gt;"Kapak"),0,IF(COUNTIFS($F$8:F518,F518,$C$8:C518,"Kapak")=1,1,0))</f>
        <v/>
      </c>
    </row>
    <row r="519">
      <c r="S519" s="52">
        <f>IF(OR(A519="",F519="",C519&lt;&gt;"Mekân"),0,IF(COUNTIFS($F$8:F519,F519,$C$8:C519,"Mekân")=1,1,0))</f>
        <v/>
      </c>
      <c r="T519" s="52">
        <f>IF(OR(A519="",F519="",C519&lt;&gt;"Kapak"),0,IF(COUNTIFS($F$8:F519,F519,$C$8:C519,"Kapak")=1,1,0))</f>
        <v/>
      </c>
    </row>
    <row r="520">
      <c r="S520" s="52">
        <f>IF(OR(A520="",F520="",C520&lt;&gt;"Mekân"),0,IF(COUNTIFS($F$8:F520,F520,$C$8:C520,"Mekân")=1,1,0))</f>
        <v/>
      </c>
      <c r="T520" s="52">
        <f>IF(OR(A520="",F520="",C520&lt;&gt;"Kapak"),0,IF(COUNTIFS($F$8:F520,F520,$C$8:C520,"Kapak")=1,1,0))</f>
        <v/>
      </c>
    </row>
    <row r="521">
      <c r="S521" s="52">
        <f>IF(OR(A521="",F521="",C521&lt;&gt;"Mekân"),0,IF(COUNTIFS($F$8:F521,F521,$C$8:C521,"Mekân")=1,1,0))</f>
        <v/>
      </c>
      <c r="T521" s="52">
        <f>IF(OR(A521="",F521="",C521&lt;&gt;"Kapak"),0,IF(COUNTIFS($F$8:F521,F521,$C$8:C521,"Kapak")=1,1,0))</f>
        <v/>
      </c>
    </row>
    <row r="522">
      <c r="S522" s="52">
        <f>IF(OR(A522="",F522="",C522&lt;&gt;"Mekân"),0,IF(COUNTIFS($F$8:F522,F522,$C$8:C522,"Mekân")=1,1,0))</f>
        <v/>
      </c>
      <c r="T522" s="52">
        <f>IF(OR(A522="",F522="",C522&lt;&gt;"Kapak"),0,IF(COUNTIFS($F$8:F522,F522,$C$8:C522,"Kapak")=1,1,0))</f>
        <v/>
      </c>
    </row>
    <row r="523">
      <c r="S523" s="52">
        <f>IF(OR(A523="",F523="",C523&lt;&gt;"Mekân"),0,IF(COUNTIFS($F$8:F523,F523,$C$8:C523,"Mekân")=1,1,0))</f>
        <v/>
      </c>
      <c r="T523" s="52">
        <f>IF(OR(A523="",F523="",C523&lt;&gt;"Kapak"),0,IF(COUNTIFS($F$8:F523,F523,$C$8:C523,"Kapak")=1,1,0))</f>
        <v/>
      </c>
    </row>
    <row r="524">
      <c r="S524" s="52">
        <f>IF(OR(A524="",F524="",C524&lt;&gt;"Mekân"),0,IF(COUNTIFS($F$8:F524,F524,$C$8:C524,"Mekân")=1,1,0))</f>
        <v/>
      </c>
      <c r="T524" s="52">
        <f>IF(OR(A524="",F524="",C524&lt;&gt;"Kapak"),0,IF(COUNTIFS($F$8:F524,F524,$C$8:C524,"Kapak")=1,1,0))</f>
        <v/>
      </c>
    </row>
    <row r="525">
      <c r="S525" s="52">
        <f>IF(OR(A525="",F525="",C525&lt;&gt;"Mekân"),0,IF(COUNTIFS($F$8:F525,F525,$C$8:C525,"Mekân")=1,1,0))</f>
        <v/>
      </c>
      <c r="T525" s="52">
        <f>IF(OR(A525="",F525="",C525&lt;&gt;"Kapak"),0,IF(COUNTIFS($F$8:F525,F525,$C$8:C525,"Kapak")=1,1,0))</f>
        <v/>
      </c>
    </row>
    <row r="526">
      <c r="S526" s="52">
        <f>IF(OR(A526="",F526="",C526&lt;&gt;"Mekân"),0,IF(COUNTIFS($F$8:F526,F526,$C$8:C526,"Mekân")=1,1,0))</f>
        <v/>
      </c>
      <c r="T526" s="52">
        <f>IF(OR(A526="",F526="",C526&lt;&gt;"Kapak"),0,IF(COUNTIFS($F$8:F526,F526,$C$8:C526,"Kapak")=1,1,0))</f>
        <v/>
      </c>
    </row>
    <row r="527">
      <c r="S527" s="52">
        <f>IF(OR(A527="",F527="",C527&lt;&gt;"Mekân"),0,IF(COUNTIFS($F$8:F527,F527,$C$8:C527,"Mekân")=1,1,0))</f>
        <v/>
      </c>
      <c r="T527" s="52">
        <f>IF(OR(A527="",F527="",C527&lt;&gt;"Kapak"),0,IF(COUNTIFS($F$8:F527,F527,$C$8:C527,"Kapak")=1,1,0))</f>
        <v/>
      </c>
    </row>
    <row r="528">
      <c r="S528" s="52">
        <f>IF(OR(A528="",F528="",C528&lt;&gt;"Mekân"),0,IF(COUNTIFS($F$8:F528,F528,$C$8:C528,"Mekân")=1,1,0))</f>
        <v/>
      </c>
      <c r="T528" s="52">
        <f>IF(OR(A528="",F528="",C528&lt;&gt;"Kapak"),0,IF(COUNTIFS($F$8:F528,F528,$C$8:C528,"Kapak")=1,1,0))</f>
        <v/>
      </c>
    </row>
    <row r="529">
      <c r="S529" s="52">
        <f>IF(OR(A529="",F529="",C529&lt;&gt;"Mekân"),0,IF(COUNTIFS($F$8:F529,F529,$C$8:C529,"Mekân")=1,1,0))</f>
        <v/>
      </c>
      <c r="T529" s="52">
        <f>IF(OR(A529="",F529="",C529&lt;&gt;"Kapak"),0,IF(COUNTIFS($F$8:F529,F529,$C$8:C529,"Kapak")=1,1,0))</f>
        <v/>
      </c>
    </row>
    <row r="530">
      <c r="S530" s="52">
        <f>IF(OR(A530="",F530="",C530&lt;&gt;"Mekân"),0,IF(COUNTIFS($F$8:F530,F530,$C$8:C530,"Mekân")=1,1,0))</f>
        <v/>
      </c>
      <c r="T530" s="52">
        <f>IF(OR(A530="",F530="",C530&lt;&gt;"Kapak"),0,IF(COUNTIFS($F$8:F530,F530,$C$8:C530,"Kapak")=1,1,0))</f>
        <v/>
      </c>
    </row>
    <row r="531">
      <c r="S531" s="52">
        <f>IF(OR(A531="",F531="",C531&lt;&gt;"Mekân"),0,IF(COUNTIFS($F$8:F531,F531,$C$8:C531,"Mekân")=1,1,0))</f>
        <v/>
      </c>
      <c r="T531" s="52">
        <f>IF(OR(A531="",F531="",C531&lt;&gt;"Kapak"),0,IF(COUNTIFS($F$8:F531,F531,$C$8:C531,"Kapak")=1,1,0))</f>
        <v/>
      </c>
    </row>
    <row r="532">
      <c r="S532" s="52">
        <f>IF(OR(A532="",F532="",C532&lt;&gt;"Mekân"),0,IF(COUNTIFS($F$8:F532,F532,$C$8:C532,"Mekân")=1,1,0))</f>
        <v/>
      </c>
      <c r="T532" s="52">
        <f>IF(OR(A532="",F532="",C532&lt;&gt;"Kapak"),0,IF(COUNTIFS($F$8:F532,F532,$C$8:C532,"Kapak")=1,1,0))</f>
        <v/>
      </c>
    </row>
    <row r="533">
      <c r="S533" s="52">
        <f>IF(OR(A533="",F533="",C533&lt;&gt;"Mekân"),0,IF(COUNTIFS($F$8:F533,F533,$C$8:C533,"Mekân")=1,1,0))</f>
        <v/>
      </c>
      <c r="T533" s="52">
        <f>IF(OR(A533="",F533="",C533&lt;&gt;"Kapak"),0,IF(COUNTIFS($F$8:F533,F533,$C$8:C533,"Kapak")=1,1,0))</f>
        <v/>
      </c>
    </row>
    <row r="534">
      <c r="S534" s="52">
        <f>IF(OR(A534="",F534="",C534&lt;&gt;"Mekân"),0,IF(COUNTIFS($F$8:F534,F534,$C$8:C534,"Mekân")=1,1,0))</f>
        <v/>
      </c>
      <c r="T534" s="52">
        <f>IF(OR(A534="",F534="",C534&lt;&gt;"Kapak"),0,IF(COUNTIFS($F$8:F534,F534,$C$8:C534,"Kapak")=1,1,0))</f>
        <v/>
      </c>
    </row>
    <row r="535">
      <c r="S535" s="52">
        <f>IF(OR(A535="",F535="",C535&lt;&gt;"Mekân"),0,IF(COUNTIFS($F$8:F535,F535,$C$8:C535,"Mekân")=1,1,0))</f>
        <v/>
      </c>
      <c r="T535" s="52">
        <f>IF(OR(A535="",F535="",C535&lt;&gt;"Kapak"),0,IF(COUNTIFS($F$8:F535,F535,$C$8:C535,"Kapak")=1,1,0))</f>
        <v/>
      </c>
    </row>
    <row r="536">
      <c r="S536" s="52">
        <f>IF(OR(A536="",F536="",C536&lt;&gt;"Mekân"),0,IF(COUNTIFS($F$8:F536,F536,$C$8:C536,"Mekân")=1,1,0))</f>
        <v/>
      </c>
      <c r="T536" s="52">
        <f>IF(OR(A536="",F536="",C536&lt;&gt;"Kapak"),0,IF(COUNTIFS($F$8:F536,F536,$C$8:C536,"Kapak")=1,1,0))</f>
        <v/>
      </c>
    </row>
    <row r="537">
      <c r="S537" s="52">
        <f>IF(OR(A537="",F537="",C537&lt;&gt;"Mekân"),0,IF(COUNTIFS($F$8:F537,F537,$C$8:C537,"Mekân")=1,1,0))</f>
        <v/>
      </c>
      <c r="T537" s="52">
        <f>IF(OR(A537="",F537="",C537&lt;&gt;"Kapak"),0,IF(COUNTIFS($F$8:F537,F537,$C$8:C537,"Kapak")=1,1,0))</f>
        <v/>
      </c>
    </row>
    <row r="538">
      <c r="S538" s="52">
        <f>IF(OR(A538="",F538="",C538&lt;&gt;"Mekân"),0,IF(COUNTIFS($F$8:F538,F538,$C$8:C538,"Mekân")=1,1,0))</f>
        <v/>
      </c>
      <c r="T538" s="52">
        <f>IF(OR(A538="",F538="",C538&lt;&gt;"Kapak"),0,IF(COUNTIFS($F$8:F538,F538,$C$8:C538,"Kapak")=1,1,0))</f>
        <v/>
      </c>
    </row>
    <row r="539">
      <c r="S539" s="52">
        <f>IF(OR(A539="",F539="",C539&lt;&gt;"Mekân"),0,IF(COUNTIFS($F$8:F539,F539,$C$8:C539,"Mekân")=1,1,0))</f>
        <v/>
      </c>
      <c r="T539" s="52">
        <f>IF(OR(A539="",F539="",C539&lt;&gt;"Kapak"),0,IF(COUNTIFS($F$8:F539,F539,$C$8:C539,"Kapak")=1,1,0))</f>
        <v/>
      </c>
    </row>
    <row r="540">
      <c r="S540" s="52">
        <f>IF(OR(A540="",F540="",C540&lt;&gt;"Mekân"),0,IF(COUNTIFS($F$8:F540,F540,$C$8:C540,"Mekân")=1,1,0))</f>
        <v/>
      </c>
      <c r="T540" s="52">
        <f>IF(OR(A540="",F540="",C540&lt;&gt;"Kapak"),0,IF(COUNTIFS($F$8:F540,F540,$C$8:C540,"Kapak")=1,1,0))</f>
        <v/>
      </c>
    </row>
    <row r="541">
      <c r="S541" s="52">
        <f>IF(OR(A541="",F541="",C541&lt;&gt;"Mekân"),0,IF(COUNTIFS($F$8:F541,F541,$C$8:C541,"Mekân")=1,1,0))</f>
        <v/>
      </c>
      <c r="T541" s="52">
        <f>IF(OR(A541="",F541="",C541&lt;&gt;"Kapak"),0,IF(COUNTIFS($F$8:F541,F541,$C$8:C541,"Kapak")=1,1,0))</f>
        <v/>
      </c>
    </row>
    <row r="542">
      <c r="S542" s="52">
        <f>IF(OR(A542="",F542="",C542&lt;&gt;"Mekân"),0,IF(COUNTIFS($F$8:F542,F542,$C$8:C542,"Mekân")=1,1,0))</f>
        <v/>
      </c>
      <c r="T542" s="52">
        <f>IF(OR(A542="",F542="",C542&lt;&gt;"Kapak"),0,IF(COUNTIFS($F$8:F542,F542,$C$8:C542,"Kapak")=1,1,0))</f>
        <v/>
      </c>
    </row>
    <row r="543">
      <c r="S543" s="52">
        <f>IF(OR(A543="",F543="",C543&lt;&gt;"Mekân"),0,IF(COUNTIFS($F$8:F543,F543,$C$8:C543,"Mekân")=1,1,0))</f>
        <v/>
      </c>
      <c r="T543" s="52">
        <f>IF(OR(A543="",F543="",C543&lt;&gt;"Kapak"),0,IF(COUNTIFS($F$8:F543,F543,$C$8:C543,"Kapak")=1,1,0))</f>
        <v/>
      </c>
    </row>
    <row r="544">
      <c r="S544" s="52">
        <f>IF(OR(A544="",F544="",C544&lt;&gt;"Mekân"),0,IF(COUNTIFS($F$8:F544,F544,$C$8:C544,"Mekân")=1,1,0))</f>
        <v/>
      </c>
      <c r="T544" s="52">
        <f>IF(OR(A544="",F544="",C544&lt;&gt;"Kapak"),0,IF(COUNTIFS($F$8:F544,F544,$C$8:C544,"Kapak")=1,1,0))</f>
        <v/>
      </c>
    </row>
    <row r="545">
      <c r="S545" s="52">
        <f>IF(OR(A545="",F545="",C545&lt;&gt;"Mekân"),0,IF(COUNTIFS($F$8:F545,F545,$C$8:C545,"Mekân")=1,1,0))</f>
        <v/>
      </c>
      <c r="T545" s="52">
        <f>IF(OR(A545="",F545="",C545&lt;&gt;"Kapak"),0,IF(COUNTIFS($F$8:F545,F545,$C$8:C545,"Kapak")=1,1,0))</f>
        <v/>
      </c>
    </row>
    <row r="546">
      <c r="S546" s="52">
        <f>IF(OR(A546="",F546="",C546&lt;&gt;"Mekân"),0,IF(COUNTIFS($F$8:F546,F546,$C$8:C546,"Mekân")=1,1,0))</f>
        <v/>
      </c>
      <c r="T546" s="52">
        <f>IF(OR(A546="",F546="",C546&lt;&gt;"Kapak"),0,IF(COUNTIFS($F$8:F546,F546,$C$8:C546,"Kapak")=1,1,0))</f>
        <v/>
      </c>
    </row>
    <row r="547">
      <c r="S547" s="52">
        <f>IF(OR(A547="",F547="",C547&lt;&gt;"Mekân"),0,IF(COUNTIFS($F$8:F547,F547,$C$8:C547,"Mekân")=1,1,0))</f>
        <v/>
      </c>
      <c r="T547" s="52">
        <f>IF(OR(A547="",F547="",C547&lt;&gt;"Kapak"),0,IF(COUNTIFS($F$8:F547,F547,$C$8:C547,"Kapak")=1,1,0))</f>
        <v/>
      </c>
    </row>
    <row r="548">
      <c r="S548" s="52">
        <f>IF(OR(A548="",F548="",C548&lt;&gt;"Mekân"),0,IF(COUNTIFS($F$8:F548,F548,$C$8:C548,"Mekân")=1,1,0))</f>
        <v/>
      </c>
      <c r="T548" s="52">
        <f>IF(OR(A548="",F548="",C548&lt;&gt;"Kapak"),0,IF(COUNTIFS($F$8:F548,F548,$C$8:C548,"Kapak")=1,1,0))</f>
        <v/>
      </c>
    </row>
    <row r="549">
      <c r="S549" s="52">
        <f>IF(OR(A549="",F549="",C549&lt;&gt;"Mekân"),0,IF(COUNTIFS($F$8:F549,F549,$C$8:C549,"Mekân")=1,1,0))</f>
        <v/>
      </c>
      <c r="T549" s="52">
        <f>IF(OR(A549="",F549="",C549&lt;&gt;"Kapak"),0,IF(COUNTIFS($F$8:F549,F549,$C$8:C549,"Kapak")=1,1,0))</f>
        <v/>
      </c>
    </row>
    <row r="550">
      <c r="S550" s="52">
        <f>IF(OR(A550="",F550="",C550&lt;&gt;"Mekân"),0,IF(COUNTIFS($F$8:F550,F550,$C$8:C550,"Mekân")=1,1,0))</f>
        <v/>
      </c>
      <c r="T550" s="52">
        <f>IF(OR(A550="",F550="",C550&lt;&gt;"Kapak"),0,IF(COUNTIFS($F$8:F550,F550,$C$8:C550,"Kapak")=1,1,0))</f>
        <v/>
      </c>
    </row>
    <row r="551">
      <c r="S551" s="52">
        <f>IF(OR(A551="",F551="",C551&lt;&gt;"Mekân"),0,IF(COUNTIFS($F$8:F551,F551,$C$8:C551,"Mekân")=1,1,0))</f>
        <v/>
      </c>
      <c r="T551" s="52">
        <f>IF(OR(A551="",F551="",C551&lt;&gt;"Kapak"),0,IF(COUNTIFS($F$8:F551,F551,$C$8:C551,"Kapak")=1,1,0))</f>
        <v/>
      </c>
    </row>
    <row r="552">
      <c r="S552" s="52">
        <f>IF(OR(A552="",F552="",C552&lt;&gt;"Mekân"),0,IF(COUNTIFS($F$8:F552,F552,$C$8:C552,"Mekân")=1,1,0))</f>
        <v/>
      </c>
      <c r="T552" s="52">
        <f>IF(OR(A552="",F552="",C552&lt;&gt;"Kapak"),0,IF(COUNTIFS($F$8:F552,F552,$C$8:C552,"Kapak")=1,1,0))</f>
        <v/>
      </c>
    </row>
    <row r="553">
      <c r="S553" s="52">
        <f>IF(OR(A553="",F553="",C553&lt;&gt;"Mekân"),0,IF(COUNTIFS($F$8:F553,F553,$C$8:C553,"Mekân")=1,1,0))</f>
        <v/>
      </c>
      <c r="T553" s="52">
        <f>IF(OR(A553="",F553="",C553&lt;&gt;"Kapak"),0,IF(COUNTIFS($F$8:F553,F553,$C$8:C553,"Kapak")=1,1,0))</f>
        <v/>
      </c>
    </row>
    <row r="554">
      <c r="S554" s="52">
        <f>IF(OR(A554="",F554="",C554&lt;&gt;"Mekân"),0,IF(COUNTIFS($F$8:F554,F554,$C$8:C554,"Mekân")=1,1,0))</f>
        <v/>
      </c>
      <c r="T554" s="52">
        <f>IF(OR(A554="",F554="",C554&lt;&gt;"Kapak"),0,IF(COUNTIFS($F$8:F554,F554,$C$8:C554,"Kapak")=1,1,0))</f>
        <v/>
      </c>
    </row>
    <row r="555">
      <c r="S555" s="52">
        <f>IF(OR(A555="",F555="",C555&lt;&gt;"Mekân"),0,IF(COUNTIFS($F$8:F555,F555,$C$8:C555,"Mekân")=1,1,0))</f>
        <v/>
      </c>
      <c r="T555" s="52">
        <f>IF(OR(A555="",F555="",C555&lt;&gt;"Kapak"),0,IF(COUNTIFS($F$8:F555,F555,$C$8:C555,"Kapak")=1,1,0))</f>
        <v/>
      </c>
    </row>
    <row r="556">
      <c r="S556" s="52">
        <f>IF(OR(A556="",F556="",C556&lt;&gt;"Mekân"),0,IF(COUNTIFS($F$8:F556,F556,$C$8:C556,"Mekân")=1,1,0))</f>
        <v/>
      </c>
      <c r="T556" s="52">
        <f>IF(OR(A556="",F556="",C556&lt;&gt;"Kapak"),0,IF(COUNTIFS($F$8:F556,F556,$C$8:C556,"Kapak")=1,1,0))</f>
        <v/>
      </c>
    </row>
    <row r="557">
      <c r="S557" s="52">
        <f>IF(OR(A557="",F557="",C557&lt;&gt;"Mekân"),0,IF(COUNTIFS($F$8:F557,F557,$C$8:C557,"Mekân")=1,1,0))</f>
        <v/>
      </c>
      <c r="T557" s="52">
        <f>IF(OR(A557="",F557="",C557&lt;&gt;"Kapak"),0,IF(COUNTIFS($F$8:F557,F557,$C$8:C557,"Kapak")=1,1,0))</f>
        <v/>
      </c>
    </row>
    <row r="558">
      <c r="S558" s="52">
        <f>IF(OR(A558="",F558="",C558&lt;&gt;"Mekân"),0,IF(COUNTIFS($F$8:F558,F558,$C$8:C558,"Mekân")=1,1,0))</f>
        <v/>
      </c>
      <c r="T558" s="52">
        <f>IF(OR(A558="",F558="",C558&lt;&gt;"Kapak"),0,IF(COUNTIFS($F$8:F558,F558,$C$8:C558,"Kapak")=1,1,0))</f>
        <v/>
      </c>
    </row>
    <row r="559">
      <c r="S559" s="52">
        <f>IF(OR(A559="",F559="",C559&lt;&gt;"Mekân"),0,IF(COUNTIFS($F$8:F559,F559,$C$8:C559,"Mekân")=1,1,0))</f>
        <v/>
      </c>
      <c r="T559" s="52">
        <f>IF(OR(A559="",F559="",C559&lt;&gt;"Kapak"),0,IF(COUNTIFS($F$8:F559,F559,$C$8:C559,"Kapak")=1,1,0))</f>
        <v/>
      </c>
    </row>
    <row r="560">
      <c r="S560" s="52">
        <f>IF(OR(A560="",F560="",C560&lt;&gt;"Mekân"),0,IF(COUNTIFS($F$8:F560,F560,$C$8:C560,"Mekân")=1,1,0))</f>
        <v/>
      </c>
      <c r="T560" s="52">
        <f>IF(OR(A560="",F560="",C560&lt;&gt;"Kapak"),0,IF(COUNTIFS($F$8:F560,F560,$C$8:C560,"Kapak")=1,1,0))</f>
        <v/>
      </c>
    </row>
    <row r="561">
      <c r="S561" s="52">
        <f>IF(OR(A561="",F561="",C561&lt;&gt;"Mekân"),0,IF(COUNTIFS($F$8:F561,F561,$C$8:C561,"Mekân")=1,1,0))</f>
        <v/>
      </c>
      <c r="T561" s="52">
        <f>IF(OR(A561="",F561="",C561&lt;&gt;"Kapak"),0,IF(COUNTIFS($F$8:F561,F561,$C$8:C561,"Kapak")=1,1,0))</f>
        <v/>
      </c>
    </row>
    <row r="562">
      <c r="S562" s="52">
        <f>IF(OR(A562="",F562="",C562&lt;&gt;"Mekân"),0,IF(COUNTIFS($F$8:F562,F562,$C$8:C562,"Mekân")=1,1,0))</f>
        <v/>
      </c>
      <c r="T562" s="52">
        <f>IF(OR(A562="",F562="",C562&lt;&gt;"Kapak"),0,IF(COUNTIFS($F$8:F562,F562,$C$8:C562,"Kapak")=1,1,0))</f>
        <v/>
      </c>
    </row>
    <row r="563">
      <c r="S563" s="52">
        <f>IF(OR(A563="",F563="",C563&lt;&gt;"Mekân"),0,IF(COUNTIFS($F$8:F563,F563,$C$8:C563,"Mekân")=1,1,0))</f>
        <v/>
      </c>
      <c r="T563" s="52">
        <f>IF(OR(A563="",F563="",C563&lt;&gt;"Kapak"),0,IF(COUNTIFS($F$8:F563,F563,$C$8:C563,"Kapak")=1,1,0))</f>
        <v/>
      </c>
    </row>
    <row r="564">
      <c r="S564" s="52">
        <f>IF(OR(A564="",F564="",C564&lt;&gt;"Mekân"),0,IF(COUNTIFS($F$8:F564,F564,$C$8:C564,"Mekân")=1,1,0))</f>
        <v/>
      </c>
      <c r="T564" s="52">
        <f>IF(OR(A564="",F564="",C564&lt;&gt;"Kapak"),0,IF(COUNTIFS($F$8:F564,F564,$C$8:C564,"Kapak")=1,1,0))</f>
        <v/>
      </c>
    </row>
    <row r="565">
      <c r="S565" s="52">
        <f>IF(OR(A565="",F565="",C565&lt;&gt;"Mekân"),0,IF(COUNTIFS($F$8:F565,F565,$C$8:C565,"Mekân")=1,1,0))</f>
        <v/>
      </c>
      <c r="T565" s="52">
        <f>IF(OR(A565="",F565="",C565&lt;&gt;"Kapak"),0,IF(COUNTIFS($F$8:F565,F565,$C$8:C565,"Kapak")=1,1,0))</f>
        <v/>
      </c>
    </row>
    <row r="566">
      <c r="S566" s="52">
        <f>IF(OR(A566="",F566="",C566&lt;&gt;"Mekân"),0,IF(COUNTIFS($F$8:F566,F566,$C$8:C566,"Mekân")=1,1,0))</f>
        <v/>
      </c>
      <c r="T566" s="52">
        <f>IF(OR(A566="",F566="",C566&lt;&gt;"Kapak"),0,IF(COUNTIFS($F$8:F566,F566,$C$8:C566,"Kapak")=1,1,0))</f>
        <v/>
      </c>
    </row>
    <row r="567">
      <c r="S567" s="52">
        <f>IF(OR(A567="",F567="",C567&lt;&gt;"Mekân"),0,IF(COUNTIFS($F$8:F567,F567,$C$8:C567,"Mekân")=1,1,0))</f>
        <v/>
      </c>
      <c r="T567" s="52">
        <f>IF(OR(A567="",F567="",C567&lt;&gt;"Kapak"),0,IF(COUNTIFS($F$8:F567,F567,$C$8:C567,"Kapak")=1,1,0))</f>
        <v/>
      </c>
    </row>
    <row r="568">
      <c r="S568" s="52">
        <f>IF(OR(A568="",F568="",C568&lt;&gt;"Mekân"),0,IF(COUNTIFS($F$8:F568,F568,$C$8:C568,"Mekân")=1,1,0))</f>
        <v/>
      </c>
      <c r="T568" s="52">
        <f>IF(OR(A568="",F568="",C568&lt;&gt;"Kapak"),0,IF(COUNTIFS($F$8:F568,F568,$C$8:C568,"Kapak")=1,1,0))</f>
        <v/>
      </c>
    </row>
    <row r="569">
      <c r="S569" s="52">
        <f>IF(OR(A569="",F569="",C569&lt;&gt;"Mekân"),0,IF(COUNTIFS($F$8:F569,F569,$C$8:C569,"Mekân")=1,1,0))</f>
        <v/>
      </c>
      <c r="T569" s="52">
        <f>IF(OR(A569="",F569="",C569&lt;&gt;"Kapak"),0,IF(COUNTIFS($F$8:F569,F569,$C$8:C569,"Kapak")=1,1,0))</f>
        <v/>
      </c>
    </row>
    <row r="570">
      <c r="S570" s="52">
        <f>IF(OR(A570="",F570="",C570&lt;&gt;"Mekân"),0,IF(COUNTIFS($F$8:F570,F570,$C$8:C570,"Mekân")=1,1,0))</f>
        <v/>
      </c>
      <c r="T570" s="52">
        <f>IF(OR(A570="",F570="",C570&lt;&gt;"Kapak"),0,IF(COUNTIFS($F$8:F570,F570,$C$8:C570,"Kapak")=1,1,0))</f>
        <v/>
      </c>
    </row>
    <row r="571">
      <c r="S571" s="52">
        <f>IF(OR(A571="",F571="",C571&lt;&gt;"Mekân"),0,IF(COUNTIFS($F$8:F571,F571,$C$8:C571,"Mekân")=1,1,0))</f>
        <v/>
      </c>
      <c r="T571" s="52">
        <f>IF(OR(A571="",F571="",C571&lt;&gt;"Kapak"),0,IF(COUNTIFS($F$8:F571,F571,$C$8:C571,"Kapak")=1,1,0))</f>
        <v/>
      </c>
    </row>
    <row r="572">
      <c r="S572" s="52">
        <f>IF(OR(A572="",F572="",C572&lt;&gt;"Mekân"),0,IF(COUNTIFS($F$8:F572,F572,$C$8:C572,"Mekân")=1,1,0))</f>
        <v/>
      </c>
      <c r="T572" s="52">
        <f>IF(OR(A572="",F572="",C572&lt;&gt;"Kapak"),0,IF(COUNTIFS($F$8:F572,F572,$C$8:C572,"Kapak")=1,1,0))</f>
        <v/>
      </c>
    </row>
    <row r="573">
      <c r="S573" s="52">
        <f>IF(OR(A573="",F573="",C573&lt;&gt;"Mekân"),0,IF(COUNTIFS($F$8:F573,F573,$C$8:C573,"Mekân")=1,1,0))</f>
        <v/>
      </c>
      <c r="T573" s="52">
        <f>IF(OR(A573="",F573="",C573&lt;&gt;"Kapak"),0,IF(COUNTIFS($F$8:F573,F573,$C$8:C573,"Kapak")=1,1,0))</f>
        <v/>
      </c>
    </row>
    <row r="574">
      <c r="S574" s="52">
        <f>IF(OR(A574="",F574="",C574&lt;&gt;"Mekân"),0,IF(COUNTIFS($F$8:F574,F574,$C$8:C574,"Mekân")=1,1,0))</f>
        <v/>
      </c>
      <c r="T574" s="52">
        <f>IF(OR(A574="",F574="",C574&lt;&gt;"Kapak"),0,IF(COUNTIFS($F$8:F574,F574,$C$8:C574,"Kapak")=1,1,0))</f>
        <v/>
      </c>
    </row>
    <row r="575">
      <c r="S575" s="52">
        <f>IF(OR(A575="",F575="",C575&lt;&gt;"Mekân"),0,IF(COUNTIFS($F$8:F575,F575,$C$8:C575,"Mekân")=1,1,0))</f>
        <v/>
      </c>
      <c r="T575" s="52">
        <f>IF(OR(A575="",F575="",C575&lt;&gt;"Kapak"),0,IF(COUNTIFS($F$8:F575,F575,$C$8:C575,"Kapak")=1,1,0))</f>
        <v/>
      </c>
    </row>
    <row r="576">
      <c r="S576" s="52">
        <f>IF(OR(A576="",F576="",C576&lt;&gt;"Mekân"),0,IF(COUNTIFS($F$8:F576,F576,$C$8:C576,"Mekân")=1,1,0))</f>
        <v/>
      </c>
      <c r="T576" s="52">
        <f>IF(OR(A576="",F576="",C576&lt;&gt;"Kapak"),0,IF(COUNTIFS($F$8:F576,F576,$C$8:C576,"Kapak")=1,1,0))</f>
        <v/>
      </c>
    </row>
    <row r="577">
      <c r="S577" s="52">
        <f>IF(OR(A577="",F577="",C577&lt;&gt;"Mekân"),0,IF(COUNTIFS($F$8:F577,F577,$C$8:C577,"Mekân")=1,1,0))</f>
        <v/>
      </c>
      <c r="T577" s="52">
        <f>IF(OR(A577="",F577="",C577&lt;&gt;"Kapak"),0,IF(COUNTIFS($F$8:F577,F577,$C$8:C577,"Kapak")=1,1,0))</f>
        <v/>
      </c>
    </row>
    <row r="578">
      <c r="S578" s="52">
        <f>IF(OR(A578="",F578="",C578&lt;&gt;"Mekân"),0,IF(COUNTIFS($F$8:F578,F578,$C$8:C578,"Mekân")=1,1,0))</f>
        <v/>
      </c>
      <c r="T578" s="52">
        <f>IF(OR(A578="",F578="",C578&lt;&gt;"Kapak"),0,IF(COUNTIFS($F$8:F578,F578,$C$8:C578,"Kapak")=1,1,0))</f>
        <v/>
      </c>
    </row>
    <row r="579">
      <c r="S579" s="52">
        <f>IF(OR(A579="",F579="",C579&lt;&gt;"Mekân"),0,IF(COUNTIFS($F$8:F579,F579,$C$8:C579,"Mekân")=1,1,0))</f>
        <v/>
      </c>
      <c r="T579" s="52">
        <f>IF(OR(A579="",F579="",C579&lt;&gt;"Kapak"),0,IF(COUNTIFS($F$8:F579,F579,$C$8:C579,"Kapak")=1,1,0))</f>
        <v/>
      </c>
    </row>
    <row r="580">
      <c r="S580" s="52">
        <f>IF(OR(A580="",F580="",C580&lt;&gt;"Mekân"),0,IF(COUNTIFS($F$8:F580,F580,$C$8:C580,"Mekân")=1,1,0))</f>
        <v/>
      </c>
      <c r="T580" s="52">
        <f>IF(OR(A580="",F580="",C580&lt;&gt;"Kapak"),0,IF(COUNTIFS($F$8:F580,F580,$C$8:C580,"Kapak")=1,1,0))</f>
        <v/>
      </c>
    </row>
    <row r="581">
      <c r="S581" s="52">
        <f>IF(OR(A581="",F581="",C581&lt;&gt;"Mekân"),0,IF(COUNTIFS($F$8:F581,F581,$C$8:C581,"Mekân")=1,1,0))</f>
        <v/>
      </c>
      <c r="T581" s="52">
        <f>IF(OR(A581="",F581="",C581&lt;&gt;"Kapak"),0,IF(COUNTIFS($F$8:F581,F581,$C$8:C581,"Kapak")=1,1,0))</f>
        <v/>
      </c>
    </row>
    <row r="582">
      <c r="S582" s="52">
        <f>IF(OR(A582="",F582="",C582&lt;&gt;"Mekân"),0,IF(COUNTIFS($F$8:F582,F582,$C$8:C582,"Mekân")=1,1,0))</f>
        <v/>
      </c>
      <c r="T582" s="52">
        <f>IF(OR(A582="",F582="",C582&lt;&gt;"Kapak"),0,IF(COUNTIFS($F$8:F582,F582,$C$8:C582,"Kapak")=1,1,0))</f>
        <v/>
      </c>
    </row>
    <row r="583">
      <c r="S583" s="52">
        <f>IF(OR(A583="",F583="",C583&lt;&gt;"Mekân"),0,IF(COUNTIFS($F$8:F583,F583,$C$8:C583,"Mekân")=1,1,0))</f>
        <v/>
      </c>
      <c r="T583" s="52">
        <f>IF(OR(A583="",F583="",C583&lt;&gt;"Kapak"),0,IF(COUNTIFS($F$8:F583,F583,$C$8:C583,"Kapak")=1,1,0))</f>
        <v/>
      </c>
    </row>
    <row r="584">
      <c r="S584" s="52">
        <f>IF(OR(A584="",F584="",C584&lt;&gt;"Mekân"),0,IF(COUNTIFS($F$8:F584,F584,$C$8:C584,"Mekân")=1,1,0))</f>
        <v/>
      </c>
      <c r="T584" s="52">
        <f>IF(OR(A584="",F584="",C584&lt;&gt;"Kapak"),0,IF(COUNTIFS($F$8:F584,F584,$C$8:C584,"Kapak")=1,1,0))</f>
        <v/>
      </c>
    </row>
    <row r="585">
      <c r="S585" s="52">
        <f>IF(OR(A585="",F585="",C585&lt;&gt;"Mekân"),0,IF(COUNTIFS($F$8:F585,F585,$C$8:C585,"Mekân")=1,1,0))</f>
        <v/>
      </c>
      <c r="T585" s="52">
        <f>IF(OR(A585="",F585="",C585&lt;&gt;"Kapak"),0,IF(COUNTIFS($F$8:F585,F585,$C$8:C585,"Kapak")=1,1,0))</f>
        <v/>
      </c>
    </row>
    <row r="586">
      <c r="S586" s="52">
        <f>IF(OR(A586="",F586="",C586&lt;&gt;"Mekân"),0,IF(COUNTIFS($F$8:F586,F586,$C$8:C586,"Mekân")=1,1,0))</f>
        <v/>
      </c>
      <c r="T586" s="52">
        <f>IF(OR(A586="",F586="",C586&lt;&gt;"Kapak"),0,IF(COUNTIFS($F$8:F586,F586,$C$8:C586,"Kapak")=1,1,0))</f>
        <v/>
      </c>
    </row>
    <row r="587">
      <c r="S587" s="52">
        <f>IF(OR(A587="",F587="",C587&lt;&gt;"Mekân"),0,IF(COUNTIFS($F$8:F587,F587,$C$8:C587,"Mekân")=1,1,0))</f>
        <v/>
      </c>
      <c r="T587" s="52">
        <f>IF(OR(A587="",F587="",C587&lt;&gt;"Kapak"),0,IF(COUNTIFS($F$8:F587,F587,$C$8:C587,"Kapak")=1,1,0))</f>
        <v/>
      </c>
    </row>
    <row r="588">
      <c r="S588" s="52">
        <f>IF(OR(A588="",F588="",C588&lt;&gt;"Mekân"),0,IF(COUNTIFS($F$8:F588,F588,$C$8:C588,"Mekân")=1,1,0))</f>
        <v/>
      </c>
      <c r="T588" s="52">
        <f>IF(OR(A588="",F588="",C588&lt;&gt;"Kapak"),0,IF(COUNTIFS($F$8:F588,F588,$C$8:C588,"Kapak")=1,1,0))</f>
        <v/>
      </c>
    </row>
    <row r="589">
      <c r="S589" s="52">
        <f>IF(OR(A589="",F589="",C589&lt;&gt;"Mekân"),0,IF(COUNTIFS($F$8:F589,F589,$C$8:C589,"Mekân")=1,1,0))</f>
        <v/>
      </c>
      <c r="T589" s="52">
        <f>IF(OR(A589="",F589="",C589&lt;&gt;"Kapak"),0,IF(COUNTIFS($F$8:F589,F589,$C$8:C589,"Kapak")=1,1,0))</f>
        <v/>
      </c>
    </row>
    <row r="590">
      <c r="S590" s="52">
        <f>IF(OR(A590="",F590="",C590&lt;&gt;"Mekân"),0,IF(COUNTIFS($F$8:F590,F590,$C$8:C590,"Mekân")=1,1,0))</f>
        <v/>
      </c>
      <c r="T590" s="52">
        <f>IF(OR(A590="",F590="",C590&lt;&gt;"Kapak"),0,IF(COUNTIFS($F$8:F590,F590,$C$8:C590,"Kapak")=1,1,0))</f>
        <v/>
      </c>
    </row>
    <row r="591">
      <c r="S591" s="52">
        <f>IF(OR(A591="",F591="",C591&lt;&gt;"Mekân"),0,IF(COUNTIFS($F$8:F591,F591,$C$8:C591,"Mekân")=1,1,0))</f>
        <v/>
      </c>
      <c r="T591" s="52">
        <f>IF(OR(A591="",F591="",C591&lt;&gt;"Kapak"),0,IF(COUNTIFS($F$8:F591,F591,$C$8:C591,"Kapak")=1,1,0))</f>
        <v/>
      </c>
    </row>
    <row r="592">
      <c r="S592" s="52">
        <f>IF(OR(A592="",F592="",C592&lt;&gt;"Mekân"),0,IF(COUNTIFS($F$8:F592,F592,$C$8:C592,"Mekân")=1,1,0))</f>
        <v/>
      </c>
      <c r="T592" s="52">
        <f>IF(OR(A592="",F592="",C592&lt;&gt;"Kapak"),0,IF(COUNTIFS($F$8:F592,F592,$C$8:C592,"Kapak")=1,1,0))</f>
        <v/>
      </c>
    </row>
    <row r="593">
      <c r="S593" s="52">
        <f>IF(OR(A593="",F593="",C593&lt;&gt;"Mekân"),0,IF(COUNTIFS($F$8:F593,F593,$C$8:C593,"Mekân")=1,1,0))</f>
        <v/>
      </c>
      <c r="T593" s="52">
        <f>IF(OR(A593="",F593="",C593&lt;&gt;"Kapak"),0,IF(COUNTIFS($F$8:F593,F593,$C$8:C593,"Kapak")=1,1,0))</f>
        <v/>
      </c>
    </row>
    <row r="594">
      <c r="S594" s="52">
        <f>IF(OR(A594="",F594="",C594&lt;&gt;"Mekân"),0,IF(COUNTIFS($F$8:F594,F594,$C$8:C594,"Mekân")=1,1,0))</f>
        <v/>
      </c>
      <c r="T594" s="52">
        <f>IF(OR(A594="",F594="",C594&lt;&gt;"Kapak"),0,IF(COUNTIFS($F$8:F594,F594,$C$8:C594,"Kapak")=1,1,0))</f>
        <v/>
      </c>
    </row>
    <row r="595">
      <c r="S595" s="52">
        <f>IF(OR(A595="",F595="",C595&lt;&gt;"Mekân"),0,IF(COUNTIFS($F$8:F595,F595,$C$8:C595,"Mekân")=1,1,0))</f>
        <v/>
      </c>
      <c r="T595" s="52">
        <f>IF(OR(A595="",F595="",C595&lt;&gt;"Kapak"),0,IF(COUNTIFS($F$8:F595,F595,$C$8:C595,"Kapak")=1,1,0))</f>
        <v/>
      </c>
    </row>
    <row r="596">
      <c r="S596" s="52">
        <f>IF(OR(A596="",F596="",C596&lt;&gt;"Mekân"),0,IF(COUNTIFS($F$8:F596,F596,$C$8:C596,"Mekân")=1,1,0))</f>
        <v/>
      </c>
      <c r="T596" s="52">
        <f>IF(OR(A596="",F596="",C596&lt;&gt;"Kapak"),0,IF(COUNTIFS($F$8:F596,F596,$C$8:C596,"Kapak")=1,1,0))</f>
        <v/>
      </c>
    </row>
    <row r="597">
      <c r="S597" s="52">
        <f>IF(OR(A597="",F597="",C597&lt;&gt;"Mekân"),0,IF(COUNTIFS($F$8:F597,F597,$C$8:C597,"Mekân")=1,1,0))</f>
        <v/>
      </c>
      <c r="T597" s="52">
        <f>IF(OR(A597="",F597="",C597&lt;&gt;"Kapak"),0,IF(COUNTIFS($F$8:F597,F597,$C$8:C597,"Kapak")=1,1,0))</f>
        <v/>
      </c>
    </row>
    <row r="598">
      <c r="S598" s="52">
        <f>IF(OR(A598="",F598="",C598&lt;&gt;"Mekân"),0,IF(COUNTIFS($F$8:F598,F598,$C$8:C598,"Mekân")=1,1,0))</f>
        <v/>
      </c>
      <c r="T598" s="52">
        <f>IF(OR(A598="",F598="",C598&lt;&gt;"Kapak"),0,IF(COUNTIFS($F$8:F598,F598,$C$8:C598,"Kapak")=1,1,0))</f>
        <v/>
      </c>
    </row>
    <row r="599">
      <c r="S599" s="52">
        <f>IF(OR(A599="",F599="",C599&lt;&gt;"Mekân"),0,IF(COUNTIFS($F$8:F599,F599,$C$8:C599,"Mekân")=1,1,0))</f>
        <v/>
      </c>
      <c r="T599" s="52">
        <f>IF(OR(A599="",F599="",C599&lt;&gt;"Kapak"),0,IF(COUNTIFS($F$8:F599,F599,$C$8:C599,"Kapak")=1,1,0))</f>
        <v/>
      </c>
    </row>
    <row r="600">
      <c r="S600" s="52">
        <f>IF(OR(A600="",F600="",C600&lt;&gt;"Mekân"),0,IF(COUNTIFS($F$8:F600,F600,$C$8:C600,"Mekân")=1,1,0))</f>
        <v/>
      </c>
      <c r="T600" s="52">
        <f>IF(OR(A600="",F600="",C600&lt;&gt;"Kapak"),0,IF(COUNTIFS($F$8:F600,F600,$C$8:C600,"Kapak")=1,1,0))</f>
        <v/>
      </c>
    </row>
    <row r="601">
      <c r="S601" s="52">
        <f>IF(OR(A601="",F601="",C601&lt;&gt;"Mekân"),0,IF(COUNTIFS($F$8:F601,F601,$C$8:C601,"Mekân")=1,1,0))</f>
        <v/>
      </c>
      <c r="T601" s="52">
        <f>IF(OR(A601="",F601="",C601&lt;&gt;"Kapak"),0,IF(COUNTIFS($F$8:F601,F601,$C$8:C601,"Kapak")=1,1,0))</f>
        <v/>
      </c>
    </row>
    <row r="602">
      <c r="S602" s="52">
        <f>IF(OR(A602="",F602="",C602&lt;&gt;"Mekân"),0,IF(COUNTIFS($F$8:F602,F602,$C$8:C602,"Mekân")=1,1,0))</f>
        <v/>
      </c>
      <c r="T602" s="52">
        <f>IF(OR(A602="",F602="",C602&lt;&gt;"Kapak"),0,IF(COUNTIFS($F$8:F602,F602,$C$8:C602,"Kapak")=1,1,0))</f>
        <v/>
      </c>
    </row>
    <row r="603">
      <c r="S603" s="52">
        <f>IF(OR(A603="",F603="",C603&lt;&gt;"Mekân"),0,IF(COUNTIFS($F$8:F603,F603,$C$8:C603,"Mekân")=1,1,0))</f>
        <v/>
      </c>
      <c r="T603" s="52">
        <f>IF(OR(A603="",F603="",C603&lt;&gt;"Kapak"),0,IF(COUNTIFS($F$8:F603,F603,$C$8:C603,"Kapak")=1,1,0))</f>
        <v/>
      </c>
    </row>
    <row r="604">
      <c r="S604" s="52">
        <f>IF(OR(A604="",F604="",C604&lt;&gt;"Mekân"),0,IF(COUNTIFS($F$8:F604,F604,$C$8:C604,"Mekân")=1,1,0))</f>
        <v/>
      </c>
      <c r="T604" s="52">
        <f>IF(OR(A604="",F604="",C604&lt;&gt;"Kapak"),0,IF(COUNTIFS($F$8:F604,F604,$C$8:C604,"Kapak")=1,1,0))</f>
        <v/>
      </c>
    </row>
    <row r="605">
      <c r="S605" s="52">
        <f>IF(OR(A605="",F605="",C605&lt;&gt;"Mekân"),0,IF(COUNTIFS($F$8:F605,F605,$C$8:C605,"Mekân")=1,1,0))</f>
        <v/>
      </c>
      <c r="T605" s="52">
        <f>IF(OR(A605="",F605="",C605&lt;&gt;"Kapak"),0,IF(COUNTIFS($F$8:F605,F605,$C$8:C605,"Kapak")=1,1,0))</f>
        <v/>
      </c>
    </row>
    <row r="606">
      <c r="S606" s="52">
        <f>IF(OR(A606="",F606="",C606&lt;&gt;"Mekân"),0,IF(COUNTIFS($F$8:F606,F606,$C$8:C606,"Mekân")=1,1,0))</f>
        <v/>
      </c>
      <c r="T606" s="52">
        <f>IF(OR(A606="",F606="",C606&lt;&gt;"Kapak"),0,IF(COUNTIFS($F$8:F606,F606,$C$8:C606,"Kapak")=1,1,0))</f>
        <v/>
      </c>
    </row>
    <row r="607">
      <c r="S607" s="52">
        <f>IF(OR(A607="",F607="",C607&lt;&gt;"Mekân"),0,IF(COUNTIFS($F$8:F607,F607,$C$8:C607,"Mekân")=1,1,0))</f>
        <v/>
      </c>
      <c r="T607" s="52">
        <f>IF(OR(A607="",F607="",C607&lt;&gt;"Kapak"),0,IF(COUNTIFS($F$8:F607,F607,$C$8:C607,"Kapak")=1,1,0))</f>
        <v/>
      </c>
    </row>
  </sheetData>
  <mergeCells count="1">
    <mergeCell ref="A3:H3"/>
  </mergeCells>
  <conditionalFormatting sqref="A8:A357">
    <cfRule type="expression" priority="1" dxfId="1">
      <formula>AND($A8&lt;&gt;"",ISBLANK(A8))</formula>
    </cfRule>
  </conditionalFormatting>
  <conditionalFormatting sqref="B8:B357">
    <cfRule type="expression" priority="2" dxfId="1">
      <formula>AND($A8&lt;&gt;"",ISBLANK(B8))</formula>
    </cfRule>
  </conditionalFormatting>
  <conditionalFormatting sqref="C8:C357">
    <cfRule type="expression" priority="3" dxfId="1">
      <formula>AND($A8&lt;&gt;"",ISBLANK(C8))</formula>
    </cfRule>
  </conditionalFormatting>
  <conditionalFormatting sqref="E8:E357">
    <cfRule type="expression" priority="4" dxfId="1">
      <formula>AND($A8&lt;&gt;"",ISBLANK(E8))</formula>
    </cfRule>
  </conditionalFormatting>
  <conditionalFormatting sqref="F8:F357">
    <cfRule type="expression" priority="5" dxfId="1">
      <formula>AND($A8&lt;&gt;"",ISBLANK(F8))</formula>
    </cfRule>
  </conditionalFormatting>
  <conditionalFormatting sqref="G8:G357">
    <cfRule type="expression" priority="6" dxfId="1">
      <formula>AND($A8&lt;&gt;"",ISBLANK(G8))</formula>
    </cfRule>
  </conditionalFormatting>
  <conditionalFormatting sqref="H8:H357">
    <cfRule type="expression" priority="7" dxfId="1">
      <formula>AND($A8&lt;&gt;"",ISBLANK(H8))</formula>
    </cfRule>
  </conditionalFormatting>
  <conditionalFormatting sqref="I8:I357">
    <cfRule type="expression" priority="8" dxfId="1">
      <formula>AND($A8&lt;&gt;"",ISBLANK(I8))</formula>
    </cfRule>
  </conditionalFormatting>
  <conditionalFormatting sqref="J8:J357">
    <cfRule type="expression" priority="9" dxfId="1">
      <formula>AND($A8&lt;&gt;"",ISBLANK(J8))</formula>
    </cfRule>
  </conditionalFormatting>
  <conditionalFormatting sqref="K8:K357">
    <cfRule type="expression" priority="10" dxfId="1">
      <formula>AND($A8&lt;&gt;"",ISBLANK(K8))</formula>
    </cfRule>
  </conditionalFormatting>
  <conditionalFormatting sqref="M8:M357">
    <cfRule type="expression" priority="11" dxfId="1">
      <formula>AND($A8&lt;&gt;"",ISBLANK(M8))</formula>
    </cfRule>
  </conditionalFormatting>
  <conditionalFormatting sqref="N8:N357">
    <cfRule type="expression" priority="12" dxfId="1">
      <formula>AND($A8&lt;&gt;"",ISBLANK(N8))</formula>
    </cfRule>
  </conditionalFormatting>
  <conditionalFormatting sqref="O8:O357">
    <cfRule type="expression" priority="13" dxfId="1">
      <formula>AND($A8&lt;&gt;"",ISBLANK(O8))</formula>
    </cfRule>
  </conditionalFormatting>
  <conditionalFormatting sqref="P8:P357">
    <cfRule type="expression" priority="14" dxfId="1">
      <formula>AND($A8&lt;&gt;"",ISBLANK(P8))</formula>
    </cfRule>
  </conditionalFormatting>
  <conditionalFormatting sqref="Q8:Q357">
    <cfRule type="expression" priority="15" dxfId="1">
      <formula>AND($A8&lt;&gt;"",ISBLANK(Q8))</formula>
    </cfRule>
  </conditionalFormatting>
  <conditionalFormatting sqref="R8:R357">
    <cfRule type="expression" priority="16" dxfId="1">
      <formula>AND($A8&lt;&gt;"",ISBLANK(R8))</formula>
    </cfRule>
  </conditionalFormatting>
  <dataValidations count="3">
    <dataValidation sqref="C8:C357" showDropDown="0" showInputMessage="0" showErrorMessage="0" allowBlank="0" type="list">
      <formula1>"Mekân,Kapak"</formula1>
    </dataValidation>
    <dataValidation sqref="P8:P357" showDropDown="0" showInputMessage="0" showErrorMessage="0" allowBlank="0" type="list">
      <formula1>"Evet,Hayır"</formula1>
    </dataValidation>
    <dataValidation sqref="R8:R357"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W35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48" customWidth="1" min="4" max="4"/>
    <col width="28" customWidth="1" min="5" max="5"/>
    <col width="28" customWidth="1" min="6" max="6"/>
    <col width="28" customWidth="1" min="7" max="7"/>
    <col width="48" customWidth="1" min="8" max="8"/>
    <col width="58" customWidth="1" min="9" max="9"/>
    <col width="28" customWidth="1" min="10" max="10"/>
    <col width="28" customWidth="1" min="11" max="11"/>
    <col width="20" customWidth="1" min="12" max="12"/>
    <col width="28" customWidth="1" min="13" max="13"/>
    <col width="28" customWidth="1" min="14" max="14"/>
    <col width="28" customWidth="1" min="15" max="15"/>
    <col width="58" customWidth="1" min="16" max="16"/>
    <col width="28" customWidth="1" min="17" max="17"/>
    <col width="58" customWidth="1" min="18" max="18"/>
    <col width="28" customWidth="1" min="19" max="19"/>
    <col width="28" customWidth="1" min="20" max="20"/>
    <col width="28" customWidth="1" min="21" max="21"/>
    <col width="28" customWidth="1" min="22" max="22"/>
    <col width="48" customWidth="1" min="23" max="23"/>
  </cols>
  <sheetData>
    <row r="1" ht="30" customHeight="1">
      <c r="A1" s="2" t="n"/>
      <c r="B1" s="2" t="n"/>
      <c r="C1" s="2" t="n"/>
      <c r="D1" s="2" t="n"/>
      <c r="E1" s="2" t="n"/>
      <c r="F1" s="2" t="n"/>
      <c r="G1" s="2" t="n"/>
      <c r="H1" s="2" t="n"/>
      <c r="I1" s="2" t="n"/>
      <c r="J1" s="2" t="n"/>
      <c r="K1" s="2" t="n"/>
      <c r="L1" s="2" t="n"/>
      <c r="M1" s="2" t="n"/>
      <c r="N1" s="2" t="n"/>
      <c r="O1" s="2" t="n"/>
      <c r="P1" s="2" t="n"/>
      <c r="Q1" s="2" t="n"/>
      <c r="R1" s="2" t="n"/>
      <c r="S1" s="2" t="n"/>
      <c r="T1" s="2" t="n"/>
      <c r="U1" s="2" t="n"/>
      <c r="V1" s="2" t="n"/>
      <c r="W1" s="2" t="n"/>
    </row>
    <row r="2" ht="30" customHeight="1">
      <c r="A2" s="19" t="inlineStr">
        <is>
          <t>Corteqs · Fotoğraf kaynak ve hak kanıtı</t>
        </is>
      </c>
      <c r="B2" s="2" t="n"/>
      <c r="C2" s="2" t="n"/>
      <c r="D2" s="2" t="n"/>
      <c r="E2" s="2" t="n"/>
      <c r="F2" s="2" t="n"/>
      <c r="G2" s="2" t="n"/>
      <c r="H2" s="2" t="n"/>
      <c r="I2" s="2" t="n"/>
      <c r="J2" s="2" t="n"/>
      <c r="K2" s="2" t="n"/>
      <c r="L2" s="2" t="n"/>
      <c r="M2" s="2" t="n"/>
      <c r="N2" s="2" t="n"/>
      <c r="O2" s="2" t="n"/>
      <c r="P2" s="2" t="n"/>
      <c r="Q2" s="2" t="n"/>
      <c r="R2" s="2" t="n"/>
      <c r="S2" s="2" t="n"/>
      <c r="T2" s="2" t="n"/>
      <c r="U2" s="2" t="n"/>
      <c r="V2" s="2" t="n"/>
      <c r="W2" s="2" t="n"/>
    </row>
    <row r="3" ht="36" customHeight="1">
      <c r="A3" s="20" t="inlineStr">
        <is>
          <t>Türkçe başlığı okuyun; veriyi 8. satırdan yazın. 7. satırdaki alan adını ve sayfa adını değiştirmeyin.</t>
        </is>
      </c>
      <c r="I3" s="2" t="n"/>
      <c r="J3" s="2" t="n"/>
      <c r="K3" s="2" t="n"/>
      <c r="L3" s="2" t="n"/>
      <c r="M3" s="2" t="n"/>
      <c r="N3" s="2" t="n"/>
      <c r="O3" s="2" t="n"/>
      <c r="P3" s="2" t="n"/>
      <c r="Q3" s="2" t="n"/>
      <c r="R3" s="2" t="n"/>
      <c r="S3" s="2" t="n"/>
      <c r="T3" s="2" t="n"/>
      <c r="U3" s="2" t="n"/>
      <c r="V3" s="2" t="n"/>
      <c r="W3" s="2" t="n"/>
    </row>
    <row r="4" ht="30" customHeight="1">
      <c r="A4" s="21" t="n"/>
      <c r="B4" s="21" t="n"/>
      <c r="C4" s="21" t="n"/>
      <c r="D4" s="21" t="n"/>
      <c r="E4" s="21" t="n"/>
      <c r="F4" s="21" t="n"/>
      <c r="G4" s="21" t="n"/>
      <c r="H4" s="21" t="n"/>
      <c r="I4" s="21" t="n"/>
      <c r="J4" s="21" t="n"/>
      <c r="K4" s="21" t="n"/>
      <c r="L4" s="21" t="n"/>
      <c r="M4" s="21" t="n"/>
      <c r="N4" s="21" t="n"/>
      <c r="O4" s="21" t="n"/>
      <c r="P4" s="21" t="n"/>
      <c r="Q4" s="21" t="n"/>
      <c r="R4" s="21" t="n"/>
      <c r="S4" s="21" t="n"/>
      <c r="T4" s="21" t="n"/>
      <c r="U4" s="21" t="n"/>
      <c r="V4" s="21" t="n"/>
      <c r="W4" s="21" t="n"/>
    </row>
    <row r="5" ht="26" customHeight="1">
      <c r="A5" s="22" t="inlineStr">
        <is>
          <t>Zorunlu</t>
        </is>
      </c>
      <c r="B5" s="22" t="inlineStr">
        <is>
          <t>Zorunlu</t>
        </is>
      </c>
      <c r="C5" s="22" t="inlineStr">
        <is>
          <t>Zorunlu</t>
        </is>
      </c>
      <c r="D5" s="22" t="inlineStr">
        <is>
          <t>Zorunlu</t>
        </is>
      </c>
      <c r="E5" s="22" t="inlineStr">
        <is>
          <t>Zorunlu</t>
        </is>
      </c>
      <c r="F5" s="22" t="inlineStr">
        <is>
          <t>Zorunlu</t>
        </is>
      </c>
      <c r="G5" s="22" t="inlineStr">
        <is>
          <t>Zorunlu</t>
        </is>
      </c>
      <c r="H5" s="22" t="inlineStr">
        <is>
          <t>Zorunlu</t>
        </is>
      </c>
      <c r="I5" s="22" t="inlineStr">
        <is>
          <t>Zorunlu</t>
        </is>
      </c>
      <c r="J5" s="22" t="inlineStr">
        <is>
          <t>İsteğe bağlı</t>
        </is>
      </c>
      <c r="K5" s="22" t="inlineStr">
        <is>
          <t>İsteğe bağlı</t>
        </is>
      </c>
      <c r="L5" s="22" t="inlineStr">
        <is>
          <t>Zorunlu · tarih</t>
        </is>
      </c>
      <c r="M5" s="22" t="inlineStr">
        <is>
          <t>Zorunlu</t>
        </is>
      </c>
      <c r="N5" s="22" t="inlineStr">
        <is>
          <t>Zorunlu</t>
        </is>
      </c>
      <c r="O5" s="22" t="inlineStr">
        <is>
          <t>İsteğe bağlı</t>
        </is>
      </c>
      <c r="P5" s="22" t="inlineStr">
        <is>
          <t>İsteğe bağlı</t>
        </is>
      </c>
      <c r="Q5" s="22" t="inlineStr">
        <is>
          <t>Zorunlu</t>
        </is>
      </c>
      <c r="R5" s="22" t="inlineStr">
        <is>
          <t>İsteğe bağlı</t>
        </is>
      </c>
      <c r="S5" s="22" t="inlineStr">
        <is>
          <t>İsteğe bağlı</t>
        </is>
      </c>
      <c r="T5" s="22" t="inlineStr">
        <is>
          <t>İsteğe bağlı</t>
        </is>
      </c>
      <c r="U5" s="22" t="inlineStr">
        <is>
          <t>İsteğe bağlı</t>
        </is>
      </c>
      <c r="V5" s="22" t="inlineStr">
        <is>
          <t>İsteğe bağlı</t>
        </is>
      </c>
      <c r="W5" s="22" t="inlineStr">
        <is>
          <t>İsteğe bağlı · JSON</t>
        </is>
      </c>
    </row>
    <row r="6" ht="44" customHeight="1">
      <c r="A6" s="25" t="inlineStr">
        <is>
          <t>Kanıt kimliği</t>
        </is>
      </c>
      <c r="B6" s="25" t="inlineStr">
        <is>
          <t>Şehir kimliği</t>
        </is>
      </c>
      <c r="C6" s="25" t="inlineStr">
        <is>
          <t>Fotoğraf kimliği</t>
        </is>
      </c>
      <c r="D6" s="25" t="inlineStr">
        <is>
          <t>Kaynak sayfası</t>
        </is>
      </c>
      <c r="E6" s="25" t="inlineStr">
        <is>
          <t>Kaynak görsel başlığı</t>
        </is>
      </c>
      <c r="F6" s="25" t="inlineStr">
        <is>
          <t>Kaynak fotoğrafçısı</t>
        </is>
      </c>
      <c r="G6" s="25" t="inlineStr">
        <is>
          <t>Kaynak lisansı</t>
        </is>
      </c>
      <c r="H6" s="25" t="inlineStr">
        <is>
          <t>Kaynak lisans bağlantısı</t>
        </is>
      </c>
      <c r="I6" s="25" t="inlineStr">
        <is>
          <t>Kullanım koşulları</t>
        </is>
      </c>
      <c r="J6" s="25" t="inlineStr">
        <is>
          <t>Gerekli atıf metni</t>
        </is>
      </c>
      <c r="K6" s="25" t="inlineStr">
        <is>
          <t>Kısıt / üçüncü kişi hakkı</t>
        </is>
      </c>
      <c r="L6" s="25" t="inlineStr">
        <is>
          <t>Kanıt kontrol tarihi</t>
        </is>
      </c>
      <c r="M6" s="25" t="inlineStr">
        <is>
          <t>Kaynak bilgisi incelemesi</t>
        </is>
      </c>
      <c r="N6" s="25" t="inlineStr">
        <is>
          <t>Kare / mekân incelemesi</t>
        </is>
      </c>
      <c r="O6" s="25" t="inlineStr">
        <is>
          <t>İncelenen görsel dosyası</t>
        </is>
      </c>
      <c r="P6" s="25" t="inlineStr">
        <is>
          <t>Mekân eşleşmesi ve kare notu</t>
        </is>
      </c>
      <c r="Q6" s="25" t="inlineStr">
        <is>
          <t>Üçüncü kişi hak incelemesi</t>
        </is>
      </c>
      <c r="R6" s="25" t="inlineStr">
        <is>
          <t>Hak değerlendirmesi gerekçesi</t>
        </is>
      </c>
      <c r="S6" s="25" t="inlineStr">
        <is>
          <t>Kaynak sayfası kanıt dosyası</t>
        </is>
      </c>
      <c r="T6" s="25" t="inlineStr">
        <is>
          <t>Kaynak kanıt SHA-256</t>
        </is>
      </c>
      <c r="U6" s="25" t="inlineStr">
        <is>
          <t>Lisans kanıt dosyası</t>
        </is>
      </c>
      <c r="V6" s="25" t="inlineStr">
        <is>
          <t>Lisans kanıt SHA-256</t>
        </is>
      </c>
      <c r="W6" s="25" t="inlineStr">
        <is>
          <t>Tam özgün kanıt yapısı (JSON)</t>
        </is>
      </c>
    </row>
    <row r="7" ht="32" customHeight="1">
      <c r="A7" s="28" t="inlineStr">
        <is>
          <t>evidence_id</t>
        </is>
      </c>
      <c r="B7" s="28" t="inlineStr">
        <is>
          <t>city_id</t>
        </is>
      </c>
      <c r="C7" s="28" t="inlineStr">
        <is>
          <t>photo_id</t>
        </is>
      </c>
      <c r="D7" s="28" t="inlineStr">
        <is>
          <t>source_url</t>
        </is>
      </c>
      <c r="E7" s="28" t="inlineStr">
        <is>
          <t>source_title</t>
        </is>
      </c>
      <c r="F7" s="28" t="inlineStr">
        <is>
          <t>author</t>
        </is>
      </c>
      <c r="G7" s="28" t="inlineStr">
        <is>
          <t>license</t>
        </is>
      </c>
      <c r="H7" s="28" t="inlineStr">
        <is>
          <t>license_url</t>
        </is>
      </c>
      <c r="I7" s="28" t="inlineStr">
        <is>
          <t>usage_terms</t>
        </is>
      </c>
      <c r="J7" s="28" t="inlineStr">
        <is>
          <t>attribution</t>
        </is>
      </c>
      <c r="K7" s="28" t="inlineStr">
        <is>
          <t>restrictions</t>
        </is>
      </c>
      <c r="L7" s="28" t="inlineStr">
        <is>
          <t>checked_on</t>
        </is>
      </c>
      <c r="M7" s="28" t="inlineStr">
        <is>
          <t>metadata_review_status</t>
        </is>
      </c>
      <c r="N7" s="28" t="inlineStr">
        <is>
          <t>pixel_review_status</t>
        </is>
      </c>
      <c r="O7" s="28" t="inlineStr">
        <is>
          <t>pixel_review_file</t>
        </is>
      </c>
      <c r="P7" s="28" t="inlineStr">
        <is>
          <t>pixel_review_note</t>
        </is>
      </c>
      <c r="Q7" s="28" t="inlineStr">
        <is>
          <t>rights_status</t>
        </is>
      </c>
      <c r="R7" s="28" t="inlineStr">
        <is>
          <t>rights_basis</t>
        </is>
      </c>
      <c r="S7" s="28" t="inlineStr">
        <is>
          <t>source_snapshot_file</t>
        </is>
      </c>
      <c r="T7" s="28" t="inlineStr">
        <is>
          <t>source_snapshot_sha256</t>
        </is>
      </c>
      <c r="U7" s="28" t="inlineStr">
        <is>
          <t>license_snapshot_file</t>
        </is>
      </c>
      <c r="V7" s="28" t="inlineStr">
        <is>
          <t>license_snapshot_sha256</t>
        </is>
      </c>
      <c r="W7" s="28" t="inlineStr">
        <is>
          <t>source_evidence_json</t>
        </is>
      </c>
    </row>
    <row r="8" ht="54" customHeight="1">
      <c r="A8" s="29" t="inlineStr">
        <is>
          <t>sevilla:evidence:real-alcazar-de-sevilla-01</t>
        </is>
      </c>
      <c r="B8" s="29" t="inlineStr">
        <is>
          <t>sevilla</t>
        </is>
      </c>
      <c r="C8" s="29" t="inlineStr">
        <is>
          <t>sevilla:photo:real-alcazar-de-sevilla-01</t>
        </is>
      </c>
      <c r="D8" s="29" t="inlineStr">
        <is>
          <t>https://commons.wikimedia.org/wiki/File:%22Der_Palast_ist_eines_der_am_besten_erhaltenen_Beispiele_f%C3%BCr_die_Mude%C2%B4jar-Architektur._06.jpg</t>
        </is>
      </c>
      <c r="E8" s="29" t="inlineStr">
        <is>
          <t>File:"Der Palast ist eines der am besten erhaltenen Beispiele für die Mude´jar-Architektur. 06.jpg</t>
        </is>
      </c>
      <c r="F8" s="29" t="inlineStr">
        <is>
          <t>Holger Uwe Schmitt</t>
        </is>
      </c>
      <c r="G8" s="29" t="inlineStr">
        <is>
          <t>CC BY-SA 4.0</t>
        </is>
      </c>
      <c r="H8" s="29" t="inlineStr">
        <is>
          <t>https://creativecommons.org/licenses/by-sa/4.0/</t>
        </is>
      </c>
      <c r="I8" s="29" t="inlineStr">
        <is>
          <t>Creative Commons Attribution-Share Alike 4.0</t>
        </is>
      </c>
      <c r="J8" s="29" t="inlineStr">
        <is>
          <t>Holger Uwe Schmitt · CC BY-SA 4.0 · Wikimedia Commons</t>
        </is>
      </c>
      <c r="K8" s="29" t="n"/>
      <c r="L8" s="49" t="n">
        <v>46320</v>
      </c>
      <c r="M8" s="29" t="inlineStr">
        <is>
          <t>Bekliyor</t>
        </is>
      </c>
      <c r="N8" s="29" t="inlineStr">
        <is>
          <t>Bekliyor</t>
        </is>
      </c>
      <c r="O8" s="29" t="inlineStr">
        <is>
          <t>Fotoğraflar/sevilla_real-alcazar-de-sevilla_01.jpg</t>
        </is>
      </c>
      <c r="P8" s="29" t="inlineStr">
        <is>
          <t>Ağaçların arasından Alcázar'ın mazgallı surları; arkada Giralda kulesi yükseliyor.</t>
        </is>
      </c>
      <c r="Q8" s="29" t="inlineStr">
        <is>
          <t>Bekliyor</t>
        </is>
      </c>
      <c r="R8" s="29" t="inlineStr">
        <is>
          <t>Wikimedia Commons dosya sayfasındaki lisans: CC BY-SA 4.0</t>
        </is>
      </c>
      <c r="S8" s="29" t="inlineStr">
        <is>
          <t>Lisans kanıtları/real-alcazar-de-sevilla-01.source-evidence.json</t>
        </is>
      </c>
      <c r="T8" s="29" t="inlineStr">
        <is>
          <t>f6b90df2319ad3a712a6f335458efdeb0f7027cffb9a5920e8447d7c0e1d9694</t>
        </is>
      </c>
      <c r="U8" s="29" t="inlineStr">
        <is>
          <t>Lisans kanıtları/real-alcazar-de-sevilla-01.license-evidence.json</t>
        </is>
      </c>
      <c r="V8" s="29" t="inlineStr">
        <is>
          <t>599eeb382e87ac2f6409c48e8ccb915244071d3892b613f808904c1622606ee2</t>
        </is>
      </c>
      <c r="W8" s="29" t="inlineStr">
        <is>
          <t>{"source_url": "https://commons.wikimedia.org/wiki/File:%22Der_Palast_ist_eines_der_am_besten_erhaltenen_Beispiele_f%C3%BCr_die_Mude%C2%B4jar-Architektur._06.jpg", "author": "Holger Uwe Schmitt", "license": "CC BY-SA 4.0", "license_url": "https://creativecommons.org/licenses/by-sa/4.0/", "original_api_record": {"size": 5327650, "width": 4359, "height": 7060, "thumburl": "https://thumb.wikimedia.org/wikipedia/commons/thumb/4/45/%22Der_Palast_ist_eines_der_am_besten_erhaltenen_Beispiele_f%C3%BCr_die_Mude%C2%B4jar-Architektur._06.jpg/1280px-%22Der_Palast_ist_eines_der_am_besten_erhaltenen_Beispiele_f%C3%BCr_die_Mude%C2%B4jar-Architektur._06.jpg", "thumbwidth": 1280, "thumbheight": 2073, "responsiveUrls": {"2": "https://thumb.wikimedia.org/wikipedia/commons/thumb/4/45/%22Der_Palast_ist_eines_der_am_besten_erhaltenen_Beispiele_f%C3%BCr_die_Mude%C2%B4jar-Architektur._06.jpg/3840px-%22Der_Palast_ist_eines_der_am_besten_erhaltenen_Beispiele_f%C3%BCr_die_Mude%C2%B4jar-Architektur._06.jpg"}, "thumbattribs": {"src": "https://thumb.wikimedia.org/wikipedia/commons/thumb/4/45/%22Der_Palast_ist_eines_der_am_besten_erhaltenen_Beispiele_f%C3%BCr_die_Mude%C2%B4jar-Architektur._06.jpg/1280px-%22Der_Palast_ist_eines_der_am_besten_erhaltenen_Beispiele_f%C3%BCr_die_Mude%C2%B4jar-Architektur._06.jpg", "decoding": "async", "loading": "lazy", "width": 1280, "height": 2073, "srcset": "https://thumb.wikimedia.org/wikipedia/commons/thumb/4/45/%22Der_Palast_ist_eines_der_am_besten_erhaltenen_Beispiele_f%C3%BCr_die_Mude%C2%B4jar-Architektur._06.jpg/3840px-%22Der_Palast_ist_eines_der_am_besten_erhaltenen_Beispiele_f%C3%BCr_die_Mude%C2%B4jar-Architektur._06.jpg 2x"}, "url": "https://upload.wikimedia.org/wikipedia/commons/4/45/%22Der_Palast_ist_eines_der_am_besten_erhaltenen_Beispiele_f%C3%BCr_die_Mude%C2%B4jar-Architektur._06.jpg", "descriptionurl": "https://commons.wikimedia.org/wiki/File:%22Der_Palast_ist_eines_der_am_besten_erhaltenen_Beispiele_f%C3%BCr_die_Mude%C2%B4jar-Architektur._06.jpg", "descriptionshorturl": "https://commons.wikimedia.org/w/index.php?curid=155620308", "sha1": "bbb31c6c830514868f9515da957fe5f28715c603", "extmetadata": {"DateTime": {"value": "2024-11-23 13:10:28", "source": "mediawiki-metadata", "hidden": ""}, "ObjectName": {"value": "\"Der Palast ist eines der am besten erhaltenen Beispiele für die Mude´jar-Architektur. 06", "source": "mediawiki-metadata"}, "CommonsMetadataExtension": {"value": 1.2, "source": "extension", "hidden": ""}, "Categories": {"value": "Alcázar of Seville|Self-published work", "source": "commons-categories", "hidden": ""}, "Assessments": {"value": "", "source": "commons-categories", "hidden": ""}, "ImageDescription": {"value": "The Royal Palace of Seville.", "source": "commons-desc-page"}, "DateTimeOriginal": {"value": "2024-10-17 08:40:30", "source": "commons-desc-page"}, "Credit": {"value": "&lt;span class=\"int-own-work\" lang=\"en\"&gt;Own work&lt;/span&gt;", "source": "commons-desc-page"}, "Artist": {"value": "&lt;a href=\"//commons.wikimedia.org/wiki/User:Holger_Uwe_Schmitt\" title=\"User:Holger Uwe Schmitt\"&gt;Holger Uwe Schmitt&lt;/a&gt;",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"https://thumb.wikimedia.org/wikipedia/commons/thumb/4/45/%22Der_Palast_ist_eines_der_am_besten_erhaltenen_Beispiele_f%C3%BCr_die_Mude%C2%B4jar-Architektur._06.jpg/1280px-%22Der_Palast_ist_eines_der_am_besten_erhaltenen_Beispiele_f%C3%BCr_die_Mude%C2%B4jar-Architektur._06.jpg"}, "retrieved_on": "2026-10-25"}</t>
        </is>
      </c>
    </row>
    <row r="9" ht="54" customHeight="1">
      <c r="A9" s="29" t="inlineStr">
        <is>
          <t>sevilla:evidence:real-alcazar-de-sevilla-02</t>
        </is>
      </c>
      <c r="B9" s="29" t="inlineStr">
        <is>
          <t>sevilla</t>
        </is>
      </c>
      <c r="C9" s="29" t="inlineStr">
        <is>
          <t>sevilla:photo:real-alcazar-de-sevilla-02</t>
        </is>
      </c>
      <c r="D9" s="29" t="inlineStr">
        <is>
          <t>https://commons.wikimedia.org/wiki/File:Alc%C3%A1zar_Seville_April_2019-11.jpg</t>
        </is>
      </c>
      <c r="E9" s="29" t="inlineStr">
        <is>
          <t>File:Alcázar Seville April 2019-11.jpg</t>
        </is>
      </c>
      <c r="F9" s="29" t="inlineStr">
        <is>
          <t>Alvesgaspar</t>
        </is>
      </c>
      <c r="G9" s="29" t="inlineStr">
        <is>
          <t>CC BY-SA 4.0</t>
        </is>
      </c>
      <c r="H9" s="29" t="inlineStr">
        <is>
          <t>https://creativecommons.org/licenses/by-sa/4.0/</t>
        </is>
      </c>
      <c r="I9" s="29" t="inlineStr">
        <is>
          <t>Creative Commons Attribution-Share Alike 4.0</t>
        </is>
      </c>
      <c r="J9" s="29" t="inlineStr">
        <is>
          <t>Alvesgaspar · CC BY-SA 4.0 · Wikimedia Commons</t>
        </is>
      </c>
      <c r="K9" s="29" t="n"/>
      <c r="L9" s="49" t="n">
        <v>46320</v>
      </c>
      <c r="M9" s="29" t="inlineStr">
        <is>
          <t>Bekliyor</t>
        </is>
      </c>
      <c r="N9" s="29" t="inlineStr">
        <is>
          <t>Bekliyor</t>
        </is>
      </c>
      <c r="O9" s="29" t="inlineStr">
        <is>
          <t>Fotoğraflar/sevilla_real-alcazar-de-sevilla_02.jpg</t>
        </is>
      </c>
      <c r="P9" s="29" t="inlineStr">
        <is>
          <t>Alcázar'da altın yaldızlı, oymalı kubbe tavan ve çevresindeki çini işlemeli duvarlar.</t>
        </is>
      </c>
      <c r="Q9" s="29" t="inlineStr">
        <is>
          <t>Bekliyor</t>
        </is>
      </c>
      <c r="R9" s="29" t="inlineStr">
        <is>
          <t>Wikimedia Commons dosya sayfasındaki lisans: CC BY-SA 4.0</t>
        </is>
      </c>
      <c r="S9" s="29" t="inlineStr">
        <is>
          <t>Lisans kanıtları/real-alcazar-de-sevilla-02.source-evidence.json</t>
        </is>
      </c>
      <c r="T9" s="29" t="inlineStr">
        <is>
          <t>2dc154ae22c96cd024dc1d2a7b8878b6e411c44183994686733ed843f8884d92</t>
        </is>
      </c>
      <c r="U9" s="29" t="inlineStr">
        <is>
          <t>Lisans kanıtları/real-alcazar-de-sevilla-02.license-evidence.json</t>
        </is>
      </c>
      <c r="V9" s="29" t="inlineStr">
        <is>
          <t>4bb43447d67170a8e95020071d8417708d3b21ca65df6ee587d030b2e4f999ee</t>
        </is>
      </c>
      <c r="W9" s="29" t="inlineStr">
        <is>
          <t>{"source_url": "https://commons.wikimedia.org/wiki/File:Alc%C3%A1zar_Seville_April_2019-11.jpg", "author": "Alvesgaspar", "license": "CC BY-SA 4.0", "license_url": "https://creativecommons.org/licenses/by-sa/4.0/", "original_api_record": {"size": 36388493, "width": 6375, "height": 6375, "thumburl": "https://thumb.wikimedia.org/wikipedia/commons/thumb/1/1b/Alc%C3%A1zar_Seville_April_2019-11.jpg/1280px-Alc%C3%A1zar_Seville_April_2019-11.jpg", "thumbwidth": 1280, "thumbheight": 1280, "responsiveUrls": {"2": "https://thumb.wikimedia.org/wikipedia/commons/thumb/1/1b/Alc%C3%A1zar_Seville_April_2019-11.jpg/3840px-Alc%C3%A1zar_Seville_April_2019-11.jpg"}, "thumbattribs": {"src": "https://thumb.wikimedia.org/wikipedia/commons/thumb/1/1b/Alc%C3%A1zar_Seville_April_2019-11.jpg/1280px-Alc%C3%A1zar_Seville_April_2019-11.jpg", "decoding": "async", "loading": "lazy", "width": 1280, "height": 1280, "srcset": "https://thumb.wikimedia.org/wikipedia/commons/thumb/1/1b/Alc%C3%A1zar_Seville_April_2019-11.jpg/3840px-Alc%C3%A1zar_Seville_April_2019-11.jpg 2x"}, "url": "https://upload.wikimedia.org/wikipedia/commons/1/1b/Alc%C3%A1zar_Seville_April_2019-11.jpg", "descriptionurl": "https://commons.wikimedia.org/wiki/File:Alc%C3%A1zar_Seville_April_2019-11.jpg", "descriptionshorturl": "https://commons.wikimedia.org/w/index.php?curid=78810591", "sha1": "354f22dc4f5e138aa33dc45c0672d3a2b3c71d4a", "extmetadata": {"DateTime": {"value": "2019-05-08 23:29:14", "source": "mediawiki-metadata", "hidden": ""}, "ObjectName": {"value": "Alcázar Seville April 2019-11", "source": "mediawiki-metadata"}, "CommonsMetadataExtension": {"value": 1.2, "source": "extension", "hidden": ""}, "Categories": {"value": "Islamic geometric patterns|Self-published work|Featured pictures on Wikipedia, English|Images with extracted images|Featured pictures by Alvesgaspar|Photographs by Alvesgaspar|Featured pictures on Wikipedia, Persian|Featured pictures on Wikipedia, Spanish|Square images|May 2019 in Seville|Files with coordinates missing SDC location of creation|Buildings in Seville photographed in 2019|Photographs taken on 2019-05-09|Dome of the Hall of Ambassadors, Alcázar of Seville|Featured pictures of ceilings|Symmetry impressions of ceilings|Featured pictures on Wikipedia, Arabic|Pictures of the Year/2019 (finalist)|Featured pictures of Seville", "source": "commons-categories", "hidden": ""}, "Assessments": {"value": "quality|featured|poty", "source": "commons-categories", "hidden": ""}, "GPSLatitude": {"value": "37.385162", "source": "commons-desc-page"}, "GPSLongitude": {"value": "-5.993041", "source": "commons-desc-page"}, "GPSMapDatum": {"value": "WGS-84", "source": "commons-desc-page", "hidden": ""}, "ImageDescription": {"value": "&lt;a href=\"//commons.wikimedia.org/wiki/Category:Hall_of_Ambassadors,_Alc%C3%A1zar_of_Seville\" title=\"Category:Hall of Ambassadors, Alcázar of Seville\"&gt;Salon of Ambassadors&lt;/a&gt;, &lt;a href=\"//commons.wikimedia.org/wiki/Alc%C3%A1zar_de_Sevilla\" title=\"Alcázar de Sevilla\"&gt;Alcázar of Seville&lt;/a&gt; (dome)", "source": "commons-desc-page"}, "DateTimeOriginal": {"value": "2019-05-09 00:19:31", "source": "commons-desc-page"}, "Credit": {"value": "&lt;span class=\"int-own-work\" lang=\"en\"&gt;Own work&lt;/span&gt;", "source": "commons-desc-page"}, "Artist": {"value": "&lt;a href=\"//commons.wikimedia.org/wiki/User:Alvesgaspar\" title=\"User:Alvesgaspar\"&gt;Alvesgaspar&lt;/a&gt;",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"https://thumb.wikimedia.org/wikipedia/commons/thumb/1/1b/Alc%C3%A1zar_Seville_April_2019-11.jpg/1280px-Alc%C3%A1zar_Seville_April_2019-11.jpg"}, "retrieved_on": "2026-10-25"}</t>
        </is>
      </c>
    </row>
    <row r="10" ht="54" customHeight="1">
      <c r="A10" s="29" t="inlineStr">
        <is>
          <t>sevilla:evidence:real-alcazar-de-sevilla-03</t>
        </is>
      </c>
      <c r="B10" s="29" t="inlineStr">
        <is>
          <t>sevilla</t>
        </is>
      </c>
      <c r="C10" s="29" t="inlineStr">
        <is>
          <t>sevilla:photo:real-alcazar-de-sevilla-03</t>
        </is>
      </c>
      <c r="D10" s="29" t="inlineStr">
        <is>
          <t>https://commons.wikimedia.org/wiki/File:Escalier_Castille_Leon_Alcazar_Seville_Spain.jpg</t>
        </is>
      </c>
      <c r="E10" s="29" t="inlineStr">
        <is>
          <t>File:Escalier Castille Leon Alcazar Seville Spain.jpg</t>
        </is>
      </c>
      <c r="F10" s="29" t="inlineStr">
        <is>
          <t>Jebulon</t>
        </is>
      </c>
      <c r="G10" s="29" t="inlineStr">
        <is>
          <t>CC0 1.0</t>
        </is>
      </c>
      <c r="H10" s="29" t="inlineStr">
        <is>
          <t>https://creativecommons.org/publicdomain/zero/1.0/</t>
        </is>
      </c>
      <c r="I10" s="29" t="inlineStr">
        <is>
          <t>Creative Commons Zero, Public Domain Dedication</t>
        </is>
      </c>
      <c r="J10" s="29" t="inlineStr">
        <is>
          <t>Jebulon · CC0 1.0 · Wikimedia Commons</t>
        </is>
      </c>
      <c r="K10" s="29" t="n"/>
      <c r="L10" s="49" t="n">
        <v>46320</v>
      </c>
      <c r="M10" s="29" t="inlineStr">
        <is>
          <t>Bekliyor</t>
        </is>
      </c>
      <c r="N10" s="29" t="inlineStr">
        <is>
          <t>Bekliyor</t>
        </is>
      </c>
      <c r="O10" s="29" t="inlineStr">
        <is>
          <t>Fotoğraflar/sevilla_real-alcazar-de-sevilla_03.jpg</t>
        </is>
      </c>
      <c r="P10" s="29" t="inlineStr">
        <is>
          <t>Alcázar'da her basamağı renkli çinilerle kaplı dar merdiven.</t>
        </is>
      </c>
      <c r="Q10" s="29" t="inlineStr">
        <is>
          <t>Bekliyor</t>
        </is>
      </c>
      <c r="R10" s="29" t="inlineStr">
        <is>
          <t>Wikimedia Commons dosya sayfasındaki lisans: CC0 1.0</t>
        </is>
      </c>
      <c r="S10" s="29" t="inlineStr">
        <is>
          <t>Lisans kanıtları/real-alcazar-de-sevilla-03.source-evidence.json</t>
        </is>
      </c>
      <c r="T10" s="29" t="inlineStr">
        <is>
          <t>becc0e581496aef373b28058d8f671dbedb4af804659d26a8af26f86591781e5</t>
        </is>
      </c>
      <c r="U10" s="29" t="inlineStr">
        <is>
          <t>Lisans kanıtları/real-alcazar-de-sevilla-03.license-evidence.json</t>
        </is>
      </c>
      <c r="V10" s="29" t="inlineStr">
        <is>
          <t>553c8a40ec02ba671c47daa2f91c863b74ae9ea34b751c614f84af7c49646987</t>
        </is>
      </c>
      <c r="W10" s="29" t="inlineStr">
        <is>
          <t>{"source_url": "https://commons.wikimedia.org/wiki/File:Escalier_Castille_Leon_Alcazar_Seville_Spain.jpg", "author": "Jebulon", "license": "CC0 1.0", "license_url": "https://creativecommons.org/publicdomain/zero/1.0/", "original_api_record": {"size": 6031952, "width": 3065, "height": 2040, "thumburl": "https://thumb.wikimedia.org/wikipedia/commons/thumb/0/08/Escalier_Castille_Leon_Alcazar_Seville_Spain.jpg/1280px-Escalier_Castille_Leon_Alcazar_Seville_Spain.jpg", "thumbwidth": 1280, "thumbheight": 852, "responsiveUrls": {"2": "https://upload.wikimedia.org/wikipedia/commons/0/08/Escalier_Castille_Leon_Alcazar_Seville_Spain.jpg"}, "thumbattribs": {"src": "https://thumb.wikimedia.org/wikipedia/commons/thumb/0/08/Escalier_Castille_Leon_Alcazar_Seville_Spain.jpg/1280px-Escalier_Castille_Leon_Alcazar_Seville_Spain.jpg", "decoding": "async", "loading": "lazy", "width": 1280, "height": 852, "srcset": "https://upload.wikimedia.org/wikipedia/commons/0/08/Escalier_Castille_Leon_Alcazar_Seville_Spain.jpg 2x"}, "url": "https://upload.wikimedia.org/wikipedia/commons/0/08/Escalier_Castille_Leon_Alcazar_Seville_Spain.jpg", "descriptionurl": "https://commons.wikimedia.org/wiki/File:Escalier_Castille_Leon_Alcazar_Seville_Spain.jpg", "descriptionshorturl": "https://commons.wikimedia.org/w/index.php?curid=22075592", "sha1": "ecfb1d9262bb5b80a45b9cbed2a1644f7117f3bc", "extmetadata": {"DateTime": {"value": "2012-10-14 18:01:51", "source": "mediawiki-metadata", "hidden": ""}, "ObjectName": {"value": "Escalier Castille Leon Alcazar Seville Spain", "source": "mediawiki-metadata"}, "CommonsMetadataExtension": {"value": 1.2, "source": "extension", "hidden": ""}, "Categories": {"value": "Taken with Sony DSLR-A550|CC-Zero|Gardens of the Alcázar of Seville|Castle of Castile in heraldry|Self-published work|Blue and white ceramics|Spain photographs taken on 2012-08-07|August 2012 in Seville|August 2012 photographs|Files with coordinates missing SDC location of creation|Azulejos in the Alcázar of Seville|Stairs in Seville|Crowned lion of León in heraldry", "source": "commons-categories", "hidden": ""}, "Assessments": {"value": "quality", "source": "commons-categories", "hidden": ""}, "GPSLatitude": {"value": "37.382964", "source": "commons-desc-page"}, "GPSLongitude": {"value": "-5.990290", "source": "commons-desc-page"}, "GPSMapDatum": {"value": "WGS-84", "source": "commons-desc-page", "hidden": ""}, "ImageDescription": {"value": "Contremarches d'un escalier dans les jardins de l'Alcazar royal, orné de carreaux de faïence montrant les lions héraldiques du Leon et les châteaux de Castille.", "source": "commons-desc-page"}, "DateTimeOriginal": {"value": "2012-08-07 17:06:00", "source": "commons-desc-page"}, "Credit": {"value": "&lt;span class=\"int-own-work\" lang=\"en\"&gt;Own work&lt;/span&gt;", "source": "commons-desc-page"}, "Artist": {"value": "&lt;a href=\"//commons.wikimedia.org/wiki/User:Jebulon\" title=\"User:Jebulon\"&gt;Jebulon&lt;/a&gt;",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"https://thumb.wikimedia.org/wikipedia/commons/thumb/0/08/Escalier_Castille_Leon_Alcazar_Seville_Spain.jpg/1280px-Escalier_Castille_Leon_Alcazar_Seville_Spain.jpg"}, "retrieved_on": "2026-10-25"}</t>
        </is>
      </c>
    </row>
    <row r="11" ht="54" customHeight="1">
      <c r="A11" s="29" t="inlineStr">
        <is>
          <t>sevilla:evidence:palacio-de-las-duenas-01</t>
        </is>
      </c>
      <c r="B11" s="29" t="inlineStr">
        <is>
          <t>sevilla</t>
        </is>
      </c>
      <c r="C11" s="29" t="inlineStr">
        <is>
          <t>sevilla:photo:palacio-de-las-duenas-01</t>
        </is>
      </c>
      <c r="D11" s="29" t="inlineStr">
        <is>
          <t>https://commons.wikimedia.org/wiki/File:Artesonado,_Palacio_de_las_Due%C3%B1as,_Sevilla,_Espa%C3%B1a,_2016_01.JPG</t>
        </is>
      </c>
      <c r="E11" s="29" t="inlineStr">
        <is>
          <t>File:Artesonado, Palacio de las Dueñas, Sevilla, España, 2016 01.JPG</t>
        </is>
      </c>
      <c r="F11" s="29" t="inlineStr">
        <is>
          <t>Benjamín Núñez González</t>
        </is>
      </c>
      <c r="G11" s="29" t="inlineStr">
        <is>
          <t>CC BY-SA 4.0</t>
        </is>
      </c>
      <c r="H11" s="29" t="inlineStr">
        <is>
          <t>https://creativecommons.org/licenses/by-sa/4.0/</t>
        </is>
      </c>
      <c r="I11" s="29" t="inlineStr">
        <is>
          <t>Creative Commons Attribution-Share Alike 4.0</t>
        </is>
      </c>
      <c r="J11" s="29" t="inlineStr">
        <is>
          <t>Benjamín Núñez González · CC BY-SA 4.0 · Wikimedia Commons</t>
        </is>
      </c>
      <c r="K11" s="29" t="n"/>
      <c r="L11" s="49" t="n">
        <v>46320</v>
      </c>
      <c r="M11" s="29" t="inlineStr">
        <is>
          <t>Bekliyor</t>
        </is>
      </c>
      <c r="N11" s="29" t="inlineStr">
        <is>
          <t>Bekliyor</t>
        </is>
      </c>
      <c r="O11" s="29" t="inlineStr">
        <is>
          <t>Fotoğraflar/sevilla_palacio-de-las-duenas_01.jpg</t>
        </is>
      </c>
      <c r="P11" s="29" t="inlineStr">
        <is>
          <t>Dueñas Sarayı'nda geometrik desenli, oymalı ahşap tavan.</t>
        </is>
      </c>
      <c r="Q11" s="29" t="inlineStr">
        <is>
          <t>Bekliyor</t>
        </is>
      </c>
      <c r="R11" s="29" t="inlineStr">
        <is>
          <t>Wikimedia Commons dosya sayfasındaki lisans: CC BY-SA 4.0</t>
        </is>
      </c>
      <c r="S11" s="29" t="inlineStr">
        <is>
          <t>Lisans kanıtları/palacio-de-las-duenas-01.source-evidence.json</t>
        </is>
      </c>
      <c r="T11" s="29" t="inlineStr">
        <is>
          <t>ad6189dc4ba04bdeba7015bdb36e063affec455710dbe9b339054832ae64d48a</t>
        </is>
      </c>
      <c r="U11" s="29" t="inlineStr">
        <is>
          <t>Lisans kanıtları/palacio-de-las-duenas-01.license-evidence.json</t>
        </is>
      </c>
      <c r="V11" s="29" t="inlineStr">
        <is>
          <t>eb8b8850a8f527357abb14494803cc69fd6105c1a27546bef1ab84362b4f0fa2</t>
        </is>
      </c>
      <c r="W11" s="29" t="inlineStr">
        <is>
          <t>{"source_url": "https://commons.wikimedia.org/wiki/File:Artesonado,_Palacio_de_las_Due%C3%B1as,_Sevilla,_Espa%C3%B1a,_2016_01.JPG", "author": "Benjamín Núñez González", "license": "CC BY-SA 4.0", "license_url": "https://creativecommons.org/licenses/by-sa/4.0/", "original_api_record": {"size": 4953600, "width": 4000, "height": 3000, "thumburl": "https://thumb.wikimedia.org/wikipedia/commons/thumb/0/0b/Artesonado%2C_Palacio_de_las_Due%C3%B1as%2C_Sevilla%2C_Espa%C3%B1a%2C_2016_01.JPG/1280px-Artesonado%2C_Palacio_de_las_Due%C3%B1as%2C_Sevilla%2C_Espa%C3%B1a%2C_2016_01.JPG", "thumbwidth": 1280, "thumbheight": 960, "responsiveUrls": {"2": "https://thumb.wikimedia.org/wikipedia/commons/thumb/0/0b/Artesonado%2C_Palacio_de_las_Due%C3%B1as%2C_Sevilla%2C_Espa%C3%B1a%2C_2016_01.JPG/3840px-Artesonado%2C_Palacio_de_las_Due%C3%B1as%2C_Sevilla%2C_Espa%C3%B1a%2C_2016_01.JPG"}, "thumbattribs": {"src": "https://thumb.wikimedia.org/wikipedia/commons/thumb/0/0b/Artesonado%2C_Palacio_de_las_Due%C3%B1as%2C_Sevilla%2C_Espa%C3%B1a%2C_2016_01.JPG/1280px-Artesonado%2C_Palacio_de_las_Due%C3%B1as%2C_Sevilla%2C_Espa%C3%B1a%2C_2016_01.JPG", "decoding": "async", "loading": "lazy", "width": 1280, "height": 960, "srcset": "https://thumb.wikimedia.org/wikipedia/commons/thumb/0/0b/Artesonado%2C_Palacio_de_las_Due%C3%B1as%2C_Sevilla%2C_Espa%C3%B1a%2C_2016_01.JPG/3840px-Artesonado%2C_Palacio_de_las_Due%C3%B1as%2C_Sevilla%2C_Espa%C3%B1a%2C_2016_01.JPG 2x"}, "url": "https://upload.wikimedia.org/wikipedia/commons/0/0b/Artesonado%2C_Palacio_de_las_Due%C3%B1as%2C_Sevilla%2C_Espa%C3%B1a%2C_2016_01.JPG", "descriptionurl": "https://commons.wikimedia.org/wiki/File:Artesonado,_Palacio_de_las_Due%C3%B1as,_Sevilla,_Espa%C3%B1a,_2016_01.JPG", "descriptionshorturl": "https://commons.wikimedia.org/w/index.php?curid=47825687", "sha1": "917ac63fe028a285f3b5ceabff1e163fd6909353", "extmetadata": {"DateTime": {"value": "2016-03-28 19:06:40", "source": "mediawiki-metadata", "hidden": ""}, "ObjectName": {"value": "Artesonado, Palacio de las Dueñas, Sevilla, España, 2016 01", "source": "mediawiki-metadata"}, "CommonsMetadataExtension": {"value": 1.2, "source": "extension", "hidden": ""}, "Categories": {"value": "Self-published work|Artesonado del Palacio de las Dueñas", "source": "commons-categories", "hidden": ""}, "Assessments": {"value": "", "source": "commons-categories", "hidden": ""}, "ImageDescription": {"value": "Artesonado, Palacio de las Dueñas", "source": "commons-desc-page"}, "DateTimeOriginal": {"value": "2016-03-28 16:17:40", "source": "commons-desc-page"}, "Credit": {"value": "&lt;span class=\"int-own-work\" lang=\"en\"&gt;Own work&lt;/span&gt;", "source": "commons-desc-page"}, "Artist": {"value": "&lt;a href=\"//commons.wikimedia.org/wiki/User:Benjam%C3%ADn_N%C3%BA%C3%B1ez_Gonz%C3%A1lez\" title=\"User:Benjamín Núñez González\"&gt;Benjamín Núñez González&lt;/a&gt;",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"https://thumb.wikimedia.org/wikipedia/commons/thumb/0/0b/Artesonado%2C_Palacio_de_las_Due%C3%B1as%2C_Sevilla%2C_Espa%C3%B1a%2C_2016_01.JPG/1280px-Artesonado%2C_Palacio_de_las_Due%C3%B1as%2C_Sevilla%2C_Espa%C3%B1a%2C_2016_01.JPG"}, "retrieved_on": "2026-10-25"}</t>
        </is>
      </c>
    </row>
    <row r="12" ht="54" customHeight="1">
      <c r="A12" s="29" t="inlineStr">
        <is>
          <t>sevilla:evidence:palacio-de-las-duenas-02</t>
        </is>
      </c>
      <c r="B12" s="29" t="inlineStr">
        <is>
          <t>sevilla</t>
        </is>
      </c>
      <c r="C12" s="29" t="inlineStr">
        <is>
          <t>sevilla:photo:palacio-de-las-duenas-02</t>
        </is>
      </c>
      <c r="D12" s="29" t="inlineStr">
        <is>
          <t>https://commons.wikimedia.org/wiki/File:Entrada_al_Palacio_de_las_Due%C3%B1as,_Sevilla.jpg</t>
        </is>
      </c>
      <c r="E12" s="29" t="inlineStr">
        <is>
          <t>File:Entrada al Palacio de las Dueñas, Sevilla.jpg</t>
        </is>
      </c>
      <c r="F12" s="29" t="inlineStr">
        <is>
          <t>Alonso de Mendoza</t>
        </is>
      </c>
      <c r="G12" s="29" t="inlineStr">
        <is>
          <t>CC BY-SA 4.0</t>
        </is>
      </c>
      <c r="H12" s="29" t="inlineStr">
        <is>
          <t>https://creativecommons.org/licenses/by-sa/4.0/</t>
        </is>
      </c>
      <c r="I12" s="29" t="inlineStr">
        <is>
          <t>Creative Commons Attribution-Share Alike 4.0</t>
        </is>
      </c>
      <c r="J12" s="29" t="inlineStr">
        <is>
          <t>Alonso de Mendoza · CC BY-SA 4.0 · Wikimedia Commons</t>
        </is>
      </c>
      <c r="K12" s="29" t="n"/>
      <c r="L12" s="49" t="n">
        <v>46320</v>
      </c>
      <c r="M12" s="29" t="inlineStr">
        <is>
          <t>Bekliyor</t>
        </is>
      </c>
      <c r="N12" s="29" t="inlineStr">
        <is>
          <t>Bekliyor</t>
        </is>
      </c>
      <c r="O12" s="29" t="inlineStr">
        <is>
          <t>Fotoğraflar/sevilla_palacio-de-las-duenas_02.jpg</t>
        </is>
      </c>
      <c r="P12" s="29" t="inlineStr">
        <is>
          <t>Dueñas Sarayı'nın beyaz duvarlı giriş kapısı ve önündeki ziyaretçiler.</t>
        </is>
      </c>
      <c r="Q12" s="29" t="inlineStr">
        <is>
          <t>Bekliyor</t>
        </is>
      </c>
      <c r="R12" s="29" t="inlineStr">
        <is>
          <t>Wikimedia Commons dosya sayfasındaki lisans: CC BY-SA 4.0</t>
        </is>
      </c>
      <c r="S12" s="29" t="inlineStr">
        <is>
          <t>Lisans kanıtları/palacio-de-las-duenas-02.source-evidence.json</t>
        </is>
      </c>
      <c r="T12" s="29" t="inlineStr">
        <is>
          <t>3f4a4391748e30f0d6680497c8a1e33e4f3062185ab6da929142fae5e3d75749</t>
        </is>
      </c>
      <c r="U12" s="29" t="inlineStr">
        <is>
          <t>Lisans kanıtları/palacio-de-las-duenas-02.license-evidence.json</t>
        </is>
      </c>
      <c r="V12" s="29" t="inlineStr">
        <is>
          <t>34777764a2a68c97d05169e150a98896b5a51a951159937a7307c2d2f1b502fb</t>
        </is>
      </c>
      <c r="W12" s="29" t="inlineStr">
        <is>
          <t>{"source_url": "https://commons.wikimedia.org/wiki/File:Entrada_al_Palacio_de_las_Due%C3%B1as,_Sevilla.jpg", "author": "Alonso de Mendoza", "license": "CC BY-SA 4.0", "license_url": "https://creativecommons.org/licenses/by-sa/4.0/", "original_api_record": {"size": 1485450, "width": 3024, "height": 3024, "thumburl": "https://thumb.wikimedia.org/wikipedia/commons/thumb/b/bb/Entrada_al_Palacio_de_las_Due%C3%B1as%2C_Sevilla.jpg/1280px-Entrada_al_Palacio_de_las_Due%C3%B1as%2C_Sevilla.jpg", "thumbwidth": 1280, "thumbheight": 1280, "responsiveUrls": {"2": "https://upload.wikimedia.org/wikipedia/commons/b/bb/Entrada_al_Palacio_de_las_Due%C3%B1as%2C_Sevilla.jpg"}, "thumbattribs": {"src": "https://thumb.wikimedia.org/wikipedia/commons/thumb/b/bb/Entrada_al_Palacio_de_las_Due%C3%B1as%2C_Sevilla.jpg/1280px-Entrada_al_Palacio_de_las_Due%C3%B1as%2C_Sevilla.jpg", "decoding": "async", "loading": "lazy", "width": 1280, "height": 1280, "srcset": "https://upload.wikimedia.org/wikipedia/commons/b/bb/Entrada_al_Palacio_de_las_Due%C3%B1as%2C_Sevilla.jpg 2x"}, "url": "https://upload.wikimedia.org/wikipedia/commons/b/bb/Entrada_al_Palacio_de_las_Due%C3%B1as%2C_Sevilla.jpg", "descriptionurl": "https://commons.wikimedia.org/wiki/File:Entrada_al_Palacio_de_las_Due%C3%B1as,_Sevilla.jpg", "descriptionshorturl": "https://commons.wikimedia.org/w/index.php?curid=88733746", "sha1": "164581da3ff8d33923f69b6ff4885fa11ee45a6e", "extmetadata": {"DateTime": {"value": "2020-03-29 10:29:17", "source": "mediawiki-metadata", "hidden": ""}, "ObjectName": {"value": "Entrada al Palacio de las Dueñas, Sevilla", "source": "mediawiki-metadata"}, "CommonsMetadataExtension": {"value": 1.2, "source": "extension", "hidden": ""}, "Categories": {"value": "Exterior of the Palacio de las Dueñas|Self-published work|Palaces photographed in 2019", "source": "commons-categories", "hidden": ""}, "Assessments": {"value": "", "source": "commons-categories", "hidden": ""}, "ImageDescription": {"value": "Entrada al Palacio de las Dueñas, Sevilla", "source": "commons-desc-page"}, "DateTimeOriginal": {"value": "2019-12-27 12:54:27", "source": "commons-desc-page"}, "Credit": {"value": "&lt;span class=\"int-own-work\" lang=\"en\"&gt;Own work&lt;/span&gt;", "source": "commons-desc-page"}, "Artist": {"value": "&lt;a href=\"//commons.wikimedia.org/wiki/User:Alonso_de_Mendoza\" title=\"User:Alonso de Mendoza\"&gt;Alonso de Mendoza&lt;/a&gt;",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"https://thumb.wikimedia.org/wikipedia/commons/thumb/b/bb/Entrada_al_Palacio_de_las_Due%C3%B1as%2C_Sevilla.jpg/1280px-Entrada_al_Palacio_de_las_Due%C3%B1as%2C_Sevilla.jpg"}, "retrieved_on": "2026-10-25"}</t>
        </is>
      </c>
    </row>
    <row r="13" ht="54" customHeight="1">
      <c r="A13" s="29" t="inlineStr">
        <is>
          <t>sevilla:evidence:palacio-de-las-duenas-03</t>
        </is>
      </c>
      <c r="B13" s="29" t="inlineStr">
        <is>
          <t>sevilla</t>
        </is>
      </c>
      <c r="C13" s="29" t="inlineStr">
        <is>
          <t>sevilla:photo:palacio-de-las-duenas-03</t>
        </is>
      </c>
      <c r="D13" s="29" t="inlineStr">
        <is>
          <t>https://commons.wikimedia.org/wiki/File:Galer%C3%ADa_norte_del_patio_principal,_Palacio_de_las_Due%C3%B1as_(Sevilla).jpg</t>
        </is>
      </c>
      <c r="E13" s="29" t="inlineStr">
        <is>
          <t>File:Galería norte del patio principal, Palacio de las Dueñas (Sevilla).jpg</t>
        </is>
      </c>
      <c r="F13" s="29" t="inlineStr">
        <is>
          <t>Jl FilpoC</t>
        </is>
      </c>
      <c r="G13" s="29" t="inlineStr">
        <is>
          <t>CC BY-SA 4.0</t>
        </is>
      </c>
      <c r="H13" s="29" t="inlineStr">
        <is>
          <t>https://creativecommons.org/licenses/by-sa/4.0/</t>
        </is>
      </c>
      <c r="I13" s="29" t="inlineStr">
        <is>
          <t>Creative Commons Attribution-Share Alike 4.0</t>
        </is>
      </c>
      <c r="J13" s="29" t="inlineStr">
        <is>
          <t>Jl FilpoC · CC BY-SA 4.0 · Wikimedia Commons</t>
        </is>
      </c>
      <c r="K13" s="29" t="n"/>
      <c r="L13" s="49" t="n">
        <v>46320</v>
      </c>
      <c r="M13" s="29" t="inlineStr">
        <is>
          <t>Bekliyor</t>
        </is>
      </c>
      <c r="N13" s="29" t="inlineStr">
        <is>
          <t>Bekliyor</t>
        </is>
      </c>
      <c r="O13" s="29" t="inlineStr">
        <is>
          <t>Fotoğraflar/sevilla_palacio-de-las-duenas_03.jpg</t>
        </is>
      </c>
      <c r="P13" s="29" t="inlineStr">
        <is>
          <t>Dueñas Sarayı'nda kemerli galeri ve yeşillikli avlu.</t>
        </is>
      </c>
      <c r="Q13" s="29" t="inlineStr">
        <is>
          <t>Bekliyor</t>
        </is>
      </c>
      <c r="R13" s="29" t="inlineStr">
        <is>
          <t>Wikimedia Commons dosya sayfasındaki lisans: CC BY-SA 4.0</t>
        </is>
      </c>
      <c r="S13" s="29" t="inlineStr">
        <is>
          <t>Lisans kanıtları/palacio-de-las-duenas-03.source-evidence.json</t>
        </is>
      </c>
      <c r="T13" s="29" t="inlineStr">
        <is>
          <t>51112a23622b9f2f05c54dee4ad5a6fea27190b4d5c4ca09054b3398bc074dc3</t>
        </is>
      </c>
      <c r="U13" s="29" t="inlineStr">
        <is>
          <t>Lisans kanıtları/palacio-de-las-duenas-03.license-evidence.json</t>
        </is>
      </c>
      <c r="V13" s="29" t="inlineStr">
        <is>
          <t>a87a0f360e5cd385c9a6abdc35348474f155607c829eedf557b9d0772531f38b</t>
        </is>
      </c>
      <c r="W13" s="29" t="inlineStr">
        <is>
          <t>{"source_url": "https://commons.wikimedia.org/wiki/File:Galer%C3%ADa_norte_del_patio_principal,_Palacio_de_las_Due%C3%B1as_(Sevilla).jpg", "author": "Jl FilpoC", "license": "CC BY-SA 4.0", "license_url": "https://creativecommons.org/licenses/by-sa/4.0/", "original_api_record": {"size": 9727111, "width": 3088, "height": 4112, "thumburl": "https://thumb.wikimedia.org/wikipedia/commons/thumb/7/73/Galer%C3%ADa_norte_del_patio_principal%2C_Palacio_de_las_Due%C3%B1as_%28Sevilla%29.jpg/1280px-Galer%C3%ADa_norte_del_patio_principal%2C_Palacio_de_las_Due%C3%B1as_%28Sevilla%29.jpg", "thumbwidth": 1280, "thumbheight": 1704, "responsiveUrls": {"2": "https://upload.wikimedia.org/wikipedia/commons/7/73/Galer%C3%ADa_norte_del_patio_principal%2C_Palacio_de_las_Due%C3%B1as_%28Sevilla%29.jpg"}, "thumbattribs": {"src": "https://thumb.wikimedia.org/wikipedia/commons/thumb/7/73/Galer%C3%ADa_norte_del_patio_principal%2C_Palacio_de_las_Due%C3%B1as_%28Sevilla%29.jpg/1280px-Galer%C3%ADa_norte_del_patio_principal%2C_Palacio_de_las_Due%C3%B1as_%28Sevilla%29.jpg", "decoding": "async", "loading": "lazy", "width": 1280, "height": 1704, "srcset": "https://upload.wikimedia.org/wikipedia/commons/7/73/Galer%C3%ADa_norte_del_patio_principal%2C_Palacio_de_las_Due%C3%B1as_%28Sevilla%29.jpg 2x"}, "url": "https://upload.wikimedia.org/wikipedia/commons/7/73/Galer%C3%ADa_norte_del_patio_principal%2C_Palacio_de_las_Due%C3%B1as_%28Sevilla%29.jpg", "descriptionurl": "https://commons.wikimedia.org/wiki/File:Galer%C3%ADa_norte_del_patio_principal,_Palacio_de_las_Due%C3%B1as_(Sevilla).jpg", "descriptionshorturl": "https://commons.wikimedia.org/w/index.php?curid=106486582", "sha1": "359a2368e8eff36d61622534812e847d77c1c840", "extmetadata": {"DateTime": {"value": "2021-06-11 15:35:47", "source": "mediawiki-metadata", "hidden": ""}, "ObjectName": {"value": "Galería norte del patio principal, Palacio de las Dueñas (Sevilla)", "source": "mediawiki-metadata"}, "CommonsMetadataExtension": {"value": 1.2, "source": "extension", "hidden": ""}, "Categories": {"value": "Self-published work|Files with coordinates missing SDC location of creation|Main courtyard of the Palacio de las Dueñas, Seville", "source": "commons-categories", "hidden": ""}, "Assessments": {"value": "", "source": "commons-categories", "hidden": ""}, "GPSLatitude": {"value": "37.395560", "source": "commons-desc-page"}, "GPSLongitude": {"value": "-5.989200", "source": "commons-desc-page"}, "GPSMapDatum": {"value": "WGS-84", "source": "commons-desc-page", "hidden": ""}, "ImageDescription": {"value": "&lt;a href=\"https://es.wikipedia.org/wiki/Palacio_de_las_Due%C3%B1as_(Sevilla)\" class=\"extiw\" title=\"es:Palacio de las Dueñas (Sevilla)\"&gt;Palacio de las Dueñas (Sevilla)&lt;/a&gt;. Galería septentrional.", "source": "commons-desc-page"}, "DateTimeOriginal": {"value": "2020-11-30", "source": "commons-desc-page"}, "Credit": {"value": "&lt;span class=\"int-own-work\" lang=\"en\"&gt;Own work&lt;/span&gt;", "source": "commons-desc-page"}, "Artist": {"value": "&lt;a href=\"//commons.wikimedia.org/wiki/User:Jl_FilpoC\" title=\"User:Jl FilpoC\"&gt;Jl FilpoC&lt;/a&gt;",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"https://thumb.wikimedia.org/wikipedia/commons/thumb/7/73/Galer%C3%ADa_norte_del_patio_principal%2C_Palacio_de_las_Due%C3%B1as_%28Sevilla%29.jpg/1280px-Galer%C3%ADa_norte_del_patio_principal%2C_Palacio_de_las_Due%C3%B1as_%28Sevilla%29.jpg"}, "retrieved_on": "2026-10-25"}</t>
        </is>
      </c>
    </row>
    <row r="14" ht="54" customHeight="1">
      <c r="A14" s="29" t="inlineStr">
        <is>
          <t>sevilla:evidence:palacio-de-la-condesa-de-lebrija-01</t>
        </is>
      </c>
      <c r="B14" s="29" t="inlineStr">
        <is>
          <t>sevilla</t>
        </is>
      </c>
      <c r="C14" s="29" t="inlineStr">
        <is>
          <t>sevilla:photo:palacio-de-la-condesa-de-lebrija-01</t>
        </is>
      </c>
      <c r="D14" s="29" t="inlineStr">
        <is>
          <t>https://commons.wikimedia.org/wiki/File:Palacio_Lebrija_Sevilla_1101.jpg</t>
        </is>
      </c>
      <c r="E14" s="29" t="inlineStr">
        <is>
          <t>File:Palacio Lebrija Sevilla 1101.jpg</t>
        </is>
      </c>
      <c r="F14" s="29" t="inlineStr">
        <is>
          <t>Michel wal</t>
        </is>
      </c>
      <c r="G14" s="29" t="inlineStr">
        <is>
          <t>CC BY-SA 3.0</t>
        </is>
      </c>
      <c r="H14" s="29" t="inlineStr">
        <is>
          <t>https://creativecommons.org/licenses/by-sa/3.0/</t>
        </is>
      </c>
      <c r="I14" s="29" t="inlineStr">
        <is>
          <t>Creative Commons Attribution-Share Alike 3.0</t>
        </is>
      </c>
      <c r="J14" s="29" t="inlineStr">
        <is>
          <t>Michel wal · CC BY-SA 3.0 · Wikimedia Commons</t>
        </is>
      </c>
      <c r="K14" s="29" t="n"/>
      <c r="L14" s="49" t="n">
        <v>46320</v>
      </c>
      <c r="M14" s="29" t="inlineStr">
        <is>
          <t>Bekliyor</t>
        </is>
      </c>
      <c r="N14" s="29" t="inlineStr">
        <is>
          <t>Bekliyor</t>
        </is>
      </c>
      <c r="O14" s="29" t="inlineStr">
        <is>
          <t>Fotoğraflar/sevilla_palacio-de-la-condesa-de-lebrija_01.jpg</t>
        </is>
      </c>
      <c r="P14" s="29" t="inlineStr">
        <is>
          <t>Lebrija Sarayı'nın kemerli avlusu, saksı bitkileri ve mozaik zemin.</t>
        </is>
      </c>
      <c r="Q14" s="29" t="inlineStr">
        <is>
          <t>Bekliyor</t>
        </is>
      </c>
      <c r="R14" s="29" t="inlineStr">
        <is>
          <t>Wikimedia Commons dosya sayfasındaki lisans: CC BY-SA 3.0</t>
        </is>
      </c>
      <c r="S14" s="29" t="inlineStr">
        <is>
          <t>Lisans kanıtları/palacio-de-la-condesa-de-lebrija-01.source-evidence.json</t>
        </is>
      </c>
      <c r="T14" s="29" t="inlineStr">
        <is>
          <t>81ce9691c311d2f530d7d30464208eeb6b32a09340ddc893ac8928c481774f0a</t>
        </is>
      </c>
      <c r="U14" s="29" t="inlineStr">
        <is>
          <t>Lisans kanıtları/palacio-de-la-condesa-de-lebrija-01.license-evidence.json</t>
        </is>
      </c>
      <c r="V14" s="29" t="inlineStr">
        <is>
          <t>e2bd9753b0dcafd4d1bd4058c125b38f53fbb03cffaeca6196bc5231500ac0e8</t>
        </is>
      </c>
      <c r="W14" s="29" t="inlineStr">
        <is>
          <t>{"source_url": "https://commons.wikimedia.org/wiki/File:Palacio_Lebrija_Sevilla_1101.jpg", "author": "Michel wal", "license": "CC BY-SA 3.0", "license_url": "https://creativecommons.org/licenses/by-sa/3.0/", "original_api_record": {"size": 3015365, "width": 2592, "height": 3888, "thumburl": "https://thumb.wikimedia.org/wikipedia/commons/thumb/3/39/Palacio_Lebrija_Sevilla_1101.jpg/1280px-Palacio_Lebrija_Sevilla_1101.jpg", "thumbwidth": 1280, "thumbheight": 1920, "responsiveUrls": {"2": "https://upload.wikimedia.org/wikipedia/commons/3/39/Palacio_Lebrija_Sevilla_1101.jpg"}, "thumbattribs": {"src": "https://thumb.wikimedia.org/wikipedia/commons/thumb/3/39/Palacio_Lebrija_Sevilla_1101.jpg/1280px-Palacio_Lebrija_Sevilla_1101.jpg", "decoding": "async", "loading": "lazy", "width": 1280, "height": 1920, "srcset": "https://upload.wikimedia.org/wikipedia/commons/3/39/Palacio_Lebrija_Sevilla_1101.jpg 2x"}, "url": "https://upload.wikimedia.org/wikipedia/commons/3/39/Palacio_Lebrija_Sevilla_1101.jpg", "descriptionurl": "https://commons.wikimedia.org/wiki/File:Palacio_Lebrija_Sevilla_1101.jpg", "descriptionshorturl": "https://commons.wikimedia.org/w/index.php?curid=15578206", "sha1": "3bf18b7a48abb6d34f3f64918fc96973413eba96", "extmetadata": {"DateTime": {"value": "2011-06-21 21:17:43", "source": "mediawiki-metadata", "hidden": ""}, "ObjectName": {"value": "Palacio Lebrija Sevilla 1101", "source": "mediawiki-metadata"}, "CommonsMetadataExtension": {"value": 1.2, "source": "extension", "hidden": ""}, "Categories": {"value": "Taken with Canon EOS 400D|Self-published work|May 2011 in Andalusia|Patio in Palacio de la Condesa de Lebrija", "source": "commons-categories", "hidden": ""}, "Assessments": {"value": "", "source": "commons-categories", "hidden": ""}, "ImageDescription": {"value": "Palacio de la Condesa de Lebrija, Calle Cuna 8, Séville, Espagne", "source": "commons-desc-page"}, "DateTimeOriginal": {"value": "2011-05-18", "source": "commons-desc-page"}, "Credit": {"value": "&lt;span class=\"int-own-work\" lang=\"en\"&gt;Own work&lt;/span&gt;", "source": "commons-desc-page"}, "Artist": {"value": "&lt;a href=\"//commons.wikimedia.org/w/index.php?title=User:Michel_wal&amp;amp;action=edit&amp;amp;redlink=1\" class=\"new\" title=\"User:Michel wal (page does not exist)\"&gt;Michel wal&lt;/a&gt;",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"https://thumb.wikimedia.org/wikipedia/commons/thumb/3/39/Palacio_Lebrija_Sevilla_1101.jpg/1280px-Palacio_Lebrija_Sevilla_1101.jpg"}, "retrieved_on": "2026-10-25"}</t>
        </is>
      </c>
    </row>
    <row r="15" ht="54" customHeight="1">
      <c r="A15" s="29" t="inlineStr">
        <is>
          <t>sevilla:evidence:palacio-de-la-condesa-de-lebrija-02</t>
        </is>
      </c>
      <c r="B15" s="29" t="inlineStr">
        <is>
          <t>sevilla</t>
        </is>
      </c>
      <c r="C15" s="29" t="inlineStr">
        <is>
          <t>sevilla:photo:palacio-de-la-condesa-de-lebrija-02</t>
        </is>
      </c>
      <c r="D15" s="29" t="inlineStr">
        <is>
          <t>https://commons.wikimedia.org/wiki/File:Palacio_Lebrija_Sevilla_1106.jpg</t>
        </is>
      </c>
      <c r="E15" s="29" t="inlineStr">
        <is>
          <t>File:Palacio Lebrija Sevilla 1106.jpg</t>
        </is>
      </c>
      <c r="F15" s="29" t="inlineStr">
        <is>
          <t>Michel wal</t>
        </is>
      </c>
      <c r="G15" s="29" t="inlineStr">
        <is>
          <t>CC BY-SA 3.0</t>
        </is>
      </c>
      <c r="H15" s="29" t="inlineStr">
        <is>
          <t>https://creativecommons.org/licenses/by-sa/3.0/</t>
        </is>
      </c>
      <c r="I15" s="29" t="inlineStr">
        <is>
          <t>Creative Commons Attribution-Share Alike 3.0</t>
        </is>
      </c>
      <c r="J15" s="29" t="inlineStr">
        <is>
          <t>Michel wal · CC BY-SA 3.0 · Wikimedia Commons</t>
        </is>
      </c>
      <c r="K15" s="29" t="n"/>
      <c r="L15" s="49" t="n">
        <v>46320</v>
      </c>
      <c r="M15" s="29" t="inlineStr">
        <is>
          <t>Bekliyor</t>
        </is>
      </c>
      <c r="N15" s="29" t="inlineStr">
        <is>
          <t>Bekliyor</t>
        </is>
      </c>
      <c r="O15" s="29" t="inlineStr">
        <is>
          <t>Fotoğraflar/sevilla_palacio-de-la-condesa-de-lebrija_02.jpg</t>
        </is>
      </c>
      <c r="P15" s="29" t="inlineStr">
        <is>
          <t>Lebrija Sarayı'nın zeminindeki Roma dönemi mozaiğinden geometrik desenler.</t>
        </is>
      </c>
      <c r="Q15" s="29" t="inlineStr">
        <is>
          <t>Bekliyor</t>
        </is>
      </c>
      <c r="R15" s="29" t="inlineStr">
        <is>
          <t>Wikimedia Commons dosya sayfasındaki lisans: CC BY-SA 3.0</t>
        </is>
      </c>
      <c r="S15" s="29" t="inlineStr">
        <is>
          <t>Lisans kanıtları/palacio-de-la-condesa-de-lebrija-02.source-evidence.json</t>
        </is>
      </c>
      <c r="T15" s="29" t="inlineStr">
        <is>
          <t>d079da9667462ced3f3a8d6f5c2e63dea407bb3ea5b0a2f5b9219d73c19f3c42</t>
        </is>
      </c>
      <c r="U15" s="29" t="inlineStr">
        <is>
          <t>Lisans kanıtları/palacio-de-la-condesa-de-lebrija-02.license-evidence.json</t>
        </is>
      </c>
      <c r="V15" s="29" t="inlineStr">
        <is>
          <t>b418d2cbb8fa5e07c51b748fed2036a11471e2870d02e97c4b734e3df3976767</t>
        </is>
      </c>
      <c r="W15" s="29" t="inlineStr">
        <is>
          <t>{"source_url": "https://commons.wikimedia.org/wiki/File:Palacio_Lebrija_Sevilla_1106.jpg", "author": "Michel wal", "license": "CC BY-SA 3.0", "license_url": "https://creativecommons.org/licenses/by-sa/3.0/", "original_api_record": {"size": 2625220, "width": 2460, "height": 3757, "thumburl": "https://thumb.wikimedia.org/wikipedia/commons/thumb/5/5d/Palacio_Lebrija_Sevilla_1106.jpg/1280px-Palacio_Lebrija_Sevilla_1106.jpg", "thumbwidth": 1280, "thumbheight": 1955, "responsiveUrls": {"2": "https://upload.wikimedia.org/wikipedia/commons/5/5d/Palacio_Lebrija_Sevilla_1106.jpg"}, "thumbattribs": {"src": "https://thumb.wikimedia.org/wikipedia/commons/thumb/5/5d/Palacio_Lebrija_Sevilla_1106.jpg/1280px-Palacio_Lebrija_Sevilla_1106.jpg", "decoding": "async", "loading": "lazy", "width": 1280, "height": 1955, "srcset": "https://upload.wikimedia.org/wikipedia/commons/5/5d/Palacio_Lebrija_Sevilla_1106.jpg 2x"}, "url": "https://upload.wikimedia.org/wikipedia/commons/5/5d/Palacio_Lebrija_Sevilla_1106.jpg", "descriptionurl": "https://commons.wikimedia.org/wiki/File:Palacio_Lebrija_Sevilla_1106.jpg", "descriptionshorturl": "https://commons.wikimedia.org/w/index.php?curid=15584643", "sha1": "cea5cf1d6dedd089072ce7e59d288b2c63fbbd87", "extmetadata": {"DateTime": {"value": "2011-06-22 15:46:11", "source": "mediawiki-metadata", "hidden": ""}, "ObjectName": {"value": "Palacio Lebrija Sevilla 1106", "source": "mediawiki-metadata"}, "CommonsMetadataExtension": {"value": 1.2, "source": "extension", "hidden": ""}, "Categories": {"value": "Taken with Canon EOS 400D|Self-published work|Floor mosaics in Spain|Floors in Andalusia|6 petals|Mosaics in Itálica|Ancient Roman mosaics in Palacio de la Condesa de Lebrija", "source": "commons-categories", "hidden": ""}, "Assessments": {"value": "", "source": "commons-categories", "hidden": ""}, "ImageDescription": {"value": "Palacio de la Condesa de Lebrija, Calle Cuna 8, Séville, Espagne. Mosaïque provenant du site romain d'Italica", "source": "commons-desc-page"}, "DateTimeOriginal": {"value": "2011-05-18", "source": "commons-desc-page"}, "Credit": {"value": "&lt;span class=\"int-own-work\" lang=\"en\"&gt;Own work&lt;/span&gt;", "source": "commons-desc-page"}, "Artist": {"value": "&lt;a href=\"//commons.wikimedia.org/w/index.php?title=User:Michel_wal&amp;amp;action=edit&amp;amp;redlink=1\" class=\"new\" title=\"User:Michel wal (page does not exist)\"&gt;Michel wal&lt;/a&gt;",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"https://thumb.wikimedia.org/wikipedia/commons/thumb/5/5d/Palacio_Lebrija_Sevilla_1106.jpg/1280px-Palacio_Lebrija_Sevilla_1106.jpg"}, "retrieved_on": "2026-10-25"}</t>
        </is>
      </c>
    </row>
    <row r="16" ht="54" customHeight="1">
      <c r="A16" s="29" t="inlineStr">
        <is>
          <t>sevilla:evidence:palacio-de-la-condesa-de-lebrija-03</t>
        </is>
      </c>
      <c r="B16" s="29" t="inlineStr">
        <is>
          <t>sevilla</t>
        </is>
      </c>
      <c r="C16" s="29" t="inlineStr">
        <is>
          <t>sevilla:photo:palacio-de-la-condesa-de-lebrija-03</t>
        </is>
      </c>
      <c r="D16" s="29" t="inlineStr">
        <is>
          <t>https://commons.wikimedia.org/wiki/File:Palacio_de_Lebrija_001.jpg</t>
        </is>
      </c>
      <c r="E16" s="29" t="inlineStr">
        <is>
          <t>File:Palacio de Lebrija 001.jpg</t>
        </is>
      </c>
      <c r="F16" s="29" t="inlineStr">
        <is>
          <t>Emilio J. Rodríguez Posada</t>
        </is>
      </c>
      <c r="G16" s="29" t="inlineStr">
        <is>
          <t>CC BY-SA 3.0 es</t>
        </is>
      </c>
      <c r="H16" s="29" t="inlineStr">
        <is>
          <t>https://creativecommons.org/licenses/by-sa/3.0/es/deed.en/</t>
        </is>
      </c>
      <c r="I16" s="29" t="inlineStr">
        <is>
          <t>Creative Commons Attribution-Share Alike 3.0 es</t>
        </is>
      </c>
      <c r="J16" s="29" t="inlineStr">
        <is>
          <t>Emilio J. Rodríguez Posada · CC BY-SA 3.0 es · Wikimedia Commons</t>
        </is>
      </c>
      <c r="K16" s="29" t="n"/>
      <c r="L16" s="49" t="n">
        <v>46320</v>
      </c>
      <c r="M16" s="29" t="inlineStr">
        <is>
          <t>Bekliyor</t>
        </is>
      </c>
      <c r="N16" s="29" t="inlineStr">
        <is>
          <t>Bekliyor</t>
        </is>
      </c>
      <c r="O16" s="29" t="inlineStr">
        <is>
          <t>Fotoğraflar/sevilla_palacio-de-la-condesa-de-lebrija_03.jpg</t>
        </is>
      </c>
      <c r="P16" s="29" t="inlineStr">
        <is>
          <t>Lebrija Sarayı'nın dar sokağa bakan oymalı taş kapısı ve balkonu.</t>
        </is>
      </c>
      <c r="Q16" s="29" t="inlineStr">
        <is>
          <t>Bekliyor</t>
        </is>
      </c>
      <c r="R16" s="29" t="inlineStr">
        <is>
          <t>Wikimedia Commons dosya sayfasındaki lisans: CC BY-SA 3.0 es</t>
        </is>
      </c>
      <c r="S16" s="29" t="inlineStr">
        <is>
          <t>Lisans kanıtları/palacio-de-la-condesa-de-lebrija-03.source-evidence.json</t>
        </is>
      </c>
      <c r="T16" s="29" t="inlineStr">
        <is>
          <t>4311cb6c1158cb2beaa574d6bf40b116085917eb051f8eb771c244332b3171ee</t>
        </is>
      </c>
      <c r="U16" s="29" t="inlineStr">
        <is>
          <t>Lisans kanıtları/palacio-de-la-condesa-de-lebrija-03.license-evidence.json</t>
        </is>
      </c>
      <c r="V16" s="29" t="inlineStr">
        <is>
          <t>26bf9d091a767758772d2c04f26f430e7ea1802a36d248ba1a1b62d41d2a9a29</t>
        </is>
      </c>
      <c r="W16" s="29" t="inlineStr">
        <is>
          <t>{"source_url": "https://commons.wikimedia.org/wiki/File:Palacio_de_Lebrija_001.jpg", "author": "Emilio J. Rodríguez Posada", "license": "CC BY-SA 3.0 es", "license_url": "https://creativecommons.org/licenses/by-sa/3.0/es/deed.en/", "original_api_record": {"size": 1788060, "width": 1920, "height": 2560, "thumburl": "https://thumb.wikimedia.org/wikipedia/commons/thumb/8/87/Palacio_de_Lebrija_001.jpg/1280px-Palacio_de_Lebrija_001.jpg", "thumbwidth": 1280, "thumbheight": 1707, "responsiveUrls": {"2": "https://upload.wikimedia.org/wikipedia/commons/8/87/Palacio_de_Lebrija_001.jpg"}, "thumbattribs": {"src": "https://thumb.wikimedia.org/wikipedia/commons/thumb/8/87/Palacio_de_Lebrija_001.jpg/1280px-Palacio_de_Lebrija_001.jpg", "decoding": "async", "loading": "lazy", "width": 1280, "height": 1707, "srcset": "https://upload.wikimedia.org/wikipedia/commons/8/87/Palacio_de_Lebrija_001.jpg 2x"}, "url": "https://upload.wikimedia.org/wikipedia/commons/8/87/Palacio_de_Lebrija_001.jpg", "descriptionurl": "https://commons.wikimedia.org/wiki/File:Palacio_de_Lebrija_001.jpg", "descriptionshorturl": "https://commons.wikimedia.org/w/index.php?curid=16697386", "sha1": "a91796bc2ead308c2d942573022aef79c4623ad9", "extmetadata": {"DateTime": {"value": "2011-09-25 21:43:00", "source": "mediawiki-metadata", "hidden": ""}, "ObjectName": {"value": "Palacio de Lebrija 001", "source": "mediawiki-metadata"}, "CommonsMetadataExtension": {"value": 1.2, "source": "extension", "hidden": ""}, "Categories": {"value": "Taken with Olympus u5000|Palacio de la Condesa de Lebrija|Self-published work|ISO speed rating 64|Images by User:Emijrp taken in the 21st century|Images of Andalusia by User:Emijrp|Images of Spain by User:Emijrp|F-number f/4|Images by User:Emijrp by topic|Images by User:Emijrp taken in 2011|Images by User:Emijrp taken in September|Images by User:Emijrp taken in the 2010s|Images by User:Emijrp taken with Olympus u5000|Images of buildings by User:Emijrp|Images of the province of Seville by User:Emijrp|Exposure time 1/60 sec|Images from Wiki Loves Monuments 2011|Images of Seville by User:Emijrp|Cultural heritage monuments in Spain with known IDs|Images from Wiki Loves Monuments 2011 in Spain|Lens focal length 7.7 mm|September 2011 in Seville|Images of Spain by User:Emijrp taken in 2011|Spain photographs taken on 2011-09-25|All media supported by Wikimedia España in 2011|Buildings in Seville photographed in 2011|Images from Wiki Loves Monuments missing SDC creator|Images from Wiki Loves Monuments missing SDC depicts|Cultural heritage monuments in Spain missing SDC depicts|Images by User:Emijrp with coordinates|Images of Seville by User:Emijrp taken in 2011|Images by User:Emijrp without P180|Images of Andalusia by User:Emijrp taken in 2011|Images of the province of Seville by User:Emijrp taken in 2011|Pages using the EasyTimeline extension|Images by User:Emijrp|Images of palaces by User:Emijrp", "source": "commons-categories", "hidden": ""}, "Assessments": {"value": "", "source": "commons-categories", "hidden": ""}, "GPSLatitude": {"value": "37.389950", "source": "commons-desc-page"}, "GPSLongitude": {"value": "-5.993180", "source": "commons-desc-page"}, "GPSMapDatum": {"value": "WGS-84", "source": "commons-desc-page", "hidden": ""}, "ImageDescription": {"value": "Casa-palacio de la Condesa de Lebrija, Sevilla, España.", "source": "commons-desc-page"}, "DateTimeOriginal": {"value": "2011-09-25", "source": "commons-desc-page"}, "Credit": {"value": "&lt;span class=\"int-own-work\" lang=\"en\"&gt;Own work&lt;/span&gt;", "source": "commons-desc-page"}, "Artist": {"value": "&lt;bdi&gt;&lt;a href=\"https://meta.wikimedia.org/wiki/User:Emijrp\" class=\"extiw\" title=\"meta:User:Emijrp\"&gt;Emilio J. Rodríguez Posada&lt;/a&gt;&lt;/bdi&gt;", "source": "commons-desc-page"}, "LicenseShortName": {"value": "CC BY-SA 3.0 es", "source": "commons-desc-page", "hidden": ""}, "UsageTerms": {"value": "Creative Commons Attribution-Share Alike 3.0 es", "source": "commons-desc-page"}, "AttributionRequired": {"value": "true", "source": "commons-desc-page", "hidden": ""}, "LicenseUrl": {"value": "https://creativecommons.org/licenses/by-sa/3.0/es/deed.en", "source": "commons-desc-page"}, "Copyrighted": {"value": "True", "source": "commons-desc-page", "hidden": ""}, "Restrictions": {"value": "", "source": "commons-desc-page", "hidden": ""}, "License": {"value": "cc-by-sa-3.0-es", "source": "commons-templates", "hidden": ""}}, "mime": "image/jpeg"}, "delivered_file": {"url": "https://thumb.wikimedia.org/wikipedia/commons/thumb/8/87/Palacio_de_Lebrija_001.jpg/1280px-Palacio_de_Lebrija_001.jpg"}, "retrieved_on": "2026-10-25"}</t>
        </is>
      </c>
    </row>
    <row r="17" ht="54" customHeight="1">
      <c r="A17" s="29" t="inlineStr">
        <is>
          <t>sevilla:evidence:metropol-parasol-antiquarium-01</t>
        </is>
      </c>
      <c r="B17" s="29" t="inlineStr">
        <is>
          <t>sevilla</t>
        </is>
      </c>
      <c r="C17" s="29" t="inlineStr">
        <is>
          <t>sevilla:photo:metropol-parasol-antiquarium-01</t>
        </is>
      </c>
      <c r="D17" s="29" t="inlineStr">
        <is>
          <t>https://commons.wikimedia.org/wiki/File:%22Das_gr%C3%B6%C3%9Fte_Holzbauwerk_der_Welt%22._02.jpg</t>
        </is>
      </c>
      <c r="E17" s="29" t="inlineStr">
        <is>
          <t>File:"Das größte Holzbauwerk der Welt". 02.jpg</t>
        </is>
      </c>
      <c r="F17" s="29" t="inlineStr">
        <is>
          <t>Holger Uwe Schmitt</t>
        </is>
      </c>
      <c r="G17" s="29" t="inlineStr">
        <is>
          <t>CC BY-SA 4.0</t>
        </is>
      </c>
      <c r="H17" s="29" t="inlineStr">
        <is>
          <t>https://creativecommons.org/licenses/by-sa/4.0/</t>
        </is>
      </c>
      <c r="I17" s="29" t="inlineStr">
        <is>
          <t>Creative Commons Attribution-Share Alike 4.0</t>
        </is>
      </c>
      <c r="J17" s="29" t="inlineStr">
        <is>
          <t>Holger Uwe Schmitt · CC BY-SA 4.0 · Wikimedia Commons</t>
        </is>
      </c>
      <c r="K17" s="29" t="n"/>
      <c r="L17" s="49" t="n">
        <v>46320</v>
      </c>
      <c r="M17" s="29" t="inlineStr">
        <is>
          <t>Bekliyor</t>
        </is>
      </c>
      <c r="N17" s="29" t="inlineStr">
        <is>
          <t>Bekliyor</t>
        </is>
      </c>
      <c r="O17" s="29" t="inlineStr">
        <is>
          <t>Fotoğraflar/sevilla_metropol-parasol-antiquarium_01.jpg</t>
        </is>
      </c>
      <c r="P17" s="29" t="inlineStr">
        <is>
          <t>Metropol Parasol'ün dev ahşap "mantar" yapısı ve altındaki meydan.</t>
        </is>
      </c>
      <c r="Q17" s="29" t="inlineStr">
        <is>
          <t>Bekliyor</t>
        </is>
      </c>
      <c r="R17" s="29" t="inlineStr">
        <is>
          <t>Wikimedia Commons dosya sayfasındaki lisans: CC BY-SA 4.0</t>
        </is>
      </c>
      <c r="S17" s="29" t="inlineStr">
        <is>
          <t>Lisans kanıtları/metropol-parasol-antiquarium-01.source-evidence.json</t>
        </is>
      </c>
      <c r="T17" s="29" t="inlineStr">
        <is>
          <t>0e515af70696c81589a8a4d08680234cf3dfb564e0c4f71a5279bc1f74982690</t>
        </is>
      </c>
      <c r="U17" s="29" t="inlineStr">
        <is>
          <t>Lisans kanıtları/metropol-parasol-antiquarium-01.license-evidence.json</t>
        </is>
      </c>
      <c r="V17" s="29" t="inlineStr">
        <is>
          <t>f6063ad72b294776cf20b729690e644753692447344952ddd5e1d10248e90778</t>
        </is>
      </c>
      <c r="W17" s="29" t="inlineStr">
        <is>
          <t>{"source_url": "https://commons.wikimedia.org/wiki/File:%22Das_gr%C3%B6%C3%9Fte_Holzbauwerk_der_Welt%22._02.jpg", "author": "Holger Uwe Schmitt", "license": "CC BY-SA 4.0", "license_url": "https://creativecommons.org/licenses/by-sa/4.0/", "original_api_record": {"size": 2195272, "width": 2736, "height": 4975, "thumburl": "https://thumb.wikimedia.org/wikipedia/commons/thumb/4/47/%22Das_gr%C3%B6%C3%9Fte_Holzbauwerk_der_Welt%22._02.jpg/1280px-%22Das_gr%C3%B6%C3%9Fte_Holzbauwerk_der_Welt%22._02.jpg", "thumbwidth": 1280, "thumbheight": 2327, "responsiveUrls": {"2": "https://upload.wikimedia.org/wikipedia/commons/4/47/%22Das_gr%C3%B6%C3%9Fte_Holzbauwerk_der_Welt%22._02.jpg"}, "thumbattribs": {"src": "https://thumb.wikimedia.org/wikipedia/commons/thumb/4/47/%22Das_gr%C3%B6%C3%9Fte_Holzbauwerk_der_Welt%22._02.jpg/1280px-%22Das_gr%C3%B6%C3%9Fte_Holzbauwerk_der_Welt%22._02.jpg", "decoding": "async", "loading": "lazy", "width": 1280, "height": 2327, "srcset": "https://upload.wikimedia.org/wikipedia/commons/4/47/%22Das_gr%C3%B6%C3%9Fte_Holzbauwerk_der_Welt%22._02.jpg 2x"}, "url": "https://upload.wikimedia.org/wikipedia/commons/4/47/%22Das_gr%C3%B6%C3%9Fte_Holzbauwerk_der_Welt%22._02.jpg", "descriptionurl": "https://commons.wikimedia.org/wiki/File:%22Das_gr%C3%B6%C3%9Fte_Holzbauwerk_der_Welt%22._02.jpg", "descriptionshorturl": "https://commons.wikimedia.org/w/index.php?curid=155408601", "sha1": "e8ff703f2bbcc2275d75f5b2c104e2d91c970d84", "extmetadata": {"DateTime": {"value": "2024-11-20 12:44:03", "source": "mediawiki-metadata", "hidden": ""}, "ObjectName": {"value": "\"Das größte Holzbauwerk der Welt\". 02", "source": "mediawiki-metadata"}, "CommonsMetadataExtension": {"value": 1.2, "source": "extension", "hidden": ""}, "Categories": {"value": "Metropol Parasol|Self-published work", "source": "commons-categories", "hidden": ""}, "Assessments": {"value": "", "source": "commons-categories", "hidden": ""}, "ImageDescription": {"value": "The Metropol  Parasol in Sevilla.", "source": "commons-desc-page"}, "DateTimeOriginal": {"value": "2024-10-16 15:51:48", "source": "commons-desc-page"}, "Credit": {"value": "&lt;span class=\"int-own-work\" lang=\"en\"&gt;Own work&lt;/span&gt;", "source": "commons-desc-page"}, "Artist": {"value": "&lt;a href=\"//commons.wikimedia.org/wiki/User:Holger_Uwe_Schmitt\" title=\"User:Holger Uwe Schmitt\"&gt;Holger Uwe Schmitt&lt;/a&gt;",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"https://thumb.wikimedia.org/wikipedia/commons/thumb/4/47/%22Das_gr%C3%B6%C3%9Fte_Holzbauwerk_der_Welt%22._02.jpg/1280px-%22Das_gr%C3%B6%C3%9Fte_Holzbauwerk_der_Welt%22._02.jpg"}, "retrieved_on": "2026-10-25"}</t>
        </is>
      </c>
    </row>
    <row r="18" ht="54" customHeight="1">
      <c r="A18" s="29" t="inlineStr">
        <is>
          <t>sevilla:evidence:metropol-parasol-antiquarium-02</t>
        </is>
      </c>
      <c r="B18" s="29" t="inlineStr">
        <is>
          <t>sevilla</t>
        </is>
      </c>
      <c r="C18" s="29" t="inlineStr">
        <is>
          <t>sevilla:photo:metropol-parasol-antiquarium-02</t>
        </is>
      </c>
      <c r="D18" s="29" t="inlineStr">
        <is>
          <t>https://commons.wikimedia.org/wiki/File:%22Das_gr%C3%B6%C3%9Fte_Holzbauwerk_der_Welt%22._03.jpg</t>
        </is>
      </c>
      <c r="E18" s="29" t="inlineStr">
        <is>
          <t>File:"Das größte Holzbauwerk der Welt". 03.jpg</t>
        </is>
      </c>
      <c r="F18" s="29" t="inlineStr">
        <is>
          <t>Holger Uwe Schmitt</t>
        </is>
      </c>
      <c r="G18" s="29" t="inlineStr">
        <is>
          <t>CC BY-SA 4.0</t>
        </is>
      </c>
      <c r="H18" s="29" t="inlineStr">
        <is>
          <t>https://creativecommons.org/licenses/by-sa/4.0/</t>
        </is>
      </c>
      <c r="I18" s="29" t="inlineStr">
        <is>
          <t>Creative Commons Attribution-Share Alike 4.0</t>
        </is>
      </c>
      <c r="J18" s="29" t="inlineStr">
        <is>
          <t>Holger Uwe Schmitt · CC BY-SA 4.0 · Wikimedia Commons</t>
        </is>
      </c>
      <c r="K18" s="29" t="n"/>
      <c r="L18" s="49" t="n">
        <v>46320</v>
      </c>
      <c r="M18" s="29" t="inlineStr">
        <is>
          <t>Bekliyor</t>
        </is>
      </c>
      <c r="N18" s="29" t="inlineStr">
        <is>
          <t>Bekliyor</t>
        </is>
      </c>
      <c r="O18" s="29" t="inlineStr">
        <is>
          <t>Fotoğraflar/sevilla_metropol-parasol-antiquarium_02.jpg</t>
        </is>
      </c>
      <c r="P18" s="29" t="inlineStr">
        <is>
          <t>Metropol Parasol'ün petek biçimli ahşap çatısının altından görünüm.</t>
        </is>
      </c>
      <c r="Q18" s="29" t="inlineStr">
        <is>
          <t>Bekliyor</t>
        </is>
      </c>
      <c r="R18" s="29" t="inlineStr">
        <is>
          <t>Wikimedia Commons dosya sayfasındaki lisans: CC BY-SA 4.0</t>
        </is>
      </c>
      <c r="S18" s="29" t="inlineStr">
        <is>
          <t>Lisans kanıtları/metropol-parasol-antiquarium-02.source-evidence.json</t>
        </is>
      </c>
      <c r="T18" s="29" t="inlineStr">
        <is>
          <t>70d628ccc072c68d00e378d9d1e608932a54e4748ea729a70b576752dd6bb93b</t>
        </is>
      </c>
      <c r="U18" s="29" t="inlineStr">
        <is>
          <t>Lisans kanıtları/metropol-parasol-antiquarium-02.license-evidence.json</t>
        </is>
      </c>
      <c r="V18" s="29" t="inlineStr">
        <is>
          <t>6fc834e8774b42f9f93a599b4128e97dc9c63246bdccea93efa7e0821f9c80f7</t>
        </is>
      </c>
      <c r="W18" s="29" t="inlineStr">
        <is>
          <t>{"source_url": "https://commons.wikimedia.org/wiki/File:%22Das_gr%C3%B6%C3%9Fte_Holzbauwerk_der_Welt%22._03.jpg", "author": "Holger Uwe Schmitt", "license": "CC BY-SA 4.0", "license_url": "https://creativecommons.org/licenses/by-sa/4.0/", "original_api_record": {"size": 8059313, "width": 3340, "height": 5785, "thumburl": "https://thumb.wikimedia.org/wikipedia/commons/thumb/9/9e/%22Das_gr%C3%B6%C3%9Fte_Holzbauwerk_der_Welt%22._03.jpg/1280px-%22Das_gr%C3%B6%C3%9Fte_Holzbauwerk_der_Welt%22._03.jpg", "thumbwidth": 1280, "thumbheight": 2217, "responsiveUrls": {"2": "https://upload.wikimedia.org/wikipedia/commons/9/9e/%22Das_gr%C3%B6%C3%9Fte_Holzbauwerk_der_Welt%22._03.jpg"}, "thumbattribs": {"src": "https://thumb.wikimedia.org/wikipedia/commons/thumb/9/9e/%22Das_gr%C3%B6%C3%9Fte_Holzbauwerk_der_Welt%22._03.jpg/1280px-%22Das_gr%C3%B6%C3%9Fte_Holzbauwerk_der_Welt%22._03.jpg", "decoding": "async", "loading": "lazy", "width": 1280, "height": 2217, "srcset": "https://upload.wikimedia.org/wikipedia/commons/9/9e/%22Das_gr%C3%B6%C3%9Fte_Holzbauwerk_der_Welt%22._03.jpg 2x"}, "url": "https://upload.wikimedia.org/wikipedia/commons/9/9e/%22Das_gr%C3%B6%C3%9Fte_Holzbauwerk_der_Welt%22._03.jpg", "descriptionurl": "https://commons.wikimedia.org/wiki/File:%22Das_gr%C3%B6%C3%9Fte_Holzbauwerk_der_Welt%22._03.jpg", "descriptionshorturl": "https://commons.wikimedia.org/w/index.php?curid=155408604", "sha1": "ec2f51b75a603d1f92cb2a2523ec5714c8e1569b", "extmetadata": {"DateTime": {"value": "2024-11-20 12:44:03", "source": "mediawiki-metadata", "hidden": ""}, "ObjectName": {"value": "\"Das größte Holzbauwerk der Welt\". 03", "source": "mediawiki-metadata"}, "CommonsMetadataExtension": {"value": 1.2, "source": "extension", "hidden": ""}, "Categories": {"value": "Metropol Parasol|Self-published work", "source": "commons-categories", "hidden": ""}, "Assessments": {"value": "", "source": "commons-categories", "hidden": ""}, "ImageDescription": {"value": "The Metropol  Parasol in Sevilla.", "source": "commons-desc-page"}, "DateTimeOriginal": {"value": "2024-10-16 15:52:46", "source": "commons-desc-page"}, "Credit": {"value": "&lt;span class=\"int-own-work\" lang=\"en\"&gt;Own work&lt;/span&gt;", "source": "commons-desc-page"}, "Artist": {"value": "&lt;a href=\"//commons.wikimedia.org/wiki/User:Holger_Uwe_Schmitt\" title=\"User:Holger Uwe Schmitt\"&gt;Holger Uwe Schmitt&lt;/a&gt;",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"https://thumb.wikimedia.org/wikipedia/commons/thumb/9/9e/%22Das_gr%C3%B6%C3%9Fte_Holzbauwerk_der_Welt%22._03.jpg/1280px-%22Das_gr%C3%B6%C3%9Fte_Holzbauwerk_der_Welt%22._03.jpg"}, "retrieved_on": "2026-10-25"}</t>
        </is>
      </c>
    </row>
    <row r="19" ht="54" customHeight="1">
      <c r="A19" s="29" t="inlineStr">
        <is>
          <t>sevilla:evidence:metropol-parasol-antiquarium-03</t>
        </is>
      </c>
      <c r="B19" s="29" t="inlineStr">
        <is>
          <t>sevilla</t>
        </is>
      </c>
      <c r="C19" s="29" t="inlineStr">
        <is>
          <t>sevilla:photo:metropol-parasol-antiquarium-03</t>
        </is>
      </c>
      <c r="D19" s="29" t="inlineStr">
        <is>
          <t>https://commons.wikimedia.org/wiki/File:%22Das_gr%C3%B6%C3%9Fte_Holzbauwerk_der_Welt%22._04.jpg</t>
        </is>
      </c>
      <c r="E19" s="29" t="inlineStr">
        <is>
          <t>File:"Das größte Holzbauwerk der Welt". 04.jpg</t>
        </is>
      </c>
      <c r="F19" s="29" t="inlineStr">
        <is>
          <t>Holger Uwe Schmitt</t>
        </is>
      </c>
      <c r="G19" s="29" t="inlineStr">
        <is>
          <t>CC BY-SA 4.0</t>
        </is>
      </c>
      <c r="H19" s="29" t="inlineStr">
        <is>
          <t>https://creativecommons.org/licenses/by-sa/4.0/</t>
        </is>
      </c>
      <c r="I19" s="29" t="inlineStr">
        <is>
          <t>Creative Commons Attribution-Share Alike 4.0</t>
        </is>
      </c>
      <c r="J19" s="29" t="inlineStr">
        <is>
          <t>Holger Uwe Schmitt · CC BY-SA 4.0 · Wikimedia Commons</t>
        </is>
      </c>
      <c r="K19" s="29" t="n"/>
      <c r="L19" s="49" t="n">
        <v>46320</v>
      </c>
      <c r="M19" s="29" t="inlineStr">
        <is>
          <t>Bekliyor</t>
        </is>
      </c>
      <c r="N19" s="29" t="inlineStr">
        <is>
          <t>Bekliyor</t>
        </is>
      </c>
      <c r="O19" s="29" t="inlineStr">
        <is>
          <t>Fotoğraflar/sevilla_metropol-parasol-antiquarium_03.jpg</t>
        </is>
      </c>
      <c r="P19" s="29" t="inlineStr">
        <is>
          <t>Metropol Parasol'ün beyaz ahşap gövdesi ve çatısı, mavi gökyüzü önünde.</t>
        </is>
      </c>
      <c r="Q19" s="29" t="inlineStr">
        <is>
          <t>Bekliyor</t>
        </is>
      </c>
      <c r="R19" s="29" t="inlineStr">
        <is>
          <t>Wikimedia Commons dosya sayfasındaki lisans: CC BY-SA 4.0</t>
        </is>
      </c>
      <c r="S19" s="29" t="inlineStr">
        <is>
          <t>Lisans kanıtları/metropol-parasol-antiquarium-03.source-evidence.json</t>
        </is>
      </c>
      <c r="T19" s="29" t="inlineStr">
        <is>
          <t>1cf756b5f2f0c176fbc343d68015dfd7e46dd53141e07b6b2f8e669fe36d8c9b</t>
        </is>
      </c>
      <c r="U19" s="29" t="inlineStr">
        <is>
          <t>Lisans kanıtları/metropol-parasol-antiquarium-03.license-evidence.json</t>
        </is>
      </c>
      <c r="V19" s="29" t="inlineStr">
        <is>
          <t>a448d07a1917fb1c84459177ec67a659d8ce4eb941fb45a0824b92bc57d7af00</t>
        </is>
      </c>
      <c r="W19" s="29" t="inlineStr">
        <is>
          <t>{"source_url": "https://commons.wikimedia.org/wiki/File:%22Das_gr%C3%B6%C3%9Fte_Holzbauwerk_der_Welt%22._04.jpg", "author": "Holger Uwe Schmitt", "license": "CC BY-SA 4.0", "license_url": "https://creativecommons.org/licenses/by-sa/4.0/", "original_api_record": {"size": 8561444, "width": 3393, "height": 6262, "thumburl": "https://thumb.wikimedia.org/wikipedia/commons/thumb/8/8f/%22Das_gr%C3%B6%C3%9Fte_Holzbauwerk_der_Welt%22._04.jpg/1280px-%22Das_gr%C3%B6%C3%9Fte_Holzbauwerk_der_Welt%22._04.jpg", "thumbwidth": 1280, "thumbheight": 2362, "responsiveUrls": {"2": "https://upload.wikimedia.org/wikipedia/commons/8/8f/%22Das_gr%C3%B6%C3%9Fte_Holzbauwerk_der_Welt%22._04.jpg"}, "thumbattribs": {"src": "https://thumb.wikimedia.org/wikipedia/commons/thumb/8/8f/%22Das_gr%C3%B6%C3%9Fte_Holzbauwerk_der_Welt%22._04.jpg/1280px-%22Das_gr%C3%B6%C3%9Fte_Holzbauwerk_der_Welt%22._04.jpg", "decoding": "async", "loading": "lazy", "width": 1280, "height": 2362, "srcset": "https://upload.wikimedia.org/wikipedia/commons/8/8f/%22Das_gr%C3%B6%C3%9Fte_Holzbauwerk_der_Welt%22._04.jpg 2x"}, "url": "https://upload.wikimedia.org/wikipedia/commons/8/8f/%22Das_gr%C3%B6%C3%9Fte_Holzbauwerk_der_Welt%22._04.jpg", "descriptionurl": "https://commons.wikimedia.org/wiki/File:%22Das_gr%C3%B6%C3%9Fte_Holzbauwerk_der_Welt%22._04.jpg", "descriptionshorturl": "https://commons.wikimedia.org/w/index.php?curid=155408606", "sha1": "60e63f26e5ca26c10ca68e233ee2d5621ba1b731", "extmetadata": {"DateTime": {"value": "2024-11-20 12:44:06", "source": "mediawiki-metadata", "hidden": ""}, "ObjectName": {"value": "\"Das größte Holzbauwerk der Welt\". 04", "source": "mediawiki-metadata"}, "CommonsMetadataExtension": {"value": 1.2, "source": "extension", "hidden": ""}, "Categories": {"value": "Metropol Parasol|Self-published work", "source": "commons-categories", "hidden": ""}, "Assessments": {"value": "", "source": "commons-categories", "hidden": ""}, "ImageDescription": {"value": "The Metropol  Parasol in Sevilla.", "source": "commons-desc-page"}, "DateTimeOriginal": {"value": "2024-10-16 15:53:43", "source": "commons-desc-page"}, "Credit": {"value": "&lt;span class=\"int-own-work\" lang=\"en\"&gt;Own work&lt;/span&gt;", "source": "commons-desc-page"}, "Artist": {"value": "&lt;a href=\"//commons.wikimedia.org/wiki/User:Holger_Uwe_Schmitt\" title=\"User:Holger Uwe Schmitt\"&gt;Holger Uwe Schmitt&lt;/a&gt;",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"https://thumb.wikimedia.org/wikipedia/commons/thumb/8/8f/%22Das_gr%C3%B6%C3%9Fte_Holzbauwerk_der_Welt%22._04.jpg/1280px-%22Das_gr%C3%B6%C3%9Fte_Holzbauwerk_der_Welt%22._04.jpg"}, "retrieved_on": "2026-10-25"}</t>
        </is>
      </c>
    </row>
    <row r="20" ht="54" customHeight="1">
      <c r="A20" s="29" t="inlineStr">
        <is>
          <t>sevilla:evidence:palacio-de-san-telmo-01</t>
        </is>
      </c>
      <c r="B20" s="29" t="inlineStr">
        <is>
          <t>sevilla</t>
        </is>
      </c>
      <c r="C20" s="29" t="inlineStr">
        <is>
          <t>sevilla:photo:palacio-de-san-telmo-01</t>
        </is>
      </c>
      <c r="D20" s="29" t="inlineStr">
        <is>
          <t>https://commons.wikimedia.org/wiki/File:Architecture-town-building-palace-city-cityscape-338083.jpg</t>
        </is>
      </c>
      <c r="E20" s="29" t="inlineStr">
        <is>
          <t>File:Architecture-town-building-palace-city-cityscape-338083.jpg</t>
        </is>
      </c>
      <c r="F20" s="29" t="inlineStr">
        <is>
          <t>Unknown author Unknown author</t>
        </is>
      </c>
      <c r="G20" s="29" t="inlineStr">
        <is>
          <t>CC0 1.0</t>
        </is>
      </c>
      <c r="H20" s="29" t="inlineStr">
        <is>
          <t>https://creativecommons.org/publicdomain/zero/1.0/</t>
        </is>
      </c>
      <c r="I20" s="29" t="inlineStr">
        <is>
          <t>Creative Commons Zero, Public Domain Dedication</t>
        </is>
      </c>
      <c r="J20" s="29" t="inlineStr">
        <is>
          <t>Unknown author Unknown author · CC0 1.0 · Wikimedia Commons</t>
        </is>
      </c>
      <c r="K20" s="29" t="n"/>
      <c r="L20" s="49" t="n">
        <v>46320</v>
      </c>
      <c r="M20" s="29" t="inlineStr">
        <is>
          <t>Bekliyor</t>
        </is>
      </c>
      <c r="N20" s="29" t="inlineStr">
        <is>
          <t>Bekliyor</t>
        </is>
      </c>
      <c r="O20" s="29" t="inlineStr">
        <is>
          <t>Fotoğraflar/sevilla_palacio-de-san-telmo_01.jpg</t>
        </is>
      </c>
      <c r="P20" s="29" t="inlineStr">
        <is>
          <t>San Telmo Sarayı'nın barok taş giriş cephesi.</t>
        </is>
      </c>
      <c r="Q20" s="29" t="inlineStr">
        <is>
          <t>Bekliyor</t>
        </is>
      </c>
      <c r="R20" s="29" t="inlineStr">
        <is>
          <t>Wikimedia Commons dosya sayfasındaki lisans: CC0 1.0</t>
        </is>
      </c>
      <c r="S20" s="29" t="inlineStr">
        <is>
          <t>Lisans kanıtları/palacio-de-san-telmo-01.source-evidence.json</t>
        </is>
      </c>
      <c r="T20" s="29" t="inlineStr">
        <is>
          <t>72aab0f43b6b3ce6e89c3681110f4eb15f009dae0a7be511234ff0c8a7ec5be3</t>
        </is>
      </c>
      <c r="U20" s="29" t="inlineStr">
        <is>
          <t>Lisans kanıtları/palacio-de-san-telmo-01.license-evidence.json</t>
        </is>
      </c>
      <c r="V20" s="29" t="inlineStr">
        <is>
          <t>e7ecbf790b07409c15fa14ec28d4e5449ceae4f9be3826939a1d51f4e6e5b7f6</t>
        </is>
      </c>
      <c r="W20" s="29" t="inlineStr">
        <is>
          <t>{"source_url": "https://commons.wikimedia.org/wiki/File:Architecture-town-building-palace-city-cityscape-338083.jpg", "author": "Unknown author Unknown author", "license": "CC0 1.0", "license_url": "https://creativecommons.org/publicdomain/zero/1.0/", "original_api_record": {"size": 11535594, "width": 3456, "height": 5184, "thumburl": "https://thumb.wikimedia.org/wikipedia/commons/thumb/f/f8/Architecture-town-building-palace-city-cityscape-338083.jpg/1280px-Architecture-town-building-palace-city-cityscape-338083.jpg", "thumbwidth": 1280, "thumbheight": 1920, "responsiveUrls": {"2": "https://upload.wikimedia.org/wikipedia/commons/f/f8/Architecture-town-building-palace-city-cityscape-338083.jpg"}, "thumbattribs": {"src": "https://thumb.wikimedia.org/wikipedia/commons/thumb/f/f8/Architecture-town-building-palace-city-cityscape-338083.jpg/1280px-Architecture-town-building-palace-city-cityscape-338083.jpg", "decoding": "async", "loading": "lazy", "width": 1280, "height": 1920, "srcset": "https://upload.wikimedia.org/wikipedia/commons/f/f8/Architecture-town-building-palace-city-cityscape-338083.jpg 2x"}, "url": "https://upload.wikimedia.org/wikipedia/commons/f/f8/Architecture-town-building-palace-city-cityscape-338083.jpg", "descriptionurl": "https://commons.wikimedia.org/wiki/File:Architecture-town-building-palace-city-cityscape-338083.jpg", "descriptionshorturl": "https://commons.wikimedia.org/w/index.php?curid=164582348", "sha1": "713de47e1c9aa1402ad9cfb312130f18d99ab424", "extmetadata": {"DateTime": {"value": "2025-05-03 00:53:14", "source": "mediawiki-metadata", "hidden": ""}, "ObjectName": {"value": "Architecture-town-building-palace-city-cityscape-338083", "source": "mediawiki-metadata"}, "CommonsMetadataExtension": {"value": 1.2, "source": "extension", "hidden": ""}, "Categories": {"value": "Palacio de San Telmo|CC-Zero|Template Unknown (author)", "source": "commons-categories", "hidden": ""}, "Assessments": {"value": "", "source": "commons-categories", "hidden": ""}, "ImageDescription": {"value": "Palacio de San Telmo, Sevilla, España", "source": "commons-desc-page"}, "DateTimeOriginal": {"value": "01/12/2017", "source": "commons-desc-page"}, "Credit": {"value": "&lt;a rel=\"nofollow\" class=\"external free\" href=\"https://pxhere.com/es/photo/338083\"&gt;https://pxhere.com/es/photo/338083&lt;/a&gt;", "source": "commons-desc-page"}, "Artist": {"value": "Unknown author&lt;span style=\"display: none;\"&gt;Unknown author&lt;/span&gt;",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"https://thumb.wikimedia.org/wikipedia/commons/thumb/f/f8/Architecture-town-building-palace-city-cityscape-338083.jpg/1280px-Architecture-town-building-palace-city-cityscape-338083.jpg"}, "retrieved_on": "2026-10-25"}</t>
        </is>
      </c>
    </row>
    <row r="21" ht="54" customHeight="1">
      <c r="A21" s="29" t="inlineStr">
        <is>
          <t>sevilla:evidence:palacio-de-san-telmo-02</t>
        </is>
      </c>
      <c r="B21" s="29" t="inlineStr">
        <is>
          <t>sevilla</t>
        </is>
      </c>
      <c r="C21" s="29" t="inlineStr">
        <is>
          <t>sevilla:photo:palacio-de-san-telmo-02</t>
        </is>
      </c>
      <c r="D21" s="29" t="inlineStr">
        <is>
          <t>https://commons.wikimedia.org/wiki/File:Palacio_San_Telmo_de_Sevilla.jpg</t>
        </is>
      </c>
      <c r="E21" s="29" t="inlineStr">
        <is>
          <t>File:Palacio San Telmo de Sevilla.jpg</t>
        </is>
      </c>
      <c r="F21" s="29" t="inlineStr">
        <is>
          <t>PEPE GADEIRAS</t>
        </is>
      </c>
      <c r="G21" s="29" t="inlineStr">
        <is>
          <t>CC BY-SA 4.0</t>
        </is>
      </c>
      <c r="H21" s="29" t="inlineStr">
        <is>
          <t>https://creativecommons.org/licenses/by-sa/4.0/</t>
        </is>
      </c>
      <c r="I21" s="29" t="inlineStr">
        <is>
          <t>Creative Commons Attribution-Share Alike 4.0</t>
        </is>
      </c>
      <c r="J21" s="29" t="inlineStr">
        <is>
          <t>PEPE GADEIRAS · CC BY-SA 4.0 · Wikimedia Commons</t>
        </is>
      </c>
      <c r="K21" s="29" t="n"/>
      <c r="L21" s="49" t="n">
        <v>46320</v>
      </c>
      <c r="M21" s="29" t="inlineStr">
        <is>
          <t>Bekliyor</t>
        </is>
      </c>
      <c r="N21" s="29" t="inlineStr">
        <is>
          <t>Bekliyor</t>
        </is>
      </c>
      <c r="O21" s="29" t="inlineStr">
        <is>
          <t>Fotoğraflar/sevilla_palacio-de-san-telmo_02.jpg</t>
        </is>
      </c>
      <c r="P21" s="29" t="inlineStr">
        <is>
          <t>San Telmo Sarayı'nın kırmızı-sarı uzun cephesi ve önündeki kaldırım.</t>
        </is>
      </c>
      <c r="Q21" s="29" t="inlineStr">
        <is>
          <t>Bekliyor</t>
        </is>
      </c>
      <c r="R21" s="29" t="inlineStr">
        <is>
          <t>Wikimedia Commons dosya sayfasındaki lisans: CC BY-SA 4.0</t>
        </is>
      </c>
      <c r="S21" s="29" t="inlineStr">
        <is>
          <t>Lisans kanıtları/palacio-de-san-telmo-02.source-evidence.json</t>
        </is>
      </c>
      <c r="T21" s="29" t="inlineStr">
        <is>
          <t>18c4e83bf6c08472ecaa81f121148144566f9569e903ddafeba5da61a4a9d408</t>
        </is>
      </c>
      <c r="U21" s="29" t="inlineStr">
        <is>
          <t>Lisans kanıtları/palacio-de-san-telmo-02.license-evidence.json</t>
        </is>
      </c>
      <c r="V21" s="29" t="inlineStr">
        <is>
          <t>5161cd6b4d96fc7cf0c952b511179a9bb885f148b41d55cc04b103c8f38203a5</t>
        </is>
      </c>
      <c r="W21" s="29" t="inlineStr">
        <is>
          <t>{"source_url": "https://commons.wikimedia.org/wiki/File:Palacio_San_Telmo_de_Sevilla.jpg", "author": "PEPE GADEIRAS", "license": "CC BY-SA 4.0", "license_url": "https://creativecommons.org/licenses/by-sa/4.0/", "original_api_record": {"size": 11715617, "width": 5184, "height": 3456, "thumburl": "https://thumb.wikimedia.org/wikipedia/commons/thumb/1/16/Palacio_San_Telmo_de_Sevilla.jpg/1280px-Palacio_San_Telmo_de_Sevilla.jpg", "thumbwidth": 1280, "thumbheight": 853, "responsiveUrls": {"2": "https://thumb.wikimedia.org/wikipedia/commons/thumb/1/16/Palacio_San_Telmo_de_Sevilla.jpg/3840px-Palacio_San_Telmo_de_Sevilla.jpg"}, "thumbattribs": {"src": "https://thumb.wikimedia.org/wikipedia/commons/thumb/1/16/Palacio_San_Telmo_de_Sevilla.jpg/1280px-Palacio_San_Telmo_de_Sevilla.jpg", "decoding": "async", "loading": "lazy", "width": 1280, "height": 853, "srcset": "https://thumb.wikimedia.org/wikipedia/commons/thumb/1/16/Palacio_San_Telmo_de_Sevilla.jpg/3840px-Palacio_San_Telmo_de_Sevilla.jpg 2x"}, "url": "https://upload.wikimedia.org/wikipedia/commons/1/16/Palacio_San_Telmo_de_Sevilla.jpg", "descriptionurl": "https://commons.wikimedia.org/wiki/File:Palacio_San_Telmo_de_Sevilla.jpg", "descriptionshorturl": "https://commons.wikimedia.org/w/index.php?curid=179739979", "sha1": "3c101a803805e5db4b0dc9bcb5d1f232c08db93d", "extmetadata": {"DateTime": {"value": "2025-12-11 21:44:38", "source": "mediawiki-metadata", "hidden": ""}, "ObjectName": {"value": "Palacio San Telmo de Sevilla", "source": "mediawiki-metadata"}, "CommonsMetadataExtension": {"value": 1.2, "source": "extension", "hidden": ""}, "Categories": {"value": "Palacio de San Telmo|Self-published work", "source": "commons-categories", "hidden": ""}, "Assessments": {"value": "", "source": "commons-categories", "hidden": ""}, "ImageDescription": {"value": "The San Telmo Palace is the seat of the Presidency of the Andalusian Government. It is a Baroque building located in Seville, built between the 17th and 18th centuries to serve as the headquarters of a school for sailors.", "source": "commons-desc-page"}, "DateTimeOriginal": {"value": "2011-04-17 14:32:08", "source": "commons-desc-page"}, "Credit": {"value": "&lt;span class=\"int-own-work\" lang=\"en\"&gt;Own work&lt;/span&gt;", "source": "commons-desc-page"}, "Artist": {"value": "&lt;a href=\"//commons.wikimedia.org/w/index.php?title=User:PEPE_GADEIRAS&amp;amp;action=edit&amp;amp;redlink=1\" class=\"new\" title=\"User:PEPE GADEIRAS (page does not exist)\"&gt;PEPE GADEIRAS&lt;/a&gt;",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"https://thumb.wikimedia.org/wikipedia/commons/thumb/1/16/Palacio_San_Telmo_de_Sevilla.jpg/1280px-Palacio_San_Telmo_de_Sevilla.jpg"}, "retrieved_on": "2026-10-25"}</t>
        </is>
      </c>
    </row>
    <row r="22" ht="54" customHeight="1">
      <c r="A22" s="29" t="inlineStr">
        <is>
          <t>sevilla:evidence:basilica-del-gran-poder-01</t>
        </is>
      </c>
      <c r="B22" s="29" t="inlineStr">
        <is>
          <t>sevilla</t>
        </is>
      </c>
      <c r="C22" s="29" t="inlineStr">
        <is>
          <t>sevilla:photo:basilica-del-gran-poder-01</t>
        </is>
      </c>
      <c r="D22" s="29" t="inlineStr">
        <is>
          <t>https://commons.wikimedia.org/wiki/File:Bas%C3%ADlica_del_Gran_Poder.jpg</t>
        </is>
      </c>
      <c r="E22" s="29" t="inlineStr">
        <is>
          <t>File:Basílica del Gran Poder.jpg</t>
        </is>
      </c>
      <c r="F22" s="29" t="inlineStr">
        <is>
          <t>CarlosVdeHabsburgo</t>
        </is>
      </c>
      <c r="G22" s="29" t="inlineStr">
        <is>
          <t>CC BY-SA 4.0</t>
        </is>
      </c>
      <c r="H22" s="29" t="inlineStr">
        <is>
          <t>https://creativecommons.org/licenses/by-sa/4.0/</t>
        </is>
      </c>
      <c r="I22" s="29" t="inlineStr">
        <is>
          <t>Creative Commons Attribution-Share Alike 4.0</t>
        </is>
      </c>
      <c r="J22" s="29" t="inlineStr">
        <is>
          <t>CarlosVdeHabsburgo · CC BY-SA 4.0 · Wikimedia Commons</t>
        </is>
      </c>
      <c r="K22" s="29" t="n"/>
      <c r="L22" s="49" t="n">
        <v>46320</v>
      </c>
      <c r="M22" s="29" t="inlineStr">
        <is>
          <t>Bekliyor</t>
        </is>
      </c>
      <c r="N22" s="29" t="inlineStr">
        <is>
          <t>Bekliyor</t>
        </is>
      </c>
      <c r="O22" s="29" t="inlineStr">
        <is>
          <t>Fotoğraflar/sevilla_basilica-del-gran-poder_01.jpg</t>
        </is>
      </c>
      <c r="P22" s="29" t="inlineStr">
        <is>
          <t>Gran Poder Bazilikası'nın meydana bakan beyaz taş cephesi ve portakal ağaçları.</t>
        </is>
      </c>
      <c r="Q22" s="29" t="inlineStr">
        <is>
          <t>Bekliyor</t>
        </is>
      </c>
      <c r="R22" s="29" t="inlineStr">
        <is>
          <t>Wikimedia Commons dosya sayfasındaki lisans: CC BY-SA 4.0</t>
        </is>
      </c>
      <c r="S22" s="29" t="inlineStr">
        <is>
          <t>Lisans kanıtları/basilica-del-gran-poder-01.source-evidence.json</t>
        </is>
      </c>
      <c r="T22" s="29" t="inlineStr">
        <is>
          <t>f2014eb43ec08cbb0bbaaea432ada21b16fa9f97fb7b61fc3c8d5b8f70af97ba</t>
        </is>
      </c>
      <c r="U22" s="29" t="inlineStr">
        <is>
          <t>Lisans kanıtları/basilica-del-gran-poder-01.license-evidence.json</t>
        </is>
      </c>
      <c r="V22" s="29" t="inlineStr">
        <is>
          <t>a8ba429a12c63d0d810669f0143d096ad43a4c84a43a8334684aa3ea1e0ba7b3</t>
        </is>
      </c>
      <c r="W22" s="29" t="inlineStr">
        <is>
          <t>{"source_url": "https://commons.wikimedia.org/wiki/File:Bas%C3%ADlica_del_Gran_Poder.jpg", "author": "CarlosVdeHabsburgo", "license": "CC BY-SA 4.0", "license_url": "https://creativecommons.org/licenses/by-sa/4.0/", "original_api_record": {"size": 5771565, "width": 4320, "height": 3240, "thumburl": "https://thumb.wikimedia.org/wikipedia/commons/thumb/8/8e/Bas%C3%ADlica_del_Gran_Poder.jpg/1280px-Bas%C3%ADlica_del_Gran_Poder.jpg", "thumbwidth": 1280, "thumbheight": 960, "responsiveUrls": {"2": "https://thumb.wikimedia.org/wikipedia/commons/thumb/8/8e/Bas%C3%ADlica_del_Gran_Poder.jpg/3840px-Bas%C3%ADlica_del_Gran_Poder.jpg"}, "thumbattribs": {"src": "https://thumb.wikimedia.org/wikipedia/commons/thumb/8/8e/Bas%C3%ADlica_del_Gran_Poder.jpg/1280px-Bas%C3%ADlica_del_Gran_Poder.jpg", "decoding": "async", "loading": "lazy", "width": 1280, "height": 960, "srcset": "https://thumb.wikimedia.org/wikipedia/commons/thumb/8/8e/Bas%C3%ADlica_del_Gran_Poder.jpg/3840px-Bas%C3%ADlica_del_Gran_Poder.jpg 2x"}, "url": "https://upload.wikimedia.org/wikipedia/commons/8/8e/Bas%C3%ADlica_del_Gran_Poder.jpg", "descriptionurl": "https://commons.wikimedia.org/wiki/File:Bas%C3%ADlica_del_Gran_Poder.jpg", "descriptionshorturl": "https://commons.wikimedia.org/w/index.php?curid=58425651", "sha1": "baa126b9fc8588803980eee16dee7e5eba792d61", "extmetadata": {"DateTime": {"value": "2017-05-01 19:23:42", "source": "mediawiki-metadata", "hidden": ""}, "ObjectName": {"value": "Basílica del Gran Poder", "source": "mediawiki-metadata"}, "CommonsMetadataExtension": {"value": 1.2, "source": "extension", "hidden": ""}, "Categories": {"value": "Self-published work|Exterior de la basílica menor de Jesús del Gran Poder, Sevilla", "source": "commons-categories", "hidden": ""}, "Assessments": {"value": "", "source": "commons-categories", "hidden": ""}, "ImageDescription": {"value": "Basílica del Gran Poder. Sevilla, Andalucía, España.", "source": "commons-desc-page"}, "DateTimeOriginal": {"value": "2017-04-30 15:49:18",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"https://thumb.wikimedia.org/wikipedia/commons/thumb/8/8e/Bas%C3%ADlica_del_Gran_Poder.jpg/1280px-Bas%C3%ADlica_del_Gran_Poder.jpg"}, "retrieved_on": "2026-10-25"}</t>
        </is>
      </c>
    </row>
    <row r="23" ht="54" customHeight="1">
      <c r="A23" s="29" t="inlineStr">
        <is>
          <t>sevilla:evidence:basilica-del-gran-poder-02</t>
        </is>
      </c>
      <c r="B23" s="29" t="inlineStr">
        <is>
          <t>sevilla</t>
        </is>
      </c>
      <c r="C23" s="29" t="inlineStr">
        <is>
          <t>sevilla:photo:basilica-del-gran-poder-02</t>
        </is>
      </c>
      <c r="D23" s="29" t="inlineStr">
        <is>
          <t>https://commons.wikimedia.org/wiki/File:Fachada_de_la_bas%C3%ADlica.JPG</t>
        </is>
      </c>
      <c r="E23" s="29" t="inlineStr">
        <is>
          <t>File:Fachada de la basílica.JPG</t>
        </is>
      </c>
      <c r="F23" s="29" t="inlineStr">
        <is>
          <t>Pirado</t>
        </is>
      </c>
      <c r="G23" s="29" t="inlineStr">
        <is>
          <t>Public domain</t>
        </is>
      </c>
      <c r="H23" s="29" t="inlineStr">
        <is>
          <t>https://commons.wikimedia.org/wiki/File:Fachada_de_la_bas%C3%ADlica.JPG</t>
        </is>
      </c>
      <c r="I23" s="29" t="inlineStr">
        <is>
          <t>Public domain</t>
        </is>
      </c>
      <c r="J23" s="29" t="inlineStr">
        <is>
          <t>Pirado · Public domain · Wikimedia Commons</t>
        </is>
      </c>
      <c r="K23" s="29" t="n"/>
      <c r="L23" s="49" t="n">
        <v>46320</v>
      </c>
      <c r="M23" s="29" t="inlineStr">
        <is>
          <t>Bekliyor</t>
        </is>
      </c>
      <c r="N23" s="29" t="inlineStr">
        <is>
          <t>Bekliyor</t>
        </is>
      </c>
      <c r="O23" s="29" t="inlineStr">
        <is>
          <t>Fotoğraflar/sevilla_basilica-del-gran-poder_02.jpg</t>
        </is>
      </c>
      <c r="P23" s="29" t="inlineStr">
        <is>
          <t>Gran Poder Bazilikası'nın barok giriş kapısı ve çan kulesi.</t>
        </is>
      </c>
      <c r="Q23" s="29" t="inlineStr">
        <is>
          <t>Bekliyor</t>
        </is>
      </c>
      <c r="R23" s="29" t="inlineStr">
        <is>
          <t>Wikimedia Commons dosya sayfasındaki lisans: Public domain</t>
        </is>
      </c>
      <c r="S23" s="29" t="inlineStr">
        <is>
          <t>Lisans kanıtları/basilica-del-gran-poder-02.source-evidence.json</t>
        </is>
      </c>
      <c r="T23" s="29" t="inlineStr">
        <is>
          <t>fdb3a53c5ca23c06c7e9d576c7c772dc45ad4478c1a179dff7448721aba1d856</t>
        </is>
      </c>
      <c r="U23" s="29" t="inlineStr">
        <is>
          <t>Lisans kanıtları/basilica-del-gran-poder-02.license-evidence.json</t>
        </is>
      </c>
      <c r="V23" s="29" t="inlineStr">
        <is>
          <t>aa6a165870453d4a930c265c06e02067a0875460e471a11e7555e5150fdbd774</t>
        </is>
      </c>
      <c r="W23" s="29" t="inlineStr">
        <is>
          <t>{"source_url": "https://commons.wikimedia.org/wiki/File:Fachada_de_la_bas%C3%ADlica.JPG", "author": "Pirado", "license": "Public domain", "license_url": "https://commons.wikimedia.org/wiki/File:Fachada_de_la_bas%C3%ADlica.JPG", "original_api_record": {"size": 1563542, "width": 3072, "height": 2304, "thumburl": "https://thumb.wikimedia.org/wikipedia/commons/thumb/1/17/Fachada_de_la_bas%C3%ADlica.JPG/1280px-Fachada_de_la_bas%C3%ADlica.JPG", "thumbwidth": 1280, "thumbheight": 960, "responsiveUrls": {"2": "https://upload.wikimedia.org/wikipedia/commons/1/17/Fachada_de_la_bas%C3%ADlica.JPG"}, "thumbattribs": {"src": "https://thumb.wikimedia.org/wikipedia/commons/thumb/1/17/Fachada_de_la_bas%C3%ADlica.JPG/1280px-Fachada_de_la_bas%C3%ADlica.JPG", "decoding": "async", "loading": "lazy", "width": 1280, "height": 960, "srcset": "https://upload.wikimedia.org/wikipedia/commons/1/17/Fachada_de_la_bas%C3%ADlica.JPG 2x"}, "url": "https://upload.wikimedia.org/wikipedia/commons/1/17/Fachada_de_la_bas%C3%ADlica.JPG", "descriptionurl": "https://commons.wikimedia.org/wiki/File:Fachada_de_la_bas%C3%ADlica.JPG", "descriptionshorturl": "https://commons.wikimedia.org/w/index.php?curid=3465098", "sha1": "9cbab5659cbca9f6ce9ec00440f3c0b815204bc1", "extmetadata": {"DateTime": {"value": "2008-01-27 19:43:04", "source": "mediawiki-metadata", "hidden": ""}, "ObjectName": {"value": "Fachada de la basílica", "source": "mediawiki-metadata"}, "CommonsMetadataExtension": {"value": 1.2, "source": "extension", "hidden": ""}, "Categories": {"value": "Self-published work|PD-self|Church portals in the province of Seville|Exterior de la basílica menor de Jesús del Gran Poder, Sevilla", "source": "commons-categories", "hidden": ""}, "Assessments": {"value": "", "source": "commons-categories", "hidden": ""}, "ImageDescription": {"value": "Detalle de la fachada de la &lt;a href=\"https://es.wikipedia.org/wiki/Bas%C3%ADlica_menor_de_Jes%C3%BAs_del_Gran_Poder_de_Sevilla\" class=\"extiw\" title=\"es:Basílica menor de Jesús del Gran Poder de Sevilla\"&gt;Basílica menor de Jesús del Gran Poder de Sevilla&lt;/a&gt;, (&lt;a href=\"//commons.wikimedia.org/wiki/Espa%C3%B1a\" title=\"España\"&gt;España&lt;/a&gt;).", "source": "commons-desc-page"}, "Credit": {"value": "&lt;span class=\"int-own-work\" lang=\"en\"&gt;Own work&lt;/span&gt;", "source": "commons-desc-page"}, "Artist": {"value": "&lt;a href=\"//commons.wikimedia.org/wiki/User:Pirado\" title=\"User:Pirado\"&gt;Pirado&lt;/a&gt;", "source": "commons-desc-page"}, "Permission": {"value": "&lt;table class=\"licensetpl\" style=\"display:none\"&gt;\n&lt;tbody&gt;&lt;tr&gt;\n&lt;td&gt;&lt;span class=\"licensetpl_short\"&gt;Public domain&lt;/span&gt;&lt;span class=\"licensetpl_long\"&gt;Public domain&lt;/span&gt;&lt;span class=\"licensetpl_link_req\"&gt;false&lt;/span&gt;&lt;span class=\"licensetpl_attr_req\"&gt;false&lt;/span&gt;\n&lt;/td&gt;&lt;/tr&gt;&lt;/tbody&gt;&lt;/table&gt;\n&lt;table style=\"width: 100%; clear: both; margin: 0.5em auto; background-color: var(--background-color-progressive-subtle, #f7f8ff); color: var(--color-base, #202122); border: var(--border-subtle, 2px solid #8888aa); border-spacing: 8px; padding: 0px;\" dir=\"ltr\" class=\"layouttemplate\" lang=\"en\"&gt;\n&lt;tbody&gt;&lt;tr&gt;\n&lt;td&gt;&lt;span typeof=\"mw:File\"&gt;&lt;span title=\"Public domain\"&gt;&lt;img alt=\"Public domain\" src=\"https://thumb.wikimedia.org/wikipedia/commons/thumb/6/62/PD-icon.svg/120px-PD-icon.svg.png?utm_source=commons.wikimedia.org&amp;amp;utm_campaign=parser&amp;amp;utm_content=thumbnail\" decoding=\"async\" loading=\"lazy\" width=\"64\" height=\"64\" class=\"mw-file-element\" srcset=\"https://thumb.wikimedia.org/wikipedia/commons/thumb/6/62/PD-icon.svg/250px-PD-icon.svg.png?utm_source=commons.wikimedia.org&amp;amp;utm_campaign=parser&amp;amp;utm_content=thumbnail 2x\" data-file-width=\"196\" data-file-height=\"196\"&gt;&lt;/span&gt;&lt;/span&gt;\n&lt;/td&gt;\n&lt;td&gt;I, the copyright holder of this work, release this work into the &lt;b&gt;&lt;a href=\"https://en.wikipedia.org/wiki/en:public_domain\" class=\"extiw\" title=\"w:en:public domain\"&gt;public domain&lt;/a&gt;&lt;/b&gt;. This applies worldwide.&lt;br&gt;&lt;small&gt;In some countries this may not be legally possible; if so:&lt;/small&gt;&lt;br&gt;&lt;i&gt;I grant anyone the right to use this work &lt;b&gt;for any purpose&lt;/b&gt;, without any conditions, unless such conditions are required by law.&lt;/i&gt;\n&lt;/td&gt;&lt;/tr&gt;&lt;/tbody&gt;&lt;/table&gt;", "source": "commons-desc-page", "hidden": ""}, "LicenseShortName": {"value": "Public domain", "source": "commons-desc-page", "hidden": ""}, "UsageTerms": {"value": "Public domain", "source": "commons-desc-page"}, "AttributionRequired": {"value": "false", "source": "commons-desc-page", "hidden": ""}, "Copyrighted": {"value": "False", "source": "commons-desc-page", "hidden": ""}, "Restrictions": {"value": "", "source": "commons-desc-page", "hidden": ""}, "License": {"value": "pd", "source": "commons-templates", "hidden": ""}}, "mime": "image/jpeg"}, "delivered_file": {"url": "https://thumb.wikimedia.org/wikipedia/commons/thumb/1/17/Fachada_de_la_bas%C3%ADlica.JPG/1280px-Fachada_de_la_bas%C3%ADlica.JPG"}, "retrieved_on": "2026-10-25"}</t>
        </is>
      </c>
    </row>
    <row r="24" ht="54" customHeight="1">
      <c r="A24" s="29" t="inlineStr">
        <is>
          <t>sevilla:evidence:basilica-del-gran-poder-03</t>
        </is>
      </c>
      <c r="B24" s="29" t="inlineStr">
        <is>
          <t>sevilla</t>
        </is>
      </c>
      <c r="C24" s="29" t="inlineStr">
        <is>
          <t>sevilla:photo:basilica-del-gran-poder-03</t>
        </is>
      </c>
      <c r="D24" s="29" t="inlineStr">
        <is>
          <t>https://commons.wikimedia.org/wiki/File:%C3%93rgano_(Gran_Poder).jpg</t>
        </is>
      </c>
      <c r="E24" s="29" t="inlineStr">
        <is>
          <t>File:Órgano (Gran Poder).jpg</t>
        </is>
      </c>
      <c r="F24" s="29" t="inlineStr">
        <is>
          <t>CarlosVdeHabsburgo</t>
        </is>
      </c>
      <c r="G24" s="29" t="inlineStr">
        <is>
          <t>CC BY-SA 4.0</t>
        </is>
      </c>
      <c r="H24" s="29" t="inlineStr">
        <is>
          <t>https://creativecommons.org/licenses/by-sa/4.0/</t>
        </is>
      </c>
      <c r="I24" s="29" t="inlineStr">
        <is>
          <t>Creative Commons Attribution-Share Alike 4.0</t>
        </is>
      </c>
      <c r="J24" s="29" t="inlineStr">
        <is>
          <t>CarlosVdeHabsburgo · CC BY-SA 4.0 · Wikimedia Commons</t>
        </is>
      </c>
      <c r="K24" s="29" t="n"/>
      <c r="L24" s="49" t="n">
        <v>46320</v>
      </c>
      <c r="M24" s="29" t="inlineStr">
        <is>
          <t>Bekliyor</t>
        </is>
      </c>
      <c r="N24" s="29" t="inlineStr">
        <is>
          <t>Bekliyor</t>
        </is>
      </c>
      <c r="O24" s="29" t="inlineStr">
        <is>
          <t>Fotoğraflar/sevilla_basilica-del-gran-poder_03.jpg</t>
        </is>
      </c>
      <c r="P24" s="29" t="inlineStr">
        <is>
          <t>Gran Poder Bazilikası'nın içinde kubbe altında yükselen org.</t>
        </is>
      </c>
      <c r="Q24" s="29" t="inlineStr">
        <is>
          <t>Bekliyor</t>
        </is>
      </c>
      <c r="R24" s="29" t="inlineStr">
        <is>
          <t>Wikimedia Commons dosya sayfasındaki lisans: CC BY-SA 4.0</t>
        </is>
      </c>
      <c r="S24" s="29" t="inlineStr">
        <is>
          <t>Lisans kanıtları/basilica-del-gran-poder-03.source-evidence.json</t>
        </is>
      </c>
      <c r="T24" s="29" t="inlineStr">
        <is>
          <t>90c47d036b854f395d8cbb11b08c0bc17824466209b5ba8a0f1eeacff21d4feb</t>
        </is>
      </c>
      <c r="U24" s="29" t="inlineStr">
        <is>
          <t>Lisans kanıtları/basilica-del-gran-poder-03.license-evidence.json</t>
        </is>
      </c>
      <c r="V24" s="29" t="inlineStr">
        <is>
          <t>d4cd419c1b9e9f9f82f973b927de3e93e1ea9e5bb5d7b837d042479b3a3fc429</t>
        </is>
      </c>
      <c r="W24" s="29" t="inlineStr">
        <is>
          <t>{"source_url": "https://commons.wikimedia.org/wiki/File:%C3%93rgano_(Gran_Poder).jpg", "author": "CarlosVdeHabsburgo", "license": "CC BY-SA 4.0", "license_url": "https://creativecommons.org/licenses/by-sa/4.0/", "original_api_record": {"size": 4781242, "width": 3013, "height": 4320, "thumburl": "https://thumb.wikimedia.org/wikipedia/commons/thumb/5/50/%C3%93rgano_%28Gran_Poder%29.jpg/1280px-%C3%93rgano_%28Gran_Poder%29.jpg", "thumbwidth": 1280, "thumbheight": 1835, "responsiveUrls": {"2": "https://upload.wikimedia.org/wikipedia/commons/5/50/%C3%93rgano_%28Gran_Poder%29.jpg"}, "thumbattribs": {"src": "https://thumb.wikimedia.org/wikipedia/commons/thumb/5/50/%C3%93rgano_%28Gran_Poder%29.jpg/1280px-%C3%93rgano_%28Gran_Poder%29.jpg", "decoding": "async", "loading": "lazy", "width": 1280, "height": 1835, "srcset": "https://upload.wikimedia.org/wikipedia/commons/5/50/%C3%93rgano_%28Gran_Poder%29.jpg 2x"}, "url": "https://upload.wikimedia.org/wikipedia/commons/5/50/%C3%93rgano_%28Gran_Poder%29.jpg", "descriptionurl": "https://commons.wikimedia.org/wiki/File:%C3%93rgano_(Gran_Poder).jpg", "descriptionshorturl": "https://commons.wikimedia.org/w/index.php?curid=74712594", "sha1": "275c6da56b87d37f621549890e2aa7b6c1c5d2d9", "extmetadata": {"DateTime": {"value": "2018-11-28 00:52:54", "source": "mediawiki-metadata", "hidden": ""}, "ObjectName": {"value": "Órgano (Gran Poder)", "source": "mediawiki-metadata"}, "CommonsMetadataExtension": {"value": 1.2, "source": "extension", "hidden": ""}, "Categories": {"value": "Self-published work|Interior de la basílica menor de Jesús del Gran Poder, Sevilla|Pipe organs in Seville", "source": "commons-categories", "hidden": ""}, "Assessments": {"value": "", "source": "commons-categories", "hidden": ""}, "ImageDescription": {"value": "Órgano. Basílica del Gran Poder. Sevilla, Andalucía, España.", "source": "commons-desc-page"}, "DateTimeOriginal": {"value": "2018-11-27 17:44:38",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"https://thumb.wikimedia.org/wikipedia/commons/thumb/5/50/%C3%93rgano_%28Gran_Poder%29.jpg/1280px-%C3%93rgano_%28Gran_Poder%29.jpg"}, "retrieved_on": "2026-10-25"}</t>
        </is>
      </c>
    </row>
    <row r="25" ht="54" customHeight="1">
      <c r="A25" s="29" t="inlineStr">
        <is>
          <t>sevilla:evidence:capilla-de-los-marineros-01</t>
        </is>
      </c>
      <c r="B25" s="29" t="inlineStr">
        <is>
          <t>sevilla</t>
        </is>
      </c>
      <c r="C25" s="29" t="inlineStr">
        <is>
          <t>sevilla:photo:capilla-de-los-marineros-01</t>
        </is>
      </c>
      <c r="D25" s="29" t="inlineStr">
        <is>
          <t>https://commons.wikimedia.org/wiki/File:C_Marineros.jpg</t>
        </is>
      </c>
      <c r="E25" s="29" t="inlineStr">
        <is>
          <t>File:C Marineros.jpg</t>
        </is>
      </c>
      <c r="F25" s="29" t="inlineStr">
        <is>
          <t>CarlosVdeHabsburgo</t>
        </is>
      </c>
      <c r="G25" s="29" t="inlineStr">
        <is>
          <t>CC BY-SA 4.0</t>
        </is>
      </c>
      <c r="H25" s="29" t="inlineStr">
        <is>
          <t>https://creativecommons.org/licenses/by-sa/4.0/</t>
        </is>
      </c>
      <c r="I25" s="29" t="inlineStr">
        <is>
          <t>Creative Commons Attribution-Share Alike 4.0</t>
        </is>
      </c>
      <c r="J25" s="29" t="inlineStr">
        <is>
          <t>CarlosVdeHabsburgo · CC BY-SA 4.0 · Wikimedia Commons</t>
        </is>
      </c>
      <c r="K25" s="29" t="n"/>
      <c r="L25" s="49" t="n">
        <v>46320</v>
      </c>
      <c r="M25" s="29" t="inlineStr">
        <is>
          <t>Bekliyor</t>
        </is>
      </c>
      <c r="N25" s="29" t="inlineStr">
        <is>
          <t>Bekliyor</t>
        </is>
      </c>
      <c r="O25" s="29" t="inlineStr">
        <is>
          <t>Fotoğraflar/sevilla_capilla-de-los-marineros_01.jpg</t>
        </is>
      </c>
      <c r="P25" s="29" t="inlineStr">
        <is>
          <t>Marineros Şapeli'nin içinde altın yaldızlı sunak ve ortadaki Meryem heykeli.</t>
        </is>
      </c>
      <c r="Q25" s="29" t="inlineStr">
        <is>
          <t>Bekliyor</t>
        </is>
      </c>
      <c r="R25" s="29" t="inlineStr">
        <is>
          <t>Wikimedia Commons dosya sayfasındaki lisans: CC BY-SA 4.0</t>
        </is>
      </c>
      <c r="S25" s="29" t="inlineStr">
        <is>
          <t>Lisans kanıtları/capilla-de-los-marineros-01.source-evidence.json</t>
        </is>
      </c>
      <c r="T25" s="29" t="inlineStr">
        <is>
          <t>22e196fdd0de3738ea47e04e7e79937dac9fdeee133bbca78886584e2a8d3bfb</t>
        </is>
      </c>
      <c r="U25" s="29" t="inlineStr">
        <is>
          <t>Lisans kanıtları/capilla-de-los-marineros-01.license-evidence.json</t>
        </is>
      </c>
      <c r="V25" s="29" t="inlineStr">
        <is>
          <t>896d08ff6c7bef4180f7623df1a4d414d823a6e81b58ea848825177dc0f45be0</t>
        </is>
      </c>
      <c r="W25" s="29" t="inlineStr">
        <is>
          <t>{"source_url": "https://commons.wikimedia.org/wiki/File:C_Marineros.jpg", "author": "CarlosVdeHabsburgo", "license": "CC BY-SA 4.0", "license_url": "https://creativecommons.org/licenses/by-sa/4.0/", "original_api_record": {"size": 3498454, "width": 3240, "height": 4320, "thumburl": "https://thumb.wikimedia.org/wikipedia/commons/thumb/5/5e/C_Marineros.jpg/1280px-C_Marineros.jpg", "thumbwidth": 1280, "thumbheight": 1707, "responsiveUrls": {"2": "https://upload.wikimedia.org/wikipedia/commons/5/5e/C_Marineros.jpg"}, "thumbattribs": {"src": "https://thumb.wikimedia.org/wikipedia/commons/thumb/5/5e/C_Marineros.jpg/1280px-C_Marineros.jpg", "decoding": "async", "loading": "lazy", "width": 1280, "height": 1707, "srcset": "https://upload.wikimedia.org/wikipedia/commons/5/5e/C_Marineros.jpg 2x"}, "url": "https://upload.wikimedia.org/wikipedia/commons/5/5e/C_Marineros.jpg", "descriptionurl": "https://commons.wikimedia.org/wiki/File:C_Marineros.jpg", "descriptionshorturl": "https://commons.wikimedia.org/w/index.php?curid=53891872", "sha1": "97f8e24296629b0f962479ebfdf05db82430d0ec", "extmetadata": {"DateTime": {"value": "2016-12-08 14:47:44", "source": "mediawiki-metadata", "hidden": ""}, "ObjectName": {"value": "C Marineros", "source": "mediawiki-metadata"}, "CommonsMetadataExtension": {"value": 1.2, "source": "extension", "hidden": ""}, "Categories": {"value": "Capilla de los Marineros|Self-published work|Baroque altarpieces in the province of Seville|Gilded altarpieces", "source": "commons-categories", "hidden": ""}, "Assessments": {"value": "", "source": "commons-categories", "hidden": ""}, "ImageDescription": {"value": "Nave central de la capilla de los Marineros. Al fondo está el retablo de la Virgen de la Esperanza. Triana, Sevilla, Andalucía, España.", "source": "commons-desc-page"}, "DateTimeOriginal": {"value": "2016-12-07 19:13:45",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"https://thumb.wikimedia.org/wikipedia/commons/thumb/5/5e/C_Marineros.jpg/1280px-C_Marineros.jpg"}, "retrieved_on": "2026-10-25"}</t>
        </is>
      </c>
    </row>
    <row r="26" ht="54" customHeight="1">
      <c r="A26" s="29" t="inlineStr">
        <is>
          <t>sevilla:evidence:capilla-de-los-marineros-02</t>
        </is>
      </c>
      <c r="B26" s="29" t="inlineStr">
        <is>
          <t>sevilla</t>
        </is>
      </c>
      <c r="C26" s="29" t="inlineStr">
        <is>
          <t>sevilla:photo:capilla-de-los-marineros-02</t>
        </is>
      </c>
      <c r="D26" s="29" t="inlineStr">
        <is>
          <t>https://commons.wikimedia.org/wiki/File:Capilla_de_los_Marineros_01.jpg</t>
        </is>
      </c>
      <c r="E26" s="29" t="inlineStr">
        <is>
          <t>File:Capilla de los Marineros 01.jpg</t>
        </is>
      </c>
      <c r="F26" s="29" t="inlineStr">
        <is>
          <t>CarlosVdeHabsburgo</t>
        </is>
      </c>
      <c r="G26" s="29" t="inlineStr">
        <is>
          <t>CC BY-SA 4.0</t>
        </is>
      </c>
      <c r="H26" s="29" t="inlineStr">
        <is>
          <t>https://creativecommons.org/licenses/by-sa/4.0/</t>
        </is>
      </c>
      <c r="I26" s="29" t="inlineStr">
        <is>
          <t>Creative Commons Attribution-Share Alike 4.0</t>
        </is>
      </c>
      <c r="J26" s="29" t="inlineStr">
        <is>
          <t>CarlosVdeHabsburgo · CC BY-SA 4.0 · Wikimedia Commons</t>
        </is>
      </c>
      <c r="K26" s="29" t="n"/>
      <c r="L26" s="49" t="n">
        <v>46320</v>
      </c>
      <c r="M26" s="29" t="inlineStr">
        <is>
          <t>Bekliyor</t>
        </is>
      </c>
      <c r="N26" s="29" t="inlineStr">
        <is>
          <t>Bekliyor</t>
        </is>
      </c>
      <c r="O26" s="29" t="inlineStr">
        <is>
          <t>Fotoğraflar/sevilla_capilla-de-los-marineros_02.jpg</t>
        </is>
      </c>
      <c r="P26" s="29" t="inlineStr">
        <is>
          <t>Triana'da Marineros Şapeli'nin sokağa bakan beyaz-sarı cephesi.</t>
        </is>
      </c>
      <c r="Q26" s="29" t="inlineStr">
        <is>
          <t>Bekliyor</t>
        </is>
      </c>
      <c r="R26" s="29" t="inlineStr">
        <is>
          <t>Wikimedia Commons dosya sayfasındaki lisans: CC BY-SA 4.0</t>
        </is>
      </c>
      <c r="S26" s="29" t="inlineStr">
        <is>
          <t>Lisans kanıtları/capilla-de-los-marineros-02.source-evidence.json</t>
        </is>
      </c>
      <c r="T26" s="29" t="inlineStr">
        <is>
          <t>863203fa9de8b534a9980cd2691bd320168fa694fecaa3a6f6599ded602e9e79</t>
        </is>
      </c>
      <c r="U26" s="29" t="inlineStr">
        <is>
          <t>Lisans kanıtları/capilla-de-los-marineros-02.license-evidence.json</t>
        </is>
      </c>
      <c r="V26" s="29" t="inlineStr">
        <is>
          <t>138f8dc2738db1bc936533c01be4dfa46856b86e014cf9d471ef92c865ba38b4</t>
        </is>
      </c>
      <c r="W26" s="29" t="inlineStr">
        <is>
          <t>{"source_url": "https://commons.wikimedia.org/wiki/File:Capilla_de_los_Marineros_01.jpg", "author": "CarlosVdeHabsburgo", "license": "CC BY-SA 4.0", "license_url": "https://creativecommons.org/licenses/by-sa/4.0/", "original_api_record": {"size": 5103970, "width": 2641, "height": 3828, "thumburl": "https://thumb.wikimedia.org/wikipedia/commons/thumb/e/ef/Capilla_de_los_Marineros_01.jpg/1280px-Capilla_de_los_Marineros_01.jpg", "thumbwidth": 1280, "thumbheight": 1855, "responsiveUrls": {"2": "https://upload.wikimedia.org/wikipedia/commons/e/ef/Capilla_de_los_Marineros_01.jpg"}, "thumbattribs": {"src": "https://thumb.wikimedia.org/wikipedia/commons/thumb/e/ef/Capilla_de_los_Marineros_01.jpg/1280px-Capilla_de_los_Marineros_01.jpg", "decoding": "async", "loading": "lazy", "width": 1280, "height": 1855, "srcset": "https://upload.wikimedia.org/wikipedia/commons/e/ef/Capilla_de_los_Marineros_01.jpg 2x"}, "url": "https://upload.wikimedia.org/wikipedia/commons/e/ef/Capilla_de_los_Marineros_01.jpg", "descriptionurl": "https://commons.wikimedia.org/wiki/File:Capilla_de_los_Marineros_01.jpg", "descriptionshorturl": "https://commons.wikimedia.org/w/index.php?curid=61611309", "sha1": "5dfdacfe3b265478589dd820c36dd6ff2ed7b97b", "extmetadata": {"DateTime": {"value": "2017-08-11 10:55:40", "source": "mediawiki-metadata", "hidden": ""}, "ObjectName": {"value": "Capilla de los Marineros 01", "source": "mediawiki-metadata"}, "CommonsMetadataExtension": {"value": 1.2, "source": "extension", "hidden": ""}, "Categories": {"value": "Capilla de los Marineros|Self-published work|Church facades in the province of Seville", "source": "commons-categories", "hidden": ""}, "Assessments": {"value": "", "source": "commons-categories", "hidden": ""}, "ImageDescription": {"value": "Capilla de los Marineros. Calle Pureza, Sevilla, Andalucía, España.", "source": "commons-desc-page"}, "DateTimeOriginal": {"value": "2017-08-08",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"https://thumb.wikimedia.org/wikipedia/commons/thumb/e/ef/Capilla_de_los_Marineros_01.jpg/1280px-Capilla_de_los_Marineros_01.jpg"}, "retrieved_on": "2026-10-25"}</t>
        </is>
      </c>
    </row>
    <row r="27" ht="54" customHeight="1">
      <c r="A27" s="29" t="inlineStr">
        <is>
          <t>sevilla:evidence:capilla-de-los-marineros-03</t>
        </is>
      </c>
      <c r="B27" s="29" t="inlineStr">
        <is>
          <t>sevilla</t>
        </is>
      </c>
      <c r="C27" s="29" t="inlineStr">
        <is>
          <t>sevilla:photo:capilla-de-los-marineros-03</t>
        </is>
      </c>
      <c r="D27" s="29" t="inlineStr">
        <is>
          <t>https://commons.wikimedia.org/wiki/File:Capilladelosmarinerossevilla.JPG</t>
        </is>
      </c>
      <c r="E27" s="29" t="inlineStr">
        <is>
          <t>File:Capilladelosmarinerossevilla.JPG</t>
        </is>
      </c>
      <c r="F27" s="29" t="inlineStr">
        <is>
          <t>Frobles</t>
        </is>
      </c>
      <c r="G27" s="29" t="inlineStr">
        <is>
          <t>CC BY-SA 4.0</t>
        </is>
      </c>
      <c r="H27" s="29" t="inlineStr">
        <is>
          <t>https://creativecommons.org/licenses/by-sa/4.0/</t>
        </is>
      </c>
      <c r="I27" s="29" t="inlineStr">
        <is>
          <t>Creative Commons Attribution-Share Alike 4.0</t>
        </is>
      </c>
      <c r="J27" s="29" t="inlineStr">
        <is>
          <t>Frobles · CC BY-SA 4.0 · Wikimedia Commons</t>
        </is>
      </c>
      <c r="K27" s="29" t="n"/>
      <c r="L27" s="49" t="n">
        <v>46320</v>
      </c>
      <c r="M27" s="29" t="inlineStr">
        <is>
          <t>Bekliyor</t>
        </is>
      </c>
      <c r="N27" s="29" t="inlineStr">
        <is>
          <t>Bekliyor</t>
        </is>
      </c>
      <c r="O27" s="29" t="inlineStr">
        <is>
          <t>Fotoğraflar/sevilla_capilla-de-los-marineros_03.jpg</t>
        </is>
      </c>
      <c r="P27" s="29" t="inlineStr">
        <is>
          <t>Triana'da Marineros Şapeli'nin bulunduğu beyaz cepheli sokak.</t>
        </is>
      </c>
      <c r="Q27" s="29" t="inlineStr">
        <is>
          <t>Bekliyor</t>
        </is>
      </c>
      <c r="R27" s="29" t="inlineStr">
        <is>
          <t>Wikimedia Commons dosya sayfasındaki lisans: CC BY-SA 4.0</t>
        </is>
      </c>
      <c r="S27" s="29" t="inlineStr">
        <is>
          <t>Lisans kanıtları/capilla-de-los-marineros-03.source-evidence.json</t>
        </is>
      </c>
      <c r="T27" s="29" t="inlineStr">
        <is>
          <t>337316f84623fb734c24a20e18446642343a51243d2cc747edc92acc65278311</t>
        </is>
      </c>
      <c r="U27" s="29" t="inlineStr">
        <is>
          <t>Lisans kanıtları/capilla-de-los-marineros-03.license-evidence.json</t>
        </is>
      </c>
      <c r="V27" s="29" t="inlineStr">
        <is>
          <t>f9f3b959b29484dd3f5b58b6b5f29c270461275372471d7fe95a8302873d4b33</t>
        </is>
      </c>
      <c r="W27" s="29" t="inlineStr">
        <is>
          <t>{"source_url": "https://commons.wikimedia.org/wiki/File:Capilladelosmarinerossevilla.JPG", "author": "Frobles", "license": "CC BY-SA 4.0", "license_url": "https://creativecommons.org/licenses/by-sa/4.0/", "original_api_record": {"size": 1929758, "width": 1944, "height": 2592, "thumburl": "https://thumb.wikimedia.org/wikipedia/commons/thumb/7/7b/Capilladelosmarinerossevilla.JPG/1280px-Capilladelosmarinerossevilla.JPG", "thumbwidth": 1280, "thumbheight": 1707, "responsiveUrls": {"2": "https://upload.wikimedia.org/wikipedia/commons/7/7b/Capilladelosmarinerossevilla.JPG"}, "thumbattribs": {"src": "https://thumb.wikimedia.org/wikipedia/commons/thumb/7/7b/Capilladelosmarinerossevilla.JPG/1280px-Capilladelosmarinerossevilla.JPG", "decoding": "async", "loading": "lazy", "width": 1280, "height": 1707, "srcset": "https://upload.wikimedia.org/wikipedia/commons/7/7b/Capilladelosmarinerossevilla.JPG 2x"}, "url": "https://upload.wikimedia.org/wikipedia/commons/7/7b/Capilladelosmarinerossevilla.JPG", "descriptionurl": "https://commons.wikimedia.org/wiki/File:Capilladelosmarinerossevilla.JPG", "descriptionshorturl": "https://commons.wikimedia.org/w/index.php?curid=9872011", "sha1": "b26a086b61c250f477d37578e4e0316d582d8133", "extmetadata": {"DateTime": {"value": "2010-03-30 04:40:46", "source": "mediawiki-metadata", "hidden": ""}, "ObjectName": {"value": "Capilladelosmarinerossevilla", "source": "mediawiki-metadata"}, "CommonsMetadataExtension": {"value": 1.2, "source": "extension", "hidden": ""}, "Categories": {"value": "GFDL|Taken with Sony DSC-W170|License migration redundant|Capilla de los Marineros|CC-BY-SA-4.0,3.0,2.5,2.0,1.0|Self-published work", "source": "commons-categories", "hidden": ""}, "Assessments": {"value": "", "source": "commons-categories", "hidden": ""}, "ImageDescription": {"value": "Capilla  de los marineros Triana Sevilla", "source": "commons-desc-page"}, "DateTimeOriginal": {"value": "2010-03-30", "source": "commons-desc-page"}, "Credit": {"value": "&lt;span class=\"int-own-work\" lang=\"en\"&gt;Own work&lt;/span&gt;", "source": "commons-desc-page"}, "Artist": {"value": "&lt;a href=\"//commons.wikimedia.org/wiki/User:Frobles\" title=\"User:Frobles\"&gt;Frobles&lt;/a&gt;",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"https://thumb.wikimedia.org/wikipedia/commons/thumb/7/7b/Capilladelosmarinerossevilla.JPG/1280px-Capilladelosmarinerossevilla.JPG"}, "retrieved_on": "2026-10-25"}</t>
        </is>
      </c>
    </row>
    <row r="28" ht="54" customHeight="1">
      <c r="A28" s="29" t="inlineStr">
        <is>
          <t>sevilla:evidence:basilica-del-cachorro-01</t>
        </is>
      </c>
      <c r="B28" s="29" t="inlineStr">
        <is>
          <t>sevilla</t>
        </is>
      </c>
      <c r="C28" s="29" t="inlineStr">
        <is>
          <t>sevilla:photo:basilica-del-cachorro-01</t>
        </is>
      </c>
      <c r="D28" s="29" t="inlineStr">
        <is>
          <t>https://commons.wikimedia.org/wiki/File:Sevilla_-_Triana,_Bas%C3%ADlica_del_Sant%C3%ADsimo_Cristo_de_la_Expiraci%C3%B3n_03.jpg</t>
        </is>
      </c>
      <c r="E28" s="29" t="inlineStr">
        <is>
          <t>File:Sevilla - Triana, Basílica del Santísimo Cristo de la Expiración 03.jpg</t>
        </is>
      </c>
      <c r="F28" s="29" t="inlineStr">
        <is>
          <t>Zarateman</t>
        </is>
      </c>
      <c r="G28" s="29" t="inlineStr">
        <is>
          <t>CC0 1.0</t>
        </is>
      </c>
      <c r="H28" s="29" t="inlineStr">
        <is>
          <t>https://creativecommons.org/publicdomain/zero/1.0/</t>
        </is>
      </c>
      <c r="I28" s="29" t="inlineStr">
        <is>
          <t>Creative Commons Zero, Public Domain Dedication</t>
        </is>
      </c>
      <c r="J28" s="29" t="inlineStr">
        <is>
          <t>Zarateman · CC0 1.0 · Wikimedia Commons</t>
        </is>
      </c>
      <c r="K28" s="29" t="n"/>
      <c r="L28" s="49" t="n">
        <v>46320</v>
      </c>
      <c r="M28" s="29" t="inlineStr">
        <is>
          <t>Bekliyor</t>
        </is>
      </c>
      <c r="N28" s="29" t="inlineStr">
        <is>
          <t>Bekliyor</t>
        </is>
      </c>
      <c r="O28" s="29" t="inlineStr">
        <is>
          <t>Fotoğraflar/sevilla_basilica-del-cachorro_01.jpg</t>
        </is>
      </c>
      <c r="P28" s="29" t="inlineStr">
        <is>
          <t>Cachorro Bazilikası'nın çini süslemeli kemerli girişi ve beyaz çan kulesi.</t>
        </is>
      </c>
      <c r="Q28" s="29" t="inlineStr">
        <is>
          <t>Bekliyor</t>
        </is>
      </c>
      <c r="R28" s="29" t="inlineStr">
        <is>
          <t>Wikimedia Commons dosya sayfasındaki lisans: CC0 1.0</t>
        </is>
      </c>
      <c r="S28" s="29" t="inlineStr">
        <is>
          <t>Lisans kanıtları/basilica-del-cachorro-01.source-evidence.json</t>
        </is>
      </c>
      <c r="T28" s="29" t="inlineStr">
        <is>
          <t>a796b22c297f8aaee738030302de1486188e399c311438c556546917f15e1467</t>
        </is>
      </c>
      <c r="U28" s="29" t="inlineStr">
        <is>
          <t>Lisans kanıtları/basilica-del-cachorro-01.license-evidence.json</t>
        </is>
      </c>
      <c r="V28" s="29" t="inlineStr">
        <is>
          <t>03850cc90ee9afed01c6f5515bcdd444d9a6a210ca0ad366043fa3d6cf7a3c44</t>
        </is>
      </c>
      <c r="W28" s="29" t="inlineStr">
        <is>
          <t>{"source_url": "https://commons.wikimedia.org/wiki/File:Sevilla_-_Triana,_Bas%C3%ADlica_del_Sant%C3%ADsimo_Cristo_de_la_Expiraci%C3%B3n_03.jpg", "author": "Zarateman", "license": "CC0 1.0", "license_url": "https://creativecommons.org/publicdomain/zero/1.0/", "original_api_record": {"size": 373743, "width": 1500, "height": 1980, "thumburl": "https://thumb.wikimedia.org/wikipedia/commons/thumb/7/78/Sevilla_-_Triana%2C_Bas%C3%ADlica_del_Sant%C3%ADsimo_Cristo_de_la_Expiraci%C3%B3n_03.jpg/1280px-Sevilla_-_Triana%2C_Bas%C3%ADlica_del_Sant%C3%ADsimo_Cristo_de_la_Expiraci%C3%B3n_03.jpg", "thumbwidth": 1280, "thumbheight": 1690, "responsiveUrls": {"2": "https://upload.wikimedia.org/wikipedia/commons/7/78/Sevilla_-_Triana%2C_Bas%C3%ADlica_del_Sant%C3%ADsimo_Cristo_de_la_Expiraci%C3%B3n_03.jpg"}, "thumbattribs": {"src": "https://thumb.wikimedia.org/wikipedia/commons/thumb/7/78/Sevilla_-_Triana%2C_Bas%C3%ADlica_del_Sant%C3%ADsimo_Cristo_de_la_Expiraci%C3%B3n_03.jpg/1280px-Sevilla_-_Triana%2C_Bas%C3%ADlica_del_Sant%C3%ADsimo_Cristo_de_la_Expiraci%C3%B3n_03.jpg", "decoding": "async", "loading": "lazy", "width": 1280, "height": 1690, "srcset": "https://upload.wikimedia.org/wikipedia/commons/7/78/Sevilla_-_Triana%2C_Bas%C3%ADlica_del_Sant%C3%ADsimo_Cristo_de_la_Expiraci%C3%B3n_03.jpg 2x"}, "url": "https://upload.wikimedia.org/wikipedia/commons/7/78/Sevilla_-_Triana%2C_Bas%C3%ADlica_del_Sant%C3%ADsimo_Cristo_de_la_Expiraci%C3%B3n_03.jpg", "descriptionurl": "https://commons.wikimedia.org/wiki/File:Sevilla_-_Triana,_Bas%C3%ADlica_del_Sant%C3%ADsimo_Cristo_de_la_Expiraci%C3%B3n_03.jpg", "descriptionshorturl": "https://commons.wikimedia.org/w/index.php?curid=121732362", "sha1": "dce7d5e3c39f701b4ba8c6bfaa0efd5d85d4f696", "extmetadata": {"DateTime": {"value": "2022-08-14 11:52:28", "source": "mediawiki-metadata", "hidden": ""}, "ObjectName": {"value": "Sevilla - Triana, Basílica del Santísimo Cristo de la Expiración 03", "source": "mediawiki-metadata"}, "CommonsMetadataExtension": {"value": 1.2, "source": "extension", "hidden": ""}, "Categories": {"value": "CC-Zero|Self-published work|August 2022 in Seville|Exterior of the Basílica del Cristo de la Expiración, Sevilla|Tiled portal of the Basílica del Cristo de Expiración", "source": "commons-categories", "hidden": ""}, "Assessments": {"value": "", "source": "commons-categories", "hidden": ""}, "ImageDescription": {"value": "Basílica del Santísimo Cristo de la Expiración (Triana, Sevilla)", "source": "commons-desc-page"}, "DateTimeOriginal": {"value": "2022-08-14", "source": "commons-desc-page"}, "Credit": {"value": "&lt;span class=\"int-own-work\" lang=\"en\"&gt;Own work&lt;/span&gt;", "source": "commons-desc-page"}, "Artist": {"value": "&lt;a href=\"//commons.wikimedia.org/wiki/User:Zarateman\" title=\"User:Zarateman\"&gt;Zarateman&lt;/a&gt;",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"https://thumb.wikimedia.org/wikipedia/commons/thumb/7/78/Sevilla_-_Triana%2C_Bas%C3%ADlica_del_Sant%C3%ADsimo_Cristo_de_la_Expiraci%C3%B3n_03.jpg/1280px-Sevilla_-_Triana%2C_Bas%C3%ADlica_del_Sant%C3%ADsimo_Cristo_de_la_Expiraci%C3%B3n_03.jpg"}, "retrieved_on": "2026-10-25"}</t>
        </is>
      </c>
    </row>
    <row r="29" ht="54" customHeight="1">
      <c r="A29" s="29" t="inlineStr">
        <is>
          <t>sevilla:evidence:plaza-de-espana-01</t>
        </is>
      </c>
      <c r="B29" s="29" t="inlineStr">
        <is>
          <t>sevilla</t>
        </is>
      </c>
      <c r="C29" s="29" t="inlineStr">
        <is>
          <t>sevilla:photo:plaza-de-espana-01</t>
        </is>
      </c>
      <c r="D29" s="29" t="inlineStr">
        <is>
          <t>https://commons.wikimedia.org/wiki/File:016-Edificio_de_la_Antigua_Capitan%C3%ADa_General(RI-51-0003936).jpg</t>
        </is>
      </c>
      <c r="E29" s="29" t="inlineStr">
        <is>
          <t>File:016-Edificio de la Antigua Capitanía General(RI-51-0003936).jpg</t>
        </is>
      </c>
      <c r="F29" s="29" t="inlineStr">
        <is>
          <t>KikeMad</t>
        </is>
      </c>
      <c r="G29" s="29" t="inlineStr">
        <is>
          <t>CC BY-SA 3.0 es</t>
        </is>
      </c>
      <c r="H29" s="29" t="inlineStr">
        <is>
          <t>https://creativecommons.org/licenses/by-sa/3.0/es/deed.en/</t>
        </is>
      </c>
      <c r="I29" s="29" t="inlineStr">
        <is>
          <t>Creative Commons Attribution-Share Alike 3.0 es</t>
        </is>
      </c>
      <c r="J29" s="29" t="inlineStr">
        <is>
          <t>KikeMad · CC BY-SA 3.0 es · Wikimedia Commons</t>
        </is>
      </c>
      <c r="K29" s="29" t="n"/>
      <c r="L29" s="49" t="n">
        <v>46320</v>
      </c>
      <c r="M29" s="29" t="inlineStr">
        <is>
          <t>Bekliyor</t>
        </is>
      </c>
      <c r="N29" s="29" t="inlineStr">
        <is>
          <t>Bekliyor</t>
        </is>
      </c>
      <c r="O29" s="29" t="inlineStr">
        <is>
          <t>Fotoğraflar/sevilla_plaza-de-espana_01.jpg</t>
        </is>
      </c>
      <c r="P29" s="29" t="inlineStr">
        <is>
          <t>Plaza de España'nın tuğla binası, kulesi ve oymalı sütun kemeri.</t>
        </is>
      </c>
      <c r="Q29" s="29" t="inlineStr">
        <is>
          <t>Bekliyor</t>
        </is>
      </c>
      <c r="R29" s="29" t="inlineStr">
        <is>
          <t>Wikimedia Commons dosya sayfasındaki lisans: CC BY-SA 3.0 es</t>
        </is>
      </c>
      <c r="S29" s="29" t="inlineStr">
        <is>
          <t>Lisans kanıtları/plaza-de-espana-01.source-evidence.json</t>
        </is>
      </c>
      <c r="T29" s="29" t="inlineStr">
        <is>
          <t>4c23f91605a2755b5d12e1be91bc344d58d9622a339e0bb629cd5b07ea8815a0</t>
        </is>
      </c>
      <c r="U29" s="29" t="inlineStr">
        <is>
          <t>Lisans kanıtları/plaza-de-espana-01.license-evidence.json</t>
        </is>
      </c>
      <c r="V29" s="29" t="inlineStr">
        <is>
          <t>8b0820a12f06d59482e7b45836f404d2a482aa7eb2a2526842fd36b2657cc0a3</t>
        </is>
      </c>
      <c r="W29" s="29" t="inlineStr">
        <is>
          <t>{"source_url": "https://commons.wikimedia.org/wiki/File:016-Edificio_de_la_Antigua_Capitan%C3%ADa_General(RI-51-0003936).jpg", "author": "KikeMad", "license": "CC BY-SA 3.0 es", "license_url": "https://creativecommons.org/licenses/by-sa/3.0/es/deed.en/", "original_api_record": {"size": 2319928, "width": 3072, "height": 2304, "thumburl": "https://thumb.wikimedia.org/wikipedia/commons/thumb/9/9a/016-Edificio_de_la_Antigua_Capitan%C3%ADa_General%28RI-51-0003936%29.jpg/1280px-016-Edificio_de_la_Antigua_Capitan%C3%ADa_General%28RI-51-0003936%29.jpg", "thumbwidth": 1280, "thumbheight": 960, "responsiveUrls": {"2": "https://upload.wikimedia.org/wikipedia/commons/9/9a/016-Edificio_de_la_Antigua_Capitan%C3%ADa_General%28RI-51-0003936%29.jpg"}, "thumbattribs": {"src": "https://thumb.wikimedia.org/wikipedia/commons/thumb/9/9a/016-Edificio_de_la_Antigua_Capitan%C3%ADa_General%28RI-51-0003936%29.jpg/1280px-016-Edificio_de_la_Antigua_Capitan%C3%ADa_General%28RI-51-0003936%29.jpg", "decoding": "async", "loading": "lazy", "width": 1280, "height": 960, "srcset": "https://upload.wikimedia.org/wikipedia/commons/9/9a/016-Edificio_de_la_Antigua_Capitan%C3%ADa_General%28RI-51-0003936%29.jpg 2x"}, "url": "https://upload.wikimedia.org/wikipedia/commons/9/9a/016-Edificio_de_la_Antigua_Capitan%C3%ADa_General%28RI-51-0003936%29.jpg", "descriptionurl": "https://commons.wikimedia.org/wiki/File:016-Edificio_de_la_Antigua_Capitan%C3%ADa_General(RI-51-0003936).jpg", "descriptionshorturl": "https://commons.wikimedia.org/w/index.php?curid=35300892", "sha1": "a357be28736418f263f61a7ffb58fea2d9573759", "extmetadata": {"DateTime": {"value": "2014-09-11 18:12:25", "source": "mediawiki-metadata", "hidden": ""}, "ObjectName": {"value": "016-Edificio de la Antigua Capitanía General(RI-51-0003936)", "source": "mediawiki-metadata"}, "CommonsMetadataExtension": {"value": 1.2, "source": "extension", "hidden": ""}, "Categories": {"value": "Plaza de España, Seville|Taken with Pentax Optio A40|Self-published work|Cultural heritage monuments in Spain with known IDs|Images from Wiki Loves Monuments 2014|Images from Wiki Loves Monuments 2014 in Spain|Uploaded via Campaign:wlm-es|Files with coordinates missing SDC location of creation|All media supported by Wikimedia España in 2014|Buildings in Seville photographed in 2009|Spain photographs taken on 2009-05-15|Images from Wiki Loves Monuments missing SDC depicts|Images from Wiki Loves Monuments missing SDC location of creation|Cultural heritage monuments in Spain missing SDC location of creation|Cultural heritage monuments in Spain missing SDC depicts", "source": "commons-categories", "hidden": ""}, "Assessments": {"value": "", "source": "commons-categories", "hidden": ""}, "GPSLatitude": {"value": "37.376374", "source": "commons-desc-page"}, "GPSLongitude": {"value": "-5.986046", "source": "commons-desc-page"}, "GPSMapDatum": {"value": "WGS-84", "source": "commons-desc-page", "hidden": ""}, "ImageDescription": {"value": "Edificio de la Antigua Capitanía General (vista desde el balcón del primer piso próximo a la torre sur)", "source": "commons-desc-page"}, "DateTimeOriginal": {"value": "2009-05-15 19:35:26", "source": "commons-desc-page"}, "Credit": {"value": "&lt;span class=\"int-own-work\" lang=\"en\"&gt;Own work&lt;/span&gt;", "source": "commons-desc-page"}, "Artist": {"value": "&lt;a href=\"//commons.wikimedia.org/w/index.php?title=User:KikeMad&amp;amp;action=edit&amp;amp;redlink=1\" class=\"new\" title=\"User:KikeMad (page does not exist)\"&gt;KikeMad&lt;/a&gt;", "source": "commons-desc-page"}, "LicenseShortName": {"value": "CC BY-SA 3.0 es", "source": "commons-desc-page", "hidden": ""}, "UsageTerms": {"value": "Creative Commons Attribution-Share Alike 3.0 es", "source": "commons-desc-page"}, "AttributionRequired": {"value": "true", "source": "commons-desc-page", "hidden": ""}, "LicenseUrl": {"value": "https://creativecommons.org/licenses/by-sa/3.0/es/deed.en", "source": "commons-desc-page"}, "Copyrighted": {"value": "True", "source": "commons-desc-page", "hidden": ""}, "Restrictions": {"value": "", "source": "commons-desc-page", "hidden": ""}, "License": {"value": "cc-by-sa-3.0-es", "source": "commons-templates", "hidden": ""}}, "mime": "image/jpeg"}, "delivered_file": {"url": "https://thumb.wikimedia.org/wikipedia/commons/thumb/9/9a/016-Edificio_de_la_Antigua_Capitan%C3%ADa_General%28RI-51-0003936%29.jpg/1280px-016-Edificio_de_la_Antigua_Capitan%C3%ADa_General%28RI-51-0003936%29.jpg"}, "retrieved_on": "2026-10-25"}</t>
        </is>
      </c>
    </row>
    <row r="30" ht="54" customHeight="1">
      <c r="A30" s="29" t="inlineStr">
        <is>
          <t>sevilla:evidence:plaza-de-espana-02</t>
        </is>
      </c>
      <c r="B30" s="29" t="inlineStr">
        <is>
          <t>sevilla</t>
        </is>
      </c>
      <c r="C30" s="29" t="inlineStr">
        <is>
          <t>sevilla:photo:plaza-de-espana-02</t>
        </is>
      </c>
      <c r="D30" s="29" t="inlineStr">
        <is>
          <t>https://commons.wikimedia.org/wiki/File:017-Torre_Sur-Edificio_de_la_Antigua_Capitan%C3%ADa_General-Sevilla(RI-51-0003936).jpg</t>
        </is>
      </c>
      <c r="E30" s="29" t="inlineStr">
        <is>
          <t>File:017-Torre Sur-Edificio de la Antigua Capitanía General-Sevilla(RI-51-0003936).jpg</t>
        </is>
      </c>
      <c r="F30" s="29" t="inlineStr">
        <is>
          <t>KikeMad</t>
        </is>
      </c>
      <c r="G30" s="29" t="inlineStr">
        <is>
          <t>CC BY-SA 3.0 es</t>
        </is>
      </c>
      <c r="H30" s="29" t="inlineStr">
        <is>
          <t>https://creativecommons.org/licenses/by-sa/3.0/es/deed.en/</t>
        </is>
      </c>
      <c r="I30" s="29" t="inlineStr">
        <is>
          <t>Creative Commons Attribution-Share Alike 3.0 es</t>
        </is>
      </c>
      <c r="J30" s="29" t="inlineStr">
        <is>
          <t>KikeMad · CC BY-SA 3.0 es · Wikimedia Commons</t>
        </is>
      </c>
      <c r="K30" s="29" t="n"/>
      <c r="L30" s="49" t="n">
        <v>46320</v>
      </c>
      <c r="M30" s="29" t="inlineStr">
        <is>
          <t>Bekliyor</t>
        </is>
      </c>
      <c r="N30" s="29" t="inlineStr">
        <is>
          <t>Bekliyor</t>
        </is>
      </c>
      <c r="O30" s="29" t="inlineStr">
        <is>
          <t>Fotoğraflar/sevilla_plaza-de-espana_02.jpg</t>
        </is>
      </c>
      <c r="P30" s="29" t="inlineStr">
        <is>
          <t>Plaza de España'nın kulesi, tuğla kemerin arasından görünüyor.</t>
        </is>
      </c>
      <c r="Q30" s="29" t="inlineStr">
        <is>
          <t>Bekliyor</t>
        </is>
      </c>
      <c r="R30" s="29" t="inlineStr">
        <is>
          <t>Wikimedia Commons dosya sayfasındaki lisans: CC BY-SA 3.0 es</t>
        </is>
      </c>
      <c r="S30" s="29" t="inlineStr">
        <is>
          <t>Lisans kanıtları/plaza-de-espana-02.source-evidence.json</t>
        </is>
      </c>
      <c r="T30" s="29" t="inlineStr">
        <is>
          <t>efea7cdf2f13166863af2eb1258f9fedfffef533bf212abbcce767e5061e45a8</t>
        </is>
      </c>
      <c r="U30" s="29" t="inlineStr">
        <is>
          <t>Lisans kanıtları/plaza-de-espana-02.license-evidence.json</t>
        </is>
      </c>
      <c r="V30" s="29" t="inlineStr">
        <is>
          <t>0024901bec17a204ff1769298cc9261aad845b94d11b783520dbd41aad9d8296</t>
        </is>
      </c>
      <c r="W30" s="29" t="inlineStr">
        <is>
          <t>{"source_url": "https://commons.wikimedia.org/wiki/File:017-Torre_Sur-Edificio_de_la_Antigua_Capitan%C3%ADa_General-Sevilla(RI-51-0003936).jpg", "author": "KikeMad", "license": "CC BY-SA 3.0 es", "license_url": "https://creativecommons.org/licenses/by-sa/3.0/es/deed.en/", "original_api_record": {"size": 1564916, "width": 2048, "height": 3072, "thumburl": "https://thumb.wikimedia.org/wikipedia/commons/thumb/b/b6/017-Torre_Sur-Edificio_de_la_Antigua_Capitan%C3%ADa_General-Sevilla%28RI-51-0003936%29.jpg/1280px-017-Torre_Sur-Edificio_de_la_Antigua_Capitan%C3%ADa_General-Sevilla%28RI-51-0003936%29.jpg", "thumbwidth": 1280, "thumbheight": 1920, "responsiveUrls": {"2": "https://upload.wikimedia.org/wikipedia/commons/b/b6/017-Torre_Sur-Edificio_de_la_Antigua_Capitan%C3%ADa_General-Sevilla%28RI-51-0003936%29.jpg"}, "thumbattribs": {"src": "https://thumb.wikimedia.org/wikipedia/commons/thumb/b/b6/017-Torre_Sur-Edificio_de_la_Antigua_Capitan%C3%ADa_General-Sevilla%28RI-51-0003936%29.jpg/1280px-017-Torre_Sur-Edificio_de_la_Antigua_Capitan%C3%ADa_General-Sevilla%28RI-51-0003936%29.jpg", "decoding": "async", "loading": "lazy", "width": 1280, "height": 1920, "srcset": "https://upload.wikimedia.org/wikipedia/commons/b/b6/017-Torre_Sur-Edificio_de_la_Antigua_Capitan%C3%ADa_General-Sevilla%28RI-51-0003936%29.jpg 2x"}, "url": "https://upload.wikimedia.org/wikipedia/commons/b/b6/017-Torre_Sur-Edificio_de_la_Antigua_Capitan%C3%ADa_General-Sevilla%28RI-51-0003936%29.jpg", "descriptionurl": "https://commons.wikimedia.org/wiki/File:017-Torre_Sur-Edificio_de_la_Antigua_Capitan%C3%ADa_General-Sevilla(RI-51-0003936).jpg", "descriptionshorturl": "https://commons.wikimedia.org/w/index.php?curid=35301129", "sha1": "7964e2facb106b50c3f40fdc5dfa0c06096b99aa", "extmetadata": {"DateTime": {"value": "2014-09-11 18:21:26", "source": "mediawiki-metadata", "hidden": ""}, "ObjectName": {"value": "017-Torre Sur-Edificio de la Antigua Capitanía General-Sevilla(RI-51-0003936)", "source": "mediawiki-metadata"}, "CommonsMetadataExtension": {"value": 1.2, "source": "extension", "hidden": ""}, "Categories": {"value": "Plaza de España, Seville|Taken with Pentax Optio A40|Self-published work|Cultural heritage monuments in Spain with known IDs|Images from Wiki Loves Monuments 2014|Images from Wiki Loves Monuments 2014 in Spain|Uploaded via Campaign:wlm-es|Files with coordinates missing SDC location of creation|All media supported by Wikimedia España in 2014|Spain photographs taken on 2009-05-15|Images from Wiki Loves Monuments missing SDC depicts|Images from Wiki Loves Monuments missing SDC location of creation|Cultural heritage monuments in Spain missing SDC location of creation|Cultural heritage monuments in Spain missing SDC depicts", "source": "commons-categories", "hidden": ""}, "Assessments": {"value": "", "source": "commons-categories", "hidden": ""}, "GPSLatitude": {"value": "37.378038", "source": "commons-desc-page"}, "GPSLongitude": {"value": "-5.986684", "source": "commons-desc-page"}, "GPSMapDatum": {"value": "WGS-84", "source": "commons-desc-page", "hidden": ""}, "ImageDescription": {"value": "Torre Sur-Edificio de la Antigua Capitanía General-Sevilla", "source": "commons-desc-page"}, "DateTimeOriginal": {"value": "2009-05-15 19:44:18", "source": "commons-desc-page"}, "Credit": {"value": "&lt;span class=\"int-own-work\" lang=\"en\"&gt;Own work&lt;/span&gt;", "source": "commons-desc-page"}, "Artist": {"value": "&lt;a href=\"//commons.wikimedia.org/w/index.php?title=User:KikeMad&amp;amp;action=edit&amp;amp;redlink=1\" class=\"new\" title=\"User:KikeMad (page does not exist)\"&gt;KikeMad&lt;/a&gt;", "source": "commons-desc-page"}, "LicenseShortName": {"value": "CC BY-SA 3.0 es", "source": "commons-desc-page", "hidden": ""}, "UsageTerms": {"value": "Creative Commons Attribution-Share Alike 3.0 es", "source": "commons-desc-page"}, "AttributionRequired": {"value": "true", "source": "commons-desc-page", "hidden": ""}, "LicenseUrl": {"value": "https://creativecommons.org/licenses/by-sa/3.0/es/deed.en", "source": "commons-desc-page"}, "Copyrighted": {"value": "True", "source": "commons-desc-page", "hidden": ""}, "Restrictions": {"value": "", "source": "commons-desc-page", "hidden": ""}, "License": {"value": "cc-by-sa-3.0-es", "source": "commons-templates", "hidden": ""}}, "mime": "image/jpeg"}, "delivered_file": {"url": "https://thumb.wikimedia.org/wikipedia/commons/thumb/b/b6/017-Torre_Sur-Edificio_de_la_Antigua_Capitan%C3%ADa_General-Sevilla%28RI-51-0003936%29.jpg/1280px-017-Torre_Sur-Edificio_de_la_Antigua_Capitan%C3%ADa_General-Sevilla%28RI-51-0003936%29.jpg"}, "retrieved_on": "2026-10-25"}</t>
        </is>
      </c>
    </row>
    <row r="31" ht="54" customHeight="1">
      <c r="A31" s="29" t="inlineStr">
        <is>
          <t>sevilla:evidence:plaza-de-espana-03</t>
        </is>
      </c>
      <c r="B31" s="29" t="inlineStr">
        <is>
          <t>sevilla</t>
        </is>
      </c>
      <c r="C31" s="29" t="inlineStr">
        <is>
          <t>sevilla:photo:plaza-de-espana-03</t>
        </is>
      </c>
      <c r="D31" s="29" t="inlineStr">
        <is>
          <t>https://commons.wikimedia.org/wiki/File:9._Mai_1929,_an_diesem_Tag_wurde_die_Iberoamerikanische_Ausstellung_in_Sevilla_er%C3%B6ffnet._01.jpg</t>
        </is>
      </c>
      <c r="E31" s="29" t="inlineStr">
        <is>
          <t>File:9. Mai 1929, an diesem Tag wurde die Iberoamerikanische Ausstellung in Sevilla eröffnet. 01.jpg</t>
        </is>
      </c>
      <c r="F31" s="29" t="inlineStr">
        <is>
          <t>Holger Uwe Schmitt</t>
        </is>
      </c>
      <c r="G31" s="29" t="inlineStr">
        <is>
          <t>CC BY-SA 4.0</t>
        </is>
      </c>
      <c r="H31" s="29" t="inlineStr">
        <is>
          <t>https://creativecommons.org/licenses/by-sa/4.0/</t>
        </is>
      </c>
      <c r="I31" s="29" t="inlineStr">
        <is>
          <t>Creative Commons Attribution-Share Alike 4.0</t>
        </is>
      </c>
      <c r="J31" s="29" t="inlineStr">
        <is>
          <t>Holger Uwe Schmitt · CC BY-SA 4.0 · Wikimedia Commons</t>
        </is>
      </c>
      <c r="K31" s="29" t="n"/>
      <c r="L31" s="49" t="n">
        <v>46320</v>
      </c>
      <c r="M31" s="29" t="inlineStr">
        <is>
          <t>Bekliyor</t>
        </is>
      </c>
      <c r="N31" s="29" t="inlineStr">
        <is>
          <t>Bekliyor</t>
        </is>
      </c>
      <c r="O31" s="29" t="inlineStr">
        <is>
          <t>Fotoğraflar/sevilla_plaza-de-espana_03.jpg</t>
        </is>
      </c>
      <c r="P31" s="29" t="inlineStr">
        <is>
          <t>Plaza de España'nın yarım daire kemerli galerisi ve geniş meydanı.</t>
        </is>
      </c>
      <c r="Q31" s="29" t="inlineStr">
        <is>
          <t>Bekliyor</t>
        </is>
      </c>
      <c r="R31" s="29" t="inlineStr">
        <is>
          <t>Wikimedia Commons dosya sayfasındaki lisans: CC BY-SA 4.0</t>
        </is>
      </c>
      <c r="S31" s="29" t="inlineStr">
        <is>
          <t>Lisans kanıtları/plaza-de-espana-03.source-evidence.json</t>
        </is>
      </c>
      <c r="T31" s="29" t="inlineStr">
        <is>
          <t>591bb5944afe2229e34c901d0129062c9710e51c15469760955afbe94e63ebc2</t>
        </is>
      </c>
      <c r="U31" s="29" t="inlineStr">
        <is>
          <t>Lisans kanıtları/plaza-de-espana-03.license-evidence.json</t>
        </is>
      </c>
      <c r="V31" s="29" t="inlineStr">
        <is>
          <t>f0775e031bb84d05bba352064c2b0f43cef0adfe4dd12e698dce5441dcaf4267</t>
        </is>
      </c>
      <c r="W31" s="29" t="inlineStr">
        <is>
          <t>{"source_url": "https://commons.wikimedia.org/wiki/File:9._Mai_1929,_an_diesem_Tag_wurde_die_Iberoamerikanische_Ausstellung_in_Sevilla_er%C3%B6ffnet._01.jpg", "author": "Holger Uwe Schmitt", "license": "CC BY-SA 4.0", "license_url": "https://creativecommons.org/licenses/by-sa/4.0/", "original_api_record": {"size": 4058770, "width": 6677, "height": 2995, "thumburl": "https://thumb.wikimedia.org/wikipedia/commons/thumb/1/1d/9._Mai_1929%2C_an_diesem_Tag_wurde_die_Iberoamerikanische_Ausstellung_in_Sevilla_er%C3%B6ffnet._01.jpg/1280px-9._Mai_1929%2C_an_diesem_Tag_wurde_die_Iberoamerikanische_Ausstellung_in_Sevilla_er%C3%B6ffnet._01.jpg", "thumbwidth": 1280, "thumbheight": 574, "responsiveUrls": {"2": "https://thumb.wikimedia.org/wikipedia/commons/thumb/1/1d/9._Mai_1929%2C_an_diesem_Tag_wurde_die_Iberoamerikanische_Ausstellung_in_Sevilla_er%C3%B6ffnet._01.jpg/3840px-9._Mai_1929%2C_an_diesem_Tag_wurde_die_Iberoamerikanische_Ausstellung_in_Sevilla_er%C3%B6ffnet._01.jpg"}, "thumbattribs": {"src": "https://thumb.wikimedia.org/wikipedia/commons/thumb/1/1d/9._Mai_1929%2C_an_diesem_Tag_wurde_die_Iberoamerikanische_Ausstellung_in_Sevilla_er%C3%B6ffnet._01.jpg/1280px-9._Mai_1929%2C_an_diesem_Tag_wurde_die_Iberoamerikanische_Ausstellung_in_Sevilla_er%C3%B6ffnet._01.jpg", "decoding": "async", "loading": "lazy", "width": 1280, "height": 574, "srcset": "https://thumb.wikimedia.org/wikipedia/commons/thumb/1/1d/9._Mai_1929%2C_an_diesem_Tag_wurde_die_Iberoamerikanische_Ausstellung_in_Sevilla_er%C3%B6ffnet._01.jpg/3840px-9._Mai_1929%2C_an_diesem_Tag_wurde_die_Iberoamerikanische_Ausstellung_in_Sevilla_er%C3%B6ffnet._01.jpg 2x"}, "url": "https://upload.wikimedia.org/wikipedia/commons/1/1d/9._Mai_1929%2C_an_diesem_Tag_wurde_die_Iberoamerikanische_Ausstellung_in_Sevilla_er%C3%B6ffnet._01.jpg", "descriptionurl": "https://commons.wikimedia.org/wiki/File:9._Mai_1929,_an_diesem_Tag_wurde_die_Iberoamerikanische_Ausstellung_in_Sevilla_er%C3%B6ffnet._01.jpg", "descriptionshorturl": "https://commons.wikimedia.org/w/index.php?curid=114970540", "sha1": "3cf45405efeb349b68cb4d664b056873ff3d76a5", "extmetadata": {"DateTime": {"value": "2022-02-04 16:46:24", "source": "mediawiki-metadata", "hidden": ""}, "ObjectName": {"value": "9. Mai 1929, an diesem Tag wurde die Iberoamerikanische Ausstellung in Sevilla eröffnet. 01", "source": "mediawiki-metadata"}, "CommonsMetadataExtension": {"value": 1.2, "source": "extension", "hidden": ""}, "Categories": {"value": "Plaza de España, Seville|Self-published work", "source": "commons-categories", "hidden": ""}, "Assessments": {"value": "", "source": "commons-categories", "hidden": ""}, "ImageDescription": {"value": "Plaza of Spain Seville.", "source": "commons-desc-page"}, "DateTimeOriginal": {"value": "2021-12-30 17:17:12", "source": "commons-desc-page"}, "Credit": {"value": "&lt;span class=\"int-own-work\" lang=\"en\"&gt;Own work&lt;/span&gt;", "source": "commons-desc-page"}, "Artist": {"value": "&lt;a href=\"//commons.wikimedia.org/wiki/User:Holger_Uwe_Schmitt\" title=\"User:Holger Uwe Schmitt\"&gt;Holger Uwe Schmitt&lt;/a&gt;",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"https://thumb.wikimedia.org/wikipedia/commons/thumb/1/1d/9._Mai_1929%2C_an_diesem_Tag_wurde_die_Iberoamerikanische_Ausstellung_in_Sevilla_er%C3%B6ffnet._01.jpg/1280px-9._Mai_1929%2C_an_diesem_Tag_wurde_die_Iberoamerikanische_Ausstellung_in_Sevilla_er%C3%B6ffnet._01.jpg"}, "retrieved_on": "2026-10-25"}</t>
        </is>
      </c>
    </row>
    <row r="32" ht="54" customHeight="1">
      <c r="A32" s="29" t="inlineStr">
        <is>
          <t>sevilla:evidence:archivo-general-de-indias-01</t>
        </is>
      </c>
      <c r="B32" s="29" t="inlineStr">
        <is>
          <t>sevilla</t>
        </is>
      </c>
      <c r="C32" s="29" t="inlineStr">
        <is>
          <t>sevilla:photo:archivo-general-de-indias-01</t>
        </is>
      </c>
      <c r="D32" s="29" t="inlineStr">
        <is>
          <t>https://commons.wikimedia.org/wiki/File:B%C3%B3veda_del_Archivo_de_Indias_(Sevilla).jpg</t>
        </is>
      </c>
      <c r="E32" s="29" t="inlineStr">
        <is>
          <t>File:Bóveda del Archivo de Indias (Sevilla).jpg</t>
        </is>
      </c>
      <c r="F32" s="29" t="inlineStr">
        <is>
          <t>José Luis Filpo Cabana</t>
        </is>
      </c>
      <c r="G32" s="29" t="inlineStr">
        <is>
          <t>CC BY-SA 4.0</t>
        </is>
      </c>
      <c r="H32" s="29" t="inlineStr">
        <is>
          <t>https://creativecommons.org/licenses/by-sa/4.0/</t>
        </is>
      </c>
      <c r="I32" s="29" t="inlineStr">
        <is>
          <t>Creative Commons Attribution-Share Alike 4.0</t>
        </is>
      </c>
      <c r="J32" s="29" t="inlineStr">
        <is>
          <t>José Luis Filpo Cabana · CC BY-SA 4.0 · Wikimedia Commons</t>
        </is>
      </c>
      <c r="K32" s="29" t="n"/>
      <c r="L32" s="49" t="n">
        <v>46320</v>
      </c>
      <c r="M32" s="29" t="inlineStr">
        <is>
          <t>Bekliyor</t>
        </is>
      </c>
      <c r="N32" s="29" t="inlineStr">
        <is>
          <t>Bekliyor</t>
        </is>
      </c>
      <c r="O32" s="29" t="inlineStr">
        <is>
          <t>Fotoğraflar/sevilla_archivo-general-de-indias_01.jpg</t>
        </is>
      </c>
      <c r="P32" s="29" t="inlineStr">
        <is>
          <t>Archivo General de Indias'ta kesme taş, kasetli tonoz tavan.</t>
        </is>
      </c>
      <c r="Q32" s="29" t="inlineStr">
        <is>
          <t>Bekliyor</t>
        </is>
      </c>
      <c r="R32" s="29" t="inlineStr">
        <is>
          <t>Wikimedia Commons dosya sayfasındaki lisans: CC BY-SA 4.0</t>
        </is>
      </c>
      <c r="S32" s="29" t="inlineStr">
        <is>
          <t>Lisans kanıtları/archivo-general-de-indias-01.source-evidence.json</t>
        </is>
      </c>
      <c r="T32" s="29" t="inlineStr">
        <is>
          <t>8f4dec808c58c482620227ea315bb019835a1591521c13977abff55cdc144d3e</t>
        </is>
      </c>
      <c r="U32" s="29" t="inlineStr">
        <is>
          <t>Lisans kanıtları/archivo-general-de-indias-01.license-evidence.json</t>
        </is>
      </c>
      <c r="V32" s="29" t="inlineStr">
        <is>
          <t>a8e75bda224a239bcae259a679866648515ecc1d6f988c561448281cd9841b72</t>
        </is>
      </c>
      <c r="W32" s="29" t="inlineStr">
        <is>
          <t>{"source_url": "https://commons.wikimedia.org/wiki/File:B%C3%B3veda_del_Archivo_de_Indias_(Sevilla).jpg", "author": "José Luis Filpo Cabana", "license": "CC BY-SA 4.0", "license_url": "https://creativecommons.org/licenses/by-sa/4.0/", "original_api_record": {"size": 4723017, "width": 3171, "height": 2114, "thumburl": "https://thumb.wikimedia.org/wikipedia/commons/thumb/2/20/B%C3%B3veda_del_Archivo_de_Indias_%28Sevilla%29.jpg/1280px-B%C3%B3veda_del_Archivo_de_Indias_%28Sevilla%29.jpg", "thumbwidth": 1280, "thumbheight": 853, "responsiveUrls": {"2": "https://upload.wikimedia.org/wikipedia/commons/2/20/B%C3%B3veda_del_Archivo_de_Indias_%28Sevilla%29.jpg"}, "thumbattribs": {"src": "https://thumb.wikimedia.org/wikipedia/commons/thumb/2/20/B%C3%B3veda_del_Archivo_de_Indias_%28Sevilla%29.jpg/1280px-B%C3%B3veda_del_Archivo_de_Indias_%28Sevilla%29.jpg", "decoding": "async", "loading": "lazy", "width": 1280, "height": 853, "srcset": "https://upload.wikimedia.org/wikipedia/commons/2/20/B%C3%B3veda_del_Archivo_de_Indias_%28Sevilla%29.jpg 2x"}, "url": "https://upload.wikimedia.org/wikipedia/commons/2/20/B%C3%B3veda_del_Archivo_de_Indias_%28Sevilla%29.jpg", "descriptionurl": "https://commons.wikimedia.org/wiki/File:B%C3%B3veda_del_Archivo_de_Indias_(Sevilla).jpg", "descriptionshorturl": "https://commons.wikimedia.org/w/index.php?curid=70894955", "sha1": "331301f6e233206919ffa2cea1aa6055e8695ea6", "extmetadata": {"DateTime": {"value": "2021-05-03 10:35:53", "source": "mediawiki-metadata", "hidden": ""}, "ObjectName": {"value": "Bóveda del Archivo de Indias (Sevilla)", "source": "mediawiki-metadata"}, "CommonsMetadataExtension": {"value": 1.2, "source": "extension", "hidden": ""}, "Categories": {"value": "Self-published work|Vaults of the Archivo General de Indias", "source": "commons-categories", "hidden": ""}, "Assessments": {"value": "", "source": "commons-categories", "hidden": ""}, "ImageDescription": {"value": "Bóveda de la planta alta. &lt;a href=\"https://es.wikipedia.org/wiki/Miguel_de_Zum%C3%A1rraga\" class=\"extiw\" title=\"es:Miguel de Zumárraga\"&gt;Miguel de Zumárraga&lt;/a&gt;, modifica las primeras trazas con unas magníficas &lt;a href=\"https://es.wikipedia.org/wiki/b%C3%B3vedas_va%C3%ADdas\" class=\"extiw\" title=\"es:bóvedas vaídas\"&gt;bóvedas vaídas&lt;/a&gt; de piedra (ca 1612)", "source": "commons-desc-page"}, "DateTimeOriginal": {"value": "2018-06-06", "source": "commons-desc-page"}, "Credit": {"value": "&lt;span class=\"int-own-work\" lang=\"en\"&gt;Own work&lt;/span&gt;", "source": "commons-desc-page"}, "Artist": {"value": "&lt;a href=\"//commons.wikimedia.org/wiki/User:Jl_FilpoC\" title=\"User:Jl FilpoC\"&gt;José Luis Filpo Cabana&lt;/a&gt;",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"https://thumb.wikimedia.org/wikipedia/commons/thumb/2/20/B%C3%B3veda_del_Archivo_de_Indias_%28Sevilla%29.jpg/1280px-B%C3%B3veda_del_Archivo_de_Indias_%28Sevilla%29.jpg"}, "retrieved_on": "2026-10-25"}</t>
        </is>
      </c>
    </row>
    <row r="33" ht="54" customHeight="1">
      <c r="A33" s="29" t="inlineStr">
        <is>
          <t>sevilla:evidence:archivo-general-de-indias-02</t>
        </is>
      </c>
      <c r="B33" s="29" t="inlineStr">
        <is>
          <t>sevilla</t>
        </is>
      </c>
      <c r="C33" s="29" t="inlineStr">
        <is>
          <t>sevilla:photo:archivo-general-de-indias-02</t>
        </is>
      </c>
      <c r="D33" s="29" t="inlineStr">
        <is>
          <t>https://commons.wikimedia.org/wiki/File:Casa_Lonja_de_Mercaderes_(Sevilla)._Patio.jpg</t>
        </is>
      </c>
      <c r="E33" s="29" t="inlineStr">
        <is>
          <t>File:Casa Lonja de Mercaderes (Sevilla). Patio.jpg</t>
        </is>
      </c>
      <c r="F33" s="29" t="inlineStr">
        <is>
          <t>Jose Luis Filpo Cabana</t>
        </is>
      </c>
      <c r="G33" s="29" t="inlineStr">
        <is>
          <t>CC BY 3.0</t>
        </is>
      </c>
      <c r="H33" s="29" t="inlineStr">
        <is>
          <t>https://creativecommons.org/licenses/by/3.0/</t>
        </is>
      </c>
      <c r="I33" s="29" t="inlineStr">
        <is>
          <t>Creative Commons Attribution 3.0</t>
        </is>
      </c>
      <c r="J33" s="29" t="inlineStr">
        <is>
          <t>Jose Luis Filpo Cabana · CC BY 3.0 · Wikimedia Commons</t>
        </is>
      </c>
      <c r="K33" s="29" t="n"/>
      <c r="L33" s="49" t="n">
        <v>46320</v>
      </c>
      <c r="M33" s="29" t="inlineStr">
        <is>
          <t>Bekliyor</t>
        </is>
      </c>
      <c r="N33" s="29" t="inlineStr">
        <is>
          <t>Bekliyor</t>
        </is>
      </c>
      <c r="O33" s="29" t="inlineStr">
        <is>
          <t>Fotoğraflar/sevilla_archivo-general-de-indias_02.jpg</t>
        </is>
      </c>
      <c r="P33" s="29" t="inlineStr">
        <is>
          <t>Archivo General de Indias binasının kemerli pencereli iç avlusu ve damalı zemin.</t>
        </is>
      </c>
      <c r="Q33" s="29" t="inlineStr">
        <is>
          <t>Bekliyor</t>
        </is>
      </c>
      <c r="R33" s="29" t="inlineStr">
        <is>
          <t>Wikimedia Commons dosya sayfasındaki lisans: CC BY 3.0</t>
        </is>
      </c>
      <c r="S33" s="29" t="inlineStr">
        <is>
          <t>Lisans kanıtları/archivo-general-de-indias-02.source-evidence.json</t>
        </is>
      </c>
      <c r="T33" s="29" t="inlineStr">
        <is>
          <t>fd25896e9d2e6a1c1815fb8d977de7b9954a7bde598d268fa4ff7890c7474f83</t>
        </is>
      </c>
      <c r="U33" s="29" t="inlineStr">
        <is>
          <t>Lisans kanıtları/archivo-general-de-indias-02.license-evidence.json</t>
        </is>
      </c>
      <c r="V33" s="29" t="inlineStr">
        <is>
          <t>d8f495fb16af4660694db3690b055a9037ddf2358ba1a6539e710dbab436fa16</t>
        </is>
      </c>
      <c r="W33" s="29" t="inlineStr">
        <is>
          <t>{"source_url": "https://commons.wikimedia.org/wiki/File:Casa_Lonja_de_Mercaderes_(Sevilla)._Patio.jpg", "author": "Jose Luis Filpo Cabana", "license": "CC BY 3.0", "license_url": "https://creativecommons.org/licenses/by/3.0/", "original_api_record": {"size": 5788576, "width": 3471, "height": 2314, "thumburl": "https://thumb.wikimedia.org/wikipedia/commons/thumb/d/dd/Casa_Lonja_de_Mercaderes_%28Sevilla%29._Patio.jpg/1280px-Casa_Lonja_de_Mercaderes_%28Sevilla%29._Patio.jpg", "thumbwidth": 1280, "thumbheight": 853, "responsiveUrls": {"2": "https://upload.wikimedia.org/wikipedia/commons/d/dd/Casa_Lonja_de_Mercaderes_%28Sevilla%29._Patio.jpg"}, "thumbattribs": {"src": "https://thumb.wikimedia.org/wikipedia/commons/thumb/d/dd/Casa_Lonja_de_Mercaderes_%28Sevilla%29._Patio.jpg/1280px-Casa_Lonja_de_Mercaderes_%28Sevilla%29._Patio.jpg", "decoding": "async", "loading": "lazy", "width": 1280, "height": 853, "srcset": "https://upload.wikimedia.org/wikipedia/commons/d/dd/Casa_Lonja_de_Mercaderes_%28Sevilla%29._Patio.jpg 2x"}, "url": "https://upload.wikimedia.org/wikipedia/commons/d/dd/Casa_Lonja_de_Mercaderes_%28Sevilla%29._Patio.jpg", "descriptionurl": "https://commons.wikimedia.org/wiki/File:Casa_Lonja_de_Mercaderes_(Sevilla)._Patio.jpg", "descriptionshorturl": "https://commons.wikimedia.org/w/index.php?curid=33035444", "sha1": "b4a5e222fcb88345641eceb9efe7740e0d770bae", "extmetadata": {"DateTime": {"value": "2014-05-28 07:46:26", "source": "mediawiki-metadata", "hidden": ""}, "ObjectName": {"value": "Casa Lonja de Mercaderes (Sevilla). Patio", "source": "mediawiki-metadata"}, "CommonsMetadataExtension": {"value": 1.2, "source": "extension", "hidden": ""}, "Categories": {"value": "GFDL|License migration redundant|Self-published work|Files with coordinates missing SDC location of creation|Courtyard of the Archivo General de Indias", "source": "commons-categories", "hidden": ""}, "Assessments": {"value": "", "source": "commons-categories", "hidden": ""}, "GPSLatitude": {"value": "37.384806", "source": "commons-desc-page"}, "GPSLongitude": {"value": "-5.993222", "source": "commons-desc-page"}, "GPSMapDatum": {"value": "WGS-84", "source": "commons-desc-page", "hidden": ""}, "ImageDescription": {"value": "Juan de Minjares ejecuta el proyecto de &lt;a href=\"https://es.wikipedia.org/wiki/Juan_de_Herrera\" class=\"extiw\" title=\"es:Juan de Herrera\"&gt;Juan de Herrera&lt;/a&gt; (1583). Se terminaría hacia 1654, siendo &lt;a href=\"https://es.wikipedia.org/wiki/Alonso_de_Vandelvira\" class=\"extiw\" title=\"es:Alonso de Vandelvira\"&gt;Alonso de Vandelvira&lt;/a&gt;, aparejador y maestro mayor (ca. 1599-1604) uno de los principales artífice", "source": "commons-desc-page"}, "DateTimeOriginal": {"value": "2014-04", "source": "commons-desc-page"}, "Credit": {"value": "&lt;span class=\"int-own-work\" lang=\"en\"&gt;Own work&lt;/span&gt;", "source": "commons-desc-page"}, "Artist": {"value": "Jose Luis Filpo Cabana",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"https://thumb.wikimedia.org/wikipedia/commons/thumb/d/dd/Casa_Lonja_de_Mercaderes_%28Sevilla%29._Patio.jpg/1280px-Casa_Lonja_de_Mercaderes_%28Sevilla%29._Patio.jpg"}, "retrieved_on": "2026-10-25"}</t>
        </is>
      </c>
    </row>
    <row r="34" ht="54" customHeight="1">
      <c r="A34" s="29" t="inlineStr">
        <is>
          <t>sevilla:evidence:puente-de-triana-01</t>
        </is>
      </c>
      <c r="B34" s="29" t="inlineStr">
        <is>
          <t>sevilla</t>
        </is>
      </c>
      <c r="C34" s="29" t="inlineStr">
        <is>
          <t>sevilla:photo:puente-de-triana-01</t>
        </is>
      </c>
      <c r="D34" s="29" t="inlineStr">
        <is>
          <t>https://commons.wikimedia.org/wiki/File:Bridge_with_Jacaranda_Tree_in_Bloom_-_Seville_-_Spain.jpg</t>
        </is>
      </c>
      <c r="E34" s="29" t="inlineStr">
        <is>
          <t>File:Bridge with Jacaranda Tree in Bloom - Seville - Spain.jpg</t>
        </is>
      </c>
      <c r="F34" s="29" t="inlineStr">
        <is>
          <t>Adam Jones, Ph.D.</t>
        </is>
      </c>
      <c r="G34" s="29" t="inlineStr">
        <is>
          <t>CC BY-SA 3.0</t>
        </is>
      </c>
      <c r="H34" s="29" t="inlineStr">
        <is>
          <t>https://creativecommons.org/licenses/by-sa/3.0/</t>
        </is>
      </c>
      <c r="I34" s="29" t="inlineStr">
        <is>
          <t>Creative Commons Attribution-Share Alike 3.0</t>
        </is>
      </c>
      <c r="J34" s="29" t="inlineStr">
        <is>
          <t>Adam Jones, Ph.D. · CC BY-SA 3.0 · Wikimedia Commons</t>
        </is>
      </c>
      <c r="K34" s="29" t="n"/>
      <c r="L34" s="49" t="n">
        <v>46320</v>
      </c>
      <c r="M34" s="29" t="inlineStr">
        <is>
          <t>Bekliyor</t>
        </is>
      </c>
      <c r="N34" s="29" t="inlineStr">
        <is>
          <t>Bekliyor</t>
        </is>
      </c>
      <c r="O34" s="29" t="inlineStr">
        <is>
          <t>Fotoğraflar/sevilla_puente-de-triana_01.jpg</t>
        </is>
      </c>
      <c r="P34" s="29" t="inlineStr">
        <is>
          <t>Mor çiçekli jakaranda ağacının arkasında Triana Köprüsü'nün demir kemerleri.</t>
        </is>
      </c>
      <c r="Q34" s="29" t="inlineStr">
        <is>
          <t>Bekliyor</t>
        </is>
      </c>
      <c r="R34" s="29" t="inlineStr">
        <is>
          <t>Wikimedia Commons dosya sayfasındaki lisans: CC BY-SA 3.0</t>
        </is>
      </c>
      <c r="S34" s="29" t="inlineStr">
        <is>
          <t>Lisans kanıtları/puente-de-triana-01.source-evidence.json</t>
        </is>
      </c>
      <c r="T34" s="29" t="inlineStr">
        <is>
          <t>618de0208bf6107be67cfb8ee3c39b65f486ad356cadce76c80f44baa2d2937f</t>
        </is>
      </c>
      <c r="U34" s="29" t="inlineStr">
        <is>
          <t>Lisans kanıtları/puente-de-triana-01.license-evidence.json</t>
        </is>
      </c>
      <c r="V34" s="29" t="inlineStr">
        <is>
          <t>df0851b01d399077565700066935a3010b3d5f2cba0599526c3e98b54f087f13</t>
        </is>
      </c>
      <c r="W34" s="29" t="inlineStr">
        <is>
          <t>{"source_url": "https://commons.wikimedia.org/wiki/File:Bridge_with_Jacaranda_Tree_in_Bloom_-_Seville_-_Spain.jpg", "author": "Adam Jones, Ph.D.", "license": "CC BY-SA 3.0", "license_url": "https://creativecommons.org/licenses/by-sa/3.0/", "original_api_record": {"size": 3135692, "width": 3456, "height": 2304, "thumburl": "https://thumb.wikimedia.org/wikipedia/commons/thumb/f/fe/Bridge_with_Jacaranda_Tree_in_Bloom_-_Seville_-_Spain.jpg/1280px-Bridge_with_Jacaranda_Tree_in_Bloom_-_Seville_-_Spain.jpg", "thumbwidth": 1280, "thumbheight": 853, "responsiveUrls": {"2": "https://upload.wikimedia.org/wikipedia/commons/f/fe/Bridge_with_Jacaranda_Tree_in_Bloom_-_Seville_-_Spain.jpg"}, "thumbattribs": {"src": "https://thumb.wikimedia.org/wikipedia/commons/thumb/f/fe/Bridge_with_Jacaranda_Tree_in_Bloom_-_Seville_-_Spain.jpg/1280px-Bridge_with_Jacaranda_Tree_in_Bloom_-_Seville_-_Spain.jpg", "decoding": "async", "loading": "lazy", "width": 1280, "height": 853, "srcset": "https://upload.wikimedia.org/wikipedia/commons/f/fe/Bridge_with_Jacaranda_Tree_in_Bloom_-_Seville_-_Spain.jpg 2x"}, "url": "https://upload.wikimedia.org/wikipedia/commons/f/fe/Bridge_with_Jacaranda_Tree_in_Bloom_-_Seville_-_Spain.jpg", "descriptionurl": "https://commons.wikimedia.org/wiki/File:Bridge_with_Jacaranda_Tree_in_Bloom_-_Seville_-_Spain.jpg", "descriptionshorturl": "https://commons.wikimedia.org/w/index.php?curid=27824660", "sha1": "8b1d95e06aaff1ac9240a7e345931495bad0d447", "extmetadata": {"DateTime": {"value": "2013-08-22 04:32:26", "source": "mediawiki-metadata", "hidden": ""}, "ObjectName": {"value": "Bridge with Jacaranda Tree in Bloom - Seville - Spain", "source": "mediawiki-metadata"}, "CommonsMetadataExtension": {"value": 1.2, "source": "extension", "hidden": ""}, "Categories": {"value": "Taken with Sony DSC-HX1|Puente de Triana|Self-published work|Photographs by Adam Jones", "source": "commons-categories", "hidden": ""}, "Assessments": {"value": "", "source": "commons-categories", "hidden": ""}, "ImageDescription": {"value": "Bridge with Jacaranda Tree in Bloom - Seville - Spain", "source": "commons-desc-page"}, "DateTimeOriginal": {"value": "2010-05-14 05:03:46", "source": "commons-desc-page"}, "Credit": {"value": "&lt;span class=\"int-own-work\" lang=\"en\"&gt;Own work&lt;/span&gt;", "source": "commons-desc-page"}, "Artist": {"value": "&lt;a href=\"//commons.wikimedia.org/wiki/User:Adam63\" title=\"User:Adam63\"&gt;Adam Jones, Ph.D.&lt;/a&gt;",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"https://thumb.wikimedia.org/wikipedia/commons/thumb/f/fe/Bridge_with_Jacaranda_Tree_in_Bloom_-_Seville_-_Spain.jpg/1280px-Bridge_with_Jacaranda_Tree_in_Bloom_-_Seville_-_Spain.jpg"}, "retrieved_on": "2026-10-25"}</t>
        </is>
      </c>
    </row>
    <row r="35" ht="54" customHeight="1">
      <c r="A35" s="29" t="inlineStr">
        <is>
          <t>sevilla:evidence:muralla-de-la-macarena-01</t>
        </is>
      </c>
      <c r="B35" s="29" t="inlineStr">
        <is>
          <t>sevilla</t>
        </is>
      </c>
      <c r="C35" s="29" t="inlineStr">
        <is>
          <t>sevilla:photo:muralla-de-la-macarena-01</t>
        </is>
      </c>
      <c r="D35" s="29" t="inlineStr">
        <is>
          <t>https://commons.wikimedia.org/wiki/File:Arco_de_la_Macarena_de_Sevilla.JPG</t>
        </is>
      </c>
      <c r="E35" s="29" t="inlineStr">
        <is>
          <t>File:Arco de la Macarena de Sevilla.JPG</t>
        </is>
      </c>
      <c r="F35" s="29" t="inlineStr">
        <is>
          <t>Manuel López Gutiérrez (Logut)</t>
        </is>
      </c>
      <c r="G35" s="29" t="inlineStr">
        <is>
          <t>CC BY-SA 3.0 es</t>
        </is>
      </c>
      <c r="H35" s="29" t="inlineStr">
        <is>
          <t>https://creativecommons.org/licenses/by-sa/3.0/es/deed.en/</t>
        </is>
      </c>
      <c r="I35" s="29" t="inlineStr">
        <is>
          <t>Creative Commons Attribution-Share Alike 3.0 es</t>
        </is>
      </c>
      <c r="J35" s="29" t="inlineStr">
        <is>
          <t>Manuel López Gutiérrez (Logut) · CC BY-SA 3.0 es · Wikimedia Commons</t>
        </is>
      </c>
      <c r="K35" s="29" t="n"/>
      <c r="L35" s="49" t="n">
        <v>46320</v>
      </c>
      <c r="M35" s="29" t="inlineStr">
        <is>
          <t>Bekliyor</t>
        </is>
      </c>
      <c r="N35" s="29" t="inlineStr">
        <is>
          <t>Bekliyor</t>
        </is>
      </c>
      <c r="O35" s="29" t="inlineStr">
        <is>
          <t>Fotoğraflar/sevilla_muralla-de-la-macarena_01.jpg</t>
        </is>
      </c>
      <c r="P35" s="29" t="inlineStr">
        <is>
          <t>Macarena Kapısı'nın sarı boyalı kemerli girişi ve yanındaki sur.</t>
        </is>
      </c>
      <c r="Q35" s="29" t="inlineStr">
        <is>
          <t>Bekliyor</t>
        </is>
      </c>
      <c r="R35" s="29" t="inlineStr">
        <is>
          <t>Wikimedia Commons dosya sayfasındaki lisans: CC BY-SA 3.0 es</t>
        </is>
      </c>
      <c r="S35" s="29" t="inlineStr">
        <is>
          <t>Lisans kanıtları/muralla-de-la-macarena-01.source-evidence.json</t>
        </is>
      </c>
      <c r="T35" s="29" t="inlineStr">
        <is>
          <t>2d5c2ba4dcb208a006edcc0f9984c5cea4c82747456505da13c6d50743ca605c</t>
        </is>
      </c>
      <c r="U35" s="29" t="inlineStr">
        <is>
          <t>Lisans kanıtları/muralla-de-la-macarena-01.license-evidence.json</t>
        </is>
      </c>
      <c r="V35" s="29" t="inlineStr">
        <is>
          <t>f657b1e2ea45a660aeb04e66128498e3da72697c0c6a70f4f93157c034b1cda8</t>
        </is>
      </c>
      <c r="W35" s="29" t="inlineStr">
        <is>
          <t>{"source_url": "https://commons.wikimedia.org/wiki/File:Arco_de_la_Macarena_de_Sevilla.JPG", "author": "Manuel López Gutiérrez (Logut)", "license": "CC BY-SA 3.0 es", "license_url": "https://creativecommons.org/licenses/by-sa/3.0/es/deed.en/", "original_api_record": {"size": 1464312, "width": 6016, "height": 4000, "thumburl": "https://thumb.wikimedia.org/wikipedia/commons/thumb/d/df/Arco_de_la_Macarena_de_Sevilla.JPG/1280px-Arco_de_la_Macarena_de_Sevilla.JPG", "thumbwidth": 1280, "thumbheight": 851, "responsiveUrls": {"2": "https://thumb.wikimedia.org/wikipedia/commons/thumb/d/df/Arco_de_la_Macarena_de_Sevilla.JPG/3840px-Arco_de_la_Macarena_de_Sevilla.JPG"}, "thumbattribs": {"src": "https://thumb.wikimedia.org/wikipedia/commons/thumb/d/df/Arco_de_la_Macarena_de_Sevilla.JPG/1280px-Arco_de_la_Macarena_de_Sevilla.JPG", "decoding": "async", "loading": "lazy", "width": 1280, "height": 851, "srcset": "https://thumb.wikimedia.org/wikipedia/commons/thumb/d/df/Arco_de_la_Macarena_de_Sevilla.JPG/3840px-Arco_de_la_Macarena_de_Sevilla.JPG 2x"}, "url": "https://upload.wikimedia.org/wikipedia/commons/d/df/Arco_de_la_Macarena_de_Sevilla.JPG", "descriptionurl": "https://commons.wikimedia.org/wiki/File:Arco_de_la_Macarena_de_Sevilla.JPG", "descriptionshorturl": "https://commons.wikimedia.org/w/index.php?curid=35443650", "sha1": "f082908fefc613198692d300f19670f489be4e04", "extmetadata": {"DateTime": {"value": "2014-09-17 19:40:26", "source": "mediawiki-metadata", "hidden": ""}, "ObjectName": {"value": "Arco de la Macarena de Sevilla", "source": "mediawiki-metadata"}, "CommonsMetadataExtension": {"value": 1.2, "source": "extension", "hidden": ""}, "Categories": {"value": "Taken with Nikon D3200|Media lacking a description|Puerta de la Macarena (Seville)|Self-published work|Images from Wiki Loves Monuments 2014|Images from Wiki Loves Monuments 2014 in Spain|Uploaded via Campaign:wlm-es|All media supported by Wikimedia España in 2014|Spain photographs taken on 2014-04-15|Images from Wiki Loves Monuments missing SDC depicts|Images from Wiki Loves Monuments missing SDC location of creation", "source": "commons-categories", "hidden": ""}, "Assessments": {"value": "", "source": "commons-categories", "hidden": ""}, "DateTimeOriginal": {"value": "2014-04-15 11:13:13", "source": "commons-desc-page"}, "Credit": {"value": "&lt;span class=\"int-own-work\" lang=\"en\"&gt;Own work&lt;/span&gt;", "source": "commons-desc-page"}, "Artist": {"value": "&lt;a href=\"//commons.wikimedia.org/w/index.php?title=User:Logut&amp;amp;action=edit&amp;amp;redlink=1\" class=\"new\" title=\"User:Logut (page does not exist)\"&gt;Manuel López Gutiérrez (Logut)&lt;/a&gt;", "source": "commons-desc-page"}, "LicenseShortName": {"value": "CC BY-SA 3.0 es", "source": "commons-desc-page", "hidden": ""}, "UsageTerms": {"value": "Creative Commons Attribution-Share Alike 3.0 es", "source": "commons-desc-page"}, "AttributionRequired": {"value": "true", "source": "commons-desc-page", "hidden": ""}, "LicenseUrl": {"value": "https://creativecommons.org/licenses/by-sa/3.0/es/deed.en", "source": "commons-desc-page"}, "Copyrighted": {"value": "True", "source": "commons-desc-page", "hidden": ""}, "Restrictions": {"value": "", "source": "commons-desc-page", "hidden": ""}, "License": {"value": "cc-by-sa-3.0-es", "source": "commons-templates", "hidden": ""}}, "mime": "image/jpeg"}, "delivered_file": {"url": "https://thumb.wikimedia.org/wikipedia/commons/thumb/d/df/Arco_de_la_Macarena_de_Sevilla.JPG/1280px-Arco_de_la_Macarena_de_Sevilla.JPG"}, "retrieved_on": "2026-10-25"}</t>
        </is>
      </c>
    </row>
    <row r="36" ht="54" customHeight="1">
      <c r="A36" s="29" t="inlineStr">
        <is>
          <t>sevilla:evidence:muralla-de-la-macarena-02</t>
        </is>
      </c>
      <c r="B36" s="29" t="inlineStr">
        <is>
          <t>sevilla</t>
        </is>
      </c>
      <c r="C36" s="29" t="inlineStr">
        <is>
          <t>sevilla:photo:muralla-de-la-macarena-02</t>
        </is>
      </c>
      <c r="D36" s="29" t="inlineStr">
        <is>
          <t>https://commons.wikimedia.org/wiki/File:Arco_de_la_Macarena.jpg</t>
        </is>
      </c>
      <c r="E36" s="29" t="inlineStr">
        <is>
          <t>File:Arco de la Macarena.jpg</t>
        </is>
      </c>
      <c r="F36" s="29" t="inlineStr">
        <is>
          <t>Torniego 1947</t>
        </is>
      </c>
      <c r="G36" s="29" t="inlineStr">
        <is>
          <t>CC BY-SA 4.0</t>
        </is>
      </c>
      <c r="H36" s="29" t="inlineStr">
        <is>
          <t>https://creativecommons.org/licenses/by-sa/4.0/</t>
        </is>
      </c>
      <c r="I36" s="29" t="inlineStr">
        <is>
          <t>Creative Commons Attribution-Share Alike 4.0</t>
        </is>
      </c>
      <c r="J36" s="29" t="inlineStr">
        <is>
          <t>Torniego 1947 · CC BY-SA 4.0 · Wikimedia Commons</t>
        </is>
      </c>
      <c r="K36" s="29" t="n"/>
      <c r="L36" s="49" t="n">
        <v>46320</v>
      </c>
      <c r="M36" s="29" t="inlineStr">
        <is>
          <t>Bekliyor</t>
        </is>
      </c>
      <c r="N36" s="29" t="inlineStr">
        <is>
          <t>Bekliyor</t>
        </is>
      </c>
      <c r="O36" s="29" t="inlineStr">
        <is>
          <t>Fotoğraflar/sevilla_muralla-de-la-macarena_02.jpg</t>
        </is>
      </c>
      <c r="P36" s="29" t="inlineStr">
        <is>
          <t>Macarena Kemeri'nin çinili tepeliğiyle cephesi ve arkasındaki sokak.</t>
        </is>
      </c>
      <c r="Q36" s="29" t="inlineStr">
        <is>
          <t>Bekliyor</t>
        </is>
      </c>
      <c r="R36" s="29" t="inlineStr">
        <is>
          <t>Wikimedia Commons dosya sayfasındaki lisans: CC BY-SA 4.0</t>
        </is>
      </c>
      <c r="S36" s="29" t="inlineStr">
        <is>
          <t>Lisans kanıtları/muralla-de-la-macarena-02.source-evidence.json</t>
        </is>
      </c>
      <c r="T36" s="29" t="inlineStr">
        <is>
          <t>f12a4b0d06f9f7dcf0f40635758223ae9c21840eb24f06cd8eff6e912e418b79</t>
        </is>
      </c>
      <c r="U36" s="29" t="inlineStr">
        <is>
          <t>Lisans kanıtları/muralla-de-la-macarena-02.license-evidence.json</t>
        </is>
      </c>
      <c r="V36" s="29" t="inlineStr">
        <is>
          <t>75ed044070dfe7f89abf1d1a4023de2b3e39e675940210d11af835c4a48eb5e1</t>
        </is>
      </c>
      <c r="W36" s="29" t="inlineStr">
        <is>
          <t>{"source_url": "https://commons.wikimedia.org/wiki/File:Arco_de_la_Macarena.jpg", "author": "Torniego 1947", "license": "CC BY-SA 4.0", "license_url": "https://creativecommons.org/licenses/by-sa/4.0/", "original_api_record": {"size": 1286584, "width": 2771, "height": 3145, "thumburl": "https://thumb.wikimedia.org/wikipedia/commons/thumb/1/19/Arco_de_la_Macarena.jpg/1280px-Arco_de_la_Macarena.jpg", "thumbwidth": 1280, "thumbheight": 1453, "responsiveUrls": {"2": "https://upload.wikimedia.org/wikipedia/commons/1/19/Arco_de_la_Macarena.jpg"}, "thumbattribs": {"src": "https://thumb.wikimedia.org/wikipedia/commons/thumb/1/19/Arco_de_la_Macarena.jpg/1280px-Arco_de_la_Macarena.jpg", "decoding": "async", "loading": "lazy", "width": 1280, "height": 1453, "srcset": "https://upload.wikimedia.org/wikipedia/commons/1/19/Arco_de_la_Macarena.jpg 2x"}, "url": "https://upload.wikimedia.org/wikipedia/commons/1/19/Arco_de_la_Macarena.jpg", "descriptionurl": "https://commons.wikimedia.org/wiki/File:Arco_de_la_Macarena.jpg", "descriptionshorturl": "https://commons.wikimedia.org/w/index.php?curid=121700641", "sha1": "5471603861d02f8ef05b7694be22e88b474fd0e6", "extmetadata": {"DateTime": {"value": "2022-08-13 16:24:56", "source": "mediawiki-metadata", "hidden": ""}, "ObjectName": {"value": "Arco de la Macarena", "source": "mediawiki-metadata"}, "CommonsMetadataExtension": {"value": 1.2, "source": "extension", "hidden": ""}, "Categories": {"value": "Puerta de la Macarena (Seville)|Self-published work|July 2022 in Andalusia|2022 in Seville", "source": "commons-categories", "hidden": ""}, "Assessments": {"value": "", "source": "commons-categories", "hidden": ""}, "ImageDescription": {"value": "Arco de la Macarena en Sevilla (España).", "source": "commons-desc-page"}, "DateTimeOriginal": {"value": "2022-07-09 11:20:06", "source": "commons-desc-page"}, "Credit": {"value": "&lt;span class=\"int-own-work\" lang=\"en\"&gt;Own work&lt;/span&gt;", "source": "commons-desc-page"}, "Artist": {"value": "&lt;a href=\"//commons.wikimedia.org/wiki/User:Torniego_1947\" title=\"User:Torniego 1947\"&gt;Torniego 1947&lt;/a&gt;",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"https://thumb.wikimedia.org/wikipedia/commons/thumb/1/19/Arco_de_la_Macarena.jpg/1280px-Arco_de_la_Macarena.jpg"}, "retrieved_on": "2026-10-25"}</t>
        </is>
      </c>
    </row>
    <row r="37" ht="54" customHeight="1">
      <c r="A37" s="29" t="inlineStr">
        <is>
          <t>sevilla:evidence:muralla-de-la-macarena-03</t>
        </is>
      </c>
      <c r="B37" s="29" t="inlineStr">
        <is>
          <t>sevilla</t>
        </is>
      </c>
      <c r="C37" s="29" t="inlineStr">
        <is>
          <t>sevilla:photo:muralla-de-la-macarena-03</t>
        </is>
      </c>
      <c r="D37" s="29" t="inlineStr">
        <is>
          <t>https://commons.wikimedia.org/wiki/File:Arco_de_la_macarena_002An2022.jpg</t>
        </is>
      </c>
      <c r="E37" s="29" t="inlineStr">
        <is>
          <t>File:Arco de la macarena 002An2022.jpg</t>
        </is>
      </c>
      <c r="F37" s="29" t="inlineStr">
        <is>
          <t>Anual</t>
        </is>
      </c>
      <c r="G37" s="29" t="inlineStr">
        <is>
          <t>CC BY-SA 4.0</t>
        </is>
      </c>
      <c r="H37" s="29" t="inlineStr">
        <is>
          <t>https://creativecommons.org/licenses/by-sa/4.0/</t>
        </is>
      </c>
      <c r="I37" s="29" t="inlineStr">
        <is>
          <t>Creative Commons Attribution-Share Alike 4.0</t>
        </is>
      </c>
      <c r="J37" s="29" t="inlineStr">
        <is>
          <t>Anual · CC BY-SA 4.0 · Wikimedia Commons</t>
        </is>
      </c>
      <c r="K37" s="29" t="n"/>
      <c r="L37" s="49" t="n">
        <v>46320</v>
      </c>
      <c r="M37" s="29" t="inlineStr">
        <is>
          <t>Bekliyor</t>
        </is>
      </c>
      <c r="N37" s="29" t="inlineStr">
        <is>
          <t>Bekliyor</t>
        </is>
      </c>
      <c r="O37" s="29" t="inlineStr">
        <is>
          <t>Fotoğraflar/sevilla_muralla-de-la-macarena_03.jpg</t>
        </is>
      </c>
      <c r="P37" s="29" t="inlineStr">
        <is>
          <t>Macarena Kemeri'nin taş süslemeli kemeri, başka bir açıdan.</t>
        </is>
      </c>
      <c r="Q37" s="29" t="inlineStr">
        <is>
          <t>Bekliyor</t>
        </is>
      </c>
      <c r="R37" s="29" t="inlineStr">
        <is>
          <t>Wikimedia Commons dosya sayfasındaki lisans: CC BY-SA 4.0</t>
        </is>
      </c>
      <c r="S37" s="29" t="inlineStr">
        <is>
          <t>Lisans kanıtları/muralla-de-la-macarena-03.source-evidence.json</t>
        </is>
      </c>
      <c r="T37" s="29" t="inlineStr">
        <is>
          <t>979c599a14947bd51cb397276b422031237ebd652182a508aee4cb28906880cb</t>
        </is>
      </c>
      <c r="U37" s="29" t="inlineStr">
        <is>
          <t>Lisans kanıtları/muralla-de-la-macarena-03.license-evidence.json</t>
        </is>
      </c>
      <c r="V37" s="29" t="inlineStr">
        <is>
          <t>d404f914720366a9685aa8101ea38f8da10a0bc3e4c78e66ca87b2071ced7d19</t>
        </is>
      </c>
      <c r="W37" s="29" t="inlineStr">
        <is>
          <t>{"source_url": "https://commons.wikimedia.org/wiki/File:Arco_de_la_macarena_002An2022.jpg", "author": "Anual", "license": "CC BY-SA 4.0", "license_url": "https://creativecommons.org/licenses/by-sa/4.0/", "original_api_record": {"size": 2948597, "width": 3696, "height": 5545, "thumburl": "https://thumb.wikimedia.org/wikipedia/commons/thumb/3/35/Arco_de_la_macarena_002An2022.jpg/1280px-Arco_de_la_macarena_002An2022.jpg", "thumbwidth": 1280, "thumbheight": 1920, "responsiveUrls": {"2": "https://upload.wikimedia.org/wikipedia/commons/3/35/Arco_de_la_macarena_002An2022.jpg"}, "thumbattribs": {"src": "https://thumb.wikimedia.org/wikipedia/commons/thumb/3/35/Arco_de_la_macarena_002An2022.jpg/1280px-Arco_de_la_macarena_002An2022.jpg", "decoding": "async", "loading": "lazy", "width": 1280, "height": 1920, "srcset": "https://upload.wikimedia.org/wikipedia/commons/3/35/Arco_de_la_macarena_002An2022.jpg 2x"}, "url": "https://upload.wikimedia.org/wikipedia/commons/3/35/Arco_de_la_macarena_002An2022.jpg", "descriptionurl": "https://commons.wikimedia.org/wiki/File:Arco_de_la_macarena_002An2022.jpg", "descriptionshorturl": "https://commons.wikimedia.org/w/index.php?curid=126018730", "sha1": "4fccea0e3fe0e83b0fd8565e47d17fe679fffc0b", "extmetadata": {"DateTime": {"value": "2022-11-27 18:42:17", "source": "mediawiki-metadata", "hidden": ""}, "ObjectName": {"value": "Arco de la macarena 002An2022", "source": "mediawiki-metadata"}, "CommonsMetadataExtension": {"value": 1.2, "source": "extension", "hidden": ""}, "Categories": {"value": "Puerta de la Macarena (Seville)|Self-published work|November 2022 in Seville", "source": "commons-categories", "hidden": ""}, "Assessments": {"value": "", "source": "commons-categories", "hidden": ""}, "ImageDescription": {"value": "Macarena Gate, Seville (Spain)", "source": "commons-desc-page"}, "DateTimeOriginal": {"value": "2022-11-27", "source": "commons-desc-page"}, "Credit": {"value": "&lt;span class=\"int-own-work\" lang=\"en\"&gt;Own work&lt;/span&gt;", "source": "commons-desc-page"}, "Artist": {"value": "&lt;a href=\"//commons.wikimedia.org/wiki/User:Anual\" title=\"User:Anual\"&gt;Anual&lt;/a&gt;",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"https://thumb.wikimedia.org/wikipedia/commons/thumb/3/35/Arco_de_la_macarena_002An2022.jpg/1280px-Arco_de_la_macarena_002An2022.jpg"}, "retrieved_on": "2026-10-25"}</t>
        </is>
      </c>
    </row>
    <row r="38" ht="54" customHeight="1">
      <c r="A38" s="29" t="inlineStr">
        <is>
          <t>sevilla:evidence:cementerio-de-san-fernando-01</t>
        </is>
      </c>
      <c r="B38" s="29" t="inlineStr">
        <is>
          <t>sevilla</t>
        </is>
      </c>
      <c r="C38" s="29" t="inlineStr">
        <is>
          <t>sevilla:photo:cementerio-de-san-fernando-01</t>
        </is>
      </c>
      <c r="D38" s="29" t="inlineStr">
        <is>
          <t>https://commons.wikimedia.org/wiki/File:Cementerio_de_San_Fernando_01.jpg</t>
        </is>
      </c>
      <c r="E38" s="29" t="inlineStr">
        <is>
          <t>File:Cementerio de San Fernando 01.jpg</t>
        </is>
      </c>
      <c r="F38" s="29" t="inlineStr">
        <is>
          <t>CarlosVdeHabsburgo</t>
        </is>
      </c>
      <c r="G38" s="29" t="inlineStr">
        <is>
          <t>CC BY-SA 4.0</t>
        </is>
      </c>
      <c r="H38" s="29" t="inlineStr">
        <is>
          <t>https://creativecommons.org/licenses/by-sa/4.0/</t>
        </is>
      </c>
      <c r="I38" s="29" t="inlineStr">
        <is>
          <t>Creative Commons Attribution-Share Alike 4.0</t>
        </is>
      </c>
      <c r="J38" s="29" t="inlineStr">
        <is>
          <t>CarlosVdeHabsburgo · CC BY-SA 4.0 · Wikimedia Commons</t>
        </is>
      </c>
      <c r="K38" s="29" t="n"/>
      <c r="L38" s="49" t="n">
        <v>46320</v>
      </c>
      <c r="M38" s="29" t="inlineStr">
        <is>
          <t>Bekliyor</t>
        </is>
      </c>
      <c r="N38" s="29" t="inlineStr">
        <is>
          <t>Bekliyor</t>
        </is>
      </c>
      <c r="O38" s="29" t="inlineStr">
        <is>
          <t>Fotoğraflar/sevilla_cementerio-de-san-fernando_01.jpg</t>
        </is>
      </c>
      <c r="P38" s="29" t="inlineStr">
        <is>
          <t>San Fernando Mezarlığı'nda taş haçlar ve mezar anıtları.</t>
        </is>
      </c>
      <c r="Q38" s="29" t="inlineStr">
        <is>
          <t>Bekliyor</t>
        </is>
      </c>
      <c r="R38" s="29" t="inlineStr">
        <is>
          <t>Wikimedia Commons dosya sayfasındaki lisans: CC BY-SA 4.0</t>
        </is>
      </c>
      <c r="S38" s="29" t="inlineStr">
        <is>
          <t>Lisans kanıtları/cementerio-de-san-fernando-01.source-evidence.json</t>
        </is>
      </c>
      <c r="T38" s="29" t="inlineStr">
        <is>
          <t>0b21a277afe6224831141d843519311fc687645ae7b9082223e3dd6d7f50d4b7</t>
        </is>
      </c>
      <c r="U38" s="29" t="inlineStr">
        <is>
          <t>Lisans kanıtları/cementerio-de-san-fernando-01.license-evidence.json</t>
        </is>
      </c>
      <c r="V38" s="29" t="inlineStr">
        <is>
          <t>271c61ea8b8fca5c46caac3abb4e32e7a5f10762061a48bcd5b8a9cb62de73fa</t>
        </is>
      </c>
      <c r="W38" s="29" t="inlineStr">
        <is>
          <t>{"source_url": "https://commons.wikimedia.org/wiki/File:Cementerio_de_San_Fernando_01.jpg", "author": "CarlosVdeHabsburgo", "license": "CC BY-SA 4.0", "license_url": "https://creativecommons.org/licenses/by-sa/4.0/", "original_api_record": {"size": 7060031, "width": 4320, "height": 3240, "thumburl": "https://thumb.wikimedia.org/wikipedia/commons/thumb/d/d2/Cementerio_de_San_Fernando_01.jpg/1280px-Cementerio_de_San_Fernando_01.jpg", "thumbwidth": 1280, "thumbheight": 960, "responsiveUrls": {"2": "https://thumb.wikimedia.org/wikipedia/commons/thumb/d/d2/Cementerio_de_San_Fernando_01.jpg/3840px-Cementerio_de_San_Fernando_01.jpg"}, "thumbattribs": {"src": "https://thumb.wikimedia.org/wikipedia/commons/thumb/d/d2/Cementerio_de_San_Fernando_01.jpg/1280px-Cementerio_de_San_Fernando_01.jpg", "decoding": "async", "loading": "lazy", "width": 1280, "height": 960, "srcset": "https://thumb.wikimedia.org/wikipedia/commons/thumb/d/d2/Cementerio_de_San_Fernando_01.jpg/3840px-Cementerio_de_San_Fernando_01.jpg 2x"}, "url": "https://upload.wikimedia.org/wikipedia/commons/d/d2/Cementerio_de_San_Fernando_01.jpg", "descriptionurl": "https://commons.wikimedia.org/wiki/File:Cementerio_de_San_Fernando_01.jpg", "descriptionshorturl": "https://commons.wikimedia.org/w/index.php?curid=66569374", "sha1": "4f690660f0df22c3692702df67c86b4e6bf86263", "extmetadata": {"DateTime": {"value": "2018-02-18 18:41:01", "source": "mediawiki-metadata", "hidden": ""}, "ObjectName": {"value": "Cementerio de San Fernando 01", "source": "mediawiki-metadata"}, "CommonsMetadataExtension": {"value": 1.2, "source": "extension", "hidden": ""}, "Categories": {"value": "Cementerio de San Fernando (Sevilla)|Self-published work", "source": "commons-categories", "hidden": ""}, "Assessments": {"value": "", "source": "commons-categories", "hidden": ""}, "ImageDescription": {"value": "Cementerio de San Fernando. Sevilla, Andalucía, España.", "source": "commons-desc-page"}, "DateTimeOriginal": {"value": "2018-02-18",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"https://thumb.wikimedia.org/wikipedia/commons/thumb/d/d2/Cementerio_de_San_Fernando_01.jpg/1280px-Cementerio_de_San_Fernando_01.jpg"}, "retrieved_on": "2026-10-25"}</t>
        </is>
      </c>
    </row>
    <row r="39" ht="54" customHeight="1">
      <c r="A39" s="29" t="inlineStr">
        <is>
          <t>sevilla:evidence:cementerio-de-san-fernando-02</t>
        </is>
      </c>
      <c r="B39" s="29" t="inlineStr">
        <is>
          <t>sevilla</t>
        </is>
      </c>
      <c r="C39" s="29" t="inlineStr">
        <is>
          <t>sevilla:photo:cementerio-de-san-fernando-02</t>
        </is>
      </c>
      <c r="D39" s="29" t="inlineStr">
        <is>
          <t>https://commons.wikimedia.org/wiki/File:Cementerio_de_San_Fernando_02.jpg</t>
        </is>
      </c>
      <c r="E39" s="29" t="inlineStr">
        <is>
          <t>File:Cementerio de San Fernando 02.jpg</t>
        </is>
      </c>
      <c r="F39" s="29" t="inlineStr">
        <is>
          <t>CarlosVdeHabsburgo</t>
        </is>
      </c>
      <c r="G39" s="29" t="inlineStr">
        <is>
          <t>CC BY-SA 4.0</t>
        </is>
      </c>
      <c r="H39" s="29" t="inlineStr">
        <is>
          <t>https://creativecommons.org/licenses/by-sa/4.0/</t>
        </is>
      </c>
      <c r="I39" s="29" t="inlineStr">
        <is>
          <t>Creative Commons Attribution-Share Alike 4.0</t>
        </is>
      </c>
      <c r="J39" s="29" t="inlineStr">
        <is>
          <t>CarlosVdeHabsburgo · CC BY-SA 4.0 · Wikimedia Commons</t>
        </is>
      </c>
      <c r="K39" s="29" t="n"/>
      <c r="L39" s="49" t="n">
        <v>46320</v>
      </c>
      <c r="M39" s="29" t="inlineStr">
        <is>
          <t>Bekliyor</t>
        </is>
      </c>
      <c r="N39" s="29" t="inlineStr">
        <is>
          <t>Bekliyor</t>
        </is>
      </c>
      <c r="O39" s="29" t="inlineStr">
        <is>
          <t>Fotoğraflar/sevilla_cementerio-de-san-fernando_02.jpg</t>
        </is>
      </c>
      <c r="P39" s="29" t="inlineStr">
        <is>
          <t>San Fernando Mezarlığı'nda servi ağaçları arasında beyaz haçlar ve çiçekler.</t>
        </is>
      </c>
      <c r="Q39" s="29" t="inlineStr">
        <is>
          <t>Bekliyor</t>
        </is>
      </c>
      <c r="R39" s="29" t="inlineStr">
        <is>
          <t>Wikimedia Commons dosya sayfasındaki lisans: CC BY-SA 4.0</t>
        </is>
      </c>
      <c r="S39" s="29" t="inlineStr">
        <is>
          <t>Lisans kanıtları/cementerio-de-san-fernando-02.source-evidence.json</t>
        </is>
      </c>
      <c r="T39" s="29" t="inlineStr">
        <is>
          <t>656829ce5c6561e8b1f464bab32bdf94535463065bcd5f1943db9f6dfd9ea01f</t>
        </is>
      </c>
      <c r="U39" s="29" t="inlineStr">
        <is>
          <t>Lisans kanıtları/cementerio-de-san-fernando-02.license-evidence.json</t>
        </is>
      </c>
      <c r="V39" s="29" t="inlineStr">
        <is>
          <t>d36a135a271aa5f3cd1a39a8daf53db77f12558a267e57c0275ce40819a19f81</t>
        </is>
      </c>
      <c r="W39" s="29" t="inlineStr">
        <is>
          <t>{"source_url": "https://commons.wikimedia.org/wiki/File:Cementerio_de_San_Fernando_02.jpg", "author": "CarlosVdeHabsburgo", "license": "CC BY-SA 4.0", "license_url": "https://creativecommons.org/licenses/by-sa/4.0/", "original_api_record": {"size": 7436180, "width": 4320, "height": 3240, "thumburl": "https://thumb.wikimedia.org/wikipedia/commons/thumb/3/37/Cementerio_de_San_Fernando_02.jpg/1280px-Cementerio_de_San_Fernando_02.jpg", "thumbwidth": 1280, "thumbheight": 960, "responsiveUrls": {"2": "https://thumb.wikimedia.org/wikipedia/commons/thumb/3/37/Cementerio_de_San_Fernando_02.jpg/3840px-Cementerio_de_San_Fernando_02.jpg"}, "thumbattribs": {"src": "https://thumb.wikimedia.org/wikipedia/commons/thumb/3/37/Cementerio_de_San_Fernando_02.jpg/1280px-Cementerio_de_San_Fernando_02.jpg", "decoding": "async", "loading": "lazy", "width": 1280, "height": 960, "srcset": "https://thumb.wikimedia.org/wikipedia/commons/thumb/3/37/Cementerio_de_San_Fernando_02.jpg/3840px-Cementerio_de_San_Fernando_02.jpg 2x"}, "url": "https://upload.wikimedia.org/wikipedia/commons/3/37/Cementerio_de_San_Fernando_02.jpg", "descriptionurl": "https://commons.wikimedia.org/wiki/File:Cementerio_de_San_Fernando_02.jpg", "descriptionshorturl": "https://commons.wikimedia.org/w/index.php?curid=66569546", "sha1": "f80d273c1a8e69f1f43779e31f556816512aedbd", "extmetadata": {"DateTime": {"value": "2018-02-18 18:44:18", "source": "mediawiki-metadata", "hidden": ""}, "ObjectName": {"value": "Cementerio de San Fernando 02", "source": "mediawiki-metadata"}, "CommonsMetadataExtension": {"value": 1.2, "source": "extension", "hidden": ""}, "Categories": {"value": "Cementerio de San Fernando (Sevilla)|Self-published work", "source": "commons-categories", "hidden": ""}, "Assessments": {"value": "", "source": "commons-categories", "hidden": ""}, "ImageDescription": {"value": "Cementerio de San Fernando. Sevilla, Andalucía, España.", "source": "commons-desc-page"}, "DateTimeOriginal": {"value": "2018-02-18",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"https://thumb.wikimedia.org/wikipedia/commons/thumb/3/37/Cementerio_de_San_Fernando_02.jpg/1280px-Cementerio_de_San_Fernando_02.jpg"}, "retrieved_on": "2026-10-25"}</t>
        </is>
      </c>
    </row>
    <row r="40" ht="54" customHeight="1">
      <c r="A40" s="29" t="inlineStr">
        <is>
          <t>sevilla:evidence:cementerio-de-san-fernando-03</t>
        </is>
      </c>
      <c r="B40" s="29" t="inlineStr">
        <is>
          <t>sevilla</t>
        </is>
      </c>
      <c r="C40" s="29" t="inlineStr">
        <is>
          <t>sevilla:photo:cementerio-de-san-fernando-03</t>
        </is>
      </c>
      <c r="D40" s="29" t="inlineStr">
        <is>
          <t>https://commons.wikimedia.org/wiki/File:Cementerio_de_San_Fernando_03.jpg</t>
        </is>
      </c>
      <c r="E40" s="29" t="inlineStr">
        <is>
          <t>File:Cementerio de San Fernando 03.jpg</t>
        </is>
      </c>
      <c r="F40" s="29" t="inlineStr">
        <is>
          <t>CarlosVdeHabsburgo</t>
        </is>
      </c>
      <c r="G40" s="29" t="inlineStr">
        <is>
          <t>CC BY-SA 4.0</t>
        </is>
      </c>
      <c r="H40" s="29" t="inlineStr">
        <is>
          <t>https://creativecommons.org/licenses/by-sa/4.0/</t>
        </is>
      </c>
      <c r="I40" s="29" t="inlineStr">
        <is>
          <t>Creative Commons Attribution-Share Alike 4.0</t>
        </is>
      </c>
      <c r="J40" s="29" t="inlineStr">
        <is>
          <t>CarlosVdeHabsburgo · CC BY-SA 4.0 · Wikimedia Commons</t>
        </is>
      </c>
      <c r="K40" s="29" t="n"/>
      <c r="L40" s="49" t="n">
        <v>46320</v>
      </c>
      <c r="M40" s="29" t="inlineStr">
        <is>
          <t>Bekliyor</t>
        </is>
      </c>
      <c r="N40" s="29" t="inlineStr">
        <is>
          <t>Bekliyor</t>
        </is>
      </c>
      <c r="O40" s="29" t="inlineStr">
        <is>
          <t>Fotoğraflar/sevilla_cementerio-de-san-fernando_03.jpg</t>
        </is>
      </c>
      <c r="P40" s="29" t="inlineStr">
        <is>
          <t>San Fernando Mezarlığı'nda sıra sıra beyaz mermer mezarlar.</t>
        </is>
      </c>
      <c r="Q40" s="29" t="inlineStr">
        <is>
          <t>Bekliyor</t>
        </is>
      </c>
      <c r="R40" s="29" t="inlineStr">
        <is>
          <t>Wikimedia Commons dosya sayfasındaki lisans: CC BY-SA 4.0</t>
        </is>
      </c>
      <c r="S40" s="29" t="inlineStr">
        <is>
          <t>Lisans kanıtları/cementerio-de-san-fernando-03.source-evidence.json</t>
        </is>
      </c>
      <c r="T40" s="29" t="inlineStr">
        <is>
          <t>b2024a5ec0f5dac00bb39c342d72eace9b04e4b204e1e529c401960c36976784</t>
        </is>
      </c>
      <c r="U40" s="29" t="inlineStr">
        <is>
          <t>Lisans kanıtları/cementerio-de-san-fernando-03.license-evidence.json</t>
        </is>
      </c>
      <c r="V40" s="29" t="inlineStr">
        <is>
          <t>53c00b7002b7536876560ccd0cd4d704944dce8d7e29d8f9587152b2229b46f4</t>
        </is>
      </c>
      <c r="W40" s="29" t="inlineStr">
        <is>
          <t>{"source_url": "https://commons.wikimedia.org/wiki/File:Cementerio_de_San_Fernando_03.jpg", "author": "CarlosVdeHabsburgo", "license": "CC BY-SA 4.0", "license_url": "https://creativecommons.org/licenses/by-sa/4.0/", "original_api_record": {"size": 7036877, "width": 4320, "height": 3240, "thumburl": "https://thumb.wikimedia.org/wikipedia/commons/thumb/0/07/Cementerio_de_San_Fernando_03.jpg/1280px-Cementerio_de_San_Fernando_03.jpg", "thumbwidth": 1280, "thumbheight": 960, "responsiveUrls": {"2": "https://thumb.wikimedia.org/wikipedia/commons/thumb/0/07/Cementerio_de_San_Fernando_03.jpg/3840px-Cementerio_de_San_Fernando_03.jpg"}, "thumbattribs": {"src": "https://thumb.wikimedia.org/wikipedia/commons/thumb/0/07/Cementerio_de_San_Fernando_03.jpg/1280px-Cementerio_de_San_Fernando_03.jpg", "decoding": "async", "loading": "lazy", "width": 1280, "height": 960, "srcset": "https://thumb.wikimedia.org/wikipedia/commons/thumb/0/07/Cementerio_de_San_Fernando_03.jpg/3840px-Cementerio_de_San_Fernando_03.jpg 2x"}, "url": "https://upload.wikimedia.org/wikipedia/commons/0/07/Cementerio_de_San_Fernando_03.jpg", "descriptionurl": "https://commons.wikimedia.org/wiki/File:Cementerio_de_San_Fernando_03.jpg", "descriptionshorturl": "https://commons.wikimedia.org/w/index.php?curid=66570906", "sha1": "c255331fc1f67c59d5458cba935e1997e4526431", "extmetadata": {"DateTime": {"value": "2018-02-18 19:10:07", "source": "mediawiki-metadata", "hidden": ""}, "ObjectName": {"value": "Cementerio de San Fernando 03", "source": "mediawiki-metadata"}, "CommonsMetadataExtension": {"value": 1.2, "source": "extension", "hidden": ""}, "Categories": {"value": "Cementerio de San Fernando (Sevilla)|Self-published work", "source": "commons-categories", "hidden": ""}, "Assessments": {"value": "", "source": "commons-categories", "hidden": ""}, "ImageDescription": {"value": "Cementerio de San Fernando. Sevilla, Andalucía, España.", "source": "commons-desc-page"}, "DateTimeOriginal": {"value": "2018-02-18",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"https://thumb.wikimedia.org/wikipedia/commons/thumb/0/07/Cementerio_de_San_Fernando_03.jpg/1280px-Cementerio_de_San_Fernando_03.jpg"}, "retrieved_on": "2026-10-25"}</t>
        </is>
      </c>
    </row>
    <row r="41" ht="54" customHeight="1">
      <c r="A41" s="29" t="inlineStr">
        <is>
          <t>sevilla:evidence:plaza-de-toros-de-la-maestranza-01</t>
        </is>
      </c>
      <c r="B41" s="29" t="inlineStr">
        <is>
          <t>sevilla</t>
        </is>
      </c>
      <c r="C41" s="29" t="inlineStr">
        <is>
          <t>sevilla:photo:plaza-de-toros-de-la-maestranza-01</t>
        </is>
      </c>
      <c r="D41" s="29" t="inlineStr">
        <is>
          <t>https://commons.wikimedia.org/wiki/File:Andalucia-01-0062_(8086361611).jpg</t>
        </is>
      </c>
      <c r="E41" s="29" t="inlineStr">
        <is>
          <t>File:Andalucia-01-0062 (8086361611).jpg</t>
        </is>
      </c>
      <c r="F41" s="29" t="inlineStr">
        <is>
          <t>Andrei Dimofte from Stuttgart, Germany</t>
        </is>
      </c>
      <c r="G41" s="29" t="inlineStr">
        <is>
          <t>CC BY 2.0</t>
        </is>
      </c>
      <c r="H41" s="29" t="inlineStr">
        <is>
          <t>https://creativecommons.org/licenses/by/2.0/</t>
        </is>
      </c>
      <c r="I41" s="29" t="inlineStr">
        <is>
          <t>Creative Commons Attribution 2.0</t>
        </is>
      </c>
      <c r="J41" s="29" t="inlineStr">
        <is>
          <t>Andrei Dimofte from Stuttgart, Germany · CC BY 2.0 · Wikimedia Commons</t>
        </is>
      </c>
      <c r="K41" s="29" t="n"/>
      <c r="L41" s="49" t="n">
        <v>46320</v>
      </c>
      <c r="M41" s="29" t="inlineStr">
        <is>
          <t>Bekliyor</t>
        </is>
      </c>
      <c r="N41" s="29" t="inlineStr">
        <is>
          <t>Bekliyor</t>
        </is>
      </c>
      <c r="O41" s="29" t="inlineStr">
        <is>
          <t>Fotoğraflar/sevilla_plaza-de-toros-de-la-maestranza_01.jpg</t>
        </is>
      </c>
      <c r="P41" s="29" t="inlineStr">
        <is>
          <t>Maestranza Boğa Arenası'nın beyaz-sarı barok giriş cephesi.</t>
        </is>
      </c>
      <c r="Q41" s="29" t="inlineStr">
        <is>
          <t>Bekliyor</t>
        </is>
      </c>
      <c r="R41" s="29" t="inlineStr">
        <is>
          <t>Wikimedia Commons dosya sayfasındaki lisans: CC BY 2.0</t>
        </is>
      </c>
      <c r="S41" s="29" t="inlineStr">
        <is>
          <t>Lisans kanıtları/plaza-de-toros-de-la-maestranza-01.source-evidence.json</t>
        </is>
      </c>
      <c r="T41" s="29" t="inlineStr">
        <is>
          <t>38070551d1eedaca8551c7c7ec6be10c6b298fc172bc53b3db4819cfe0d91013</t>
        </is>
      </c>
      <c r="U41" s="29" t="inlineStr">
        <is>
          <t>Lisans kanıtları/plaza-de-toros-de-la-maestranza-01.license-evidence.json</t>
        </is>
      </c>
      <c r="V41" s="29" t="inlineStr">
        <is>
          <t>081a7ba277e6dab5515a329ed77911c8118bd3613a5e904b6b964e699b6c69ed</t>
        </is>
      </c>
      <c r="W41" s="29" t="inlineStr">
        <is>
          <t>{"source_url": "https://commons.wikimedia.org/wiki/File:Andalucia-01-0062_(8086361611).jpg", "author": "Andrei Dimofte from Stuttgart, Germany", "license": "CC BY 2.0", "license_url": "https://creativecommons.org/licenses/by/2.0/", "original_api_record": {"size": 5236289, "width": 3872, "height": 2592, "thumburl": "https://thumb.wikimedia.org/wikipedia/commons/thumb/1/10/Andalucia-01-0062_%288086361611%29.jpg/1280px-Andalucia-01-0062_%288086361611%29.jpg", "thumbwidth": 1280, "thumbheight": 857, "responsiveUrls": {"2": "https://thumb.wikimedia.org/wikipedia/commons/thumb/1/10/Andalucia-01-0062_%288086361611%29.jpg/3840px-Andalucia-01-0062_%288086361611%29.jpg"}, "thumbattribs": {"src": "https://thumb.wikimedia.org/wikipedia/commons/thumb/1/10/Andalucia-01-0062_%288086361611%29.jpg/1280px-Andalucia-01-0062_%288086361611%29.jpg", "decoding": "async", "loading": "lazy", "width": 1280, "height": 857, "srcset": "https://thumb.wikimedia.org/wikipedia/commons/thumb/1/10/Andalucia-01-0062_%288086361611%29.jpg/3840px-Andalucia-01-0062_%288086361611%29.jpg 2x"}, "url": "https://upload.wikimedia.org/wikipedia/commons/1/10/Andalucia-01-0062_%288086361611%29.jpg", "descriptionurl": "https://commons.wikimedia.org/wiki/File:Andalucia-01-0062_(8086361611).jpg", "descriptionshorturl": "https://commons.wikimedia.org/w/index.php?curid=25981517", "sha1": "6237e271d164710c9412de4ec0a0cd9ade985542", "extmetadata": {"DateTime": {"value": "2013-05-09 14:21:53", "source": "mediawiki-metadata", "hidden": ""}, "ObjectName": {"value": "Andalucia-01-0062 (8086361611)", "source": "mediawiki-metadata"}, "CommonsMetadataExtension": {"value": 1.2, "source": "extension", "hidden": ""}, "Categories": {"value": "Taken with Nikon D80|Plaza de toros de la Maestranza|Flickr images reviewed by File Upload Bot (Magnus Manske)|Photographs by Andrei Dimofte", "source": "commons-categories", "hidden": ""}, "Assessments": {"value": "", "source": "commons-categories", "hidden": ""}, "ImageDescription": {"value": "Andalucia-01-0062", "source": "commons-desc-page"}, "DateTimeOriginal": {"value": "2012-10-10 18:58", "source": "commons-desc-page"}, "Credit": {"value": "&lt;a rel=\"nofollow\" class=\"external text\" href=\"https://www.flickr.com/photos/andrei_dimofte/8086361611/\"&gt;Andalucia-01-0062&lt;/a&gt;", "source": "commons-desc-page"}, "Artist": {"value": "&lt;a rel=\"nofollow\" class=\"external text\" href=\"https://www.flickr.com/people/32248854@N00\"&gt;Andrei Dimofte&lt;/a&gt; from Stuttgart, Germany",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 "delivered_file": {"url": "https://thumb.wikimedia.org/wikipedia/commons/thumb/1/10/Andalucia-01-0062_%288086361611%29.jpg/1280px-Andalucia-01-0062_%288086361611%29.jpg"}, "retrieved_on": "2026-10-25"}</t>
        </is>
      </c>
    </row>
    <row r="42" ht="54" customHeight="1">
      <c r="A42" s="29" t="inlineStr">
        <is>
          <t>sevilla:evidence:plaza-de-toros-de-la-maestranza-02</t>
        </is>
      </c>
      <c r="B42" s="29" t="inlineStr">
        <is>
          <t>sevilla</t>
        </is>
      </c>
      <c r="C42" s="29" t="inlineStr">
        <is>
          <t>sevilla:photo:plaza-de-toros-de-la-maestranza-02</t>
        </is>
      </c>
      <c r="D42" s="29" t="inlineStr">
        <is>
          <t>https://commons.wikimedia.org/wiki/File:La_Maestranza_-_Seville.JPG</t>
        </is>
      </c>
      <c r="E42" s="29" t="inlineStr">
        <is>
          <t>File:La Maestranza - Seville.JPG</t>
        </is>
      </c>
      <c r="F42" s="29" t="inlineStr">
        <is>
          <t>José Luiz</t>
        </is>
      </c>
      <c r="G42" s="29" t="inlineStr">
        <is>
          <t>CC BY-SA 3.0</t>
        </is>
      </c>
      <c r="H42" s="29" t="inlineStr">
        <is>
          <t>https://creativecommons.org/licenses/by-sa/3.0/</t>
        </is>
      </c>
      <c r="I42" s="29" t="inlineStr">
        <is>
          <t>Creative Commons Attribution-Share Alike 3.0</t>
        </is>
      </c>
      <c r="J42" s="29" t="inlineStr">
        <is>
          <t>José Luiz · CC BY-SA 3.0 · Wikimedia Commons</t>
        </is>
      </c>
      <c r="K42" s="29" t="n"/>
      <c r="L42" s="49" t="n">
        <v>46320</v>
      </c>
      <c r="M42" s="29" t="inlineStr">
        <is>
          <t>Bekliyor</t>
        </is>
      </c>
      <c r="N42" s="29" t="inlineStr">
        <is>
          <t>Bekliyor</t>
        </is>
      </c>
      <c r="O42" s="29" t="inlineStr">
        <is>
          <t>Fotoğraflar/sevilla_plaza-de-toros-de-la-maestranza_02.jpg</t>
        </is>
      </c>
      <c r="P42" s="29" t="inlineStr">
        <is>
          <t>Maestranza Boğa Arenası'nın yola bakan uzun cephesi.</t>
        </is>
      </c>
      <c r="Q42" s="29" t="inlineStr">
        <is>
          <t>Bekliyor</t>
        </is>
      </c>
      <c r="R42" s="29" t="inlineStr">
        <is>
          <t>Wikimedia Commons dosya sayfasındaki lisans: CC BY-SA 3.0</t>
        </is>
      </c>
      <c r="S42" s="29" t="inlineStr">
        <is>
          <t>Lisans kanıtları/plaza-de-toros-de-la-maestranza-02.source-evidence.json</t>
        </is>
      </c>
      <c r="T42" s="29" t="inlineStr">
        <is>
          <t>79873acc176fd142eecba572ef1c6b62cbe725bc22eb1342a60c52f5f48c8d27</t>
        </is>
      </c>
      <c r="U42" s="29" t="inlineStr">
        <is>
          <t>Lisans kanıtları/plaza-de-toros-de-la-maestranza-02.license-evidence.json</t>
        </is>
      </c>
      <c r="V42" s="29" t="inlineStr">
        <is>
          <t>af764dc34e1e13fff90962aa9c7da14226d9b80e68bedf66c06f2e458ba60d3f</t>
        </is>
      </c>
      <c r="W42" s="29" t="inlineStr">
        <is>
          <t>{"source_url": "https://commons.wikimedia.org/wiki/File:La_Maestranza_-_Seville.JPG", "author": "José Luiz", "license": "CC BY-SA 3.0", "license_url": "https://creativecommons.org/licenses/by-sa/3.0/", "original_api_record": {"size": 7397594, "width": 5184, "height": 3456, "thumburl": "https://thumb.wikimedia.org/wikipedia/commons/thumb/7/72/La_Maestranza_-_Seville.JPG/1280px-La_Maestranza_-_Seville.JPG", "thumbwidth": 1280, "thumbheight": 853, "responsiveUrls": {"2": "https://thumb.wikimedia.org/wikipedia/commons/thumb/7/72/La_Maestranza_-_Seville.JPG/3840px-La_Maestranza_-_Seville.JPG"}, "thumbattribs": {"src": "https://thumb.wikimedia.org/wikipedia/commons/thumb/7/72/La_Maestranza_-_Seville.JPG/1280px-La_Maestranza_-_Seville.JPG", "decoding": "async", "loading": "lazy", "width": 1280, "height": 853, "srcset": "https://thumb.wikimedia.org/wikipedia/commons/thumb/7/72/La_Maestranza_-_Seville.JPG/3840px-La_Maestranza_-_Seville.JPG 2x"}, "url": "https://upload.wikimedia.org/wikipedia/commons/7/72/La_Maestranza_-_Seville.JPG", "descriptionurl": "https://commons.wikimedia.org/wiki/File:La_Maestranza_-_Seville.JPG", "descriptionshorturl": "https://commons.wikimedia.org/w/index.php?curid=25195200", "sha1": "531209338de9710625d59650bc1e24a28f8495ba", "extmetadata": {"DateTime": {"value": "2013-03-20 02:04:34", "source": "mediawiki-metadata", "hidden": ""}, "ObjectName": {"value": "La Maestranza - Seville", "source": "mediawiki-metadata"}, "CommonsMetadataExtension": {"value": 1.2, "source": "extension", "hidden": ""}, "Categories": {"value": "Taken with Canon EOS 7D|Exterior of the Maestranza|Self-published work|Information field template with formatting|José Luiz uploads", "source": "commons-categories", "hidden": ""}, "Assessments": {"value": "", "source": "commons-categories", "hidden": ""}, "ImageDescription": {"value": "La Maestranza", "source": "commons-desc-page"}, "DateTimeOriginal": {"value": "2013-02-06 06:47:22", "source": "commons-desc-page"}, "Credit": {"value": "&lt;span class=\"int-own-work\" lang=\"en\"&gt;Own work&lt;/span&gt;", "source": "commons-desc-page"}, "Artist": {"value": "&lt;bdi&gt;&lt;big&gt;José Luiz&lt;/big&gt;&lt;/bdi&gt;", "source": "commons-desc-page"}, "Attribution": {"value": "© José Luiz Bernardes Ribeiro", "source": "commons-desc-page", "hidden": ""},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"https://thumb.wikimedia.org/wikipedia/commons/thumb/7/72/La_Maestranza_-_Seville.JPG/1280px-La_Maestranza_-_Seville.JPG"}, "retrieved_on": "2026-10-25"}</t>
        </is>
      </c>
    </row>
    <row r="43" ht="54" customHeight="1">
      <c r="A43" s="29" t="inlineStr">
        <is>
          <t>sevilla:evidence:costurero-de-la-reina-01</t>
        </is>
      </c>
      <c r="B43" s="29" t="inlineStr">
        <is>
          <t>sevilla</t>
        </is>
      </c>
      <c r="C43" s="29" t="inlineStr">
        <is>
          <t>sevilla:photo:costurero-de-la-reina-01</t>
        </is>
      </c>
      <c r="D43" s="29" t="inlineStr">
        <is>
          <t>https://commons.wikimedia.org/wiki/File:Costurero_de_la_Reina_(Sevilla)_01.jpg</t>
        </is>
      </c>
      <c r="E43" s="29" t="inlineStr">
        <is>
          <t>File:Costurero de la Reina (Sevilla) 01.jpg</t>
        </is>
      </c>
      <c r="F43" s="29" t="inlineStr">
        <is>
          <t>CarlosVdeHabsburgo</t>
        </is>
      </c>
      <c r="G43" s="29" t="inlineStr">
        <is>
          <t>CC BY-SA 4.0</t>
        </is>
      </c>
      <c r="H43" s="29" t="inlineStr">
        <is>
          <t>https://creativecommons.org/licenses/by-sa/4.0/</t>
        </is>
      </c>
      <c r="I43" s="29" t="inlineStr">
        <is>
          <t>Creative Commons Attribution-Share Alike 4.0</t>
        </is>
      </c>
      <c r="J43" s="29" t="inlineStr">
        <is>
          <t>CarlosVdeHabsburgo · CC BY-SA 4.0 · Wikimedia Commons</t>
        </is>
      </c>
      <c r="K43" s="29" t="n"/>
      <c r="L43" s="49" t="n">
        <v>46320</v>
      </c>
      <c r="M43" s="29" t="inlineStr">
        <is>
          <t>Bekliyor</t>
        </is>
      </c>
      <c r="N43" s="29" t="inlineStr">
        <is>
          <t>Bekliyor</t>
        </is>
      </c>
      <c r="O43" s="29" t="inlineStr">
        <is>
          <t>Fotoğraflar/sevilla_costurero-de-la-reina_01.jpg</t>
        </is>
      </c>
      <c r="P43" s="29" t="inlineStr">
        <is>
          <t>Costurero de la Reina'nın kırmızı-sarı çizgili, mazgallı küçük köşkü.</t>
        </is>
      </c>
      <c r="Q43" s="29" t="inlineStr">
        <is>
          <t>Bekliyor</t>
        </is>
      </c>
      <c r="R43" s="29" t="inlineStr">
        <is>
          <t>Wikimedia Commons dosya sayfasındaki lisans: CC BY-SA 4.0</t>
        </is>
      </c>
      <c r="S43" s="29" t="inlineStr">
        <is>
          <t>Lisans kanıtları/costurero-de-la-reina-01.source-evidence.json</t>
        </is>
      </c>
      <c r="T43" s="29" t="inlineStr">
        <is>
          <t>0e4c79e51766dabc6b6bab7737f35f75d7c7d7d74ba3a16c6fcf604a5b2a21bd</t>
        </is>
      </c>
      <c r="U43" s="29" t="inlineStr">
        <is>
          <t>Lisans kanıtları/costurero-de-la-reina-01.license-evidence.json</t>
        </is>
      </c>
      <c r="V43" s="29" t="inlineStr">
        <is>
          <t>89abe2bb996cd463c4f712c44375b6fc6fa6606b801aa17e29ee326cab3ac6fa</t>
        </is>
      </c>
      <c r="W43" s="29" t="inlineStr">
        <is>
          <t>{"source_url": "https://commons.wikimedia.org/wiki/File:Costurero_de_la_Reina_(Sevilla)_01.jpg", "author": "CarlosVdeHabsburgo", "license": "CC BY-SA 4.0", "license_url": "https://creativecommons.org/licenses/by-sa/4.0/", "original_api_record": {"size": 2483580, "width": 2098, "height": 3041, "thumburl": "https://thumb.wikimedia.org/wikipedia/commons/thumb/4/40/Costurero_de_la_Reina_%28Sevilla%29_01.jpg/1280px-Costurero_de_la_Reina_%28Sevilla%29_01.jpg", "thumbwidth": 1280, "thumbheight": 1855, "responsiveUrls": {"2": "https://upload.wikimedia.org/wikipedia/commons/4/40/Costurero_de_la_Reina_%28Sevilla%29_01.jpg"}, "thumbattribs": {"src": "https://thumb.wikimedia.org/wikipedia/commons/thumb/4/40/Costurero_de_la_Reina_%28Sevilla%29_01.jpg/1280px-Costurero_de_la_Reina_%28Sevilla%29_01.jpg", "decoding": "async", "loading": "lazy", "width": 1280, "height": 1855, "srcset": "https://upload.wikimedia.org/wikipedia/commons/4/40/Costurero_de_la_Reina_%28Sevilla%29_01.jpg 2x"}, "url": "https://upload.wikimedia.org/wikipedia/commons/4/40/Costurero_de_la_Reina_%28Sevilla%29_01.jpg", "descriptionurl": "https://commons.wikimedia.org/wiki/File:Costurero_de_la_Reina_(Sevilla)_01.jpg", "descriptionshorturl": "https://commons.wikimedia.org/w/index.php?curid=137134670", "sha1": "954920a9bf438cf3c348d6aaf39b843327ee76ce", "extmetadata": {"DateTime": {"value": "2023-09-07 13:34:33", "source": "mediawiki-metadata", "hidden": ""}, "ObjectName": {"value": "Costurero de la Reina (Sevilla) 01", "source": "mediawiki-metadata"}, "CommonsMetadataExtension": {"value": 1.2, "source": "extension", "hidden": ""}, "Categories": {"value": "Costurero de la Reina|Self-published work", "source": "commons-categories", "hidden": ""}, "Assessments": {"value": "", "source": "commons-categories", "hidden": ""}, "ImageDescription": {"value": "Costurero de la Reina. Sevilla, Andalucía, España.", "source": "commons-desc-page"}, "DateTimeOriginal": {"value": "2023-09-06 13:14:27",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"https://thumb.wikimedia.org/wikipedia/commons/thumb/4/40/Costurero_de_la_Reina_%28Sevilla%29_01.jpg/1280px-Costurero_de_la_Reina_%28Sevilla%29_01.jpg"}, "retrieved_on": "2026-10-25"}</t>
        </is>
      </c>
    </row>
    <row r="44" ht="54" customHeight="1">
      <c r="A44" s="29" t="inlineStr">
        <is>
          <t>sevilla:evidence:costurero-de-la-reina-02</t>
        </is>
      </c>
      <c r="B44" s="29" t="inlineStr">
        <is>
          <t>sevilla</t>
        </is>
      </c>
      <c r="C44" s="29" t="inlineStr">
        <is>
          <t>sevilla:photo:costurero-de-la-reina-02</t>
        </is>
      </c>
      <c r="D44" s="29" t="inlineStr">
        <is>
          <t>https://commons.wikimedia.org/wiki/File:Costurero_de_la_Reina_(Sevilla)_02.jpg</t>
        </is>
      </c>
      <c r="E44" s="29" t="inlineStr">
        <is>
          <t>File:Costurero de la Reina (Sevilla) 02.jpg</t>
        </is>
      </c>
      <c r="F44" s="29" t="inlineStr">
        <is>
          <t>CarlosVdeHabsburgo</t>
        </is>
      </c>
      <c r="G44" s="29" t="inlineStr">
        <is>
          <t>CC BY-SA 4.0</t>
        </is>
      </c>
      <c r="H44" s="29" t="inlineStr">
        <is>
          <t>https://creativecommons.org/licenses/by-sa/4.0/</t>
        </is>
      </c>
      <c r="I44" s="29" t="inlineStr">
        <is>
          <t>Creative Commons Attribution-Share Alike 4.0</t>
        </is>
      </c>
      <c r="J44" s="29" t="inlineStr">
        <is>
          <t>CarlosVdeHabsburgo · CC BY-SA 4.0 · Wikimedia Commons</t>
        </is>
      </c>
      <c r="K44" s="29" t="n"/>
      <c r="L44" s="49" t="n">
        <v>46320</v>
      </c>
      <c r="M44" s="29" t="inlineStr">
        <is>
          <t>Bekliyor</t>
        </is>
      </c>
      <c r="N44" s="29" t="inlineStr">
        <is>
          <t>Bekliyor</t>
        </is>
      </c>
      <c r="O44" s="29" t="inlineStr">
        <is>
          <t>Fotoğraflar/sevilla_costurero-de-la-reina_02.jpg</t>
        </is>
      </c>
      <c r="P44" s="29" t="inlineStr">
        <is>
          <t>Costurero de la Reina köşkü ve çevresindeki ağaçlar.</t>
        </is>
      </c>
      <c r="Q44" s="29" t="inlineStr">
        <is>
          <t>Bekliyor</t>
        </is>
      </c>
      <c r="R44" s="29" t="inlineStr">
        <is>
          <t>Wikimedia Commons dosya sayfasındaki lisans: CC BY-SA 4.0</t>
        </is>
      </c>
      <c r="S44" s="29" t="inlineStr">
        <is>
          <t>Lisans kanıtları/costurero-de-la-reina-02.source-evidence.json</t>
        </is>
      </c>
      <c r="T44" s="29" t="inlineStr">
        <is>
          <t>e66f512a06c75bf462b0822e3f6feb3c88def71779b660600410452ec7713673</t>
        </is>
      </c>
      <c r="U44" s="29" t="inlineStr">
        <is>
          <t>Lisans kanıtları/costurero-de-la-reina-02.license-evidence.json</t>
        </is>
      </c>
      <c r="V44" s="29" t="inlineStr">
        <is>
          <t>ef13db9df768b0dd16b5963805fbdd9bc2882bb2f06d0959b703e0613474a7c3</t>
        </is>
      </c>
      <c r="W44" s="29" t="inlineStr">
        <is>
          <t>{"source_url": "https://commons.wikimedia.org/wiki/File:Costurero_de_la_Reina_(Sevilla)_02.jpg", "author": "CarlosVdeHabsburgo", "license": "CC BY-SA 4.0", "license_url": "https://creativecommons.org/licenses/by-sa/4.0/", "original_api_record": {"size": 4670780, "width": 4000, "height": 3000, "thumburl": "https://thumb.wikimedia.org/wikipedia/commons/thumb/9/9b/Costurero_de_la_Reina_%28Sevilla%29_02.jpg/1280px-Costurero_de_la_Reina_%28Sevilla%29_02.jpg", "thumbwidth": 1280, "thumbheight": 960, "responsiveUrls": {"2": "https://thumb.wikimedia.org/wikipedia/commons/thumb/9/9b/Costurero_de_la_Reina_%28Sevilla%29_02.jpg/3840px-Costurero_de_la_Reina_%28Sevilla%29_02.jpg"}, "thumbattribs": {"src": "https://thumb.wikimedia.org/wikipedia/commons/thumb/9/9b/Costurero_de_la_Reina_%28Sevilla%29_02.jpg/1280px-Costurero_de_la_Reina_%28Sevilla%29_02.jpg", "decoding": "async", "loading": "lazy", "width": 1280, "height": 960, "srcset": "https://thumb.wikimedia.org/wikipedia/commons/thumb/9/9b/Costurero_de_la_Reina_%28Sevilla%29_02.jpg/3840px-Costurero_de_la_Reina_%28Sevilla%29_02.jpg 2x"}, "url": "https://upload.wikimedia.org/wikipedia/commons/9/9b/Costurero_de_la_Reina_%28Sevilla%29_02.jpg", "descriptionurl": "https://commons.wikimedia.org/wiki/File:Costurero_de_la_Reina_(Sevilla)_02.jpg", "descriptionshorturl": "https://commons.wikimedia.org/w/index.php?curid=137134753", "sha1": "b77feb96208ff7e61358ec7a8cc41da166b9bbc8", "extmetadata": {"DateTime": {"value": "2023-09-07 13:37:23", "source": "mediawiki-metadata", "hidden": ""}, "ObjectName": {"value": "Costurero de la Reina (Sevilla) 02", "source": "mediawiki-metadata"}, "CommonsMetadataExtension": {"value": 1.2, "source": "extension", "hidden": ""}, "Categories": {"value": "Costurero de la Reina|Self-published work", "source": "commons-categories", "hidden": ""}, "Assessments": {"value": "", "source": "commons-categories", "hidden": ""}, "ImageDescription": {"value": "Costurero de la Reina. Sevilla, Andalucía, España.", "source": "commons-desc-page"}, "DateTimeOriginal": {"value": "2023-09-06 13:19:27",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"https://thumb.wikimedia.org/wikipedia/commons/thumb/9/9b/Costurero_de_la_Reina_%28Sevilla%29_02.jpg/1280px-Costurero_de_la_Reina_%28Sevilla%29_02.jpg"}, "retrieved_on": "2026-10-25"}</t>
        </is>
      </c>
    </row>
    <row r="45" ht="54" customHeight="1">
      <c r="A45" s="29" t="inlineStr">
        <is>
          <t>sevilla:evidence:costurero-de-la-reina-03</t>
        </is>
      </c>
      <c r="B45" s="29" t="inlineStr">
        <is>
          <t>sevilla</t>
        </is>
      </c>
      <c r="C45" s="29" t="inlineStr">
        <is>
          <t>sevilla:photo:costurero-de-la-reina-03</t>
        </is>
      </c>
      <c r="D45" s="29" t="inlineStr">
        <is>
          <t>https://commons.wikimedia.org/wiki/File:Costurero_de_la_Reina_(Sevilla).jpg</t>
        </is>
      </c>
      <c r="E45" s="29" t="inlineStr">
        <is>
          <t>File:Costurero de la Reina (Sevilla).jpg</t>
        </is>
      </c>
      <c r="F45" s="29" t="inlineStr">
        <is>
          <t>CarlosVdeHabsburgo</t>
        </is>
      </c>
      <c r="G45" s="29" t="inlineStr">
        <is>
          <t>CC BY-SA 4.0</t>
        </is>
      </c>
      <c r="H45" s="29" t="inlineStr">
        <is>
          <t>https://creativecommons.org/licenses/by-sa/4.0/</t>
        </is>
      </c>
      <c r="I45" s="29" t="inlineStr">
        <is>
          <t>Creative Commons Attribution-Share Alike 4.0</t>
        </is>
      </c>
      <c r="J45" s="29" t="inlineStr">
        <is>
          <t>CarlosVdeHabsburgo · CC BY-SA 4.0 · Wikimedia Commons</t>
        </is>
      </c>
      <c r="K45" s="29" t="n"/>
      <c r="L45" s="49" t="n">
        <v>46320</v>
      </c>
      <c r="M45" s="29" t="inlineStr">
        <is>
          <t>Bekliyor</t>
        </is>
      </c>
      <c r="N45" s="29" t="inlineStr">
        <is>
          <t>Bekliyor</t>
        </is>
      </c>
      <c r="O45" s="29" t="inlineStr">
        <is>
          <t>Fotoğraflar/sevilla_costurero-de-la-reina_03.jpg</t>
        </is>
      </c>
      <c r="P45" s="29" t="inlineStr">
        <is>
          <t>Costurero de la Reina'nın kuleli cephesi yakından.</t>
        </is>
      </c>
      <c r="Q45" s="29" t="inlineStr">
        <is>
          <t>Bekliyor</t>
        </is>
      </c>
      <c r="R45" s="29" t="inlineStr">
        <is>
          <t>Wikimedia Commons dosya sayfasındaki lisans: CC BY-SA 4.0</t>
        </is>
      </c>
      <c r="S45" s="29" t="inlineStr">
        <is>
          <t>Lisans kanıtları/costurero-de-la-reina-03.source-evidence.json</t>
        </is>
      </c>
      <c r="T45" s="29" t="inlineStr">
        <is>
          <t>0e1e95260aef79689ce57d1e999a10c4c5b1497cddec9691b2144a15cf88af1f</t>
        </is>
      </c>
      <c r="U45" s="29" t="inlineStr">
        <is>
          <t>Lisans kanıtları/costurero-de-la-reina-03.license-evidence.json</t>
        </is>
      </c>
      <c r="V45" s="29" t="inlineStr">
        <is>
          <t>f6855f10effd93c0b093331237e7dfd8c18e61b495c84c28df67209594ec1764</t>
        </is>
      </c>
      <c r="W45" s="29" t="inlineStr">
        <is>
          <t>{"source_url": "https://commons.wikimedia.org/wiki/File:Costurero_de_la_Reina_(Sevilla).jpg", "author": "CarlosVdeHabsburgo", "license": "CC BY-SA 4.0", "license_url": "https://creativecommons.org/licenses/by-sa/4.0/", "original_api_record": {"size": 3525966, "width": 3000, "height": 4000, "thumburl": "https://thumb.wikimedia.org/wikipedia/commons/thumb/7/76/Costurero_de_la_Reina_%28Sevilla%29.jpg/1280px-Costurero_de_la_Reina_%28Sevilla%29.jpg", "thumbwidth": 1280, "thumbheight": 1707, "responsiveUrls": {"2": "https://upload.wikimedia.org/wikipedia/commons/7/76/Costurero_de_la_Reina_%28Sevilla%29.jpg"}, "thumbattribs": {"src": "https://thumb.wikimedia.org/wikipedia/commons/thumb/7/76/Costurero_de_la_Reina_%28Sevilla%29.jpg/1280px-Costurero_de_la_Reina_%28Sevilla%29.jpg", "decoding": "async", "loading": "lazy", "width": 1280, "height": 1707, "srcset": "https://upload.wikimedia.org/wikipedia/commons/7/76/Costurero_de_la_Reina_%28Sevilla%29.jpg 2x"}, "url": "https://upload.wikimedia.org/wikipedia/commons/7/76/Costurero_de_la_Reina_%28Sevilla%29.jpg", "descriptionurl": "https://commons.wikimedia.org/wiki/File:Costurero_de_la_Reina_(Sevilla).jpg", "descriptionshorturl": "https://commons.wikimedia.org/w/index.php?curid=137134617", "sha1": "dc835b1ef68b493ccc3b4b7ccfd7551178acd810", "extmetadata": {"DateTime": {"value": "2023-09-07 13:32:12", "source": "mediawiki-metadata", "hidden": ""}, "ObjectName": {"value": "Costurero de la Reina (Sevilla)", "source": "mediawiki-metadata"}, "CommonsMetadataExtension": {"value": 1.2, "source": "extension", "hidden": ""}, "Categories": {"value": "Costurero de la Reina|Self-published work", "source": "commons-categories", "hidden": ""}, "Assessments": {"value": "", "source": "commons-categories", "hidden": ""}, "ImageDescription": {"value": "Costurero de la Reina. Sevilla, Andalucía, España.", "source": "commons-desc-page"}, "DateTimeOriginal": {"value": "2023-09-06 13:13:05",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"https://thumb.wikimedia.org/wikipedia/commons/thumb/7/76/Costurero_de_la_Reina_%28Sevilla%29.jpg/1280px-Costurero_de_la_Reina_%28Sevilla%29.jpg"}, "retrieved_on": "2026-10-25"}</t>
        </is>
      </c>
    </row>
    <row r="46" ht="54" customHeight="1">
      <c r="A46" s="29" t="inlineStr">
        <is>
          <t>sevilla:evidence:espacio-santa-clara-01</t>
        </is>
      </c>
      <c r="B46" s="29" t="inlineStr">
        <is>
          <t>sevilla</t>
        </is>
      </c>
      <c r="C46" s="29" t="inlineStr">
        <is>
          <t>sevilla:photo:espacio-santa-clara-01</t>
        </is>
      </c>
      <c r="D46" s="29" t="inlineStr">
        <is>
          <t>https://commons.wikimedia.org/wiki/File:Azulejos_del_Convento_de_Santa_Clara.JPG</t>
        </is>
      </c>
      <c r="E46" s="29" t="inlineStr">
        <is>
          <t>File:Azulejos del Convento de Santa Clara.JPG</t>
        </is>
      </c>
      <c r="F46" s="29" t="inlineStr">
        <is>
          <t>CarlosVdeHabsburgo</t>
        </is>
      </c>
      <c r="G46" s="29" t="inlineStr">
        <is>
          <t>CC BY-SA 3.0</t>
        </is>
      </c>
      <c r="H46" s="29" t="inlineStr">
        <is>
          <t>https://creativecommons.org/licenses/by-sa/3.0/</t>
        </is>
      </c>
      <c r="I46" s="29" t="inlineStr">
        <is>
          <t>Creative Commons Attribution-Share Alike 3.0</t>
        </is>
      </c>
      <c r="J46" s="29" t="inlineStr">
        <is>
          <t>CarlosVdeHabsburgo · CC BY-SA 3.0 · Wikimedia Commons</t>
        </is>
      </c>
      <c r="K46" s="29" t="n"/>
      <c r="L46" s="49" t="n">
        <v>46320</v>
      </c>
      <c r="M46" s="29" t="inlineStr">
        <is>
          <t>Bekliyor</t>
        </is>
      </c>
      <c r="N46" s="29" t="inlineStr">
        <is>
          <t>Bekliyor</t>
        </is>
      </c>
      <c r="O46" s="29" t="inlineStr">
        <is>
          <t>Fotoğraflar/sevilla_espacio-santa-clara_01.jpg</t>
        </is>
      </c>
      <c r="P46" s="29" t="inlineStr">
        <is>
          <t>Santa Clara Manastırı'nda hayvan figürlü sarı-mavi çini pano.</t>
        </is>
      </c>
      <c r="Q46" s="29" t="inlineStr">
        <is>
          <t>Bekliyor</t>
        </is>
      </c>
      <c r="R46" s="29" t="inlineStr">
        <is>
          <t>Wikimedia Commons dosya sayfasındaki lisans: CC BY-SA 3.0</t>
        </is>
      </c>
      <c r="S46" s="29" t="inlineStr">
        <is>
          <t>Lisans kanıtları/espacio-santa-clara-01.source-evidence.json</t>
        </is>
      </c>
      <c r="T46" s="29" t="inlineStr">
        <is>
          <t>3c3fdf54128d90122cc0fccec2f8359c8ab1d48ee95cadabd81966ad7de0b4e0</t>
        </is>
      </c>
      <c r="U46" s="29" t="inlineStr">
        <is>
          <t>Lisans kanıtları/espacio-santa-clara-01.license-evidence.json</t>
        </is>
      </c>
      <c r="V46" s="29" t="inlineStr">
        <is>
          <t>e9eef5e5fac7c0fe4ccfb513cab316685ff902faec4191f4a54a18657f76c13e</t>
        </is>
      </c>
      <c r="W46" s="29" t="inlineStr">
        <is>
          <t>{"source_url": "https://commons.wikimedia.org/wiki/File:Azulejos_del_Convento_de_Santa_Clara.JPG", "author": "CarlosVdeHabsburgo", "license": "CC BY-SA 3.0", "license_url": "https://creativecommons.org/licenses/by-sa/3.0/", "original_api_record": {"size": 1795125, "width": 2304, "height": 3072, "thumburl": "https://thumb.wikimedia.org/wikipedia/commons/thumb/b/b3/Azulejos_del_Convento_de_Santa_Clara.JPG/1280px-Azulejos_del_Convento_de_Santa_Clara.JPG", "thumbwidth": 1280, "thumbheight": 1707, "responsiveUrls": {"2": "https://upload.wikimedia.org/wikipedia/commons/b/b3/Azulejos_del_Convento_de_Santa_Clara.JPG"}, "thumbattribs": {"src": "https://thumb.wikimedia.org/wikipedia/commons/thumb/b/b3/Azulejos_del_Convento_de_Santa_Clara.JPG/1280px-Azulejos_del_Convento_de_Santa_Clara.JPG", "decoding": "async", "loading": "lazy", "width": 1280, "height": 1707, "srcset": "https://upload.wikimedia.org/wikipedia/commons/b/b3/Azulejos_del_Convento_de_Santa_Clara.JPG 2x"}, "url": "https://upload.wikimedia.org/wikipedia/commons/b/b3/Azulejos_del_Convento_de_Santa_Clara.JPG", "descriptionurl": "https://commons.wikimedia.org/wiki/File:Azulejos_del_Convento_de_Santa_Clara.JPG", "descriptionshorturl": "https://commons.wikimedia.org/w/index.php?curid=24640671", "sha1": "f094f441c18edc215832656a4c3b54feed901687", "extmetadata": {"DateTime": {"value": "2013-02-14 00:01:18", "source": "mediawiki-metadata", "hidden": ""}, "ObjectName": {"value": "Azulejos del Convento de Santa Clara", "source": "mediawiki-metadata"}, "CommonsMetadataExtension": {"value": 1.2, "source": "extension", "hidden": ""}, "Categories": {"value": "Real Monasterio de Santa Clara, Sevilla|Self-published work|Cultural heritage monuments in Spain with known IDs|Cultural heritage monuments in Spain missing SDC location of creation|Cultural heritage monuments in Spain missing SDC depicts", "source": "commons-categories", "hidden": ""}, "Assessments": {"value": "", "source": "commons-categories", "hidden": ""}, "ImageDescription": {"value": "Azulejos del Convento de Santa Clara", "source": "commons-desc-page"}, "DateTimeOriginal": {"value": "2012",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"https://thumb.wikimedia.org/wikipedia/commons/thumb/b/b3/Azulejos_del_Convento_de_Santa_Clara.JPG/1280px-Azulejos_del_Convento_de_Santa_Clara.JPG"}, "retrieved_on": "2026-10-25"}</t>
        </is>
      </c>
    </row>
    <row r="47" ht="54" customHeight="1">
      <c r="A47" s="29" t="inlineStr">
        <is>
          <t>sevilla:evidence:espacio-santa-clara-02</t>
        </is>
      </c>
      <c r="B47" s="29" t="inlineStr">
        <is>
          <t>sevilla</t>
        </is>
      </c>
      <c r="C47" s="29" t="inlineStr">
        <is>
          <t>sevilla:photo:espacio-santa-clara-02</t>
        </is>
      </c>
      <c r="D47" s="29" t="inlineStr">
        <is>
          <t>https://commons.wikimedia.org/wiki/File:Convento_de_Santa_Clara._Claustro.jpg</t>
        </is>
      </c>
      <c r="E47" s="29" t="inlineStr">
        <is>
          <t>File:Convento de Santa Clara. Claustro.jpg</t>
        </is>
      </c>
      <c r="F47" s="29" t="inlineStr">
        <is>
          <t>José Luis Filpo Cabana</t>
        </is>
      </c>
      <c r="G47" s="29" t="inlineStr">
        <is>
          <t>CC BY-SA 4.0</t>
        </is>
      </c>
      <c r="H47" s="29" t="inlineStr">
        <is>
          <t>https://creativecommons.org/licenses/by-sa/4.0/</t>
        </is>
      </c>
      <c r="I47" s="29" t="inlineStr">
        <is>
          <t>Creative Commons Attribution-Share Alike 4.0</t>
        </is>
      </c>
      <c r="J47" s="29" t="inlineStr">
        <is>
          <t>José Luis Filpo Cabana · CC BY-SA 4.0 · Wikimedia Commons</t>
        </is>
      </c>
      <c r="K47" s="29" t="n"/>
      <c r="L47" s="49" t="n">
        <v>46320</v>
      </c>
      <c r="M47" s="29" t="inlineStr">
        <is>
          <t>Bekliyor</t>
        </is>
      </c>
      <c r="N47" s="29" t="inlineStr">
        <is>
          <t>Bekliyor</t>
        </is>
      </c>
      <c r="O47" s="29" t="inlineStr">
        <is>
          <t>Fotoğraflar/sevilla_espacio-santa-clara_02.jpg</t>
        </is>
      </c>
      <c r="P47" s="29" t="inlineStr">
        <is>
          <t>Espacio Santa Clara'nın kemerli manastır avlusu ve ortadaki çeşme.</t>
        </is>
      </c>
      <c r="Q47" s="29" t="inlineStr">
        <is>
          <t>Bekliyor</t>
        </is>
      </c>
      <c r="R47" s="29" t="inlineStr">
        <is>
          <t>Wikimedia Commons dosya sayfasındaki lisans: CC BY-SA 4.0</t>
        </is>
      </c>
      <c r="S47" s="29" t="inlineStr">
        <is>
          <t>Lisans kanıtları/espacio-santa-clara-02.source-evidence.json</t>
        </is>
      </c>
      <c r="T47" s="29" t="inlineStr">
        <is>
          <t>dc4ef3dd0716dbdcfd2abb389b753749e59e591012138da97e0af38cc42f679b</t>
        </is>
      </c>
      <c r="U47" s="29" t="inlineStr">
        <is>
          <t>Lisans kanıtları/espacio-santa-clara-02.license-evidence.json</t>
        </is>
      </c>
      <c r="V47" s="29" t="inlineStr">
        <is>
          <t>13778fc18d885703510538189f19651a0db1a96271ed8d3cde4046043172e896</t>
        </is>
      </c>
      <c r="W47" s="29" t="inlineStr">
        <is>
          <t>{"source_url": "https://commons.wikimedia.org/wiki/File:Convento_de_Santa_Clara._Claustro.jpg", "author": "José Luis Filpo Cabana", "license": "CC BY-SA 4.0", "license_url": "https://creativecommons.org/licenses/by-sa/4.0/", "original_api_record": {"size": 8992634, "width": 3968, "height": 2232, "thumburl": "https://thumb.wikimedia.org/wikipedia/commons/thumb/0/01/Convento_de_Santa_Clara._Claustro.jpg/1280px-Convento_de_Santa_Clara._Claustro.jpg", "thumbwidth": 1280, "thumbheight": 720, "responsiveUrls": {"2": "https://thumb.wikimedia.org/wikipedia/commons/thumb/0/01/Convento_de_Santa_Clara._Claustro.jpg/3840px-Convento_de_Santa_Clara._Claustro.jpg"}, "thumbattribs": {"src": "https://thumb.wikimedia.org/wikipedia/commons/thumb/0/01/Convento_de_Santa_Clara._Claustro.jpg/1280px-Convento_de_Santa_Clara._Claustro.jpg", "decoding": "async", "loading": "lazy", "width": 1280, "height": 720, "srcset": "https://thumb.wikimedia.org/wikipedia/commons/thumb/0/01/Convento_de_Santa_Clara._Claustro.jpg/3840px-Convento_de_Santa_Clara._Claustro.jpg 2x"}, "url": "https://upload.wikimedia.org/wikipedia/commons/0/01/Convento_de_Santa_Clara._Claustro.jpg", "descriptionurl": "https://commons.wikimedia.org/wiki/File:Convento_de_Santa_Clara._Claustro.jpg", "descriptionshorturl": "https://commons.wikimedia.org/w/index.php?curid=14931022", "sha1": "a19b56649aac679472469f491570cc9c52f1daf0", "extmetadata": {"DateTime": {"value": "2011-04-16 12:13:07", "source": "mediawiki-metadata", "hidden": ""}, "ObjectName": {"value": "Convento de Santa Clara. Claustro", "source": "mediawiki-metadata"}, "CommonsMetadataExtension": {"value": 1.2, "source": "extension", "hidden": ""}, "Categories": {"value": "GFDL|Images with annotations|Poor Clares|License migration redundant|CC-BY-SA-4.0,3.0,2.5,2.0,1.0|Self-published work|Cultural heritage monuments in Spain with known IDs|Files with coordinates missing SDC location of creation|Fountains in Seville|Cultural heritage monuments in Spain missing SDC location of creation|Cultural heritage monuments in Spain missing SDC depicts|Cloister of the Real Monasterio de Santa Clara, Sevilla|Quatrefoil fountains in Spain|Barbed quatrefoil fountains", "source": "commons-categories", "hidden": ""}, "Assessments": {"value": "", "source": "commons-categories", "hidden": ""}, "GPSLatitude": {"value": "37.399794", "source": "commons-desc-page"}, "GPSLongitude": {"value": "-5.995772", "source": "commons-desc-page"}, "GPSMapDatum": {"value": "WGS-84", "source": "commons-desc-page", "hidden": ""}, "ImageDescription": {"value": "En lo que fué un palacio almohade, don &lt;a href=\"https://es.wikipedia.org/wiki/Fadrique_de_Castilla\" class=\"extiw\" title=\"es:Fadrique de Castilla\"&gt;Fadrique&lt;/a&gt;, hijo del rey Fernando III el Santo, edificó su palacio. En el siglo XV, las monjas clarisas fundan el segundo monasterio de la ciudad de Sevilla.", "source": "commons-desc-page"}, "DateTimeOriginal": {"value": "2011-04", "source": "commons-desc-page"}, "Credit": {"value": "&lt;span class=\"int-own-work\" lang=\"en\"&gt;Own work&lt;/span&gt;", "source": "commons-desc-page"}, "Artist": {"value": "José Luis Filpo Cabana",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"https://thumb.wikimedia.org/wikipedia/commons/thumb/0/01/Convento_de_Santa_Clara._Claustro.jpg/1280px-Convento_de_Santa_Clara._Claustro.jpg"}, "retrieved_on": "2026-10-25"}</t>
        </is>
      </c>
    </row>
    <row r="48" ht="54" customHeight="1">
      <c r="A48" s="29" t="inlineStr">
        <is>
          <t>sevilla:evidence:espacio-santa-clara-03</t>
        </is>
      </c>
      <c r="B48" s="29" t="inlineStr">
        <is>
          <t>sevilla</t>
        </is>
      </c>
      <c r="C48" s="29" t="inlineStr">
        <is>
          <t>sevilla:photo:espacio-santa-clara-03</t>
        </is>
      </c>
      <c r="D48" s="29" t="inlineStr">
        <is>
          <t>https://commons.wikimedia.org/wiki/File:Espacio_Cultural_Santa_Clara.JPG</t>
        </is>
      </c>
      <c r="E48" s="29" t="inlineStr">
        <is>
          <t>File:Espacio Cultural Santa Clara.JPG</t>
        </is>
      </c>
      <c r="F48" s="29" t="inlineStr">
        <is>
          <t>CarlosVdeHabsburgo</t>
        </is>
      </c>
      <c r="G48" s="29" t="inlineStr">
        <is>
          <t>CC BY-SA 3.0</t>
        </is>
      </c>
      <c r="H48" s="29" t="inlineStr">
        <is>
          <t>https://creativecommons.org/licenses/by-sa/3.0/</t>
        </is>
      </c>
      <c r="I48" s="29" t="inlineStr">
        <is>
          <t>Creative Commons Attribution-Share Alike 3.0</t>
        </is>
      </c>
      <c r="J48" s="29" t="inlineStr">
        <is>
          <t>CarlosVdeHabsburgo · CC BY-SA 3.0 · Wikimedia Commons</t>
        </is>
      </c>
      <c r="K48" s="29" t="n"/>
      <c r="L48" s="49" t="n">
        <v>46320</v>
      </c>
      <c r="M48" s="29" t="inlineStr">
        <is>
          <t>Bekliyor</t>
        </is>
      </c>
      <c r="N48" s="29" t="inlineStr">
        <is>
          <t>Bekliyor</t>
        </is>
      </c>
      <c r="O48" s="29" t="inlineStr">
        <is>
          <t>Fotoğraflar/sevilla_espacio-santa-clara_03.jpg</t>
        </is>
      </c>
      <c r="P48" s="29" t="inlineStr">
        <is>
          <t>Espacio Santa Clara'nın sokağa bakan girişi ve tabelası.</t>
        </is>
      </c>
      <c r="Q48" s="29" t="inlineStr">
        <is>
          <t>Bekliyor</t>
        </is>
      </c>
      <c r="R48" s="29" t="inlineStr">
        <is>
          <t>Wikimedia Commons dosya sayfasındaki lisans: CC BY-SA 3.0</t>
        </is>
      </c>
      <c r="S48" s="29" t="inlineStr">
        <is>
          <t>Lisans kanıtları/espacio-santa-clara-03.source-evidence.json</t>
        </is>
      </c>
      <c r="T48" s="29" t="inlineStr">
        <is>
          <t>bd81357300b337be29e469ae8c2a1720476a764ef0f2b33e765ae9c5a77e419a</t>
        </is>
      </c>
      <c r="U48" s="29" t="inlineStr">
        <is>
          <t>Lisans kanıtları/espacio-santa-clara-03.license-evidence.json</t>
        </is>
      </c>
      <c r="V48" s="29" t="inlineStr">
        <is>
          <t>47e67af91cb8deb6c4585e5c4b456d9e8ebd9c6b100c6b0c95f03da63ad87d05</t>
        </is>
      </c>
      <c r="W48" s="29" t="inlineStr">
        <is>
          <t>{"source_url": "https://commons.wikimedia.org/wiki/File:Espacio_Cultural_Santa_Clara.JPG", "author": "CarlosVdeHabsburgo", "license": "CC BY-SA 3.0", "license_url": "https://creativecommons.org/licenses/by-sa/3.0/", "original_api_record": {"size": 1818417, "width": 2304, "height": 3072, "thumburl": "https://thumb.wikimedia.org/wikipedia/commons/thumb/c/c0/Espacio_Cultural_Santa_Clara.JPG/1280px-Espacio_Cultural_Santa_Clara.JPG", "thumbwidth": 1280, "thumbheight": 1707, "responsiveUrls": {"2": "https://upload.wikimedia.org/wikipedia/commons/c/c0/Espacio_Cultural_Santa_Clara.JPG"}, "thumbattribs": {"src": "https://thumb.wikimedia.org/wikipedia/commons/thumb/c/c0/Espacio_Cultural_Santa_Clara.JPG/1280px-Espacio_Cultural_Santa_Clara.JPG", "decoding": "async", "loading": "lazy", "width": 1280, "height": 1707, "srcset": "https://upload.wikimedia.org/wikipedia/commons/c/c0/Espacio_Cultural_Santa_Clara.JPG 2x"}, "url": "https://upload.wikimedia.org/wikipedia/commons/c/c0/Espacio_Cultural_Santa_Clara.JPG", "descriptionurl": "https://commons.wikimedia.org/wiki/File:Espacio_Cultural_Santa_Clara.JPG", "descriptionshorturl": "https://commons.wikimedia.org/w/index.php?curid=24638610", "sha1": "5d87e626f892ff4343b356b13f153f37fd9fb8e9", "extmetadata": {"DateTime": {"value": "2013-02-13 21:04:48", "source": "mediawiki-metadata", "hidden": ""}, "ObjectName": {"value": "Espacio Cultural Santa Clara", "source": "mediawiki-metadata"}, "CommonsMetadataExtension": {"value": 1.2, "source": "extension", "hidden": ""}, "Categories": {"value": "Real Monasterio de Santa Clara, Sevilla|Self-published work|Cultural heritage monuments in Spain with known IDs|Cultural heritage monuments in Spain missing SDC location of creation|Cultural heritage monuments in Spain missing SDC depicts", "source": "commons-categories", "hidden": ""}, "Assessments": {"value": "", "source": "commons-categories", "hidden": ""}, "ImageDescription": {"value": "Espacio Cultural Santa Clara en el Convento de Santa Clara de Sevilla", "source": "commons-desc-page"}, "DateTimeOriginal": {"value": "2012",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"https://thumb.wikimedia.org/wikipedia/commons/thumb/c/c0/Espacio_Cultural_Santa_Clara.JPG/1280px-Espacio_Cultural_Santa_Clara.JPG"}, "retrieved_on": "2026-10-25"}</t>
        </is>
      </c>
    </row>
    <row r="49" ht="54" customHeight="1">
      <c r="A49" s="29" t="inlineStr">
        <is>
          <t>sevilla:evidence:parque-de-maria-luisa-01</t>
        </is>
      </c>
      <c r="B49" s="29" t="inlineStr">
        <is>
          <t>sevilla</t>
        </is>
      </c>
      <c r="C49" s="29" t="inlineStr">
        <is>
          <t>sevilla:photo:parque-de-maria-luisa-01</t>
        </is>
      </c>
      <c r="D49" s="29" t="inlineStr">
        <is>
          <t>https://commons.wikimedia.org/wiki/File:Andaluc%C3%ADa,_Sevilla,_plaza_de_America_(16488311286).jpg</t>
        </is>
      </c>
      <c r="E49" s="29" t="inlineStr">
        <is>
          <t>File:Andalucía, Sevilla, plaza de America (16488311286).jpg</t>
        </is>
      </c>
      <c r="F49" s="29" t="inlineStr">
        <is>
          <t>Максим Массалитин (Maxim Massalitin)</t>
        </is>
      </c>
      <c r="G49" s="29" t="inlineStr">
        <is>
          <t>CC BY 2.0</t>
        </is>
      </c>
      <c r="H49" s="29" t="inlineStr">
        <is>
          <t>https://creativecommons.org/licenses/by/2.0/</t>
        </is>
      </c>
      <c r="I49" s="29" t="inlineStr">
        <is>
          <t>Creative Commons Attribution 2.0</t>
        </is>
      </c>
      <c r="J49" s="29" t="inlineStr">
        <is>
          <t>Максим Массалитин (Maxim Massalitin) · CC BY 2.0 · Wikimedia Commons</t>
        </is>
      </c>
      <c r="K49" s="29" t="n"/>
      <c r="L49" s="49" t="n">
        <v>46320</v>
      </c>
      <c r="M49" s="29" t="inlineStr">
        <is>
          <t>Bekliyor</t>
        </is>
      </c>
      <c r="N49" s="29" t="inlineStr">
        <is>
          <t>Bekliyor</t>
        </is>
      </c>
      <c r="O49" s="29" t="inlineStr">
        <is>
          <t>Fotoğraflar/sevilla_parque-de-maria-luisa_01.jpg</t>
        </is>
      </c>
      <c r="P49" s="29" t="inlineStr">
        <is>
          <t>María Luisa Parkı'nda portakal ağaçları ve budanmış çit bahçesi.</t>
        </is>
      </c>
      <c r="Q49" s="29" t="inlineStr">
        <is>
          <t>Bekliyor</t>
        </is>
      </c>
      <c r="R49" s="29" t="inlineStr">
        <is>
          <t>Wikimedia Commons dosya sayfasındaki lisans: CC BY 2.0</t>
        </is>
      </c>
      <c r="S49" s="29" t="inlineStr">
        <is>
          <t>Lisans kanıtları/parque-de-maria-luisa-01.source-evidence.json</t>
        </is>
      </c>
      <c r="T49" s="29" t="inlineStr">
        <is>
          <t>0db85b4788b17482cd0a76bb3a67443e4f2c787f26c34cc6830ae12f8f674496</t>
        </is>
      </c>
      <c r="U49" s="29" t="inlineStr">
        <is>
          <t>Lisans kanıtları/parque-de-maria-luisa-01.license-evidence.json</t>
        </is>
      </c>
      <c r="V49" s="29" t="inlineStr">
        <is>
          <t>7f67ae946d698fec0aa4c2a36fd682dfb0dc4ea59c9e255f1e5dc0d1fa4583e2</t>
        </is>
      </c>
      <c r="W49" s="29" t="inlineStr">
        <is>
          <t>{"source_url": "https://commons.wikimedia.org/wiki/File:Andaluc%C3%ADa,_Sevilla,_plaza_de_America_(16488311286).jpg", "author": "Максим Массалитин (Maxim Massalitin)", "license": "CC BY 2.0", "license_url": "https://creativecommons.org/licenses/by/2.0/", "original_api_record": {"size": 12991592, "width": 4928, "height": 3264, "thumburl": "https://thumb.wikimedia.org/wikipedia/commons/thumb/a/a1/Andaluc%C3%ADa%2C_Sevilla%2C_plaza_de_America_%2816488311286%29.jpg/1280px-Andaluc%C3%ADa%2C_Sevilla%2C_plaza_de_America_%2816488311286%29.jpg", "thumbwidth": 1280, "thumbheight": 848, "responsiveUrls": {"2": "https://thumb.wikimedia.org/wikipedia/commons/thumb/a/a1/Andaluc%C3%ADa%2C_Sevilla%2C_plaza_de_America_%2816488311286%29.jpg/3840px-Andaluc%C3%ADa%2C_Sevilla%2C_plaza_de_America_%2816488311286%29.jpg"}, "thumbattribs": {"src": "https://thumb.wikimedia.org/wikipedia/commons/thumb/a/a1/Andaluc%C3%ADa%2C_Sevilla%2C_plaza_de_America_%2816488311286%29.jpg/1280px-Andaluc%C3%ADa%2C_Sevilla%2C_plaza_de_America_%2816488311286%29.jpg", "decoding": "async", "loading": "lazy", "width": 1280, "height": 848, "srcset": "https://thumb.wikimedia.org/wikipedia/commons/thumb/a/a1/Andaluc%C3%ADa%2C_Sevilla%2C_plaza_de_America_%2816488311286%29.jpg/3840px-Andaluc%C3%ADa%2C_Sevilla%2C_plaza_de_America_%2816488311286%29.jpg 2x"}, "url": "https://upload.wikimedia.org/wikipedia/commons/a/a1/Andaluc%C3%ADa%2C_Sevilla%2C_plaza_de_America_%2816488311286%29.jpg", "descriptionurl": "https://commons.wikimedia.org/wiki/File:Andaluc%C3%ADa,_Sevilla,_plaza_de_America_(16488311286).jpg", "descriptionshorturl": "https://commons.wikimedia.org/w/index.php?curid=42748214", "sha1": "54bc1b528205666a633234f489611a2a5c56c7ac", "extmetadata": {"DateTime": {"value": "2015-08-29 13:51:45", "source": "mediawiki-metadata", "hidden": ""}, "ObjectName": {"value": "Andalucía, Sevilla, plaza de America (16488311286)", "source": "mediawiki-metadata"}, "CommonsMetadataExtension": {"value": 1.2, "source": "extension", "hidden": ""}, "Categories": {"value": "María Luisa Park|Plaza de América, Seville|Flickr images reviewed by FlickreviewR|Files with coordinates missing SDC location of creation|Photos in Flickr Explore|Orange trees in Andalusia|Files from Priest Maxim Massalitin Flickr stream", "source": "commons-categories", "hidden": ""}, "Assessments": {"value": "", "source": "commons-categories", "hidden": ""}, "GPSLatitude": {"value": "37.371944", "source": "commons-desc-page"}, "GPSLongitude": {"value": "-5.988334", "source": "commons-desc-page"}, "GPSMapDatum": {"value": "WGS-84", "source": "commons-desc-page", "hidden": ""}, "ImageDescription": {"value": "Андалусия, Севилья, площадь Америки.", "source": "commons-desc-page"}, "DateTimeOriginal": {"value": "2015-01-27 17:14", "source": "commons-desc-page"}, "Credit": {"value": "&lt;a rel=\"nofollow\" class=\"external text\" href=\"https://www.flickr.com/photos/massalim/16488311286/\"&gt;Andalucía, Sevilla, plaza de America&lt;/a&gt;", "source": "commons-desc-page"}, "Artist": {"value": "&lt;a href=\"//commons.wikimedia.org/wiki/User:Massalim\" title=\"User:Massalim\"&gt;Максим Массалитин&lt;/a&gt; (Maxim Massalitin)",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 "delivered_file": {"url": "https://thumb.wikimedia.org/wikipedia/commons/thumb/a/a1/Andaluc%C3%ADa%2C_Sevilla%2C_plaza_de_America_%2816488311286%29.jpg/1280px-Andaluc%C3%ADa%2C_Sevilla%2C_plaza_de_America_%2816488311286%29.jpg"}, "retrieved_on": "2026-10-25"}</t>
        </is>
      </c>
    </row>
    <row r="50" ht="54" customHeight="1">
      <c r="A50" s="29" t="inlineStr">
        <is>
          <t>sevilla:evidence:parque-de-maria-luisa-02</t>
        </is>
      </c>
      <c r="B50" s="29" t="inlineStr">
        <is>
          <t>sevilla</t>
        </is>
      </c>
      <c r="C50" s="29" t="inlineStr">
        <is>
          <t>sevilla:photo:parque-de-maria-luisa-02</t>
        </is>
      </c>
      <c r="D50" s="29" t="inlineStr">
        <is>
          <t>https://commons.wikimedia.org/wiki/File:Arce_y_fuente.jpg</t>
        </is>
      </c>
      <c r="E50" s="29" t="inlineStr">
        <is>
          <t>File:Arce y fuente.jpg</t>
        </is>
      </c>
      <c r="F50" s="29" t="inlineStr">
        <is>
          <t>CarlosVdeHabsburgo</t>
        </is>
      </c>
      <c r="G50" s="29" t="inlineStr">
        <is>
          <t>CC BY-SA 4.0</t>
        </is>
      </c>
      <c r="H50" s="29" t="inlineStr">
        <is>
          <t>https://creativecommons.org/licenses/by-sa/4.0/</t>
        </is>
      </c>
      <c r="I50" s="29" t="inlineStr">
        <is>
          <t>Creative Commons Attribution-Share Alike 4.0</t>
        </is>
      </c>
      <c r="J50" s="29" t="inlineStr">
        <is>
          <t>CarlosVdeHabsburgo · CC BY-SA 4.0 · Wikimedia Commons</t>
        </is>
      </c>
      <c r="K50" s="29" t="n"/>
      <c r="L50" s="49" t="n">
        <v>46320</v>
      </c>
      <c r="M50" s="29" t="inlineStr">
        <is>
          <t>Bekliyor</t>
        </is>
      </c>
      <c r="N50" s="29" t="inlineStr">
        <is>
          <t>Bekliyor</t>
        </is>
      </c>
      <c r="O50" s="29" t="inlineStr">
        <is>
          <t>Fotoğraflar/sevilla_parque-de-maria-luisa_02.jpg</t>
        </is>
      </c>
      <c r="P50" s="29" t="inlineStr">
        <is>
          <t>María Luisa Parkı'nda gölgeli patika, taş basamaklar ve yeşillik.</t>
        </is>
      </c>
      <c r="Q50" s="29" t="inlineStr">
        <is>
          <t>Bekliyor</t>
        </is>
      </c>
      <c r="R50" s="29" t="inlineStr">
        <is>
          <t>Wikimedia Commons dosya sayfasındaki lisans: CC BY-SA 4.0</t>
        </is>
      </c>
      <c r="S50" s="29" t="inlineStr">
        <is>
          <t>Lisans kanıtları/parque-de-maria-luisa-02.source-evidence.json</t>
        </is>
      </c>
      <c r="T50" s="29" t="inlineStr">
        <is>
          <t>cda078e3e06975248a87cdfed5821e816dd7c13a8def5817a2c8734c575c81df</t>
        </is>
      </c>
      <c r="U50" s="29" t="inlineStr">
        <is>
          <t>Lisans kanıtları/parque-de-maria-luisa-02.license-evidence.json</t>
        </is>
      </c>
      <c r="V50" s="29" t="inlineStr">
        <is>
          <t>9e0561a05b1d1faf624b9c4a4591502218714659ecdb4eb9eb2c4ad34f9f191e</t>
        </is>
      </c>
      <c r="W50" s="29" t="inlineStr">
        <is>
          <t>{"source_url": "https://commons.wikimedia.org/wiki/File:Arce_y_fuente.jpg", "author": "CarlosVdeHabsburgo", "license": "CC BY-SA 4.0", "license_url": "https://creativecommons.org/licenses/by-sa/4.0/", "original_api_record": {"size": 5925088, "width": 3240, "height": 4320, "thumburl": "https://thumb.wikimedia.org/wikipedia/commons/thumb/4/44/Arce_y_fuente.jpg/1280px-Arce_y_fuente.jpg", "thumbwidth": 1280, "thumbheight": 1707, "responsiveUrls": {"2": "https://upload.wikimedia.org/wikipedia/commons/4/44/Arce_y_fuente.jpg"}, "thumbattribs": {"src": "https://thumb.wikimedia.org/wikipedia/commons/thumb/4/44/Arce_y_fuente.jpg/1280px-Arce_y_fuente.jpg", "decoding": "async", "loading": "lazy", "width": 1280, "height": 1707, "srcset": "https://upload.wikimedia.org/wikipedia/commons/4/44/Arce_y_fuente.jpg 2x"}, "url": "https://upload.wikimedia.org/wikipedia/commons/4/44/Arce_y_fuente.jpg", "descriptionurl": "https://commons.wikimedia.org/wiki/File:Arce_y_fuente.jpg", "descriptionshorturl": "https://commons.wikimedia.org/w/index.php?curid=52421333", "sha1": "2f974079509966f697acb0f25f1b64058911a666", "extmetadata": {"DateTime": {"value": "2016-10-21 21:57:26", "source": "mediawiki-metadata", "hidden": ""}, "ObjectName": {"value": "Arce y fuente", "source": "mediawiki-metadata"}, "CommonsMetadataExtension": {"value": 1.2, "source": "extension", "hidden": ""}, "Categories": {"value": "Acer glabrum|María Luisa Park|Self-published work|Fountains in Seville", "source": "commons-categories", "hidden": ""}, "Assessments": {"value": "", "source": "commons-categories", "hidden": ""}, "ImageDescription": {"value": "Un arce y una fuente. Parque de María Luisa. Sevilla, Andalucía, España.", "source": "commons-desc-page"}, "DateTimeOriginal": {"value": "2016-10-21 18:37:41",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"https://thumb.wikimedia.org/wikipedia/commons/thumb/4/44/Arce_y_fuente.jpg/1280px-Arce_y_fuente.jpg"}, "retrieved_on": "2026-10-25"}</t>
        </is>
      </c>
    </row>
    <row r="51" ht="54" customHeight="1">
      <c r="A51" s="29" t="inlineStr">
        <is>
          <t>sevilla:evidence:parque-de-maria-luisa-03</t>
        </is>
      </c>
      <c r="B51" s="29" t="inlineStr">
        <is>
          <t>sevilla</t>
        </is>
      </c>
      <c r="C51" s="29" t="inlineStr">
        <is>
          <t>sevilla:photo:parque-de-maria-luisa-03</t>
        </is>
      </c>
      <c r="D51" s="29" t="inlineStr">
        <is>
          <t>https://commons.wikimedia.org/wiki/File:Camino_parque_M%C2%AA_Luisa_2.jpg</t>
        </is>
      </c>
      <c r="E51" s="29" t="inlineStr">
        <is>
          <t>File:Camino parque Mª Luisa 2.jpg</t>
        </is>
      </c>
      <c r="F51" s="29" t="inlineStr">
        <is>
          <t>CarlosVdeHabsburgo</t>
        </is>
      </c>
      <c r="G51" s="29" t="inlineStr">
        <is>
          <t>CC BY-SA 4.0</t>
        </is>
      </c>
      <c r="H51" s="29" t="inlineStr">
        <is>
          <t>https://creativecommons.org/licenses/by-sa/4.0/</t>
        </is>
      </c>
      <c r="I51" s="29" t="inlineStr">
        <is>
          <t>Creative Commons Attribution-Share Alike 4.0</t>
        </is>
      </c>
      <c r="J51" s="29" t="inlineStr">
        <is>
          <t>CarlosVdeHabsburgo · CC BY-SA 4.0 · Wikimedia Commons</t>
        </is>
      </c>
      <c r="K51" s="29" t="n"/>
      <c r="L51" s="49" t="n">
        <v>46320</v>
      </c>
      <c r="M51" s="29" t="inlineStr">
        <is>
          <t>Bekliyor</t>
        </is>
      </c>
      <c r="N51" s="29" t="inlineStr">
        <is>
          <t>Bekliyor</t>
        </is>
      </c>
      <c r="O51" s="29" t="inlineStr">
        <is>
          <t>Fotoğraflar/sevilla_parque-de-maria-luisa_03.jpg</t>
        </is>
      </c>
      <c r="P51" s="29" t="inlineStr">
        <is>
          <t>María Luisa Parkı'nda fenerli toprak yol ve uzun ağaçlar.</t>
        </is>
      </c>
      <c r="Q51" s="29" t="inlineStr">
        <is>
          <t>Bekliyor</t>
        </is>
      </c>
      <c r="R51" s="29" t="inlineStr">
        <is>
          <t>Wikimedia Commons dosya sayfasındaki lisans: CC BY-SA 4.0</t>
        </is>
      </c>
      <c r="S51" s="29" t="inlineStr">
        <is>
          <t>Lisans kanıtları/parque-de-maria-luisa-03.source-evidence.json</t>
        </is>
      </c>
      <c r="T51" s="29" t="inlineStr">
        <is>
          <t>cebb23b02ad0319e72f0776d1699d597a710c8cdab33257c4401a041d6c35aad</t>
        </is>
      </c>
      <c r="U51" s="29" t="inlineStr">
        <is>
          <t>Lisans kanıtları/parque-de-maria-luisa-03.license-evidence.json</t>
        </is>
      </c>
      <c r="V51" s="29" t="inlineStr">
        <is>
          <t>9b2093bda48e3d7993b28f3bbb050c899379247549552fc542f8db4db3a56400</t>
        </is>
      </c>
      <c r="W51" s="29" t="inlineStr">
        <is>
          <t>{"source_url": "https://commons.wikimedia.org/wiki/File:Camino_parque_M%C2%AA_Luisa_2.jpg", "author": "CarlosVdeHabsburgo", "license": "CC BY-SA 4.0", "license_url": "https://creativecommons.org/licenses/by-sa/4.0/", "original_api_record": {"size": 3471011, "width": 3240, "height": 4320, "thumburl": "https://thumb.wikimedia.org/wikipedia/commons/thumb/6/61/Camino_parque_M%C2%AA_Luisa_2.jpg/1280px-Camino_parque_M%C2%AA_Luisa_2.jpg", "thumbwidth": 1280, "thumbheight": 1707, "responsiveUrls": {"2": "https://upload.wikimedia.org/wikipedia/commons/6/61/Camino_parque_M%C2%AA_Luisa_2.jpg"}, "thumbattribs": {"src": "https://thumb.wikimedia.org/wikipedia/commons/thumb/6/61/Camino_parque_M%C2%AA_Luisa_2.jpg/1280px-Camino_parque_M%C2%AA_Luisa_2.jpg", "decoding": "async", "loading": "lazy", "width": 1280, "height": 1707, "srcset": "https://upload.wikimedia.org/wikipedia/commons/6/61/Camino_parque_M%C2%AA_Luisa_2.jpg 2x"}, "url": "https://upload.wikimedia.org/wikipedia/commons/6/61/Camino_parque_M%C2%AA_Luisa_2.jpg", "descriptionurl": "https://commons.wikimedia.org/wiki/File:Camino_parque_M%C2%AA_Luisa_2.jpg", "descriptionshorturl": "https://commons.wikimedia.org/w/index.php?curid=52435295", "sha1": "c8269ec708908fbfe195455bf538837e3aafaec1", "extmetadata": {"DateTime": {"value": "2016-10-22 14:46:55", "source": "mediawiki-metadata", "hidden": ""}, "ObjectName": {"value": "Camino parque Mª Luisa 2", "source": "mediawiki-metadata"}, "CommonsMetadataExtension": {"value": 1.2, "source": "extension", "hidden": ""}, "Categories": {"value": "María Luisa Park|Self-published work", "source": "commons-categories", "hidden": ""}, "Assessments": {"value": "", "source": "commons-categories", "hidden": ""}, "ImageDescription": {"value": "Camino del parque de María Luisa. Sevilla, Andalucía, España.", "source": "commons-desc-page"}, "DateTimeOriginal": {"value": "2016-10-21 18:21:49",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"https://thumb.wikimedia.org/wikipedia/commons/thumb/6/61/Camino_parque_M%C2%AA_Luisa_2.jpg/1280px-Camino_parque_M%C2%AA_Luisa_2.jpg"}, "retrieved_on": "2026-10-25"}</t>
        </is>
      </c>
    </row>
    <row r="52" ht="54" customHeight="1">
      <c r="A52" s="29" t="inlineStr">
        <is>
          <t>sevilla:evidence:jardines-de-la-buhaira-01</t>
        </is>
      </c>
      <c r="B52" s="29" t="inlineStr">
        <is>
          <t>sevilla</t>
        </is>
      </c>
      <c r="C52" s="29" t="inlineStr">
        <is>
          <t>sevilla:photo:jardines-de-la-buhaira-01</t>
        </is>
      </c>
      <c r="D52" s="29" t="inlineStr">
        <is>
          <t>https://commons.wikimedia.org/wiki/File:Alberca_01.jpg</t>
        </is>
      </c>
      <c r="E52" s="29" t="inlineStr">
        <is>
          <t>File:Alberca 01.jpg</t>
        </is>
      </c>
      <c r="F52" s="29" t="inlineStr">
        <is>
          <t>CarlosVdeHabsburgo</t>
        </is>
      </c>
      <c r="G52" s="29" t="inlineStr">
        <is>
          <t>CC BY-SA 4.0</t>
        </is>
      </c>
      <c r="H52" s="29" t="inlineStr">
        <is>
          <t>https://creativecommons.org/licenses/by-sa/4.0/</t>
        </is>
      </c>
      <c r="I52" s="29" t="inlineStr">
        <is>
          <t>Creative Commons Attribution-Share Alike 4.0</t>
        </is>
      </c>
      <c r="J52" s="29" t="inlineStr">
        <is>
          <t>CarlosVdeHabsburgo · CC BY-SA 4.0 · Wikimedia Commons</t>
        </is>
      </c>
      <c r="K52" s="29" t="n"/>
      <c r="L52" s="49" t="n">
        <v>46320</v>
      </c>
      <c r="M52" s="29" t="inlineStr">
        <is>
          <t>Bekliyor</t>
        </is>
      </c>
      <c r="N52" s="29" t="inlineStr">
        <is>
          <t>Bekliyor</t>
        </is>
      </c>
      <c r="O52" s="29" t="inlineStr">
        <is>
          <t>Fotoğraflar/sevilla_jardines-de-la-buhaira_01.jpg</t>
        </is>
      </c>
      <c r="P52" s="29" t="inlineStr">
        <is>
          <t>Buhaira Bahçeleri'nde tarihî su havuzunun tuğla duvarı.</t>
        </is>
      </c>
      <c r="Q52" s="29" t="inlineStr">
        <is>
          <t>Bekliyor</t>
        </is>
      </c>
      <c r="R52" s="29" t="inlineStr">
        <is>
          <t>Wikimedia Commons dosya sayfasındaki lisans: CC BY-SA 4.0</t>
        </is>
      </c>
      <c r="S52" s="29" t="inlineStr">
        <is>
          <t>Lisans kanıtları/jardines-de-la-buhaira-01.source-evidence.json</t>
        </is>
      </c>
      <c r="T52" s="29" t="inlineStr">
        <is>
          <t>e1567027f115d4010f8def367734ab436cb95045a335fc7f507d52e4bf7d7b43</t>
        </is>
      </c>
      <c r="U52" s="29" t="inlineStr">
        <is>
          <t>Lisans kanıtları/jardines-de-la-buhaira-01.license-evidence.json</t>
        </is>
      </c>
      <c r="V52" s="29" t="inlineStr">
        <is>
          <t>d255c5add4bb6ec2e50750fbfd30c65c570504e902825d3785c6818bd2c99cd3</t>
        </is>
      </c>
      <c r="W52" s="29" t="inlineStr">
        <is>
          <t>{"source_url": "https://commons.wikimedia.org/wiki/File:Alberca_01.jpg", "author": "CarlosVdeHabsburgo", "license": "CC BY-SA 4.0", "license_url": "https://creativecommons.org/licenses/by-sa/4.0/", "original_api_record": {"size": 5827480, "width": 4320, "height": 3240, "thumburl": "https://thumb.wikimedia.org/wikipedia/commons/thumb/1/19/Alberca_01.jpg/1280px-Alberca_01.jpg", "thumbwidth": 1280, "thumbheight": 960, "responsiveUrls": {"2": "https://thumb.wikimedia.org/wikipedia/commons/thumb/1/19/Alberca_01.jpg/3840px-Alberca_01.jpg"}, "thumbattribs": {"src": "https://thumb.wikimedia.org/wikipedia/commons/thumb/1/19/Alberca_01.jpg/1280px-Alberca_01.jpg", "decoding": "async", "loading": "lazy", "width": 1280, "height": 960, "srcset": "https://thumb.wikimedia.org/wikipedia/commons/thumb/1/19/Alberca_01.jpg/3840px-Alberca_01.jpg 2x"}, "url": "https://upload.wikimedia.org/wikipedia/commons/1/19/Alberca_01.jpg", "descriptionurl": "https://commons.wikimedia.org/wiki/File:Alberca_01.jpg", "descriptionshorturl": "https://commons.wikimedia.org/w/index.php?curid=52848092", "sha1": "a2351b3432b5706df9e8dda9e0f27f12c0c0770f", "extmetadata": {"DateTime": {"value": "2016-11-05 18:47:06", "source": "mediawiki-metadata", "hidden": ""}, "ObjectName": {"value": "Alberca 01", "source": "mediawiki-metadata"}, "CommonsMetadataExtension": {"value": 1.2, "source": "extension", "hidden": ""}, "Categories": {"value": "Palacio y jardines de la Buhaira, Seville|Self-published work", "source": "commons-categories", "hidden": ""}, "Assessments": {"value": "", "source": "commons-categories", "hidden": ""}, "ImageDescription": {"value": "Alberca de ladrillo de los jardines de la Buhaira. En los laterales hay pequeñas cámaras. Sevilla, Andalucía, España.", "source": "commons-desc-page"}, "DateTimeOriginal": {"value": "2016-11-05 17:02:25",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"https://thumb.wikimedia.org/wikipedia/commons/thumb/1/19/Alberca_01.jpg/1280px-Alberca_01.jpg"}, "retrieved_on": "2026-10-25"}</t>
        </is>
      </c>
    </row>
    <row r="53" ht="54" customHeight="1">
      <c r="A53" s="29" t="inlineStr">
        <is>
          <t>sevilla:evidence:jardines-de-la-buhaira-02</t>
        </is>
      </c>
      <c r="B53" s="29" t="inlineStr">
        <is>
          <t>sevilla</t>
        </is>
      </c>
      <c r="C53" s="29" t="inlineStr">
        <is>
          <t>sevilla:photo:jardines-de-la-buhaira-02</t>
        </is>
      </c>
      <c r="D53" s="29" t="inlineStr">
        <is>
          <t>https://commons.wikimedia.org/wiki/File:Alberca_02.jpg</t>
        </is>
      </c>
      <c r="E53" s="29" t="inlineStr">
        <is>
          <t>File:Alberca 02.jpg</t>
        </is>
      </c>
      <c r="F53" s="29" t="inlineStr">
        <is>
          <t>CarlosVdeHabsburgo</t>
        </is>
      </c>
      <c r="G53" s="29" t="inlineStr">
        <is>
          <t>CC BY-SA 4.0</t>
        </is>
      </c>
      <c r="H53" s="29" t="inlineStr">
        <is>
          <t>https://creativecommons.org/licenses/by-sa/4.0/</t>
        </is>
      </c>
      <c r="I53" s="29" t="inlineStr">
        <is>
          <t>Creative Commons Attribution-Share Alike 4.0</t>
        </is>
      </c>
      <c r="J53" s="29" t="inlineStr">
        <is>
          <t>CarlosVdeHabsburgo · CC BY-SA 4.0 · Wikimedia Commons</t>
        </is>
      </c>
      <c r="K53" s="29" t="n"/>
      <c r="L53" s="49" t="n">
        <v>46320</v>
      </c>
      <c r="M53" s="29" t="inlineStr">
        <is>
          <t>Bekliyor</t>
        </is>
      </c>
      <c r="N53" s="29" t="inlineStr">
        <is>
          <t>Bekliyor</t>
        </is>
      </c>
      <c r="O53" s="29" t="inlineStr">
        <is>
          <t>Fotoğraflar/sevilla_jardines-de-la-buhaira_02.jpg</t>
        </is>
      </c>
      <c r="P53" s="29" t="inlineStr">
        <is>
          <t>Buhaira Bahçeleri'nde kazı alanı ve eski yapının kalıntıları.</t>
        </is>
      </c>
      <c r="Q53" s="29" t="inlineStr">
        <is>
          <t>Bekliyor</t>
        </is>
      </c>
      <c r="R53" s="29" t="inlineStr">
        <is>
          <t>Wikimedia Commons dosya sayfasındaki lisans: CC BY-SA 4.0</t>
        </is>
      </c>
      <c r="S53" s="29" t="inlineStr">
        <is>
          <t>Lisans kanıtları/jardines-de-la-buhaira-02.source-evidence.json</t>
        </is>
      </c>
      <c r="T53" s="29" t="inlineStr">
        <is>
          <t>f1d5381cdff210b217e5913be6a38c3714188d752712f3f11a4b1b5e60bac858</t>
        </is>
      </c>
      <c r="U53" s="29" t="inlineStr">
        <is>
          <t>Lisans kanıtları/jardines-de-la-buhaira-02.license-evidence.json</t>
        </is>
      </c>
      <c r="V53" s="29" t="inlineStr">
        <is>
          <t>fbdc0c69908871993b5ff1da15255caeb258676f7d5b71352d8c7cebff7322cb</t>
        </is>
      </c>
      <c r="W53" s="29" t="inlineStr">
        <is>
          <t>{"source_url": "https://commons.wikimedia.org/wiki/File:Alberca_02.jpg", "author": "CarlosVdeHabsburgo", "license": "CC BY-SA 4.0", "license_url": "https://creativecommons.org/licenses/by-sa/4.0/", "original_api_record": {"size": 5889264, "width": 4320, "height": 3240, "thumburl": "https://thumb.wikimedia.org/wikipedia/commons/thumb/f/fc/Alberca_02.jpg/1280px-Alberca_02.jpg", "thumbwidth": 1280, "thumbheight": 960, "responsiveUrls": {"2": "https://thumb.wikimedia.org/wikipedia/commons/thumb/f/fc/Alberca_02.jpg/3840px-Alberca_02.jpg"}, "thumbattribs": {"src": "https://thumb.wikimedia.org/wikipedia/commons/thumb/f/fc/Alberca_02.jpg/1280px-Alberca_02.jpg", "decoding": "async", "loading": "lazy", "width": 1280, "height": 960, "srcset": "https://thumb.wikimedia.org/wikipedia/commons/thumb/f/fc/Alberca_02.jpg/3840px-Alberca_02.jpg 2x"}, "url": "https://upload.wikimedia.org/wikipedia/commons/f/fc/Alberca_02.jpg", "descriptionurl": "https://commons.wikimedia.org/wiki/File:Alberca_02.jpg", "descriptionshorturl": "https://commons.wikimedia.org/w/index.php?curid=52850661", "sha1": "4770a642e05474946f1f3c4573cc8c2c699ac833", "extmetadata": {"DateTime": {"value": "2016-11-05 19:42:43", "source": "mediawiki-metadata", "hidden": ""}, "ObjectName": {"value": "Alberca 02", "source": "mediawiki-metadata"}, "CommonsMetadataExtension": {"value": 1.2, "source": "extension", "hidden": ""}, "Categories": {"value": "Palacio y jardines de la Buhaira, Seville|Self-published work|November 2016 in Andalusia", "source": "commons-categories", "hidden": ""}, "Assessments": {"value": "", "source": "commons-categories", "hidden": ""}, "ImageDescription": {"value": "Alberca de los jardines de la Buhaira. En sus laterales tiene pequeñas cámaras. Sevilla, Andalucía, España.", "source": "commons-desc-page"}, "DateTimeOriginal": {"value": "2016-11-05 16:58:47",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"https://thumb.wikimedia.org/wikipedia/commons/thumb/f/fc/Alberca_02.jpg/1280px-Alberca_02.jpg"}, "retrieved_on": "2026-10-25"}</t>
        </is>
      </c>
    </row>
    <row r="54" ht="54" customHeight="1">
      <c r="A54" s="29" t="inlineStr">
        <is>
          <t>sevilla:evidence:jardines-de-la-buhaira-03</t>
        </is>
      </c>
      <c r="B54" s="29" t="inlineStr">
        <is>
          <t>sevilla</t>
        </is>
      </c>
      <c r="C54" s="29" t="inlineStr">
        <is>
          <t>sevilla:photo:jardines-de-la-buhaira-03</t>
        </is>
      </c>
      <c r="D54" s="29" t="inlineStr">
        <is>
          <t>https://commons.wikimedia.org/wiki/File:Antiguos_palacios_de_los_Jardines_de_la_Buhaira.jpg</t>
        </is>
      </c>
      <c r="E54" s="29" t="inlineStr">
        <is>
          <t>File:Antiguos palacios de los Jardines de la Buhaira.jpg</t>
        </is>
      </c>
      <c r="F54" s="29" t="inlineStr">
        <is>
          <t>anarey</t>
        </is>
      </c>
      <c r="G54" s="29" t="inlineStr">
        <is>
          <t>CC BY-SA 3.0 es</t>
        </is>
      </c>
      <c r="H54" s="29" t="inlineStr">
        <is>
          <t>https://creativecommons.org/licenses/by-sa/3.0/es/deed.en/</t>
        </is>
      </c>
      <c r="I54" s="29" t="inlineStr">
        <is>
          <t>Creative Commons Attribution-Share Alike 3.0 es</t>
        </is>
      </c>
      <c r="J54" s="29" t="inlineStr">
        <is>
          <t>anarey · CC BY-SA 3.0 es · Wikimedia Commons</t>
        </is>
      </c>
      <c r="K54" s="29" t="n"/>
      <c r="L54" s="49" t="n">
        <v>46320</v>
      </c>
      <c r="M54" s="29" t="inlineStr">
        <is>
          <t>Bekliyor</t>
        </is>
      </c>
      <c r="N54" s="29" t="inlineStr">
        <is>
          <t>Bekliyor</t>
        </is>
      </c>
      <c r="O54" s="29" t="inlineStr">
        <is>
          <t>Fotoğraflar/sevilla_jardines-de-la-buhaira_03.jpg</t>
        </is>
      </c>
      <c r="P54" s="29" t="inlineStr">
        <is>
          <t>Buhaira Bahçeleri'nde eski saray yapısı ve önündeki havuzda yansıması.</t>
        </is>
      </c>
      <c r="Q54" s="29" t="inlineStr">
        <is>
          <t>Bekliyor</t>
        </is>
      </c>
      <c r="R54" s="29" t="inlineStr">
        <is>
          <t>Wikimedia Commons dosya sayfasındaki lisans: CC BY-SA 3.0 es</t>
        </is>
      </c>
      <c r="S54" s="29" t="inlineStr">
        <is>
          <t>Lisans kanıtları/jardines-de-la-buhaira-03.source-evidence.json</t>
        </is>
      </c>
      <c r="T54" s="29" t="inlineStr">
        <is>
          <t>f6673492d0185eb735cbc620058db6f8498462c1e78e3ea6ed4b6b9c867093d4</t>
        </is>
      </c>
      <c r="U54" s="29" t="inlineStr">
        <is>
          <t>Lisans kanıtları/jardines-de-la-buhaira-03.license-evidence.json</t>
        </is>
      </c>
      <c r="V54" s="29" t="inlineStr">
        <is>
          <t>e7880f98c3974c6834c97b724b5a70af444bbd1a49a423e95229752491cb3dcb</t>
        </is>
      </c>
      <c r="W54" s="29" t="inlineStr">
        <is>
          <t>{"source_url": "https://commons.wikimedia.org/wiki/File:Antiguos_palacios_de_los_Jardines_de_la_Buhaira.jpg", "author": "anarey", "license": "CC BY-SA 3.0 es", "license_url": "https://creativecommons.org/licenses/by-sa/3.0/es/deed.en/", "original_api_record": {"size": 4388389, "width": 3872, "height": 2592, "thumburl": "https://thumb.wikimedia.org/wikipedia/commons/thumb/f/fc/Antiguos_palacios_de_los_Jardines_de_la_Buhaira.jpg/1280px-Antiguos_palacios_de_los_Jardines_de_la_Buhaira.jpg", "thumbwidth": 1280, "thumbheight": 857, "responsiveUrls": {"2": "https://thumb.wikimedia.org/wikipedia/commons/thumb/f/fc/Antiguos_palacios_de_los_Jardines_de_la_Buhaira.jpg/3840px-Antiguos_palacios_de_los_Jardines_de_la_Buhaira.jpg"}, "thumbattribs": {"src": "https://thumb.wikimedia.org/wikipedia/commons/thumb/f/fc/Antiguos_palacios_de_los_Jardines_de_la_Buhaira.jpg/1280px-Antiguos_palacios_de_los_Jardines_de_la_Buhaira.jpg", "decoding": "async", "loading": "lazy", "width": 1280, "height": 857, "srcset": "https://thumb.wikimedia.org/wikipedia/commons/thumb/f/fc/Antiguos_palacios_de_los_Jardines_de_la_Buhaira.jpg/3840px-Antiguos_palacios_de_los_Jardines_de_la_Buhaira.jpg 2x"}, "url": "https://upload.wikimedia.org/wikipedia/commons/f/fc/Antiguos_palacios_de_los_Jardines_de_la_Buhaira.jpg", "descriptionurl": "https://commons.wikimedia.org/wiki/File:Antiguos_palacios_de_los_Jardines_de_la_Buhaira.jpg", "descriptionshorturl": "https://commons.wikimedia.org/w/index.php?curid=16772078", "sha1": "820ce21441ec82c75c50ceda126db6985abab5f4", "extmetadata": {"DateTime": {"value": "2011-09-29 16:11:45", "source": "mediawiki-metadata", "hidden": ""}, "ObjectName": {"value": "Antiguos palacios de los Jardines de la Buhaira", "source": "mediawiki-metadata"}, "CommonsMetadataExtension": {"value": 1.2, "source": "extension", "hidden": ""}, "Categories": {"value": "Taken with Nikon D3000|Palacio y jardines de la Buhaira, Seville|Self-published work|Images from Wiki Loves Monuments 2011|Cultural heritage monuments in Spain with known IDs|Images from Wiki Loves Monuments 2011 in Spain|September 2011 in Seville|Spain photographs taken on 2011-09-25|All media supported by Wikimedia España in 2011|Buildings in Seville photographed in 2011|Images from Wiki Loves Monuments missing SDC depicts|Images from Wiki Loves Monuments missing SDC location of creation|Cultural heritage monuments in Spain missing SDC location of creation|Cultural heritage monuments in Spain missing SDC depicts", "source": "commons-categories", "hidden": ""}, "Assessments": {"value": "", "source": "commons-categories", "hidden": ""}, "ImageDescription": {"value": "Antiguos palacios de los Jardines de la Buhaira", "source": "commons-desc-page"}, "DateTimeOriginal": {"value": "2011-09-25", "source": "commons-desc-page"}, "Credit": {"value": "&lt;span class=\"int-own-work\" lang=\"en\"&gt;Own work&lt;/span&gt;", "source": "commons-desc-page"}, "Artist": {"value": "&lt;a href=\"//commons.wikimedia.org/wiki/User:Anarey\" title=\"User:Anarey\"&gt;anarey&lt;/a&gt;", "source": "commons-desc-page"}, "LicenseShortName": {"value": "CC BY-SA 3.0 es", "source": "commons-desc-page", "hidden": ""}, "UsageTerms": {"value": "Creative Commons Attribution-Share Alike 3.0 es", "source": "commons-desc-page"}, "AttributionRequired": {"value": "true", "source": "commons-desc-page", "hidden": ""}, "LicenseUrl": {"value": "https://creativecommons.org/licenses/by-sa/3.0/es/deed.en", "source": "commons-desc-page"}, "Copyrighted": {"value": "True", "source": "commons-desc-page", "hidden": ""}, "Restrictions": {"value": "", "source": "commons-desc-page", "hidden": ""}, "License": {"value": "cc-by-sa-3.0-es", "source": "commons-templates", "hidden": ""}}, "mime": "image/jpeg"}, "delivered_file": {"url": "https://thumb.wikimedia.org/wikipedia/commons/thumb/f/fc/Antiguos_palacios_de_los_Jardines_de_la_Buhaira.jpg/1280px-Antiguos_palacios_de_los_Jardines_de_la_Buhaira.jpg"}, "retrieved_on": "2026-10-25"}</t>
        </is>
      </c>
    </row>
    <row r="55" ht="54" customHeight="1">
      <c r="A55" s="29" t="inlineStr">
        <is>
          <t>sevilla:evidence:jardines-de-murillo-01</t>
        </is>
      </c>
      <c r="B55" s="29" t="inlineStr">
        <is>
          <t>sevilla</t>
        </is>
      </c>
      <c r="C55" s="29" t="inlineStr">
        <is>
          <t>sevilla:photo:jardines-de-murillo-01</t>
        </is>
      </c>
      <c r="D55" s="29" t="inlineStr">
        <is>
          <t>https://commons.wikimedia.org/wiki/File:Azulejos_J_de_Murillo.jpg</t>
        </is>
      </c>
      <c r="E55" s="29" t="inlineStr">
        <is>
          <t>File:Azulejos J de Murillo.jpg</t>
        </is>
      </c>
      <c r="F55" s="29" t="inlineStr">
        <is>
          <t>CarlosVdeHabsburgo</t>
        </is>
      </c>
      <c r="G55" s="29" t="inlineStr">
        <is>
          <t>CC BY-SA 4.0</t>
        </is>
      </c>
      <c r="H55" s="29" t="inlineStr">
        <is>
          <t>https://creativecommons.org/licenses/by-sa/4.0/</t>
        </is>
      </c>
      <c r="I55" s="29" t="inlineStr">
        <is>
          <t>Creative Commons Attribution-Share Alike 4.0</t>
        </is>
      </c>
      <c r="J55" s="29" t="inlineStr">
        <is>
          <t>CarlosVdeHabsburgo · CC BY-SA 4.0 · Wikimedia Commons</t>
        </is>
      </c>
      <c r="K55" s="29" t="n"/>
      <c r="L55" s="49" t="n">
        <v>46320</v>
      </c>
      <c r="M55" s="29" t="inlineStr">
        <is>
          <t>Bekliyor</t>
        </is>
      </c>
      <c r="N55" s="29" t="inlineStr">
        <is>
          <t>Bekliyor</t>
        </is>
      </c>
      <c r="O55" s="29" t="inlineStr">
        <is>
          <t>Fotoğraflar/sevilla_jardines-de-murillo_01.jpg</t>
        </is>
      </c>
      <c r="P55" s="29" t="inlineStr">
        <is>
          <t>Murillo Bahçeleri'nde mavi-yeşil damalı çinili bank.</t>
        </is>
      </c>
      <c r="Q55" s="29" t="inlineStr">
        <is>
          <t>Bekliyor</t>
        </is>
      </c>
      <c r="R55" s="29" t="inlineStr">
        <is>
          <t>Wikimedia Commons dosya sayfasındaki lisans: CC BY-SA 4.0</t>
        </is>
      </c>
      <c r="S55" s="29" t="inlineStr">
        <is>
          <t>Lisans kanıtları/jardines-de-murillo-01.source-evidence.json</t>
        </is>
      </c>
      <c r="T55" s="29" t="inlineStr">
        <is>
          <t>e22808d86c8035a6eb937510ac7a45bdf2c1b8831eac924e1f9d9771b67f9d60</t>
        </is>
      </c>
      <c r="U55" s="29" t="inlineStr">
        <is>
          <t>Lisans kanıtları/jardines-de-murillo-01.license-evidence.json</t>
        </is>
      </c>
      <c r="V55" s="29" t="inlineStr">
        <is>
          <t>6a755b374d5d44061533042bd57dd02ff421bb2a1abd8a635ba7794d3cf50bc2</t>
        </is>
      </c>
      <c r="W55" s="29" t="inlineStr">
        <is>
          <t>{"source_url": "https://commons.wikimedia.org/wiki/File:Azulejos_J_de_Murillo.jpg", "author": "CarlosVdeHabsburgo", "license": "CC BY-SA 4.0", "license_url": "https://creativecommons.org/licenses/by-sa/4.0/", "original_api_record": {"size": 5767603, "width": 4320, "height": 3240, "thumburl": "https://thumb.wikimedia.org/wikipedia/commons/thumb/8/89/Azulejos_J_de_Murillo.jpg/1280px-Azulejos_J_de_Murillo.jpg", "thumbwidth": 1280, "thumbheight": 960, "responsiveUrls": {"2": "https://thumb.wikimedia.org/wikipedia/commons/thumb/8/89/Azulejos_J_de_Murillo.jpg/3840px-Azulejos_J_de_Murillo.jpg"}, "thumbattribs": {"src": "https://thumb.wikimedia.org/wikipedia/commons/thumb/8/89/Azulejos_J_de_Murillo.jpg/1280px-Azulejos_J_de_Murillo.jpg", "decoding": "async", "loading": "lazy", "width": 1280, "height": 960, "srcset": "https://thumb.wikimedia.org/wikipedia/commons/thumb/8/89/Azulejos_J_de_Murillo.jpg/3840px-Azulejos_J_de_Murillo.jpg 2x"}, "url": "https://upload.wikimedia.org/wikipedia/commons/8/89/Azulejos_J_de_Murillo.jpg", "descriptionurl": "https://commons.wikimedia.org/wiki/File:Azulejos_J_de_Murillo.jpg", "descriptionshorturl": "https://commons.wikimedia.org/w/index.php?curid=51351231", "sha1": "84006e4da9fdca37aed1ee9de7a1447d0b15f104", "extmetadata": {"DateTime": {"value": "2016-09-12 15:07:58", "source": "mediawiki-metadata", "hidden": ""}, "ObjectName": {"value": "Azulejos J de Murillo", "source": "mediawiki-metadata"}, "CommonsMetadataExtension": {"value": 1.2, "source": "extension", "hidden": ""}, "Categories": {"value": "Murillo Gardens|Self-published work|Tiles and azulejos in Seville|Tiled benches in Andalusia|Benches in Seville", "source": "commons-categories", "hidden": ""}, "Assessments": {"value": "", "source": "commons-categories", "hidden": ""}, "ImageDescription": {"value": "Banco de obra cubierto de azulejos. En el centro del respaldo se representa el escudo de Sevilla. Jardines de Murillo, Sevilla, Andalucía, España.", "source": "commons-desc-page"}, "DateTimeOriginal": {"value": "2016-09-11 19:36:43",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"https://thumb.wikimedia.org/wikipedia/commons/thumb/8/89/Azulejos_J_de_Murillo.jpg/1280px-Azulejos_J_de_Murillo.jpg"}, "retrieved_on": "2026-10-25"}</t>
        </is>
      </c>
    </row>
    <row r="56" ht="54" customHeight="1">
      <c r="A56" s="29" t="inlineStr">
        <is>
          <t>sevilla:evidence:jardines-de-murillo-02</t>
        </is>
      </c>
      <c r="B56" s="29" t="inlineStr">
        <is>
          <t>sevilla</t>
        </is>
      </c>
      <c r="C56" s="29" t="inlineStr">
        <is>
          <t>sevilla:photo:jardines-de-murillo-02</t>
        </is>
      </c>
      <c r="D56" s="29" t="inlineStr">
        <is>
          <t>https://commons.wikimedia.org/wiki/File:Banco_J_Murillo_02.jpg</t>
        </is>
      </c>
      <c r="E56" s="29" t="inlineStr">
        <is>
          <t>File:Banco J Murillo 02.jpg</t>
        </is>
      </c>
      <c r="F56" s="29" t="inlineStr">
        <is>
          <t>CarlosVdeHabsburgo</t>
        </is>
      </c>
      <c r="G56" s="29" t="inlineStr">
        <is>
          <t>CC BY-SA 4.0</t>
        </is>
      </c>
      <c r="H56" s="29" t="inlineStr">
        <is>
          <t>https://creativecommons.org/licenses/by-sa/4.0/</t>
        </is>
      </c>
      <c r="I56" s="29" t="inlineStr">
        <is>
          <t>Creative Commons Attribution-Share Alike 4.0</t>
        </is>
      </c>
      <c r="J56" s="29" t="inlineStr">
        <is>
          <t>CarlosVdeHabsburgo · CC BY-SA 4.0 · Wikimedia Commons</t>
        </is>
      </c>
      <c r="K56" s="29" t="n"/>
      <c r="L56" s="49" t="n">
        <v>46320</v>
      </c>
      <c r="M56" s="29" t="inlineStr">
        <is>
          <t>Bekliyor</t>
        </is>
      </c>
      <c r="N56" s="29" t="inlineStr">
        <is>
          <t>Bekliyor</t>
        </is>
      </c>
      <c r="O56" s="29" t="inlineStr">
        <is>
          <t>Fotoğraflar/sevilla_jardines-de-murillo_02.jpg</t>
        </is>
      </c>
      <c r="P56" s="29" t="inlineStr">
        <is>
          <t>Murillo Bahçeleri'nde ağaçların altında çinili bank.</t>
        </is>
      </c>
      <c r="Q56" s="29" t="inlineStr">
        <is>
          <t>Bekliyor</t>
        </is>
      </c>
      <c r="R56" s="29" t="inlineStr">
        <is>
          <t>Wikimedia Commons dosya sayfasındaki lisans: CC BY-SA 4.0</t>
        </is>
      </c>
      <c r="S56" s="29" t="inlineStr">
        <is>
          <t>Lisans kanıtları/jardines-de-murillo-02.source-evidence.json</t>
        </is>
      </c>
      <c r="T56" s="29" t="inlineStr">
        <is>
          <t>bfb613a60bbd782c4a94ccacd54180e1413292a74e578ea87442397787e7f8f8</t>
        </is>
      </c>
      <c r="U56" s="29" t="inlineStr">
        <is>
          <t>Lisans kanıtları/jardines-de-murillo-02.license-evidence.json</t>
        </is>
      </c>
      <c r="V56" s="29" t="inlineStr">
        <is>
          <t>82fbdf3a85977f04bd1f5f1ca12ebb21c955e74b5f39ce9afbf78b0ece161e71</t>
        </is>
      </c>
      <c r="W56" s="29" t="inlineStr">
        <is>
          <t>{"source_url": "https://commons.wikimedia.org/wiki/File:Banco_J_Murillo_02.jpg", "author": "CarlosVdeHabsburgo", "license": "CC BY-SA 4.0", "license_url": "https://creativecommons.org/licenses/by-sa/4.0/", "original_api_record": {"size": 3140926, "width": 4320, "height": 3240, "thumburl": "https://thumb.wikimedia.org/wikipedia/commons/thumb/c/c0/Banco_J_Murillo_02.jpg/1280px-Banco_J_Murillo_02.jpg", "thumbwidth": 1280, "thumbheight": 960, "responsiveUrls": {"2": "https://thumb.wikimedia.org/wikipedia/commons/thumb/c/c0/Banco_J_Murillo_02.jpg/3840px-Banco_J_Murillo_02.jpg"}, "thumbattribs": {"src": "https://thumb.wikimedia.org/wikipedia/commons/thumb/c/c0/Banco_J_Murillo_02.jpg/1280px-Banco_J_Murillo_02.jpg", "decoding": "async", "loading": "lazy", "width": 1280, "height": 960, "srcset": "https://thumb.wikimedia.org/wikipedia/commons/thumb/c/c0/Banco_J_Murillo_02.jpg/3840px-Banco_J_Murillo_02.jpg 2x"}, "url": "https://upload.wikimedia.org/wikipedia/commons/c/c0/Banco_J_Murillo_02.jpg", "descriptionurl": "https://commons.wikimedia.org/wiki/File:Banco_J_Murillo_02.jpg", "descriptionshorturl": "https://commons.wikimedia.org/w/index.php?curid=51358342", "sha1": "8dcf1d92fcd76fd651296a26d55535013b260eef", "extmetadata": {"DateTime": {"value": "2016-09-12 20:20:11", "source": "mediawiki-metadata", "hidden": ""}, "ObjectName": {"value": "Banco J Murillo 02", "source": "mediawiki-metadata"}, "CommonsMetadataExtension": {"value": 1.2, "source": "extension", "hidden": ""}, "Categories": {"value": "Murillo Gardens|Self-published work|Tiles and azulejos in Seville|Tiled benches in Andalusia|Benches in Seville", "source": "commons-categories", "hidden": ""}, "Assessments": {"value": "", "source": "commons-categories", "hidden": ""}, "ImageDescription": {"value": "Banco de obra con azulejos en los jardines de Murillo. Sevilla, Andalucía, España.", "source": "commons-desc-page"}, "DateTimeOriginal": {"value": "2016-09-11 19:30:26",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"https://thumb.wikimedia.org/wikipedia/commons/thumb/c/c0/Banco_J_Murillo_02.jpg/1280px-Banco_J_Murillo_02.jpg"}, "retrieved_on": "2026-10-25"}</t>
        </is>
      </c>
    </row>
    <row r="57" ht="54" customHeight="1">
      <c r="A57" s="29" t="inlineStr">
        <is>
          <t>sevilla:evidence:jardines-de-las-delicias-01</t>
        </is>
      </c>
      <c r="B57" s="29" t="inlineStr">
        <is>
          <t>sevilla</t>
        </is>
      </c>
      <c r="C57" s="29" t="inlineStr">
        <is>
          <t>sevilla:photo:jardines-de-las-delicias-01</t>
        </is>
      </c>
      <c r="D57" s="29" t="inlineStr">
        <is>
          <t>https://commons.wikimedia.org/wiki/File:Avenida_Libano_-_S%C3%A9ville_(ES61)_-_2023-04-25_-_1.jpg</t>
        </is>
      </c>
      <c r="E57" s="29" t="inlineStr">
        <is>
          <t>File:Avenida Libano - Séville (ES61) - 2023-04-25 - 1.jpg</t>
        </is>
      </c>
      <c r="F57" s="29" t="inlineStr">
        <is>
          <t>Chabe01</t>
        </is>
      </c>
      <c r="G57" s="29" t="inlineStr">
        <is>
          <t>CC BY-SA 4.0</t>
        </is>
      </c>
      <c r="H57" s="29" t="inlineStr">
        <is>
          <t>https://creativecommons.org/licenses/by-sa/4.0/</t>
        </is>
      </c>
      <c r="I57" s="29" t="inlineStr">
        <is>
          <t>Creative Commons Attribution-Share Alike 4.0</t>
        </is>
      </c>
      <c r="J57" s="29" t="inlineStr">
        <is>
          <t>Chabe01 · CC BY-SA 4.0 · Wikimedia Commons</t>
        </is>
      </c>
      <c r="K57" s="29" t="n"/>
      <c r="L57" s="49" t="n">
        <v>46320</v>
      </c>
      <c r="M57" s="29" t="inlineStr">
        <is>
          <t>Bekliyor</t>
        </is>
      </c>
      <c r="N57" s="29" t="inlineStr">
        <is>
          <t>Bekliyor</t>
        </is>
      </c>
      <c r="O57" s="29" t="inlineStr">
        <is>
          <t>Fotoğraflar/sevilla_jardines-de-las-delicias_01.jpg</t>
        </is>
      </c>
      <c r="P57" s="29" t="inlineStr">
        <is>
          <t>Delicias Bahçeleri'nde ağaçlı geniş toprak yol.</t>
        </is>
      </c>
      <c r="Q57" s="29" t="inlineStr">
        <is>
          <t>Bekliyor</t>
        </is>
      </c>
      <c r="R57" s="29" t="inlineStr">
        <is>
          <t>Wikimedia Commons dosya sayfasındaki lisans: CC BY-SA 4.0</t>
        </is>
      </c>
      <c r="S57" s="29" t="inlineStr">
        <is>
          <t>Lisans kanıtları/jardines-de-las-delicias-01.source-evidence.json</t>
        </is>
      </c>
      <c r="T57" s="29" t="inlineStr">
        <is>
          <t>dc7fca774f792b98a4e13ae3f0316cfe982c546f4206f1212bdb81824d5618a2</t>
        </is>
      </c>
      <c r="U57" s="29" t="inlineStr">
        <is>
          <t>Lisans kanıtları/jardines-de-las-delicias-01.license-evidence.json</t>
        </is>
      </c>
      <c r="V57" s="29" t="inlineStr">
        <is>
          <t>4ad141ad7f363393886fc531bdffc7b41c148cbf621aa0318af0f036cb44f242</t>
        </is>
      </c>
      <c r="W57" s="29" t="inlineStr">
        <is>
          <t>{"source_url": "https://commons.wikimedia.org/wiki/File:Avenida_Libano_-_S%C3%A9ville_(ES61)_-_2023-04-25_-_1.jpg", "author": "Chabe01", "license": "CC BY-SA 4.0", "license_url": "https://creativecommons.org/licenses/by-sa/4.0/", "original_api_record": {"size": 5390515, "width": 4032, "height": 3024, "thumburl": "https://thumb.wikimedia.org/wikipedia/commons/thumb/c/c1/Avenida_Libano_-_S%C3%A9ville_%28ES61%29_-_2023-04-25_-_1.jpg/1280px-Avenida_Libano_-_S%C3%A9ville_%28ES61%29_-_2023-04-25_-_1.jpg", "thumbwidth": 1280, "thumbheight": 960, "responsiveUrls": {"2": "https://thumb.wikimedia.org/wikipedia/commons/thumb/c/c1/Avenida_Libano_-_S%C3%A9ville_%28ES61%29_-_2023-04-25_-_1.jpg/3840px-Avenida_Libano_-_S%C3%A9ville_%28ES61%29_-_2023-04-25_-_1.jpg"}, "thumbattribs": {"src": "https://thumb.wikimedia.org/wikipedia/commons/thumb/c/c1/Avenida_Libano_-_S%C3%A9ville_%28ES61%29_-_2023-04-25_-_1.jpg/1280px-Avenida_Libano_-_S%C3%A9ville_%28ES61%29_-_2023-04-25_-_1.jpg", "decoding": "async", "loading": "lazy", "width": 1280, "height": 960, "srcset": "https://thumb.wikimedia.org/wikipedia/commons/thumb/c/c1/Avenida_Libano_-_S%C3%A9ville_%28ES61%29_-_2023-04-25_-_1.jpg/3840px-Avenida_Libano_-_S%C3%A9ville_%28ES61%29_-_2023-04-25_-_1.jpg 2x"}, "url": "https://upload.wikimedia.org/wikipedia/commons/c/c1/Avenida_Libano_-_S%C3%A9ville_%28ES61%29_-_2023-04-25_-_1.jpg", "descriptionurl": "https://commons.wikimedia.org/wiki/File:Avenida_Libano_-_S%C3%A9ville_(ES61)_-_2023-04-25_-_1.jpg", "descriptionshorturl": "https://commons.wikimedia.org/w/index.php?curid=131296368", "sha1": "214264ef937e5f17d1966b7e184f67d3f3cc5ba2", "extmetadata": {"DateTime": {"value": "2023-04-28 21:18:46", "source": "mediawiki-metadata", "hidden": ""}, "ObjectName": {"value": "Avenida Libano - Séville (ES61) - 2023-04-25 - 1", "source": "mediawiki-metadata"}, "CommonsMetadataExtension": {"value": 1.2, "source": "extension", "hidden": ""}, "Categories": {"value": "Las Delicias Gardens|Self-published work|Files with coordinates missing SDC location of creation|Spain photographs taken on 2023-04-25|April 2023 in Seville|Images by Chabe01 taken with iPhone 13 Pro|Images of Seville by Chabe01", "source": "commons-categories", "hidden": ""}, "Assessments": {"value": "", "source": "commons-categories", "hidden": ""}, "GPSLatitude": {"value": "37.370892", "source": "commons-desc-page"}, "GPSLongitude": {"value": "-5.988853", "source": "commons-desc-page"}, "GPSMapDatum": {"value": "WGS-84", "source": "commons-desc-page", "hidden": ""}, "ImageDescription": {"value": "Avenida Libano, Séville.", "source": "commons-desc-page"}, "DateTimeOriginal": {"value": "2023-04-25 16:36:31", "source": "commons-desc-page"}, "Credit": {"value": "&lt;span class=\"int-own-work\" lang=\"en\"&gt;Own work&lt;/span&gt;", "source": "commons-desc-page"}, "Artist": {"value": "&lt;a href=\"//commons.wikimedia.org/wiki/User:Chabe01\" title=\"User:Chabe01\"&gt;Chabe01&lt;/a&gt;",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"https://thumb.wikimedia.org/wikipedia/commons/thumb/c/c1/Avenida_Libano_-_S%C3%A9ville_%28ES61%29_-_2023-04-25_-_1.jpg/1280px-Avenida_Libano_-_S%C3%A9ville_%28ES61%29_-_2023-04-25_-_1.jpg"}, "retrieved_on": "2026-10-25"}</t>
        </is>
      </c>
    </row>
    <row r="58" ht="54" customHeight="1">
      <c r="A58" s="29" t="inlineStr">
        <is>
          <t>sevilla:evidence:jardines-de-las-delicias-02</t>
        </is>
      </c>
      <c r="B58" s="29" t="inlineStr">
        <is>
          <t>sevilla</t>
        </is>
      </c>
      <c r="C58" s="29" t="inlineStr">
        <is>
          <t>sevilla:photo:jardines-de-las-delicias-02</t>
        </is>
      </c>
      <c r="D58" s="29" t="inlineStr">
        <is>
          <t>https://commons.wikimedia.org/wiki/File:Avenida_Libano_-_S%C3%A9ville_(ES61)_-_2023-04-25_-_2.jpg</t>
        </is>
      </c>
      <c r="E58" s="29" t="inlineStr">
        <is>
          <t>File:Avenida Libano - Séville (ES61) - 2023-04-25 - 2.jpg</t>
        </is>
      </c>
      <c r="F58" s="29" t="inlineStr">
        <is>
          <t>Chabe01</t>
        </is>
      </c>
      <c r="G58" s="29" t="inlineStr">
        <is>
          <t>CC BY-SA 4.0</t>
        </is>
      </c>
      <c r="H58" s="29" t="inlineStr">
        <is>
          <t>https://creativecommons.org/licenses/by-sa/4.0/</t>
        </is>
      </c>
      <c r="I58" s="29" t="inlineStr">
        <is>
          <t>Creative Commons Attribution-Share Alike 4.0</t>
        </is>
      </c>
      <c r="J58" s="29" t="inlineStr">
        <is>
          <t>Chabe01 · CC BY-SA 4.0 · Wikimedia Commons</t>
        </is>
      </c>
      <c r="K58" s="29" t="n"/>
      <c r="L58" s="49" t="n">
        <v>46320</v>
      </c>
      <c r="M58" s="29" t="inlineStr">
        <is>
          <t>Bekliyor</t>
        </is>
      </c>
      <c r="N58" s="29" t="inlineStr">
        <is>
          <t>Bekliyor</t>
        </is>
      </c>
      <c r="O58" s="29" t="inlineStr">
        <is>
          <t>Fotoğraflar/sevilla_jardines-de-las-delicias_02.jpg</t>
        </is>
      </c>
      <c r="P58" s="29" t="inlineStr">
        <is>
          <t>Delicias Bahçeleri'nde gölgeli patika ve uçtaki heykeller.</t>
        </is>
      </c>
      <c r="Q58" s="29" t="inlineStr">
        <is>
          <t>Bekliyor</t>
        </is>
      </c>
      <c r="R58" s="29" t="inlineStr">
        <is>
          <t>Wikimedia Commons dosya sayfasındaki lisans: CC BY-SA 4.0</t>
        </is>
      </c>
      <c r="S58" s="29" t="inlineStr">
        <is>
          <t>Lisans kanıtları/jardines-de-las-delicias-02.source-evidence.json</t>
        </is>
      </c>
      <c r="T58" s="29" t="inlineStr">
        <is>
          <t>c5db09297fd9b3f8c3cdfbf4d7c32a56e2b74ce50848163d5527e091538f44f7</t>
        </is>
      </c>
      <c r="U58" s="29" t="inlineStr">
        <is>
          <t>Lisans kanıtları/jardines-de-las-delicias-02.license-evidence.json</t>
        </is>
      </c>
      <c r="V58" s="29" t="inlineStr">
        <is>
          <t>043fd5505344ae6265cfc56d0d7b8a52f82629bd9cb923335ae6884973c35def</t>
        </is>
      </c>
      <c r="W58" s="29" t="inlineStr">
        <is>
          <t>{"source_url": "https://commons.wikimedia.org/wiki/File:Avenida_Libano_-_S%C3%A9ville_(ES61)_-_2023-04-25_-_2.jpg", "author": "Chabe01", "license": "CC BY-SA 4.0", "license_url": "https://creativecommons.org/licenses/by-sa/4.0/", "original_api_record": {"size": 4979294, "width": 4032, "height": 3024, "thumburl": "https://thumb.wikimedia.org/wikipedia/commons/thumb/0/03/Avenida_Libano_-_S%C3%A9ville_%28ES61%29_-_2023-04-25_-_2.jpg/1280px-Avenida_Libano_-_S%C3%A9ville_%28ES61%29_-_2023-04-25_-_2.jpg", "thumbwidth": 1280, "thumbheight": 960, "responsiveUrls": {"2": "https://thumb.wikimedia.org/wikipedia/commons/thumb/0/03/Avenida_Libano_-_S%C3%A9ville_%28ES61%29_-_2023-04-25_-_2.jpg/3840px-Avenida_Libano_-_S%C3%A9ville_%28ES61%29_-_2023-04-25_-_2.jpg"}, "thumbattribs": {"src": "https://thumb.wikimedia.org/wikipedia/commons/thumb/0/03/Avenida_Libano_-_S%C3%A9ville_%28ES61%29_-_2023-04-25_-_2.jpg/1280px-Avenida_Libano_-_S%C3%A9ville_%28ES61%29_-_2023-04-25_-_2.jpg", "decoding": "async", "loading": "lazy", "width": 1280, "height": 960, "srcset": "https://thumb.wikimedia.org/wikipedia/commons/thumb/0/03/Avenida_Libano_-_S%C3%A9ville_%28ES61%29_-_2023-04-25_-_2.jpg/3840px-Avenida_Libano_-_S%C3%A9ville_%28ES61%29_-_2023-04-25_-_2.jpg 2x"}, "url": "https://upload.wikimedia.org/wikipedia/commons/0/03/Avenida_Libano_-_S%C3%A9ville_%28ES61%29_-_2023-04-25_-_2.jpg", "descriptionurl": "https://commons.wikimedia.org/wiki/File:Avenida_Libano_-_S%C3%A9ville_(ES61)_-_2023-04-25_-_2.jpg", "descriptionshorturl": "https://commons.wikimedia.org/w/index.php?curid=131296367", "sha1": "9abbd2c90595ba46c373919cce0414ef57137acd", "extmetadata": {"DateTime": {"value": "2023-04-28 21:18:46", "source": "mediawiki-metadata", "hidden": ""}, "ObjectName": {"value": "Avenida Libano - Séville (ES61) - 2023-04-25 - 2", "source": "mediawiki-metadata"}, "CommonsMetadataExtension": {"value": 1.2, "source": "extension", "hidden": ""}, "Categories": {"value": "Las Delicias Gardens|Self-published work|Files with coordinates missing SDC location of creation|Spain photographs taken on 2023-04-25|April 2023 in Seville|Images by Chabe01 taken with iPhone 13 Pro|Images of Seville by Chabe01", "source": "commons-categories", "hidden": ""}, "Assessments": {"value": "", "source": "commons-categories", "hidden": ""}, "GPSLatitude": {"value": "37.371039", "source": "commons-desc-page"}, "GPSLongitude": {"value": "-5.989017", "source": "commons-desc-page"}, "GPSMapDatum": {"value": "WGS-84", "source": "commons-desc-page", "hidden": ""}, "ImageDescription": {"value": "Avenida Libano, Séville.", "source": "commons-desc-page"}, "DateTimeOriginal": {"value": "2023-04-25 16:36:32", "source": "commons-desc-page"}, "Credit": {"value": "&lt;span class=\"int-own-work\" lang=\"en\"&gt;Own work&lt;/span&gt;", "source": "commons-desc-page"}, "Artist": {"value": "&lt;a href=\"//commons.wikimedia.org/wiki/User:Chabe01\" title=\"User:Chabe01\"&gt;Chabe01&lt;/a&gt;",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"https://thumb.wikimedia.org/wikipedia/commons/thumb/0/03/Avenida_Libano_-_S%C3%A9ville_%28ES61%29_-_2023-04-25_-_2.jpg/1280px-Avenida_Libano_-_S%C3%A9ville_%28ES61%29_-_2023-04-25_-_2.jpg"}, "retrieved_on": "2026-10-25"}</t>
        </is>
      </c>
    </row>
    <row r="59" ht="54" customHeight="1">
      <c r="A59" s="29" t="inlineStr">
        <is>
          <t>sevilla:evidence:jardines-de-las-delicias-03</t>
        </is>
      </c>
      <c r="B59" s="29" t="inlineStr">
        <is>
          <t>sevilla</t>
        </is>
      </c>
      <c r="C59" s="29" t="inlineStr">
        <is>
          <t>sevilla:photo:jardines-de-las-delicias-03</t>
        </is>
      </c>
      <c r="D59" s="29" t="inlineStr">
        <is>
          <t>https://commons.wikimedia.org/wiki/File:Edificio_El_Cano_de_Sevilla_desde_los_Jardines_de_las_Delicias.JPG</t>
        </is>
      </c>
      <c r="E59" s="29" t="inlineStr">
        <is>
          <t>File:Edificio El Cano de Sevilla desde los Jardines de las Delicias.JPG</t>
        </is>
      </c>
      <c r="F59" s="29" t="inlineStr">
        <is>
          <t>CarlosVdeHabsburgo</t>
        </is>
      </c>
      <c r="G59" s="29" t="inlineStr">
        <is>
          <t>CC BY-SA 3.0</t>
        </is>
      </c>
      <c r="H59" s="29" t="inlineStr">
        <is>
          <t>https://creativecommons.org/licenses/by-sa/3.0/</t>
        </is>
      </c>
      <c r="I59" s="29" t="inlineStr">
        <is>
          <t>Creative Commons Attribution-Share Alike 3.0</t>
        </is>
      </c>
      <c r="J59" s="29" t="inlineStr">
        <is>
          <t>CarlosVdeHabsburgo · CC BY-SA 3.0 · Wikimedia Commons</t>
        </is>
      </c>
      <c r="K59" s="29" t="n"/>
      <c r="L59" s="49" t="n">
        <v>46320</v>
      </c>
      <c r="M59" s="29" t="inlineStr">
        <is>
          <t>Bekliyor</t>
        </is>
      </c>
      <c r="N59" s="29" t="inlineStr">
        <is>
          <t>Bekliyor</t>
        </is>
      </c>
      <c r="O59" s="29" t="inlineStr">
        <is>
          <t>Fotoğraflar/sevilla_jardines-de-las-delicias_03.jpg</t>
        </is>
      </c>
      <c r="P59" s="29" t="inlineStr">
        <is>
          <t>Delicias Bahçeleri'nde bitkiler arasında heykeller ve arkada eski bir bina.</t>
        </is>
      </c>
      <c r="Q59" s="29" t="inlineStr">
        <is>
          <t>Bekliyor</t>
        </is>
      </c>
      <c r="R59" s="29" t="inlineStr">
        <is>
          <t>Wikimedia Commons dosya sayfasındaki lisans: CC BY-SA 3.0</t>
        </is>
      </c>
      <c r="S59" s="29" t="inlineStr">
        <is>
          <t>Lisans kanıtları/jardines-de-las-delicias-03.source-evidence.json</t>
        </is>
      </c>
      <c r="T59" s="29" t="inlineStr">
        <is>
          <t>a53609d942393c8d157bf15e3d6375bedd9e42fb4d01ac3004d9e1c20f6c68b3</t>
        </is>
      </c>
      <c r="U59" s="29" t="inlineStr">
        <is>
          <t>Lisans kanıtları/jardines-de-las-delicias-03.license-evidence.json</t>
        </is>
      </c>
      <c r="V59" s="29" t="inlineStr">
        <is>
          <t>338628287e0cfa053e18f161d1d17e2e814ac25e98084334fa248c169ccc85f5</t>
        </is>
      </c>
      <c r="W59" s="29" t="inlineStr">
        <is>
          <t>{"source_url": "https://commons.wikimedia.org/wiki/File:Edificio_El_Cano_de_Sevilla_desde_los_Jardines_de_las_Delicias.JPG", "author": "CarlosVdeHabsburgo", "license": "CC BY-SA 3.0", "license_url": "https://creativecommons.org/licenses/by-sa/3.0/", "original_api_record": {"size": 1822053, "width": 2304, "height": 3072, "thumburl": "https://thumb.wikimedia.org/wikipedia/commons/thumb/3/3d/Edificio_El_Cano_de_Sevilla_desde_los_Jardines_de_las_Delicias.JPG/1280px-Edificio_El_Cano_de_Sevilla_desde_los_Jardines_de_las_Delicias.JPG", "thumbwidth": 1280, "thumbheight": 1707, "responsiveUrls": {"2": "https://upload.wikimedia.org/wikipedia/commons/3/3d/Edificio_El_Cano_de_Sevilla_desde_los_Jardines_de_las_Delicias.JPG"}, "thumbattribs": {"src": "https://thumb.wikimedia.org/wikipedia/commons/thumb/3/3d/Edificio_El_Cano_de_Sevilla_desde_los_Jardines_de_las_Delicias.JPG/1280px-Edificio_El_Cano_de_Sevilla_desde_los_Jardines_de_las_Delicias.JPG", "decoding": "async", "loading": "lazy", "width": 1280, "height": 1707, "srcset": "https://upload.wikimedia.org/wikipedia/commons/3/3d/Edificio_El_Cano_de_Sevilla_desde_los_Jardines_de_las_Delicias.JPG 2x"}, "url": "https://upload.wikimedia.org/wikipedia/commons/3/3d/Edificio_El_Cano_de_Sevilla_desde_los_Jardines_de_las_Delicias.JPG", "descriptionurl": "https://commons.wikimedia.org/wiki/File:Edificio_El_Cano_de_Sevilla_desde_los_Jardines_de_las_Delicias.JPG", "descriptionshorturl": "https://commons.wikimedia.org/w/index.php?curid=26533860", "sha1": "6e8b3ab7fcbca3a69cd5083290ecf31d6fa878a9", "extmetadata": {"DateTime": {"value": "2013-06-07 17:00:10", "source": "mediawiki-metadata", "hidden": ""}, "ObjectName": {"value": "Edificio El Cano de Sevilla desde los Jardines de las Delicias", "source": "mediawiki-metadata"}, "CommonsMetadataExtension": {"value": 1.2, "source": "extension", "hidden": ""}, "Categories": {"value": "Las Delicias Gardens|Self-published work|Edificio El Cano, Sevilla", "source": "commons-categories", "hidden": ""}, "Assessments": {"value": "", "source": "commons-categories", "hidden": ""}, "ImageDescription": {"value": "Edificio El Cano de Sevilla desde los Jardines de las Delicias", "source": "commons-desc-page"}, "DateTimeOriginal": {"value": "2013",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"https://thumb.wikimedia.org/wikipedia/commons/thumb/3/3d/Edificio_El_Cano_de_Sevilla_desde_los_Jardines_de_las_Delicias.JPG/1280px-Edificio_El_Cano_de_Sevilla_desde_los_Jardines_de_las_Delicias.JPG"}, "retrieved_on": "2026-10-25"}</t>
        </is>
      </c>
    </row>
    <row r="60" ht="54" customHeight="1">
      <c r="A60" s="29" t="inlineStr">
        <is>
          <t>sevilla:evidence:paseo-catalina-de-ribera-01</t>
        </is>
      </c>
      <c r="B60" s="29" t="inlineStr">
        <is>
          <t>sevilla</t>
        </is>
      </c>
      <c r="C60" s="29" t="inlineStr">
        <is>
          <t>sevilla:photo:paseo-catalina-de-ribera-01</t>
        </is>
      </c>
      <c r="D60" s="29" t="inlineStr">
        <is>
          <t>https://commons.wikimedia.org/wiki/File:Banco_Paseo_de_Catalina_de_Rivera.jpg</t>
        </is>
      </c>
      <c r="E60" s="29" t="inlineStr">
        <is>
          <t>File:Banco Paseo de Catalina de Rivera.jpg</t>
        </is>
      </c>
      <c r="F60" s="29" t="inlineStr">
        <is>
          <t>CarlosVdeHabsburgo</t>
        </is>
      </c>
      <c r="G60" s="29" t="inlineStr">
        <is>
          <t>CC BY-SA 4.0</t>
        </is>
      </c>
      <c r="H60" s="29" t="inlineStr">
        <is>
          <t>https://creativecommons.org/licenses/by-sa/4.0/</t>
        </is>
      </c>
      <c r="I60" s="29" t="inlineStr">
        <is>
          <t>Creative Commons Attribution-Share Alike 4.0</t>
        </is>
      </c>
      <c r="J60" s="29" t="inlineStr">
        <is>
          <t>CarlosVdeHabsburgo · CC BY-SA 4.0 · Wikimedia Commons</t>
        </is>
      </c>
      <c r="K60" s="29" t="n"/>
      <c r="L60" s="49" t="n">
        <v>46320</v>
      </c>
      <c r="M60" s="29" t="inlineStr">
        <is>
          <t>Bekliyor</t>
        </is>
      </c>
      <c r="N60" s="29" t="inlineStr">
        <is>
          <t>Bekliyor</t>
        </is>
      </c>
      <c r="O60" s="29" t="inlineStr">
        <is>
          <t>Fotoğraflar/sevilla_paseo-catalina-de-ribera_01.jpg</t>
        </is>
      </c>
      <c r="P60" s="29" t="inlineStr">
        <is>
          <t>Catalina de Ribera gezi yolunda mavi-sarı çinili bank.</t>
        </is>
      </c>
      <c r="Q60" s="29" t="inlineStr">
        <is>
          <t>Bekliyor</t>
        </is>
      </c>
      <c r="R60" s="29" t="inlineStr">
        <is>
          <t>Wikimedia Commons dosya sayfasındaki lisans: CC BY-SA 4.0</t>
        </is>
      </c>
      <c r="S60" s="29" t="inlineStr">
        <is>
          <t>Lisans kanıtları/paseo-catalina-de-ribera-01.source-evidence.json</t>
        </is>
      </c>
      <c r="T60" s="29" t="inlineStr">
        <is>
          <t>898e84a7c5f343ce53e7e84ddbadd9870f05df331c0e44b6f5d81aa77b435791</t>
        </is>
      </c>
      <c r="U60" s="29" t="inlineStr">
        <is>
          <t>Lisans kanıtları/paseo-catalina-de-ribera-01.license-evidence.json</t>
        </is>
      </c>
      <c r="V60" s="29" t="inlineStr">
        <is>
          <t>ed17b1daf83b384f74ee41d4ab522452ba0f6d032e68824b790aa6904552e986</t>
        </is>
      </c>
      <c r="W60" s="29" t="inlineStr">
        <is>
          <t>{"source_url": "https://commons.wikimedia.org/wiki/File:Banco_Paseo_de_Catalina_de_Rivera.jpg", "author": "CarlosVdeHabsburgo", "license": "CC BY-SA 4.0", "license_url": "https://creativecommons.org/licenses/by-sa/4.0/", "original_api_record": {"size": 5767973, "width": 4320, "height": 3240, "thumburl": "https://thumb.wikimedia.org/wikipedia/commons/thumb/d/d3/Banco_Paseo_de_Catalina_de_Rivera.jpg/1280px-Banco_Paseo_de_Catalina_de_Rivera.jpg", "thumbwidth": 1280, "thumbheight": 960, "responsiveUrls": {"2": "https://thumb.wikimedia.org/wikipedia/commons/thumb/d/d3/Banco_Paseo_de_Catalina_de_Rivera.jpg/3840px-Banco_Paseo_de_Catalina_de_Rivera.jpg"}, "thumbattribs": {"src": "https://thumb.wikimedia.org/wikipedia/commons/thumb/d/d3/Banco_Paseo_de_Catalina_de_Rivera.jpg/1280px-Banco_Paseo_de_Catalina_de_Rivera.jpg", "decoding": "async", "loading": "lazy", "width": 1280, "height": 960, "srcset": "https://thumb.wikimedia.org/wikipedia/commons/thumb/d/d3/Banco_Paseo_de_Catalina_de_Rivera.jpg/3840px-Banco_Paseo_de_Catalina_de_Rivera.jpg 2x"}, "url": "https://upload.wikimedia.org/wikipedia/commons/d/d3/Banco_Paseo_de_Catalina_de_Rivera.jpg", "descriptionurl": "https://commons.wikimedia.org/wiki/File:Banco_Paseo_de_Catalina_de_Rivera.jpg", "descriptionshorturl": "https://commons.wikimedia.org/w/index.php?curid=51347693", "sha1": "c2344847242adc7edc9dcfbcb317346b9a22230b", "extmetadata": {"DateTime": {"value": "2016-09-12 12:30:55", "source": "mediawiki-metadata", "hidden": ""}, "ObjectName": {"value": "Banco Paseo de Catalina de Rivera", "source": "mediawiki-metadata"}, "CommonsMetadataExtension": {"value": 1.2, "source": "extension", "hidden": ""}, "Categories": {"value": "Paseo de Catalina de Ribera|Self-published work|Tiles and azulejos in Seville|Tiled benches in Andalusia|Benches in Seville", "source": "commons-categories", "hidden": ""}, "Assessments": {"value": "", "source": "commons-categories", "hidden": ""}, "ImageDescription": {"value": "Banco de obra en el paseo Catalina de Ribera, Sevilla, Andalucía, España.", "source": "commons-desc-page"}, "DateTimeOriginal": {"value": "2016-09-11 19:25:37",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"https://thumb.wikimedia.org/wikipedia/commons/thumb/d/d3/Banco_Paseo_de_Catalina_de_Rivera.jpg/1280px-Banco_Paseo_de_Catalina_de_Rivera.jpg"}, "retrieved_on": "2026-10-25"}</t>
        </is>
      </c>
    </row>
    <row r="61" ht="54" customHeight="1">
      <c r="A61" s="29" t="inlineStr">
        <is>
          <t>sevilla:evidence:paseo-catalina-de-ribera-02</t>
        </is>
      </c>
      <c r="B61" s="29" t="inlineStr">
        <is>
          <t>sevilla</t>
        </is>
      </c>
      <c r="C61" s="29" t="inlineStr">
        <is>
          <t>sevilla:photo:paseo-catalina-de-ribera-02</t>
        </is>
      </c>
      <c r="D61" s="29" t="inlineStr">
        <is>
          <t>https://commons.wikimedia.org/wiki/File:Bancos_Paseo_de_Cat_02.jpg</t>
        </is>
      </c>
      <c r="E61" s="29" t="inlineStr">
        <is>
          <t>File:Bancos Paseo de Cat 02.jpg</t>
        </is>
      </c>
      <c r="F61" s="29" t="inlineStr">
        <is>
          <t>CarlosVdeHabsburgo</t>
        </is>
      </c>
      <c r="G61" s="29" t="inlineStr">
        <is>
          <t>CC BY-SA 4.0</t>
        </is>
      </c>
      <c r="H61" s="29" t="inlineStr">
        <is>
          <t>https://creativecommons.org/licenses/by-sa/4.0/</t>
        </is>
      </c>
      <c r="I61" s="29" t="inlineStr">
        <is>
          <t>Creative Commons Attribution-Share Alike 4.0</t>
        </is>
      </c>
      <c r="J61" s="29" t="inlineStr">
        <is>
          <t>CarlosVdeHabsburgo · CC BY-SA 4.0 · Wikimedia Commons</t>
        </is>
      </c>
      <c r="K61" s="29" t="n"/>
      <c r="L61" s="49" t="n">
        <v>46320</v>
      </c>
      <c r="M61" s="29" t="inlineStr">
        <is>
          <t>Bekliyor</t>
        </is>
      </c>
      <c r="N61" s="29" t="inlineStr">
        <is>
          <t>Bekliyor</t>
        </is>
      </c>
      <c r="O61" s="29" t="inlineStr">
        <is>
          <t>Fotoğraflar/sevilla_paseo-catalina-de-ribera_02.jpg</t>
        </is>
      </c>
      <c r="P61" s="29" t="inlineStr">
        <is>
          <t>Catalina de Ribera gezi yolunda çimenler arasında çinili bank.</t>
        </is>
      </c>
      <c r="Q61" s="29" t="inlineStr">
        <is>
          <t>Bekliyor</t>
        </is>
      </c>
      <c r="R61" s="29" t="inlineStr">
        <is>
          <t>Wikimedia Commons dosya sayfasındaki lisans: CC BY-SA 4.0</t>
        </is>
      </c>
      <c r="S61" s="29" t="inlineStr">
        <is>
          <t>Lisans kanıtları/paseo-catalina-de-ribera-02.source-evidence.json</t>
        </is>
      </c>
      <c r="T61" s="29" t="inlineStr">
        <is>
          <t>84313381047db85363e9f326bc11518a9e9d9efc8e85edf07ae9332cf50dd789</t>
        </is>
      </c>
      <c r="U61" s="29" t="inlineStr">
        <is>
          <t>Lisans kanıtları/paseo-catalina-de-ribera-02.license-evidence.json</t>
        </is>
      </c>
      <c r="V61" s="29" t="inlineStr">
        <is>
          <t>30dd54c14e33e416f0479d479a8c076e6c26068c7a644f48835f9b6d262d090c</t>
        </is>
      </c>
      <c r="W61" s="29" t="inlineStr">
        <is>
          <t>{"source_url": "https://commons.wikimedia.org/wiki/File:Bancos_Paseo_de_Cat_02.jpg", "author": "CarlosVdeHabsburgo", "license": "CC BY-SA 4.0", "license_url": "https://creativecommons.org/licenses/by-sa/4.0/", "original_api_record": {"size": 6006901, "width": 4320, "height": 3240, "thumburl": "https://thumb.wikimedia.org/wikipedia/commons/thumb/c/c5/Bancos_Paseo_de_Cat_02.jpg/1280px-Bancos_Paseo_de_Cat_02.jpg", "thumbwidth": 1280, "thumbheight": 960, "responsiveUrls": {"2": "https://thumb.wikimedia.org/wikipedia/commons/thumb/c/c5/Bancos_Paseo_de_Cat_02.jpg/3840px-Bancos_Paseo_de_Cat_02.jpg"}, "thumbattribs": {"src": "https://thumb.wikimedia.org/wikipedia/commons/thumb/c/c5/Bancos_Paseo_de_Cat_02.jpg/1280px-Bancos_Paseo_de_Cat_02.jpg", "decoding": "async", "loading": "lazy", "width": 1280, "height": 960, "srcset": "https://thumb.wikimedia.org/wikipedia/commons/thumb/c/c5/Bancos_Paseo_de_Cat_02.jpg/3840px-Bancos_Paseo_de_Cat_02.jpg 2x"}, "url": "https://upload.wikimedia.org/wikipedia/commons/c/c5/Bancos_Paseo_de_Cat_02.jpg", "descriptionurl": "https://commons.wikimedia.org/wiki/File:Bancos_Paseo_de_Cat_02.jpg", "descriptionshorturl": "https://commons.wikimedia.org/w/index.php?curid=51348661", "sha1": "ed0e95e52e691af571af07be92376e8496f409a3", "extmetadata": {"DateTime": {"value": "2016-09-12 13:16:02", "source": "mediawiki-metadata", "hidden": ""}, "ObjectName": {"value": "Bancos Paseo de Cat 02", "source": "mediawiki-metadata"}, "CommonsMetadataExtension": {"value": 1.2, "source": "extension", "hidden": ""}, "Categories": {"value": "Paseo de Catalina de Ribera|Self-published work|Tiles and azulejos in Seville|Tiled benches in Andalusia|Benches in Seville", "source": "commons-categories", "hidden": ""}, "Assessments": {"value": "", "source": "commons-categories", "hidden": ""}, "ImageDescription": {"value": "Bancos de obra del paseo Catalina de Ribera, Sevilla, Andalucía, España.", "source": "commons-desc-page"}, "DateTimeOriginal": {"value": "2016-09-11 19:22:20",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"https://thumb.wikimedia.org/wikipedia/commons/thumb/c/c5/Bancos_Paseo_de_Cat_02.jpg/1280px-Bancos_Paseo_de_Cat_02.jpg"}, "retrieved_on": "2026-10-25"}</t>
        </is>
      </c>
    </row>
    <row r="62" ht="54" customHeight="1">
      <c r="A62" s="29" t="inlineStr">
        <is>
          <t>sevilla:evidence:paseo-catalina-de-ribera-03</t>
        </is>
      </c>
      <c r="B62" s="29" t="inlineStr">
        <is>
          <t>sevilla</t>
        </is>
      </c>
      <c r="C62" s="29" t="inlineStr">
        <is>
          <t>sevilla:photo:paseo-catalina-de-ribera-03</t>
        </is>
      </c>
      <c r="D62" s="29" t="inlineStr">
        <is>
          <t>https://commons.wikimedia.org/wiki/File:Jardines_de_Catalina_de_Ribera_(7304011326).jpg</t>
        </is>
      </c>
      <c r="E62" s="29" t="inlineStr">
        <is>
          <t>File:Jardines de Catalina de Ribera (7304011326).jpg</t>
        </is>
      </c>
      <c r="F62" s="29" t="inlineStr">
        <is>
          <t>Jorge Franganillo</t>
        </is>
      </c>
      <c r="G62" s="29" t="inlineStr">
        <is>
          <t>CC BY 2.0</t>
        </is>
      </c>
      <c r="H62" s="29" t="inlineStr">
        <is>
          <t>https://creativecommons.org/licenses/by/2.0/</t>
        </is>
      </c>
      <c r="I62" s="29" t="inlineStr">
        <is>
          <t>Creative Commons Attribution 2.0</t>
        </is>
      </c>
      <c r="J62" s="29" t="inlineStr">
        <is>
          <t>Jorge Franganillo · CC BY 2.0 · Wikimedia Commons</t>
        </is>
      </c>
      <c r="K62" s="29" t="n"/>
      <c r="L62" s="49" t="n">
        <v>46320</v>
      </c>
      <c r="M62" s="29" t="inlineStr">
        <is>
          <t>Bekliyor</t>
        </is>
      </c>
      <c r="N62" s="29" t="inlineStr">
        <is>
          <t>Bekliyor</t>
        </is>
      </c>
      <c r="O62" s="29" t="inlineStr">
        <is>
          <t>Fotoğraflar/sevilla_paseo-catalina-de-ribera_03.jpg</t>
        </is>
      </c>
      <c r="P62" s="29" t="inlineStr">
        <is>
          <t>Catalina de Ribera bahçelerinde palmiyeler ve çiçekli yol.</t>
        </is>
      </c>
      <c r="Q62" s="29" t="inlineStr">
        <is>
          <t>Bekliyor</t>
        </is>
      </c>
      <c r="R62" s="29" t="inlineStr">
        <is>
          <t>Wikimedia Commons dosya sayfasındaki lisans: CC BY 2.0</t>
        </is>
      </c>
      <c r="S62" s="29" t="inlineStr">
        <is>
          <t>Lisans kanıtları/paseo-catalina-de-ribera-03.source-evidence.json</t>
        </is>
      </c>
      <c r="T62" s="29" t="inlineStr">
        <is>
          <t>a422fbefe7c6138635cd287893d9159a3b65e11f12bdf84274d37875f53556cb</t>
        </is>
      </c>
      <c r="U62" s="29" t="inlineStr">
        <is>
          <t>Lisans kanıtları/paseo-catalina-de-ribera-03.license-evidence.json</t>
        </is>
      </c>
      <c r="V62" s="29" t="inlineStr">
        <is>
          <t>bccc07d25d99bb4c2d850f1f98e685994db6bd7b5da70881292f8be9e51b3a8f</t>
        </is>
      </c>
      <c r="W62" s="29" t="inlineStr">
        <is>
          <t>{"source_url": "https://commons.wikimedia.org/wiki/File:Jardines_de_Catalina_de_Ribera_(7304011326).jpg", "author": "Jorge Franganillo", "license": "CC BY 2.0", "license_url": "https://creativecommons.org/licenses/by/2.0/", "original_api_record": {"size": 2575189, "width": 2679, "height": 1785, "thumburl": "https://thumb.wikimedia.org/wikipedia/commons/thumb/d/d3/Jardines_de_Catalina_de_Ribera_%287304011326%29.jpg/1280px-Jardines_de_Catalina_de_Ribera_%287304011326%29.jpg", "thumbwidth": 1280, "thumbheight": 853, "responsiveUrls": {"2": "https://upload.wikimedia.org/wikipedia/commons/d/d3/Jardines_de_Catalina_de_Ribera_%287304011326%29.jpg"}, "thumbattribs": {"src": "https://thumb.wikimedia.org/wikipedia/commons/thumb/d/d3/Jardines_de_Catalina_de_Ribera_%287304011326%29.jpg/1280px-Jardines_de_Catalina_de_Ribera_%287304011326%29.jpg", "decoding": "async", "loading": "lazy", "width": 1280, "height": 853, "srcset": "https://upload.wikimedia.org/wikipedia/commons/d/d3/Jardines_de_Catalina_de_Ribera_%287304011326%29.jpg 2x"}, "url": "https://upload.wikimedia.org/wikipedia/commons/d/d3/Jardines_de_Catalina_de_Ribera_%287304011326%29.jpg", "descriptionurl": "https://commons.wikimedia.org/wiki/File:Jardines_de_Catalina_de_Ribera_(7304011326).jpg", "descriptionshorturl": "https://commons.wikimedia.org/w/index.php?curid=121255693", "sha1": "e4f200aad9365b7ab61b0452efd190f764f4b7a9", "extmetadata": {"DateTime": {"value": "2022-07-30 09:15:35", "source": "mediawiki-metadata", "hidden": ""}, "ObjectName": {"value": "Jardines de Catalina de Ribera (7304011326)", "source": "mediawiki-metadata"}, "CommonsMetadataExtension": {"value": 1.2, "source": "extension", "hidden": ""}, "Categories": {"value": "Paseo de Catalina de Ribera|Files with coordinates missing SDC location of creation|Spain photographs taken on 2012-05-27|Flickr images reviewed by FlickreviewR 2|Images uploaded by User:Thibaultmol|Photographs of Spain by Jorge Franganillo", "source": "commons-categories", "hidden": ""}, "Assessments": {"value": "", "source": "commons-categories", "hidden": ""}, "GPSLatitude": {"value": "37.383838", "source": "commons-desc-page"}, "GPSLongitude": {"value": "-5.988000", "source": "commons-desc-page"}, "GPSMapDatum": {"value": "WGS-84", "source": "commons-desc-page", "hidden": ""}, "ImageDescription": {"value": "Jardines de Catalina de Ribera", "source": "commons-desc-page"}, "DateTimeOriginal": {"value": "Taken on 27 May 2012, 09:56", "source": "commons-desc-page"}, "Credit": {"value": "&lt;a rel=\"nofollow\" class=\"external text\" href=\"https://www.flickr.com/photos/franganillo/7304011326/\"&gt;Jardines de Catalina de Ribera&lt;/a&gt;", "source": "commons-desc-page"}, "Artist": {"value": "&lt;a rel=\"nofollow\" class=\"external text\" href=\"https://www.flickr.com/people/46191841@N00\"&gt;Jorge Franganillo&lt;/a&gt;",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 "delivered_file": {"url": "https://thumb.wikimedia.org/wikipedia/commons/thumb/d/d3/Jardines_de_Catalina_de_Ribera_%287304011326%29.jpg/1280px-Jardines_de_Catalina_de_Ribera_%287304011326%29.jpg"}, "retrieved_on": "2026-10-25"}</t>
        </is>
      </c>
    </row>
    <row r="63" ht="54" customHeight="1">
      <c r="A63" s="29" t="inlineStr">
        <is>
          <t>sevilla:evidence:parque-del-alamillo-01</t>
        </is>
      </c>
      <c r="B63" s="29" t="inlineStr">
        <is>
          <t>sevilla</t>
        </is>
      </c>
      <c r="C63" s="29" t="inlineStr">
        <is>
          <t>sevilla:photo:parque-del-alamillo-01</t>
        </is>
      </c>
      <c r="D63" s="29" t="inlineStr">
        <is>
          <t>https://commons.wikimedia.org/wiki/File:Avenida_alamillo.JPG</t>
        </is>
      </c>
      <c r="E63" s="29" t="inlineStr">
        <is>
          <t>File:Avenida alamillo.JPG</t>
        </is>
      </c>
      <c r="F63" s="29" t="inlineStr">
        <is>
          <t>Pirado</t>
        </is>
      </c>
      <c r="G63" s="29" t="inlineStr">
        <is>
          <t>Public domain</t>
        </is>
      </c>
      <c r="H63" s="29" t="inlineStr">
        <is>
          <t>https://commons.wikimedia.org/wiki/File:Avenida_alamillo.JPG</t>
        </is>
      </c>
      <c r="I63" s="29" t="inlineStr">
        <is>
          <t>Public domain</t>
        </is>
      </c>
      <c r="J63" s="29" t="inlineStr">
        <is>
          <t>Pirado · Public domain · Wikimedia Commons</t>
        </is>
      </c>
      <c r="K63" s="29" t="n"/>
      <c r="L63" s="49" t="n">
        <v>46320</v>
      </c>
      <c r="M63" s="29" t="inlineStr">
        <is>
          <t>Bekliyor</t>
        </is>
      </c>
      <c r="N63" s="29" t="inlineStr">
        <is>
          <t>Bekliyor</t>
        </is>
      </c>
      <c r="O63" s="29" t="inlineStr">
        <is>
          <t>Fotoğraflar/sevilla_parque-del-alamillo_01.jpg</t>
        </is>
      </c>
      <c r="P63" s="29" t="inlineStr">
        <is>
          <t>Alamillo Parkı yakınında geniş yol ve uzakta Alamillo Köprüsü'nün direği.</t>
        </is>
      </c>
      <c r="Q63" s="29" t="inlineStr">
        <is>
          <t>Bekliyor</t>
        </is>
      </c>
      <c r="R63" s="29" t="inlineStr">
        <is>
          <t>Wikimedia Commons dosya sayfasındaki lisans: Public domain</t>
        </is>
      </c>
      <c r="S63" s="29" t="inlineStr">
        <is>
          <t>Lisans kanıtları/parque-del-alamillo-01.source-evidence.json</t>
        </is>
      </c>
      <c r="T63" s="29" t="inlineStr">
        <is>
          <t>25a3ea302770a59620905aa0c991e7ed4970cda93c3d373dd3d04a423206dc59</t>
        </is>
      </c>
      <c r="U63" s="29" t="inlineStr">
        <is>
          <t>Lisans kanıtları/parque-del-alamillo-01.license-evidence.json</t>
        </is>
      </c>
      <c r="V63" s="29" t="inlineStr">
        <is>
          <t>a04d7fcd73cc7ebaceed20eaa5cae669cdf7872f4df80baa96930eca41547c86</t>
        </is>
      </c>
      <c r="W63" s="29" t="inlineStr">
        <is>
          <t>{"source_url": "https://commons.wikimedia.org/wiki/File:Avenida_alamillo.JPG", "author": "Pirado", "license": "Public domain", "license_url": "https://commons.wikimedia.org/wiki/File:Avenida_alamillo.JPG", "original_api_record": {"size": 1874994, "width": 3072, "height": 2304, "thumburl": "https://thumb.wikimedia.org/wikipedia/commons/thumb/0/0c/Avenida_alamillo.JPG/1280px-Avenida_alamillo.JPG", "thumbwidth": 1280, "thumbheight": 960, "responsiveUrls": {"2": "https://upload.wikimedia.org/wikipedia/commons/0/0c/Avenida_alamillo.JPG"}, "thumbattribs": {"src": "https://thumb.wikimedia.org/wikipedia/commons/thumb/0/0c/Avenida_alamillo.JPG/1280px-Avenida_alamillo.JPG", "decoding": "async", "loading": "lazy", "width": 1280, "height": 960, "srcset": "https://upload.wikimedia.org/wikipedia/commons/0/0c/Avenida_alamillo.JPG 2x"}, "url": "https://upload.wikimedia.org/wikipedia/commons/0/0c/Avenida_alamillo.JPG", "descriptionurl": "https://commons.wikimedia.org/wiki/File:Avenida_alamillo.JPG", "descriptionshorturl": "https://commons.wikimedia.org/w/index.php?curid=3461009", "sha1": "973e4a2b3452467320b1facd8096be657d157337", "extmetadata": {"DateTime": {"value": "2008-01-27 10:11:53", "source": "mediawiki-metadata", "hidden": ""}, "ObjectName": {"value": "Avenida alamillo", "source": "mediawiki-metadata"}, "CommonsMetadataExtension": {"value": 1.2, "source": "extension", "hidden": ""}, "Categories": {"value": "Puente del Alamillo|El Alamillo Park|Self-published work|PD-self|Streets in Triana District", "source": "commons-categories", "hidden": ""}, "Assessments": {"value": "", "source": "commons-categories", "hidden": ""}, "ImageDescription": {"value": "Vista del Parque del Alamillo en invierno.", "source": "commons-desc-page"}, "Credit": {"value": "&lt;span class=\"int-own-work\" lang=\"en\"&gt;Own work&lt;/span&gt;", "source": "commons-desc-page"}, "Artist": {"value": "&lt;a href=\"//commons.wikimedia.org/wiki/User:Pirado\" title=\"User:Pirado\"&gt;Pirado&lt;/a&gt;", "source": "commons-desc-page"}, "LicenseShortName": {"value": "Public domain", "source": "commons-desc-page", "hidden": ""}, "UsageTerms": {"value": "Public domain", "source": "commons-desc-page"}, "AttributionRequired": {"value": "false", "source": "commons-desc-page", "hidden": ""}, "Copyrighted": {"value": "False", "source": "commons-desc-page", "hidden": ""}, "Restrictions": {"value": "", "source": "commons-desc-page", "hidden": ""}, "License": {"value": "pd", "source": "commons-templates", "hidden": ""}}, "mime": "image/jpeg"}, "delivered_file": {"url": "https://thumb.wikimedia.org/wikipedia/commons/thumb/0/0c/Avenida_alamillo.JPG/1280px-Avenida_alamillo.JPG"}, "retrieved_on": "2026-10-25"}</t>
        </is>
      </c>
    </row>
    <row r="64" ht="54" customHeight="1">
      <c r="A64" s="29" t="inlineStr">
        <is>
          <t>sevilla:evidence:parque-del-alamillo-02</t>
        </is>
      </c>
      <c r="B64" s="29" t="inlineStr">
        <is>
          <t>sevilla</t>
        </is>
      </c>
      <c r="C64" s="29" t="inlineStr">
        <is>
          <t>sevilla:photo:parque-del-alamillo-02</t>
        </is>
      </c>
      <c r="D64" s="29" t="inlineStr">
        <is>
          <t>https://commons.wikimedia.org/wiki/File:Cable_esqu%C3%AD.jpg</t>
        </is>
      </c>
      <c r="E64" s="29" t="inlineStr">
        <is>
          <t>File:Cable esquí.jpg</t>
        </is>
      </c>
      <c r="F64" s="29" t="inlineStr">
        <is>
          <t>CarlosVdeHabsburgo</t>
        </is>
      </c>
      <c r="G64" s="29" t="inlineStr">
        <is>
          <t>CC BY-SA 4.0</t>
        </is>
      </c>
      <c r="H64" s="29" t="inlineStr">
        <is>
          <t>https://creativecommons.org/licenses/by-sa/4.0/</t>
        </is>
      </c>
      <c r="I64" s="29" t="inlineStr">
        <is>
          <t>Creative Commons Attribution-Share Alike 4.0</t>
        </is>
      </c>
      <c r="J64" s="29" t="inlineStr">
        <is>
          <t>CarlosVdeHabsburgo · CC BY-SA 4.0 · Wikimedia Commons</t>
        </is>
      </c>
      <c r="K64" s="29" t="n"/>
      <c r="L64" s="49" t="n">
        <v>46320</v>
      </c>
      <c r="M64" s="29" t="inlineStr">
        <is>
          <t>Bekliyor</t>
        </is>
      </c>
      <c r="N64" s="29" t="inlineStr">
        <is>
          <t>Bekliyor</t>
        </is>
      </c>
      <c r="O64" s="29" t="inlineStr">
        <is>
          <t>Fotoğraflar/sevilla_parque-del-alamillo_02.jpg</t>
        </is>
      </c>
      <c r="P64" s="29" t="inlineStr">
        <is>
          <t>Alamillo Parkı'nda göl ve üzerindeki su kayağı kablosu.</t>
        </is>
      </c>
      <c r="Q64" s="29" t="inlineStr">
        <is>
          <t>Bekliyor</t>
        </is>
      </c>
      <c r="R64" s="29" t="inlineStr">
        <is>
          <t>Wikimedia Commons dosya sayfasındaki lisans: CC BY-SA 4.0</t>
        </is>
      </c>
      <c r="S64" s="29" t="inlineStr">
        <is>
          <t>Lisans kanıtları/parque-del-alamillo-02.source-evidence.json</t>
        </is>
      </c>
      <c r="T64" s="29" t="inlineStr">
        <is>
          <t>b4bd6e403580cd9775a0880c103f13571de67621269de3e466fae77c1685acb9</t>
        </is>
      </c>
      <c r="U64" s="29" t="inlineStr">
        <is>
          <t>Lisans kanıtları/parque-del-alamillo-02.license-evidence.json</t>
        </is>
      </c>
      <c r="V64" s="29" t="inlineStr">
        <is>
          <t>8424546eeced886a4a82690093e3f1951c5918195af2a7bf54b70a79bcccecef</t>
        </is>
      </c>
      <c r="W64" s="29" t="inlineStr">
        <is>
          <t>{"source_url": "https://commons.wikimedia.org/wiki/File:Cable_esqu%C3%AD.jpg", "author": "CarlosVdeHabsburgo", "license": "CC BY-SA 4.0", "license_url": "https://creativecommons.org/licenses/by-sa/4.0/", "original_api_record": {"size": 4195087, "width": 4096, "height": 3072, "thumburl": "https://thumb.wikimedia.org/wikipedia/commons/thumb/1/10/Cable_esqu%C3%AD.jpg/1280px-Cable_esqu%C3%AD.jpg", "thumbwidth": 1280, "thumbheight": 960, "responsiveUrls": {"2": "https://thumb.wikimedia.org/wikipedia/commons/thumb/1/10/Cable_esqu%C3%AD.jpg/3840px-Cable_esqu%C3%AD.jpg"}, "thumbattribs": {"src": "https://thumb.wikimedia.org/wikipedia/commons/thumb/1/10/Cable_esqu%C3%AD.jpg/1280px-Cable_esqu%C3%AD.jpg", "decoding": "async", "loading": "lazy", "width": 1280, "height": 960, "srcset": "https://thumb.wikimedia.org/wikipedia/commons/thumb/1/10/Cable_esqu%C3%AD.jpg/3840px-Cable_esqu%C3%AD.jpg 2x"}, "url": "https://upload.wikimedia.org/wikipedia/commons/1/10/Cable_esqu%C3%AD.jpg", "descriptionurl": "https://commons.wikimedia.org/wiki/File:Cable_esqu%C3%AD.jpg", "descriptionshorturl": "https://commons.wikimedia.org/w/index.php?curid=132079859", "sha1": "ed0a1d2dfd64ce2428367d11da76947d59da43e9", "extmetadata": {"DateTime": {"value": "2023-05-18 17:18:42", "source": "mediawiki-metadata", "hidden": ""}, "ObjectName": {"value": "Cable esquí", "source": "mediawiki-metadata"}, "CommonsMetadataExtension": {"value": 1.2, "source": "extension", "hidden": ""}, "Categories": {"value": "El Alamillo Park|Cable skiing|Self-published work|Files with coordinates missing SDC location of creation", "source": "commons-categories", "hidden": ""}, "Assessments": {"value": "", "source": "commons-categories", "hidden": ""}, "GPSLatitude": {"value": "37.418813", "source": "commons-desc-page"}, "GPSLongitude": {"value": "-5.998739", "source": "commons-desc-page"}, "GPSMapDatum": {"value": "WGS-84", "source": "commons-desc-page", "hidden": ""}, "ImageDescription": {"value": "Cable esquí en el Lago Mayor del Parque del Alamillo. Sevilla, Andalucía, España.", "source": "commons-desc-page"}, "DateTimeOriginal": {"value": "2023-05-13 13:10:16",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"https://thumb.wikimedia.org/wikipedia/commons/thumb/1/10/Cable_esqu%C3%AD.jpg/1280px-Cable_esqu%C3%AD.jpg"}, "retrieved_on": "2026-10-25"}</t>
        </is>
      </c>
    </row>
    <row r="65" ht="54" customHeight="1">
      <c r="A65" s="29" t="inlineStr">
        <is>
          <t>sevilla:evidence:parque-del-alamillo-03</t>
        </is>
      </c>
      <c r="B65" s="29" t="inlineStr">
        <is>
          <t>sevilla</t>
        </is>
      </c>
      <c r="C65" s="29" t="inlineStr">
        <is>
          <t>sevilla:photo:parque-del-alamillo-03</t>
        </is>
      </c>
      <c r="D65" s="29" t="inlineStr">
        <is>
          <t>https://commons.wikimedia.org/wiki/File:Cortijo_del_Alamillo_(Sevilla).jpg</t>
        </is>
      </c>
      <c r="E65" s="29" t="inlineStr">
        <is>
          <t>File:Cortijo del Alamillo (Sevilla).jpg</t>
        </is>
      </c>
      <c r="F65" s="29" t="inlineStr">
        <is>
          <t>CarlosVdeHabsburgo</t>
        </is>
      </c>
      <c r="G65" s="29" t="inlineStr">
        <is>
          <t>CC BY-SA 4.0</t>
        </is>
      </c>
      <c r="H65" s="29" t="inlineStr">
        <is>
          <t>https://creativecommons.org/licenses/by-sa/4.0/</t>
        </is>
      </c>
      <c r="I65" s="29" t="inlineStr">
        <is>
          <t>Creative Commons Attribution-Share Alike 4.0</t>
        </is>
      </c>
      <c r="J65" s="29" t="inlineStr">
        <is>
          <t>CarlosVdeHabsburgo · CC BY-SA 4.0 · Wikimedia Commons</t>
        </is>
      </c>
      <c r="K65" s="29" t="n"/>
      <c r="L65" s="49" t="n">
        <v>46320</v>
      </c>
      <c r="M65" s="29" t="inlineStr">
        <is>
          <t>Bekliyor</t>
        </is>
      </c>
      <c r="N65" s="29" t="inlineStr">
        <is>
          <t>Bekliyor</t>
        </is>
      </c>
      <c r="O65" s="29" t="inlineStr">
        <is>
          <t>Fotoğraflar/sevilla_parque-del-alamillo_03.jpg</t>
        </is>
      </c>
      <c r="P65" s="29" t="inlineStr">
        <is>
          <t>Alamillo Parkı'ndaki beyaz badanalı eski çiftlik binası (cortijo).</t>
        </is>
      </c>
      <c r="Q65" s="29" t="inlineStr">
        <is>
          <t>Bekliyor</t>
        </is>
      </c>
      <c r="R65" s="29" t="inlineStr">
        <is>
          <t>Wikimedia Commons dosya sayfasındaki lisans: CC BY-SA 4.0</t>
        </is>
      </c>
      <c r="S65" s="29" t="inlineStr">
        <is>
          <t>Lisans kanıtları/parque-del-alamillo-03.source-evidence.json</t>
        </is>
      </c>
      <c r="T65" s="29" t="inlineStr">
        <is>
          <t>e537d1dda5c158b9d0aeeef38440127087bc46ccbd1c72beb784ba8a56601733</t>
        </is>
      </c>
      <c r="U65" s="29" t="inlineStr">
        <is>
          <t>Lisans kanıtları/parque-del-alamillo-03.license-evidence.json</t>
        </is>
      </c>
      <c r="V65" s="29" t="inlineStr">
        <is>
          <t>3c1a660c2d332c643bfce111dc9df8b965dcdc79d3e95bd4e23d53f0b4a87803</t>
        </is>
      </c>
      <c r="W65" s="29" t="inlineStr">
        <is>
          <t>{"source_url": "https://commons.wikimedia.org/wiki/File:Cortijo_del_Alamillo_(Sevilla).jpg", "author": "CarlosVdeHabsburgo", "license": "CC BY-SA 4.0", "license_url": "https://creativecommons.org/licenses/by-sa/4.0/", "original_api_record": {"size": 3440934, "width": 4096, "height": 3072, "thumburl": "https://thumb.wikimedia.org/wikipedia/commons/thumb/5/55/Cortijo_del_Alamillo_%28Sevilla%29.jpg/1280px-Cortijo_del_Alamillo_%28Sevilla%29.jpg", "thumbwidth": 1280, "thumbheight": 960, "responsiveUrls": {"2": "https://thumb.wikimedia.org/wikipedia/commons/thumb/5/55/Cortijo_del_Alamillo_%28Sevilla%29.jpg/3840px-Cortijo_del_Alamillo_%28Sevilla%29.jpg"}, "thumbattribs": {"src": "https://thumb.wikimedia.org/wikipedia/commons/thumb/5/55/Cortijo_del_Alamillo_%28Sevilla%29.jpg/1280px-Cortijo_del_Alamillo_%28Sevilla%29.jpg", "decoding": "async", "loading": "lazy", "width": 1280, "height": 960, "srcset": "https://thumb.wikimedia.org/wikipedia/commons/thumb/5/55/Cortijo_del_Alamillo_%28Sevilla%29.jpg/3840px-Cortijo_del_Alamillo_%28Sevilla%29.jpg 2x"}, "url": "https://upload.wikimedia.org/wikipedia/commons/5/55/Cortijo_del_Alamillo_%28Sevilla%29.jpg", "descriptionurl": "https://commons.wikimedia.org/wiki/File:Cortijo_del_Alamillo_(Sevilla).jpg", "descriptionshorturl": "https://commons.wikimedia.org/w/index.php?curid=123688143", "sha1": "943ae85e7161ac1d5b369bc4cfff084c8d0f8326", "extmetadata": {"DateTime": {"value": "2022-10-03 15:20:02", "source": "mediawiki-metadata", "hidden": ""}, "ObjectName": {"value": "Cortijo del Alamillo (Sevilla)", "source": "mediawiki-metadata"}, "CommonsMetadataExtension": {"value": 1.2, "source": "extension", "hidden": ""}, "Categories": {"value": "Self-published work|Files with coordinates missing SDC location of creation|Cortijo del Alamillo, Sevilla", "source": "commons-categories", "hidden": ""}, "Assessments": {"value": "", "source": "commons-categories", "hidden": ""}, "GPSLatitude": {"value": "37.421110", "source": "commons-desc-page"}, "GPSLongitude": {"value": "-5.995751", "source": "commons-desc-page"}, "GPSMapDatum": {"value": "WGS-84", "source": "commons-desc-page", "hidden": ""}, "ImageDescription": {"value": "Cortijo del Alamillo. Parque del Alamillo. Sevilla", "source": "commons-desc-page"}, "DateTimeOriginal": {"value": "2022-09-24 10:17:10",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"https://thumb.wikimedia.org/wikipedia/commons/thumb/5/55/Cortijo_del_Alamillo_%28Sevilla%29.jpg/1280px-Cortijo_del_Alamillo_%28Sevilla%29.jpg"}, "retrieved_on": "2026-10-25"}</t>
        </is>
      </c>
    </row>
    <row r="66" ht="54" customHeight="1">
      <c r="A66" s="29" t="inlineStr">
        <is>
          <t>sevilla:evidence:parque-infanta-elena-01</t>
        </is>
      </c>
      <c r="B66" s="29" t="inlineStr">
        <is>
          <t>sevilla</t>
        </is>
      </c>
      <c r="C66" s="29" t="inlineStr">
        <is>
          <t>sevilla:photo:parque-infanta-elena-01</t>
        </is>
      </c>
      <c r="D66" s="29" t="inlineStr">
        <is>
          <t>https://commons.wikimedia.org/wiki/File:Parque_Infanta_Elena_(Sevilla)_01.jpg</t>
        </is>
      </c>
      <c r="E66" s="29" t="inlineStr">
        <is>
          <t>File:Parque Infanta Elena (Sevilla) 01.jpg</t>
        </is>
      </c>
      <c r="F66" s="29" t="inlineStr">
        <is>
          <t>Mromsan</t>
        </is>
      </c>
      <c r="G66" s="29" t="inlineStr">
        <is>
          <t>CC BY-SA 4.0</t>
        </is>
      </c>
      <c r="H66" s="29" t="inlineStr">
        <is>
          <t>https://creativecommons.org/licenses/by-sa/4.0/</t>
        </is>
      </c>
      <c r="I66" s="29" t="inlineStr">
        <is>
          <t>Creative Commons Attribution-Share Alike 4.0</t>
        </is>
      </c>
      <c r="J66" s="29" t="inlineStr">
        <is>
          <t>Mromsan · CC BY-SA 4.0 · Wikimedia Commons</t>
        </is>
      </c>
      <c r="K66" s="29" t="n"/>
      <c r="L66" s="49" t="n">
        <v>46320</v>
      </c>
      <c r="M66" s="29" t="inlineStr">
        <is>
          <t>Bekliyor</t>
        </is>
      </c>
      <c r="N66" s="29" t="inlineStr">
        <is>
          <t>Bekliyor</t>
        </is>
      </c>
      <c r="O66" s="29" t="inlineStr">
        <is>
          <t>Fotoğraflar/sevilla_parque-infanta-elena_01.jpg</t>
        </is>
      </c>
      <c r="P66" s="29" t="inlineStr">
        <is>
          <t>Infanta Elena Parkı'nda göl kıyısı ve yapraksız ağaçlar.</t>
        </is>
      </c>
      <c r="Q66" s="29" t="inlineStr">
        <is>
          <t>Bekliyor</t>
        </is>
      </c>
      <c r="R66" s="29" t="inlineStr">
        <is>
          <t>Wikimedia Commons dosya sayfasındaki lisans: CC BY-SA 4.0</t>
        </is>
      </c>
      <c r="S66" s="29" t="inlineStr">
        <is>
          <t>Lisans kanıtları/parque-infanta-elena-01.source-evidence.json</t>
        </is>
      </c>
      <c r="T66" s="29" t="inlineStr">
        <is>
          <t>314ef5e1b903d47528cfb96b10c65eb208761665083bc63d0a7f440579be5d84</t>
        </is>
      </c>
      <c r="U66" s="29" t="inlineStr">
        <is>
          <t>Lisans kanıtları/parque-infanta-elena-01.license-evidence.json</t>
        </is>
      </c>
      <c r="V66" s="29" t="inlineStr">
        <is>
          <t>5ab61fe6ad593d5687d2e3eaedb3f67b2211d44784cf1b6351b79c8bcc959fe3</t>
        </is>
      </c>
      <c r="W66" s="29" t="inlineStr">
        <is>
          <t>{"source_url": "https://commons.wikimedia.org/wiki/File:Parque_Infanta_Elena_(Sevilla)_01.jpg", "author": "Mromsan", "license": "CC BY-SA 4.0", "license_url": "https://creativecommons.org/licenses/by-sa/4.0/", "original_api_record": {"size": 3976184, "width": 3264, "height": 2448, "thumburl": "https://thumb.wikimedia.org/wikipedia/commons/thumb/c/c0/Parque_Infanta_Elena_%28Sevilla%29_01.jpg/1280px-Parque_Infanta_Elena_%28Sevilla%29_01.jpg", "thumbwidth": 1280, "thumbheight": 960, "responsiveUrls": {"2": "https://upload.wikimedia.org/wikipedia/commons/c/c0/Parque_Infanta_Elena_%28Sevilla%29_01.jpg"}, "thumbattribs": {"src": "https://thumb.wikimedia.org/wikipedia/commons/thumb/c/c0/Parque_Infanta_Elena_%28Sevilla%29_01.jpg/1280px-Parque_Infanta_Elena_%28Sevilla%29_01.jpg", "decoding": "async", "loading": "lazy", "width": 1280, "height": 960, "srcset": "https://upload.wikimedia.org/wikipedia/commons/c/c0/Parque_Infanta_Elena_%28Sevilla%29_01.jpg 2x"}, "url": "https://upload.wikimedia.org/wikipedia/commons/c/c0/Parque_Infanta_Elena_%28Sevilla%29_01.jpg", "descriptionurl": "https://commons.wikimedia.org/wiki/File:Parque_Infanta_Elena_(Sevilla)_01.jpg", "descriptionshorturl": "https://commons.wikimedia.org/w/index.php?curid=92644014", "sha1": "8bbe23cfb64004eb642717def8a3e6025b7fb821", "extmetadata": {"DateTime": {"value": "2020-07-27 09:23:38", "source": "mediawiki-metadata", "hidden": ""}, "ObjectName": {"value": "Parque Infanta Elena (Sevilla) 01", "source": "mediawiki-metadata"}, "CommonsMetadataExtension": {"value": 1.2, "source": "extension", "hidden": ""}, "Categories": {"value": "Self-published work|Green areas in Sevilla Este|Infanta Elena Park", "source": "commons-categories", "hidden": ""}, "Assessments": {"value": "", "source": "commons-categories", "hidden": ""}, "ImageDescription": {"value": "Diseñado en 1997 por Javier Yuste Zazo, el Parque Infanta Elena ocupa una superficie de 35.000m2. En su interior hay un lago con ansares. Está en la ciudad de Sevilla, en la zona denominada Sevilla Este.", "source": "commons-desc-page"}, "DateTimeOriginal": {"value": "2019-02-15 12:04:55", "source": "commons-desc-page"}, "Credit": {"value": "&lt;span class=\"int-own-work\" lang=\"en\"&gt;Own work&lt;/span&gt;", "source": "commons-desc-page"}, "Artist": {"value": "&lt;a href=\"//commons.wikimedia.org/wiki/User:Mromsan\" title=\"User:Mromsan\"&gt;Mromsan&lt;/a&gt;",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"https://thumb.wikimedia.org/wikipedia/commons/thumb/c/c0/Parque_Infanta_Elena_%28Sevilla%29_01.jpg/1280px-Parque_Infanta_Elena_%28Sevilla%29_01.jpg"}, "retrieved_on": "2026-10-25"}</t>
        </is>
      </c>
    </row>
    <row r="67" ht="54" customHeight="1">
      <c r="A67" s="29" t="inlineStr">
        <is>
          <t>sevilla:evidence:parque-infanta-elena-02</t>
        </is>
      </c>
      <c r="B67" s="29" t="inlineStr">
        <is>
          <t>sevilla</t>
        </is>
      </c>
      <c r="C67" s="29" t="inlineStr">
        <is>
          <t>sevilla:photo:parque-infanta-elena-02</t>
        </is>
      </c>
      <c r="D67" s="29" t="inlineStr">
        <is>
          <t>https://commons.wikimedia.org/wiki/File:Parque_Infanta_Elena_(Sevilla)_03.jpg</t>
        </is>
      </c>
      <c r="E67" s="29" t="inlineStr">
        <is>
          <t>File:Parque Infanta Elena (Sevilla) 03.jpg</t>
        </is>
      </c>
      <c r="F67" s="29" t="inlineStr">
        <is>
          <t>Mromsan</t>
        </is>
      </c>
      <c r="G67" s="29" t="inlineStr">
        <is>
          <t>CC BY-SA 4.0</t>
        </is>
      </c>
      <c r="H67" s="29" t="inlineStr">
        <is>
          <t>https://creativecommons.org/licenses/by-sa/4.0/</t>
        </is>
      </c>
      <c r="I67" s="29" t="inlineStr">
        <is>
          <t>Creative Commons Attribution-Share Alike 4.0</t>
        </is>
      </c>
      <c r="J67" s="29" t="inlineStr">
        <is>
          <t>Mromsan · CC BY-SA 4.0 · Wikimedia Commons</t>
        </is>
      </c>
      <c r="K67" s="29" t="n"/>
      <c r="L67" s="49" t="n">
        <v>46320</v>
      </c>
      <c r="M67" s="29" t="inlineStr">
        <is>
          <t>Bekliyor</t>
        </is>
      </c>
      <c r="N67" s="29" t="inlineStr">
        <is>
          <t>Bekliyor</t>
        </is>
      </c>
      <c r="O67" s="29" t="inlineStr">
        <is>
          <t>Fotoğraflar/sevilla_parque-infanta-elena_02.jpg</t>
        </is>
      </c>
      <c r="P67" s="29" t="inlineStr">
        <is>
          <t>Infanta Elena Parkı'nda sazlıklı göl ve fıskiye.</t>
        </is>
      </c>
      <c r="Q67" s="29" t="inlineStr">
        <is>
          <t>Bekliyor</t>
        </is>
      </c>
      <c r="R67" s="29" t="inlineStr">
        <is>
          <t>Wikimedia Commons dosya sayfasındaki lisans: CC BY-SA 4.0</t>
        </is>
      </c>
      <c r="S67" s="29" t="inlineStr">
        <is>
          <t>Lisans kanıtları/parque-infanta-elena-02.source-evidence.json</t>
        </is>
      </c>
      <c r="T67" s="29" t="inlineStr">
        <is>
          <t>14af47225d399cc7cec1244bc7cdb5d9de1a9759b60dc2946173c7cf437e3953</t>
        </is>
      </c>
      <c r="U67" s="29" t="inlineStr">
        <is>
          <t>Lisans kanıtları/parque-infanta-elena-02.license-evidence.json</t>
        </is>
      </c>
      <c r="V67" s="29" t="inlineStr">
        <is>
          <t>c4773069293592b005ac9f6f82f9e30dc2d5e75857ea548f47843ed79933c60b</t>
        </is>
      </c>
      <c r="W67" s="29" t="inlineStr">
        <is>
          <t>{"source_url": "https://commons.wikimedia.org/wiki/File:Parque_Infanta_Elena_(Sevilla)_03.jpg", "author": "Mromsan", "license": "CC BY-SA 4.0", "license_url": "https://creativecommons.org/licenses/by-sa/4.0/", "original_api_record": {"size": 2054538, "width": 3264, "height": 2448, "thumburl": "https://thumb.wikimedia.org/wikipedia/commons/thumb/4/4c/Parque_Infanta_Elena_%28Sevilla%29_03.jpg/1280px-Parque_Infanta_Elena_%28Sevilla%29_03.jpg", "thumbwidth": 1280, "thumbheight": 960, "responsiveUrls": {"2": "https://upload.wikimedia.org/wikipedia/commons/4/4c/Parque_Infanta_Elena_%28Sevilla%29_03.jpg"}, "thumbattribs": {"src": "https://thumb.wikimedia.org/wikipedia/commons/thumb/4/4c/Parque_Infanta_Elena_%28Sevilla%29_03.jpg/1280px-Parque_Infanta_Elena_%28Sevilla%29_03.jpg", "decoding": "async", "loading": "lazy", "width": 1280, "height": 960, "srcset": "https://upload.wikimedia.org/wikipedia/commons/4/4c/Parque_Infanta_Elena_%28Sevilla%29_03.jpg 2x"}, "url": "https://upload.wikimedia.org/wikipedia/commons/4/4c/Parque_Infanta_Elena_%28Sevilla%29_03.jpg", "descriptionurl": "https://commons.wikimedia.org/wiki/File:Parque_Infanta_Elena_(Sevilla)_03.jpg", "descriptionshorturl": "https://commons.wikimedia.org/w/index.php?curid=92644013", "sha1": "b1f8b91d2fa89e72e4a3ab8068bf084c5e953fea", "extmetadata": {"DateTime": {"value": "2020-07-27 09:23:38", "source": "mediawiki-metadata", "hidden": ""}, "ObjectName": {"value": "Parque Infanta Elena (Sevilla) 03", "source": "mediawiki-metadata"}, "CommonsMetadataExtension": {"value": 1.2, "source": "extension", "hidden": ""}, "Categories": {"value": "Self-published work|Green areas in Sevilla Este|Infanta Elena Park", "source": "commons-categories", "hidden": ""}, "Assessments": {"value": "", "source": "commons-categories", "hidden": ""}, "ImageDescription": {"value": "Diseñado en 1997 por Javier Yuste Zazo, el Parque Infanta Elena ocupa una superficie de 35.000m2. En su interior hay un lago con ansares. Está en la ciudad de Sevilla, en la zona denominada Sevilla Este.", "source": "commons-desc-page"}, "DateTimeOriginal": {"value": "2019-02-15 12:04:55", "source": "commons-desc-page"}, "Credit": {"value": "&lt;span class=\"int-own-work\" lang=\"en\"&gt;Own work&lt;/span&gt;", "source": "commons-desc-page"}, "Artist": {"value": "&lt;a href=\"//commons.wikimedia.org/wiki/User:Mromsan\" title=\"User:Mromsan\"&gt;Mromsan&lt;/a&gt;",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"https://thumb.wikimedia.org/wikipedia/commons/thumb/4/4c/Parque_Infanta_Elena_%28Sevilla%29_03.jpg/1280px-Parque_Infanta_Elena_%28Sevilla%29_03.jpg"}, "retrieved_on": "2026-10-25"}</t>
        </is>
      </c>
    </row>
    <row r="68" ht="54" customHeight="1">
      <c r="A68" s="29" t="inlineStr">
        <is>
          <t>sevilla:evidence:parque-infanta-elena-03</t>
        </is>
      </c>
      <c r="B68" s="29" t="inlineStr">
        <is>
          <t>sevilla</t>
        </is>
      </c>
      <c r="C68" s="29" t="inlineStr">
        <is>
          <t>sevilla:photo:parque-infanta-elena-03</t>
        </is>
      </c>
      <c r="D68" s="29" t="inlineStr">
        <is>
          <t>https://commons.wikimedia.org/wiki/File:Parque_Infanta_Elena_(Sevilla)_04.jpg</t>
        </is>
      </c>
      <c r="E68" s="29" t="inlineStr">
        <is>
          <t>File:Parque Infanta Elena (Sevilla) 04.jpg</t>
        </is>
      </c>
      <c r="F68" s="29" t="inlineStr">
        <is>
          <t>Mromsan</t>
        </is>
      </c>
      <c r="G68" s="29" t="inlineStr">
        <is>
          <t>CC BY-SA 4.0</t>
        </is>
      </c>
      <c r="H68" s="29" t="inlineStr">
        <is>
          <t>https://creativecommons.org/licenses/by-sa/4.0/</t>
        </is>
      </c>
      <c r="I68" s="29" t="inlineStr">
        <is>
          <t>Creative Commons Attribution-Share Alike 4.0</t>
        </is>
      </c>
      <c r="J68" s="29" t="inlineStr">
        <is>
          <t>Mromsan · CC BY-SA 4.0 · Wikimedia Commons</t>
        </is>
      </c>
      <c r="K68" s="29" t="n"/>
      <c r="L68" s="49" t="n">
        <v>46320</v>
      </c>
      <c r="M68" s="29" t="inlineStr">
        <is>
          <t>Bekliyor</t>
        </is>
      </c>
      <c r="N68" s="29" t="inlineStr">
        <is>
          <t>Bekliyor</t>
        </is>
      </c>
      <c r="O68" s="29" t="inlineStr">
        <is>
          <t>Fotoğraflar/sevilla_parque-infanta-elena_03.jpg</t>
        </is>
      </c>
      <c r="P68" s="29" t="inlineStr">
        <is>
          <t>Infanta Elena Parkı'nda ağaçlarla çevrili gölet.</t>
        </is>
      </c>
      <c r="Q68" s="29" t="inlineStr">
        <is>
          <t>Bekliyor</t>
        </is>
      </c>
      <c r="R68" s="29" t="inlineStr">
        <is>
          <t>Wikimedia Commons dosya sayfasındaki lisans: CC BY-SA 4.0</t>
        </is>
      </c>
      <c r="S68" s="29" t="inlineStr">
        <is>
          <t>Lisans kanıtları/parque-infanta-elena-03.source-evidence.json</t>
        </is>
      </c>
      <c r="T68" s="29" t="inlineStr">
        <is>
          <t>1eb2d598c619078a563351c6a1850f30a3b8cb80ee6d8670d2361ea600d1cbfe</t>
        </is>
      </c>
      <c r="U68" s="29" t="inlineStr">
        <is>
          <t>Lisans kanıtları/parque-infanta-elena-03.license-evidence.json</t>
        </is>
      </c>
      <c r="V68" s="29" t="inlineStr">
        <is>
          <t>9c1307505edea3189e0d203878a360fb48c41f68b29b9a0ff472f35ba9bf243a</t>
        </is>
      </c>
      <c r="W68" s="29" t="inlineStr">
        <is>
          <t>{"source_url": "https://commons.wikimedia.org/wiki/File:Parque_Infanta_Elena_(Sevilla)_04.jpg", "author": "Mromsan", "license": "CC BY-SA 4.0", "license_url": "https://creativecommons.org/licenses/by-sa/4.0/", "original_api_record": {"size": 2344828, "width": 3264, "height": 2448, "thumburl": "https://thumb.wikimedia.org/wikipedia/commons/thumb/8/87/Parque_Infanta_Elena_%28Sevilla%29_04.jpg/1280px-Parque_Infanta_Elena_%28Sevilla%29_04.jpg", "thumbwidth": 1280, "thumbheight": 960, "responsiveUrls": {"2": "https://upload.wikimedia.org/wikipedia/commons/8/87/Parque_Infanta_Elena_%28Sevilla%29_04.jpg"}, "thumbattribs": {"src": "https://thumb.wikimedia.org/wikipedia/commons/thumb/8/87/Parque_Infanta_Elena_%28Sevilla%29_04.jpg/1280px-Parque_Infanta_Elena_%28Sevilla%29_04.jpg", "decoding": "async", "loading": "lazy", "width": 1280, "height": 960, "srcset": "https://upload.wikimedia.org/wikipedia/commons/8/87/Parque_Infanta_Elena_%28Sevilla%29_04.jpg 2x"}, "url": "https://upload.wikimedia.org/wikipedia/commons/8/87/Parque_Infanta_Elena_%28Sevilla%29_04.jpg", "descriptionurl": "https://commons.wikimedia.org/wiki/File:Parque_Infanta_Elena_(Sevilla)_04.jpg", "descriptionshorturl": "https://commons.wikimedia.org/w/index.php?curid=92644017", "sha1": "856b129e3a0b6945933ea64208415716551d73f8", "extmetadata": {"DateTime": {"value": "2020-07-27 09:23:42", "source": "mediawiki-metadata", "hidden": ""}, "ObjectName": {"value": "Parque Infanta Elena (Sevilla) 04", "source": "mediawiki-metadata"}, "CommonsMetadataExtension": {"value": 1.2, "source": "extension", "hidden": ""}, "Categories": {"value": "Self-published work|Green areas in Sevilla Este|Infanta Elena Park", "source": "commons-categories", "hidden": ""}, "Assessments": {"value": "", "source": "commons-categories", "hidden": ""}, "ImageDescription": {"value": "Diseñado en 1997 por Javier Yuste Zazo, el Parque Infanta Elena ocupa una superficie de 35.000m2. En su interior hay un lago con ansares. Está en la ciudad de Sevilla, en la zona denominada Sevilla Este.", "source": "commons-desc-page"}, "DateTimeOriginal": {"value": "2019-02-15 12:04:55", "source": "commons-desc-page"}, "Credit": {"value": "&lt;span class=\"int-own-work\" lang=\"en\"&gt;Own work&lt;/span&gt;", "source": "commons-desc-page"}, "Artist": {"value": "&lt;a href=\"//commons.wikimedia.org/wiki/User:Mromsan\" title=\"User:Mromsan\"&gt;Mromsan&lt;/a&gt;",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"https://thumb.wikimedia.org/wikipedia/commons/thumb/8/87/Parque_Infanta_Elena_%28Sevilla%29_04.jpg/1280px-Parque_Infanta_Elena_%28Sevilla%29_04.jpg"}, "retrieved_on": "2026-10-25"}</t>
        </is>
      </c>
    </row>
    <row r="69" ht="54" customHeight="1">
      <c r="A69" s="29" t="inlineStr">
        <is>
          <t>sevilla:evidence:alameda-de-hercules-01</t>
        </is>
      </c>
      <c r="B69" s="29" t="inlineStr">
        <is>
          <t>sevilla</t>
        </is>
      </c>
      <c r="C69" s="29" t="inlineStr">
        <is>
          <t>sevilla:photo:alameda-de-hercules-01</t>
        </is>
      </c>
      <c r="D69" s="29" t="inlineStr">
        <is>
          <t>https://commons.wikimedia.org/wiki/File:20110422_0917_alameda_hercules.jpg</t>
        </is>
      </c>
      <c r="E69" s="29" t="inlineStr">
        <is>
          <t>File:20110422 0917 alameda hercules.jpg</t>
        </is>
      </c>
      <c r="F69" s="29" t="inlineStr">
        <is>
          <t>Anual</t>
        </is>
      </c>
      <c r="G69" s="29" t="inlineStr">
        <is>
          <t>CC BY-SA 4.0</t>
        </is>
      </c>
      <c r="H69" s="29" t="inlineStr">
        <is>
          <t>https://creativecommons.org/licenses/by-sa/4.0/</t>
        </is>
      </c>
      <c r="I69" s="29" t="inlineStr">
        <is>
          <t>Creative Commons Attribution-Share Alike 4.0</t>
        </is>
      </c>
      <c r="J69" s="29" t="inlineStr">
        <is>
          <t>Anual · CC BY-SA 4.0 · Wikimedia Commons</t>
        </is>
      </c>
      <c r="K69" s="29" t="n"/>
      <c r="L69" s="49" t="n">
        <v>46320</v>
      </c>
      <c r="M69" s="29" t="inlineStr">
        <is>
          <t>Bekliyor</t>
        </is>
      </c>
      <c r="N69" s="29" t="inlineStr">
        <is>
          <t>Bekliyor</t>
        </is>
      </c>
      <c r="O69" s="29" t="inlineStr">
        <is>
          <t>Fotoğraflar/sevilla_alameda-de-hercules_01.jpg</t>
        </is>
      </c>
      <c r="P69" s="29" t="inlineStr">
        <is>
          <t>Alameda de Hércules'te ağaçlı geniş taş meydan.</t>
        </is>
      </c>
      <c r="Q69" s="29" t="inlineStr">
        <is>
          <t>Bekliyor</t>
        </is>
      </c>
      <c r="R69" s="29" t="inlineStr">
        <is>
          <t>Wikimedia Commons dosya sayfasındaki lisans: CC BY-SA 4.0</t>
        </is>
      </c>
      <c r="S69" s="29" t="inlineStr">
        <is>
          <t>Lisans kanıtları/alameda-de-hercules-01.source-evidence.json</t>
        </is>
      </c>
      <c r="T69" s="29" t="inlineStr">
        <is>
          <t>89f6d85c00361135df63a32f3c722906f9640329fe2114ff537c8caee9cf38ac</t>
        </is>
      </c>
      <c r="U69" s="29" t="inlineStr">
        <is>
          <t>Lisans kanıtları/alameda-de-hercules-01.license-evidence.json</t>
        </is>
      </c>
      <c r="V69" s="29" t="inlineStr">
        <is>
          <t>c0a18710401a3e1395c8088956c6614634aada951b6ad614748a64714456d9d2</t>
        </is>
      </c>
      <c r="W69" s="29" t="inlineStr">
        <is>
          <t>{"source_url": "https://commons.wikimedia.org/wiki/File:20110422_0917_alameda_hercules.jpg", "author": "Anual", "license": "CC BY-SA 4.0", "license_url": "https://creativecommons.org/licenses/by-sa/4.0/", "original_api_record": {"size": 6861439, "width": 3872, "height": 2592, "thumburl": "https://thumb.wikimedia.org/wikipedia/commons/thumb/b/b0/20110422_0917_alameda_hercules.jpg/1280px-20110422_0917_alameda_hercules.jpg", "thumbwidth": 1280, "thumbheight": 857, "responsiveUrls": {"2": "https://thumb.wikimedia.org/wikipedia/commons/thumb/b/b0/20110422_0917_alameda_hercules.jpg/3840px-20110422_0917_alameda_hercules.jpg"}, "thumbattribs": {"src": "https://thumb.wikimedia.org/wikipedia/commons/thumb/b/b0/20110422_0917_alameda_hercules.jpg/1280px-20110422_0917_alameda_hercules.jpg", "decoding": "async", "loading": "lazy", "width": 1280, "height": 857, "srcset": "https://thumb.wikimedia.org/wikipedia/commons/thumb/b/b0/20110422_0917_alameda_hercules.jpg/3840px-20110422_0917_alameda_hercules.jpg 2x"}, "url": "https://upload.wikimedia.org/wikipedia/commons/b/b0/20110422_0917_alameda_hercules.jpg", "descriptionurl": "https://commons.wikimedia.org/wiki/File:20110422_0917_alameda_hercules.jpg", "descriptionshorturl": "https://commons.wikimedia.org/w/index.php?curid=64695373", "sha1": "f64dbaacc36aa687f763d75ecce0df39a44cdbbb", "extmetadata": {"DateTime": {"value": "2017-12-09 08:46:58", "source": "mediawiki-metadata", "hidden": ""}, "ObjectName": {"value": "20110422 0917 alameda hercules", "source": "mediawiki-metadata"}, "CommonsMetadataExtension": {"value": 1.2, "source": "extension", "hidden": ""}, "Categories": {"value": "Alameda de Hércules|Self-published work|2011 in Seville", "source": "commons-categories", "hidden": ""}, "Assessments": {"value": "", "source": "commons-categories", "hidden": ""}, "ImageDescription": {"value": "Vista general de la Alameda de Hércules. (Sevilla)", "source": "commons-desc-page"}, "DateTimeOriginal": {"value": "2011-04-22", "source": "commons-desc-page"}, "Credit": {"value": "&lt;span class=\"int-own-work\" lang=\"en\"&gt;Own work&lt;/span&gt;", "source": "commons-desc-page"}, "Artist": {"value": "&lt;a href=\"//commons.wikimedia.org/wiki/User:Anual\" title=\"User:Anual\"&gt;Anual&lt;/a&gt;",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"https://thumb.wikimedia.org/wikipedia/commons/thumb/b/b0/20110422_0917_alameda_hercules.jpg/1280px-20110422_0917_alameda_hercules.jpg"}, "retrieved_on": "2026-10-25"}</t>
        </is>
      </c>
    </row>
    <row r="70" ht="54" customHeight="1">
      <c r="A70" s="29" t="inlineStr">
        <is>
          <t>sevilla:evidence:alameda-de-hercules-02</t>
        </is>
      </c>
      <c r="B70" s="29" t="inlineStr">
        <is>
          <t>sevilla</t>
        </is>
      </c>
      <c r="C70" s="29" t="inlineStr">
        <is>
          <t>sevilla:photo:alameda-de-hercules-02</t>
        </is>
      </c>
      <c r="D70" s="29" t="inlineStr">
        <is>
          <t>https://commons.wikimedia.org/wiki/File:Alameda_H%C3%A9rcules_-_S%C3%A9ville_(ES-SE)_-_2023-04-24_-_1.jpg</t>
        </is>
      </c>
      <c r="E70" s="29" t="inlineStr">
        <is>
          <t>File:Alameda Hércules - Séville (ES-SE) - 2023-04-24 - 1.jpg</t>
        </is>
      </c>
      <c r="F70" s="29" t="inlineStr">
        <is>
          <t>Chabe01</t>
        </is>
      </c>
      <c r="G70" s="29" t="inlineStr">
        <is>
          <t>CC BY-SA 4.0</t>
        </is>
      </c>
      <c r="H70" s="29" t="inlineStr">
        <is>
          <t>https://creativecommons.org/licenses/by-sa/4.0/</t>
        </is>
      </c>
      <c r="I70" s="29" t="inlineStr">
        <is>
          <t>Creative Commons Attribution-Share Alike 4.0</t>
        </is>
      </c>
      <c r="J70" s="29" t="inlineStr">
        <is>
          <t>Chabe01 · CC BY-SA 4.0 · Wikimedia Commons</t>
        </is>
      </c>
      <c r="K70" s="29" t="n"/>
      <c r="L70" s="49" t="n">
        <v>46320</v>
      </c>
      <c r="M70" s="29" t="inlineStr">
        <is>
          <t>Bekliyor</t>
        </is>
      </c>
      <c r="N70" s="29" t="inlineStr">
        <is>
          <t>Bekliyor</t>
        </is>
      </c>
      <c r="O70" s="29" t="inlineStr">
        <is>
          <t>Fotoğraflar/sevilla_alameda-de-hercules_02.jpg</t>
        </is>
      </c>
      <c r="P70" s="29" t="inlineStr">
        <is>
          <t>Alameda de Hércules'te ağaç gölgesinde meydan ve kafeler.</t>
        </is>
      </c>
      <c r="Q70" s="29" t="inlineStr">
        <is>
          <t>Bekliyor</t>
        </is>
      </c>
      <c r="R70" s="29" t="inlineStr">
        <is>
          <t>Wikimedia Commons dosya sayfasındaki lisans: CC BY-SA 4.0</t>
        </is>
      </c>
      <c r="S70" s="29" t="inlineStr">
        <is>
          <t>Lisans kanıtları/alameda-de-hercules-02.source-evidence.json</t>
        </is>
      </c>
      <c r="T70" s="29" t="inlineStr">
        <is>
          <t>dc0aaa8f60872453ec1cf316043286bbbed8e0c03ba6998388177b75040a8748</t>
        </is>
      </c>
      <c r="U70" s="29" t="inlineStr">
        <is>
          <t>Lisans kanıtları/alameda-de-hercules-02.license-evidence.json</t>
        </is>
      </c>
      <c r="V70" s="29" t="inlineStr">
        <is>
          <t>367304572a5014eae582665a820f531e9f078ef0fff74e5bea15cedd53cd16b0</t>
        </is>
      </c>
      <c r="W70" s="29" t="inlineStr">
        <is>
          <t>{"source_url": "https://commons.wikimedia.org/wiki/File:Alameda_H%C3%A9rcules_-_S%C3%A9ville_(ES-SE)_-_2023-04-24_-_1.jpg", "author": "Chabe01", "license": "CC BY-SA 4.0", "license_url": "https://creativecommons.org/licenses/by-sa/4.0/", "original_api_record": {"size": 5780577, "width": 4032, "height": 3024, "thumburl": "https://thumb.wikimedia.org/wikipedia/commons/thumb/d/d2/Alameda_H%C3%A9rcules_-_S%C3%A9ville_%28ES-SE%29_-_2023-04-24_-_1.jpg/1280px-Alameda_H%C3%A9rcules_-_S%C3%A9ville_%28ES-SE%29_-_2023-04-24_-_1.jpg", "thumbwidth": 1280, "thumbheight": 960, "responsiveUrls": {"2": "https://thumb.wikimedia.org/wikipedia/commons/thumb/d/d2/Alameda_H%C3%A9rcules_-_S%C3%A9ville_%28ES-SE%29_-_2023-04-24_-_1.jpg/3840px-Alameda_H%C3%A9rcules_-_S%C3%A9ville_%28ES-SE%29_-_2023-04-24_-_1.jpg"}, "thumbattribs": {"src": "https://thumb.wikimedia.org/wikipedia/commons/thumb/d/d2/Alameda_H%C3%A9rcules_-_S%C3%A9ville_%28ES-SE%29_-_2023-04-24_-_1.jpg/1280px-Alameda_H%C3%A9rcules_-_S%C3%A9ville_%28ES-SE%29_-_2023-04-24_-_1.jpg", "decoding": "async", "loading": "lazy", "width": 1280, "height": 960, "srcset": "https://thumb.wikimedia.org/wikipedia/commons/thumb/d/d2/Alameda_H%C3%A9rcules_-_S%C3%A9ville_%28ES-SE%29_-_2023-04-24_-_1.jpg/3840px-Alameda_H%C3%A9rcules_-_S%C3%A9ville_%28ES-SE%29_-_2023-04-24_-_1.jpg 2x"}, "url": "https://upload.wikimedia.org/wikipedia/commons/d/d2/Alameda_H%C3%A9rcules_-_S%C3%A9ville_%28ES-SE%29_-_2023-04-24_-_1.jpg", "descriptionurl": "https://commons.wikimedia.org/wiki/File:Alameda_H%C3%A9rcules_-_S%C3%A9ville_(ES-SE)_-_2023-04-24_-_1.jpg", "descriptionshorturl": "https://commons.wikimedia.org/w/index.php?curid=131159143", "sha1": "9657947277800bf2407027e218b407579e68d682", "extmetadata": {"DateTime": {"value": "2023-04-25 23:59:04", "source": "mediawiki-metadata", "hidden": ""}, "ObjectName": {"value": "Alameda Hércules - Séville (ES-SE) - 2023-04-24 - 1", "source": "mediawiki-metadata"}, "CommonsMetadataExtension": {"value": 1.2, "source": "extension", "hidden": ""}, "Categories": {"value": "Alameda de Hércules|Self-published work|Files with coordinates missing SDC location of creation|Spain photographs taken on 2023-04-24|April 2023 in Seville|Images by Chabe01 taken with iPhone 13 Pro|Images of Seville by Chabe01", "source": "commons-categories", "hidden": ""}, "Assessments": {"value": "", "source": "commons-categories", "hidden": ""}, "GPSLatitude": {"value": "37.400136", "source": "commons-desc-page"}, "GPSLongitude": {"value": "-5.993536", "source": "commons-desc-page"}, "GPSMapDatum": {"value": "WGS-84", "source": "commons-desc-page", "hidden": ""}, "ImageDescription": {"value": "Alameda de Hércules, Séville.", "source": "commons-desc-page"}, "DateTimeOriginal": {"value": "2023-04-24 12:03:13", "source": "commons-desc-page"}, "Credit": {"value": "&lt;span class=\"int-own-work\" lang=\"en\"&gt;Own work&lt;/span&gt;", "source": "commons-desc-page"}, "Artist": {"value": "&lt;a href=\"//commons.wikimedia.org/wiki/User:Chabe01\" title=\"User:Chabe01\"&gt;Chabe01&lt;/a&gt;",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"https://thumb.wikimedia.org/wikipedia/commons/thumb/d/d2/Alameda_H%C3%A9rcules_-_S%C3%A9ville_%28ES-SE%29_-_2023-04-24_-_1.jpg/1280px-Alameda_H%C3%A9rcules_-_S%C3%A9ville_%28ES-SE%29_-_2023-04-24_-_1.jpg"}, "retrieved_on": "2026-10-25"}</t>
        </is>
      </c>
    </row>
    <row r="71" ht="54" customHeight="1">
      <c r="A71" s="29" t="inlineStr">
        <is>
          <t>sevilla:evidence:alameda-de-hercules-03</t>
        </is>
      </c>
      <c r="B71" s="29" t="inlineStr">
        <is>
          <t>sevilla</t>
        </is>
      </c>
      <c r="C71" s="29" t="inlineStr">
        <is>
          <t>sevilla:photo:alameda-de-hercules-03</t>
        </is>
      </c>
      <c r="D71" s="29" t="inlineStr">
        <is>
          <t>https://commons.wikimedia.org/wiki/File:Alameda_de_Hercules_Sevilla_1.JPG</t>
        </is>
      </c>
      <c r="E71" s="29" t="inlineStr">
        <is>
          <t>File:Alameda de Hercules Sevilla 1.JPG</t>
        </is>
      </c>
      <c r="F71" s="29" t="inlineStr">
        <is>
          <t>Gzzz</t>
        </is>
      </c>
      <c r="G71" s="29" t="inlineStr">
        <is>
          <t>CC BY-SA 3.0</t>
        </is>
      </c>
      <c r="H71" s="29" t="inlineStr">
        <is>
          <t>https://creativecommons.org/licenses/by-sa/3.0/</t>
        </is>
      </c>
      <c r="I71" s="29" t="inlineStr">
        <is>
          <t>Creative Commons Attribution-Share Alike 3.0</t>
        </is>
      </c>
      <c r="J71" s="29" t="inlineStr">
        <is>
          <t>Gzzz · CC BY-SA 3.0 · Wikimedia Commons</t>
        </is>
      </c>
      <c r="K71" s="29" t="n"/>
      <c r="L71" s="49" t="n">
        <v>46320</v>
      </c>
      <c r="M71" s="29" t="inlineStr">
        <is>
          <t>Bekliyor</t>
        </is>
      </c>
      <c r="N71" s="29" t="inlineStr">
        <is>
          <t>Bekliyor</t>
        </is>
      </c>
      <c r="O71" s="29" t="inlineStr">
        <is>
          <t>Fotoğraflar/sevilla_alameda-de-hercules_03.jpg</t>
        </is>
      </c>
      <c r="P71" s="29" t="inlineStr">
        <is>
          <t>Alameda de Hércules'te zemin fıskiyeleri ve oynayan çocuklar.</t>
        </is>
      </c>
      <c r="Q71" s="29" t="inlineStr">
        <is>
          <t>Bekliyor</t>
        </is>
      </c>
      <c r="R71" s="29" t="inlineStr">
        <is>
          <t>Wikimedia Commons dosya sayfasındaki lisans: CC BY-SA 3.0</t>
        </is>
      </c>
      <c r="S71" s="29" t="inlineStr">
        <is>
          <t>Lisans kanıtları/alameda-de-hercules-03.source-evidence.json</t>
        </is>
      </c>
      <c r="T71" s="29" t="inlineStr">
        <is>
          <t>9772fa3ca96bae5ee4ba1f8947d540626a876d3210a21dab3c587e0e910a4609</t>
        </is>
      </c>
      <c r="U71" s="29" t="inlineStr">
        <is>
          <t>Lisans kanıtları/alameda-de-hercules-03.license-evidence.json</t>
        </is>
      </c>
      <c r="V71" s="29" t="inlineStr">
        <is>
          <t>9af5d2821ed0362fd241c6424a85c7cf4b36cc903dbdf39502c0a24caa318ff4</t>
        </is>
      </c>
      <c r="W71" s="29" t="inlineStr">
        <is>
          <t>{"source_url": "https://commons.wikimedia.org/wiki/File:Alameda_de_Hercules_Sevilla_1.JPG", "author": "Gzzz", "license": "CC BY-SA 3.0", "license_url": "https://creativecommons.org/licenses/by-sa/3.0/", "original_api_record": {"size": 3286504, "width": 3264, "height": 2448, "thumburl": "https://thumb.wikimedia.org/wikipedia/commons/thumb/d/dc/Alameda_de_Hercules_Sevilla_1.JPG/1280px-Alameda_de_Hercules_Sevilla_1.JPG", "thumbwidth": 1280, "thumbheight": 960, "responsiveUrls": {"2": "https://upload.wikimedia.org/wikipedia/commons/d/dc/Alameda_de_Hercules_Sevilla_1.JPG"}, "thumbattribs": {"src": "https://thumb.wikimedia.org/wikipedia/commons/thumb/d/dc/Alameda_de_Hercules_Sevilla_1.JPG/1280px-Alameda_de_Hercules_Sevilla_1.JPG", "decoding": "async", "loading": "lazy", "width": 1280, "height": 960, "srcset": "https://upload.wikimedia.org/wikipedia/commons/d/dc/Alameda_de_Hercules_Sevilla_1.JPG 2x"}, "url": "https://upload.wikimedia.org/wikipedia/commons/d/dc/Alameda_de_Hercules_Sevilla_1.JPG", "descriptionurl": "https://commons.wikimedia.org/wiki/File:Alameda_de_Hercules_Sevilla_1.JPG", "descriptionshorturl": "https://commons.wikimedia.org/w/index.php?curid=18392468", "sha1": "dcd85fcd68be9ed4cacf9060ddcc92d334503071", "extmetadata": {"DateTime": {"value": "2012-02-15 19:47:48", "source": "mediawiki-metadata", "hidden": ""}, "ObjectName": {"value": "Alameda de Hercules Sevilla 1", "source": "mediawiki-metadata"}, "CommonsMetadataExtension": {"value": 1.2, "source": "extension", "hidden": ""}, "Categories": {"value": "Taken with Nikon Coolpix P60|Alameda de Hércules|Self-published work|2009 in Seville|Spain photographs taken on 2009-10-18|Files with coordinates missing SDC location of creation", "source": "commons-categories", "hidden": ""}, "Assessments": {"value": "", "source": "commons-categories", "hidden": ""}, "GPSLatitude": {"value": "37.399444", "source": "commons-desc-page"}, "GPSLongitude": {"value": "-5.993611", "source": "commons-desc-page"}, "GPSMapDatum": {"value": "WGS-84", "source": "commons-desc-page", "hidden": ""}, "ImageDescription": {"value": "Une fontaine de la Alameda de Hércules, place de Séville (Espagne)", "source": "commons-desc-page"}, "DateTimeOriginal": {"value": "2009-10-18", "source": "commons-desc-page"}, "Credit": {"value": "&lt;span class=\"int-own-work\" lang=\"en\"&gt;Own work&lt;/span&gt;", "source": "commons-desc-page"}, "Artist": {"value": "&lt;a href=\"//commons.wikimedia.org/wiki/User:Gzzz\" title=\"User:Gzzz\"&gt;Gzzz&lt;/a&gt;",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"https://thumb.wikimedia.org/wikipedia/commons/thumb/d/dc/Alameda_de_Hercules_Sevilla_1.JPG/1280px-Alameda_de_Hercules_Sevilla_1.JPG"}, "retrieved_on": "2026-10-25"}</t>
        </is>
      </c>
    </row>
    <row r="72" ht="54" customHeight="1">
      <c r="A72" s="29" t="inlineStr">
        <is>
          <t>sevilla:evidence:real-alcazar-jardines-01</t>
        </is>
      </c>
      <c r="B72" s="29" t="inlineStr">
        <is>
          <t>sevilla</t>
        </is>
      </c>
      <c r="C72" s="29" t="inlineStr">
        <is>
          <t>sevilla:photo:real-alcazar-jardines-01</t>
        </is>
      </c>
      <c r="D72" s="29" t="inlineStr">
        <is>
          <t>https://commons.wikimedia.org/wiki/File:%22Ein_Ort_der_Ruhe_und_Sch%C3%B6nheit%22._01.jpg</t>
        </is>
      </c>
      <c r="E72" s="29" t="inlineStr">
        <is>
          <t>File:"Ein Ort der Ruhe und Schönheit". 01.jpg</t>
        </is>
      </c>
      <c r="F72" s="29" t="inlineStr">
        <is>
          <t>Holger Uwe Schmitt</t>
        </is>
      </c>
      <c r="G72" s="29" t="inlineStr">
        <is>
          <t>CC BY-SA 4.0</t>
        </is>
      </c>
      <c r="H72" s="29" t="inlineStr">
        <is>
          <t>https://creativecommons.org/licenses/by-sa/4.0/</t>
        </is>
      </c>
      <c r="I72" s="29" t="inlineStr">
        <is>
          <t>Creative Commons Attribution-Share Alike 4.0</t>
        </is>
      </c>
      <c r="J72" s="29" t="inlineStr">
        <is>
          <t>Holger Uwe Schmitt · CC BY-SA 4.0 · Wikimedia Commons</t>
        </is>
      </c>
      <c r="K72" s="29" t="n"/>
      <c r="L72" s="49" t="n">
        <v>46320</v>
      </c>
      <c r="M72" s="29" t="inlineStr">
        <is>
          <t>Bekliyor</t>
        </is>
      </c>
      <c r="N72" s="29" t="inlineStr">
        <is>
          <t>Bekliyor</t>
        </is>
      </c>
      <c r="O72" s="29" t="inlineStr">
        <is>
          <t>Fotoğraflar/sevilla_real-alcazar-jardines_01.jpg</t>
        </is>
      </c>
      <c r="P72" s="29" t="inlineStr">
        <is>
          <t>Alcázar Bahçeleri'nde sarmaşıklı kemerin altından inen basamaklar.</t>
        </is>
      </c>
      <c r="Q72" s="29" t="inlineStr">
        <is>
          <t>Bekliyor</t>
        </is>
      </c>
      <c r="R72" s="29" t="inlineStr">
        <is>
          <t>Wikimedia Commons dosya sayfasındaki lisans: CC BY-SA 4.0</t>
        </is>
      </c>
      <c r="S72" s="29" t="inlineStr">
        <is>
          <t>Lisans kanıtları/real-alcazar-jardines-01.source-evidence.json</t>
        </is>
      </c>
      <c r="T72" s="29" t="inlineStr">
        <is>
          <t>22f9b1416007f72dfef6ee45408a44a8583ad35c775badbc4625004e4aff95e1</t>
        </is>
      </c>
      <c r="U72" s="29" t="inlineStr">
        <is>
          <t>Lisans kanıtları/real-alcazar-jardines-01.license-evidence.json</t>
        </is>
      </c>
      <c r="V72" s="29" t="inlineStr">
        <is>
          <t>0b758685423be7dde81b6aeb0fbca334b5fd9b216a402972495b8ba16370a512</t>
        </is>
      </c>
      <c r="W72" s="29" t="inlineStr">
        <is>
          <t>{"source_url": "https://commons.wikimedia.org/wiki/File:%22Ein_Ort_der_Ruhe_und_Sch%C3%B6nheit%22._01.jpg", "author": "Holger Uwe Schmitt", "license": "CC BY-SA 4.0", "license_url": "https://creativecommons.org/licenses/by-sa/4.0/", "original_api_record": {"size": 10635118, "width": 7226, "height": 4820, "thumburl": "https://thumb.wikimedia.org/wikipedia/commons/thumb/7/72/%22Ein_Ort_der_Ruhe_und_Sch%C3%B6nheit%22._01.jpg/1280px-%22Ein_Ort_der_Ruhe_und_Sch%C3%B6nheit%22._01.jpg", "thumbwidth": 1280, "thumbheight": 854, "responsiveUrls": {"2": "https://thumb.wikimedia.org/wikipedia/commons/thumb/7/72/%22Ein_Ort_der_Ruhe_und_Sch%C3%B6nheit%22._01.jpg/3840px-%22Ein_Ort_der_Ruhe_und_Sch%C3%B6nheit%22._01.jpg"}, "thumbattribs": {"src": "https://thumb.wikimedia.org/wikipedia/commons/thumb/7/72/%22Ein_Ort_der_Ruhe_und_Sch%C3%B6nheit%22._01.jpg/1280px-%22Ein_Ort_der_Ruhe_und_Sch%C3%B6nheit%22._01.jpg", "decoding": "async", "loading": "lazy", "width": 1280, "height": 854, "srcset": "https://thumb.wikimedia.org/wikipedia/commons/thumb/7/72/%22Ein_Ort_der_Ruhe_und_Sch%C3%B6nheit%22._01.jpg/3840px-%22Ein_Ort_der_Ruhe_und_Sch%C3%B6nheit%22._01.jpg 2x"}, "url": "https://upload.wikimedia.org/wikipedia/commons/7/72/%22Ein_Ort_der_Ruhe_und_Sch%C3%B6nheit%22._01.jpg", "descriptionurl": "https://commons.wikimedia.org/wiki/File:%22Ein_Ort_der_Ruhe_und_Sch%C3%B6nheit%22._01.jpg", "descriptionshorturl": "https://commons.wikimedia.org/w/index.php?curid=155765876", "sha1": "723aeb5d42d252aa35d6adfe4bd5c3b026992024", "extmetadata": {"DateTime": {"value": "2024-11-25 14:41:56", "source": "mediawiki-metadata", "hidden": ""}, "ObjectName": {"value": "\"Ein Ort der Ruhe und Schönheit\". 01", "source": "mediawiki-metadata"}, "CommonsMetadataExtension": {"value": 1.2, "source": "extension", "hidden": ""}, "Categories": {"value": "Gardens of the Alcázar of Seville|Self-published work", "source": "commons-categories", "hidden": ""}, "Assessments": {"value": "", "source": "commons-categories", "hidden": ""}, "ImageDescription": {"value": "Gardens of the Alca´zar of Seville.", "source": "commons-desc-page"}, "DateTimeOriginal": {"value": "2024-10-17 10:37:06", "source": "commons-desc-page"}, "Credit": {"value": "&lt;span class=\"int-own-work\" lang=\"en\"&gt;Own work&lt;/span&gt;", "source": "commons-desc-page"}, "Artist": {"value": "&lt;a href=\"//commons.wikimedia.org/wiki/User:Holger_Uwe_Schmitt\" title=\"User:Holger Uwe Schmitt\"&gt;Holger Uwe Schmitt&lt;/a&gt;",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"https://thumb.wikimedia.org/wikipedia/commons/thumb/7/72/%22Ein_Ort_der_Ruhe_und_Sch%C3%B6nheit%22._01.jpg/1280px-%22Ein_Ort_der_Ruhe_und_Sch%C3%B6nheit%22._01.jpg"}, "retrieved_on": "2026-10-25"}</t>
        </is>
      </c>
    </row>
    <row r="73" ht="54" customHeight="1">
      <c r="A73" s="29" t="inlineStr">
        <is>
          <t>sevilla:evidence:real-alcazar-jardines-02</t>
        </is>
      </c>
      <c r="B73" s="29" t="inlineStr">
        <is>
          <t>sevilla</t>
        </is>
      </c>
      <c r="C73" s="29" t="inlineStr">
        <is>
          <t>sevilla:photo:real-alcazar-jardines-02</t>
        </is>
      </c>
      <c r="D73" s="29" t="inlineStr">
        <is>
          <t>https://commons.wikimedia.org/wiki/File:%22Ein_Ort_der_Ruhe_und_Sch%C3%B6nheit%22._02.jpg</t>
        </is>
      </c>
      <c r="E73" s="29" t="inlineStr">
        <is>
          <t>File:"Ein Ort der Ruhe und Schönheit". 02.jpg</t>
        </is>
      </c>
      <c r="F73" s="29" t="inlineStr">
        <is>
          <t>Holger Uwe Schmitt</t>
        </is>
      </c>
      <c r="G73" s="29" t="inlineStr">
        <is>
          <t>CC BY-SA 4.0</t>
        </is>
      </c>
      <c r="H73" s="29" t="inlineStr">
        <is>
          <t>https://creativecommons.org/licenses/by-sa/4.0/</t>
        </is>
      </c>
      <c r="I73" s="29" t="inlineStr">
        <is>
          <t>Creative Commons Attribution-Share Alike 4.0</t>
        </is>
      </c>
      <c r="J73" s="29" t="inlineStr">
        <is>
          <t>Holger Uwe Schmitt · CC BY-SA 4.0 · Wikimedia Commons</t>
        </is>
      </c>
      <c r="K73" s="29" t="n"/>
      <c r="L73" s="49" t="n">
        <v>46320</v>
      </c>
      <c r="M73" s="29" t="inlineStr">
        <is>
          <t>Bekliyor</t>
        </is>
      </c>
      <c r="N73" s="29" t="inlineStr">
        <is>
          <t>Bekliyor</t>
        </is>
      </c>
      <c r="O73" s="29" t="inlineStr">
        <is>
          <t>Fotoğraflar/sevilla_real-alcazar-jardines_02.jpg</t>
        </is>
      </c>
      <c r="P73" s="29" t="inlineStr">
        <is>
          <t>Alcázar Bahçeleri'nde kemer biçiminde budanmış servi çiti.</t>
        </is>
      </c>
      <c r="Q73" s="29" t="inlineStr">
        <is>
          <t>Bekliyor</t>
        </is>
      </c>
      <c r="R73" s="29" t="inlineStr">
        <is>
          <t>Wikimedia Commons dosya sayfasındaki lisans: CC BY-SA 4.0</t>
        </is>
      </c>
      <c r="S73" s="29" t="inlineStr">
        <is>
          <t>Lisans kanıtları/real-alcazar-jardines-02.source-evidence.json</t>
        </is>
      </c>
      <c r="T73" s="29" t="inlineStr">
        <is>
          <t>fd4667b7585251b8f4e6987b3081f24bb3166ae5aeb2dbbedd632e215d2177be</t>
        </is>
      </c>
      <c r="U73" s="29" t="inlineStr">
        <is>
          <t>Lisans kanıtları/real-alcazar-jardines-02.license-evidence.json</t>
        </is>
      </c>
      <c r="V73" s="29" t="inlineStr">
        <is>
          <t>1f3d38f09dde98e65fc78ca873b22acdd61aeef65521410fcb5fc44c2fb9dbaf</t>
        </is>
      </c>
      <c r="W73" s="29" t="inlineStr">
        <is>
          <t>{"source_url": "https://commons.wikimedia.org/wiki/File:%22Ein_Ort_der_Ruhe_und_Sch%C3%B6nheit%22._02.jpg", "author": "Holger Uwe Schmitt", "license": "CC BY-SA 4.0", "license_url": "https://creativecommons.org/licenses/by-sa/4.0/", "original_api_record": {"size": 17423392, "width": 3465, "height": 6123, "thumburl": "https://thumb.wikimedia.org/wikipedia/commons/thumb/f/f5/%22Ein_Ort_der_Ruhe_und_Sch%C3%B6nheit%22._02.jpg/1280px-%22Ein_Ort_der_Ruhe_und_Sch%C3%B6nheit%22._02.jpg", "thumbwidth": 1280, "thumbheight": 2262, "responsiveUrls": {"2": "https://upload.wikimedia.org/wikipedia/commons/f/f5/%22Ein_Ort_der_Ruhe_und_Sch%C3%B6nheit%22._02.jpg"}, "thumbattribs": {"src": "https://thumb.wikimedia.org/wikipedia/commons/thumb/f/f5/%22Ein_Ort_der_Ruhe_und_Sch%C3%B6nheit%22._02.jpg/1280px-%22Ein_Ort_der_Ruhe_und_Sch%C3%B6nheit%22._02.jpg", "decoding": "async", "loading": "lazy", "width": 1280, "height": 2262, "srcset": "https://upload.wikimedia.org/wikipedia/commons/f/f5/%22Ein_Ort_der_Ruhe_und_Sch%C3%B6nheit%22._02.jpg 2x"}, "url": "https://upload.wikimedia.org/wikipedia/commons/f/f5/%22Ein_Ort_der_Ruhe_und_Sch%C3%B6nheit%22._02.jpg", "descriptionurl": "https://commons.wikimedia.org/wiki/File:%22Ein_Ort_der_Ruhe_und_Sch%C3%B6nheit%22._02.jpg", "descriptionshorturl": "https://commons.wikimedia.org/w/index.php?curid=155765878", "sha1": "fe4c00a9daf151d917f7b053bdf2e59c74be9ce5", "extmetadata": {"DateTime": {"value": "2024-11-25 14:41:57", "source": "mediawiki-metadata", "hidden": ""}, "ObjectName": {"value": "\"Ein Ort der Ruhe und Schönheit\". 02", "source": "mediawiki-metadata"}, "CommonsMetadataExtension": {"value": 1.2, "source": "extension", "hidden": ""}, "Categories": {"value": "Gardens of the Alcázar of Seville|Self-published work", "source": "commons-categories", "hidden": ""}, "Assessments": {"value": "", "source": "commons-categories", "hidden": ""}, "ImageDescription": {"value": "Gardens of the Alca´zar of Seville.", "source": "commons-desc-page"}, "DateTimeOriginal": {"value": "2024-10-17 10:40:28", "source": "commons-desc-page"}, "Credit": {"value": "&lt;span class=\"int-own-work\" lang=\"en\"&gt;Own work&lt;/span&gt;", "source": "commons-desc-page"}, "Artist": {"value": "&lt;a href=\"//commons.wikimedia.org/wiki/User:Holger_Uwe_Schmitt\" title=\"User:Holger Uwe Schmitt\"&gt;Holger Uwe Schmitt&lt;/a&gt;",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"https://thumb.wikimedia.org/wikipedia/commons/thumb/f/f5/%22Ein_Ort_der_Ruhe_und_Sch%C3%B6nheit%22._02.jpg/1280px-%22Ein_Ort_der_Ruhe_und_Sch%C3%B6nheit%22._02.jpg"}, "retrieved_on": "2026-10-25"}</t>
        </is>
      </c>
    </row>
    <row r="74" ht="54" customHeight="1">
      <c r="A74" s="29" t="inlineStr">
        <is>
          <t>sevilla:evidence:real-alcazar-jardines-03</t>
        </is>
      </c>
      <c r="B74" s="29" t="inlineStr">
        <is>
          <t>sevilla</t>
        </is>
      </c>
      <c r="C74" s="29" t="inlineStr">
        <is>
          <t>sevilla:photo:real-alcazar-jardines-03</t>
        </is>
      </c>
      <c r="D74" s="29" t="inlineStr">
        <is>
          <t>https://commons.wikimedia.org/wiki/File:%22Ein_Ort_der_Ruhe_und_Sch%C3%B6nheit%22._03.jpg</t>
        </is>
      </c>
      <c r="E74" s="29" t="inlineStr">
        <is>
          <t>File:"Ein Ort der Ruhe und Schönheit". 03.jpg</t>
        </is>
      </c>
      <c r="F74" s="29" t="inlineStr">
        <is>
          <t>Holger Uwe Schmitt</t>
        </is>
      </c>
      <c r="G74" s="29" t="inlineStr">
        <is>
          <t>CC BY-SA 4.0</t>
        </is>
      </c>
      <c r="H74" s="29" t="inlineStr">
        <is>
          <t>https://creativecommons.org/licenses/by-sa/4.0/</t>
        </is>
      </c>
      <c r="I74" s="29" t="inlineStr">
        <is>
          <t>Creative Commons Attribution-Share Alike 4.0</t>
        </is>
      </c>
      <c r="J74" s="29" t="inlineStr">
        <is>
          <t>Holger Uwe Schmitt · CC BY-SA 4.0 · Wikimedia Commons</t>
        </is>
      </c>
      <c r="K74" s="29" t="n"/>
      <c r="L74" s="49" t="n">
        <v>46320</v>
      </c>
      <c r="M74" s="29" t="inlineStr">
        <is>
          <t>Bekliyor</t>
        </is>
      </c>
      <c r="N74" s="29" t="inlineStr">
        <is>
          <t>Bekliyor</t>
        </is>
      </c>
      <c r="O74" s="29" t="inlineStr">
        <is>
          <t>Fotoğraflar/sevilla_real-alcazar-jardines_03.jpg</t>
        </is>
      </c>
      <c r="P74" s="29" t="inlineStr">
        <is>
          <t>Alcázar Bahçeleri'nde çinili havuz, ağaçlar ve arkada köşk.</t>
        </is>
      </c>
      <c r="Q74" s="29" t="inlineStr">
        <is>
          <t>Bekliyor</t>
        </is>
      </c>
      <c r="R74" s="29" t="inlineStr">
        <is>
          <t>Wikimedia Commons dosya sayfasındaki lisans: CC BY-SA 4.0</t>
        </is>
      </c>
      <c r="S74" s="29" t="inlineStr">
        <is>
          <t>Lisans kanıtları/real-alcazar-jardines-03.source-evidence.json</t>
        </is>
      </c>
      <c r="T74" s="29" t="inlineStr">
        <is>
          <t>df30025675b6d6d7b766a138011dd752e6ea65305e2d6a5ea0262cad47048b89</t>
        </is>
      </c>
      <c r="U74" s="29" t="inlineStr">
        <is>
          <t>Lisans kanıtları/real-alcazar-jardines-03.license-evidence.json</t>
        </is>
      </c>
      <c r="V74" s="29" t="inlineStr">
        <is>
          <t>fa0f0c1626041305cfd249f6bdfd8228ddd97f031e4c58b2bf70b0ebd15e222d</t>
        </is>
      </c>
      <c r="W74" s="29" t="inlineStr">
        <is>
          <t>{"source_url": "https://commons.wikimedia.org/wiki/File:%22Ein_Ort_der_Ruhe_und_Sch%C3%B6nheit%22._03.jpg", "author": "Holger Uwe Schmitt", "license": "CC BY-SA 4.0", "license_url": "https://creativecommons.org/licenses/by-sa/4.0/", "original_api_record": {"size": 16559892, "width": 5419, "height": 4459, "thumburl": "https://thumb.wikimedia.org/wikipedia/commons/thumb/5/5f/%22Ein_Ort_der_Ruhe_und_Sch%C3%B6nheit%22._03.jpg/1280px-%22Ein_Ort_der_Ruhe_und_Sch%C3%B6nheit%22._03.jpg", "thumbwidth": 1280, "thumbheight": 1053, "responsiveUrls": {"2": "https://thumb.wikimedia.org/wikipedia/commons/thumb/5/5f/%22Ein_Ort_der_Ruhe_und_Sch%C3%B6nheit%22._03.jpg/3840px-%22Ein_Ort_der_Ruhe_und_Sch%C3%B6nheit%22._03.jpg"}, "thumbattribs": {"src": "https://thumb.wikimedia.org/wikipedia/commons/thumb/5/5f/%22Ein_Ort_der_Ruhe_und_Sch%C3%B6nheit%22._03.jpg/1280px-%22Ein_Ort_der_Ruhe_und_Sch%C3%B6nheit%22._03.jpg", "decoding": "async", "loading": "lazy", "width": 1280, "height": 1053, "srcset": "https://thumb.wikimedia.org/wikipedia/commons/thumb/5/5f/%22Ein_Ort_der_Ruhe_und_Sch%C3%B6nheit%22._03.jpg/3840px-%22Ein_Ort_der_Ruhe_und_Sch%C3%B6nheit%22._03.jpg 2x"}, "url": "https://upload.wikimedia.org/wikipedia/commons/5/5f/%22Ein_Ort_der_Ruhe_und_Sch%C3%B6nheit%22._03.jpg", "descriptionurl": "https://commons.wikimedia.org/wiki/File:%22Ein_Ort_der_Ruhe_und_Sch%C3%B6nheit%22._03.jpg", "descriptionshorturl": "https://commons.wikimedia.org/w/index.php?curid=155765877", "sha1": "dd77f8ff41f9cca5512ebf092ff7fcd387a79a99", "extmetadata": {"DateTime": {"value": "2024-11-25 14:41:56", "source": "mediawiki-metadata", "hidden": ""}, "ObjectName": {"value": "\"Ein Ort der Ruhe und Schönheit\". 03", "source": "mediawiki-metadata"}, "CommonsMetadataExtension": {"value": 1.2, "source": "extension", "hidden": ""}, "Categories": {"value": "Gardens of the Alcázar of Seville|Self-published work", "source": "commons-categories", "hidden": ""}, "Assessments": {"value": "", "source": "commons-categories", "hidden": ""}, "ImageDescription": {"value": "Gardens of the Alca´zar of Seville.", "source": "commons-desc-page"}, "DateTimeOriginal": {"value": "2024-10-17 10:40:57", "source": "commons-desc-page"}, "Credit": {"value": "&lt;span class=\"int-own-work\" lang=\"en\"&gt;Own work&lt;/span&gt;", "source": "commons-desc-page"}, "Artist": {"value": "&lt;a href=\"//commons.wikimedia.org/wiki/User:Holger_Uwe_Schmitt\" title=\"User:Holger Uwe Schmitt\"&gt;Holger Uwe Schmitt&lt;/a&gt;",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"https://thumb.wikimedia.org/wikipedia/commons/thumb/5/5f/%22Ein_Ort_der_Ruhe_und_Sch%C3%B6nheit%22._03.jpg/1280px-%22Ein_Ort_der_Ruhe_und_Sch%C3%B6nheit%22._03.jpg"}, "retrieved_on": "2026-10-25"}</t>
        </is>
      </c>
    </row>
    <row r="75" ht="54" customHeight="1">
      <c r="A75" s="29" t="inlineStr">
        <is>
          <t>sevilla:evidence:museo-de-bellas-artes-de-sevilla-01</t>
        </is>
      </c>
      <c r="B75" s="29" t="inlineStr">
        <is>
          <t>sevilla</t>
        </is>
      </c>
      <c r="C75" s="29" t="inlineStr">
        <is>
          <t>sevilla:photo:museo-de-bellas-artes-de-sevilla-01</t>
        </is>
      </c>
      <c r="D75" s="29" t="inlineStr">
        <is>
          <t>https://commons.wikimedia.org/wiki/File:Museo_Bellas_Artes_Sevilla_20120728.jpg</t>
        </is>
      </c>
      <c r="E75" s="29" t="inlineStr">
        <is>
          <t>File:Museo Bellas Artes Sevilla 20120728.jpg</t>
        </is>
      </c>
      <c r="F75" s="29" t="inlineStr">
        <is>
          <t>Tirithel</t>
        </is>
      </c>
      <c r="G75" s="29" t="inlineStr">
        <is>
          <t>CC BY-SA 3.0</t>
        </is>
      </c>
      <c r="H75" s="29" t="inlineStr">
        <is>
          <t>https://creativecommons.org/licenses/by-sa/3.0/</t>
        </is>
      </c>
      <c r="I75" s="29" t="inlineStr">
        <is>
          <t>Creative Commons Attribution-Share Alike 3.0</t>
        </is>
      </c>
      <c r="J75" s="29" t="inlineStr">
        <is>
          <t>Tirithel · CC BY-SA 3.0 · Wikimedia Commons</t>
        </is>
      </c>
      <c r="K75" s="29" t="n"/>
      <c r="L75" s="49" t="n">
        <v>46320</v>
      </c>
      <c r="M75" s="29" t="inlineStr">
        <is>
          <t>Bekliyor</t>
        </is>
      </c>
      <c r="N75" s="29" t="inlineStr">
        <is>
          <t>Bekliyor</t>
        </is>
      </c>
      <c r="O75" s="29" t="inlineStr">
        <is>
          <t>Fotoğraflar/sevilla_museo-de-bellas-artes-de-sevilla_01.jpg</t>
        </is>
      </c>
      <c r="P75" s="29" t="inlineStr">
        <is>
          <t>Güzel Sanatlar Müzesi'nde tavanı süslemeli, tablolarla dolu salon.</t>
        </is>
      </c>
      <c r="Q75" s="29" t="inlineStr">
        <is>
          <t>Bekliyor</t>
        </is>
      </c>
      <c r="R75" s="29" t="inlineStr">
        <is>
          <t>Wikimedia Commons dosya sayfasındaki lisans: CC BY-SA 3.0</t>
        </is>
      </c>
      <c r="S75" s="29" t="inlineStr">
        <is>
          <t>Lisans kanıtları/museo-de-bellas-artes-de-sevilla-01.source-evidence.json</t>
        </is>
      </c>
      <c r="T75" s="29" t="inlineStr">
        <is>
          <t>e578f0481700c4d4ef9784588d858e1d8182456b8fb82a7600a125a17427bae6</t>
        </is>
      </c>
      <c r="U75" s="29" t="inlineStr">
        <is>
          <t>Lisans kanıtları/museo-de-bellas-artes-de-sevilla-01.license-evidence.json</t>
        </is>
      </c>
      <c r="V75" s="29" t="inlineStr">
        <is>
          <t>80b3396c3f0fb63007e13f581b44babf472ff1543bf21e2bd68bc78001661346</t>
        </is>
      </c>
      <c r="W75" s="29" t="inlineStr">
        <is>
          <t>{"source_url": "https://commons.wikimedia.org/wiki/File:Museo_Bellas_Artes_Sevilla_20120728.jpg", "author": "Tirithel", "license": "CC BY-SA 3.0", "license_url": "https://creativecommons.org/licenses/by-sa/3.0/", "original_api_record": {"size": 5872289, "width": 3000, "height": 4000, "thumburl": "https://thumb.wikimedia.org/wikipedia/commons/thumb/7/75/Museo_Bellas_Artes_Sevilla_20120728.jpg/1280px-Museo_Bellas_Artes_Sevilla_20120728.jpg", "thumbwidth": 1280, "thumbheight": 1707, "responsiveUrls": {"2": "https://upload.wikimedia.org/wikipedia/commons/7/75/Museo_Bellas_Artes_Sevilla_20120728.jpg"}, "thumbattribs": {"src": "https://thumb.wikimedia.org/wikipedia/commons/thumb/7/75/Museo_Bellas_Artes_Sevilla_20120728.jpg/1280px-Museo_Bellas_Artes_Sevilla_20120728.jpg", "decoding": "async", "loading": "lazy", "width": 1280, "height": 1707, "srcset": "https://upload.wikimedia.org/wikipedia/commons/7/75/Museo_Bellas_Artes_Sevilla_20120728.jpg 2x"}, "url": "https://upload.wikimedia.org/wikipedia/commons/7/75/Museo_Bellas_Artes_Sevilla_20120728.jpg", "descriptionurl": "https://commons.wikimedia.org/wiki/File:Museo_Bellas_Artes_Sevilla_20120728.jpg", "descriptionshorturl": "https://commons.wikimedia.org/w/index.php?curid=20483129", "sha1": "77bd0692245a7c6986435a3efcdba7034e77712e", "extmetadata": {"DateTime": {"value": "2012-07-31 17:42:28", "source": "mediawiki-metadata", "hidden": ""}, "ObjectName": {"value": "Museo Bellas Artes Sevilla 20120728", "source": "mediawiki-metadata"}, "CommonsMetadataExtension": {"value": 1.2, "source": "extension", "hidden": ""}, "Categories": {"value": "Taken with Canon PowerShot A650 IS|Self-published work|2012 in Seville|Museums in Andalusia photographed in 2012|Old church of the Convent of the Merced, Sevilla", "source": "commons-categories", "hidden": ""}, "Assessments": {"value": "", "source": "commons-categories", "hidden": ""}, "ImageDescription": {"value": "Museo Bellas Artes Sevilla", "source": "commons-desc-page"}, "DateTimeOriginal": {"value": "2012-07-28", "source": "commons-desc-page"}, "Credit": {"value": "&lt;span class=\"int-own-work\" lang=\"en\"&gt;Own work&lt;/span&gt;", "source": "commons-desc-page"}, "Artist": {"value": "&lt;a href=\"//commons.wikimedia.org/w/index.php?title=User:Tirithel&amp;amp;action=edit&amp;amp;redlink=1\" class=\"new\" title=\"User:Tirithel (page does not exist)\"&gt;Tirithel&lt;/a&gt;",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"https://thumb.wikimedia.org/wikipedia/commons/thumb/7/75/Museo_Bellas_Artes_Sevilla_20120728.jpg/1280px-Museo_Bellas_Artes_Sevilla_20120728.jpg"}, "retrieved_on": "2026-10-25"}</t>
        </is>
      </c>
    </row>
    <row r="76" ht="54" customHeight="1">
      <c r="A76" s="29" t="inlineStr">
        <is>
          <t>sevilla:evidence:museo-de-bellas-artes-de-sevilla-02</t>
        </is>
      </c>
      <c r="B76" s="29" t="inlineStr">
        <is>
          <t>sevilla</t>
        </is>
      </c>
      <c r="C76" s="29" t="inlineStr">
        <is>
          <t>sevilla:photo:museo-de-bellas-artes-de-sevilla-02</t>
        </is>
      </c>
      <c r="D76" s="29" t="inlineStr">
        <is>
          <t>https://commons.wikimedia.org/wiki/File:Museo_de_Bellas_Artes,_Sevilla._Patio.jpg</t>
        </is>
      </c>
      <c r="E76" s="29" t="inlineStr">
        <is>
          <t>File:Museo de Bellas Artes, Sevilla. Patio.jpg</t>
        </is>
      </c>
      <c r="F76" s="29" t="inlineStr">
        <is>
          <t>José Luis Filpo Cabana</t>
        </is>
      </c>
      <c r="G76" s="29" t="inlineStr">
        <is>
          <t>CC BY 3.0</t>
        </is>
      </c>
      <c r="H76" s="29" t="inlineStr">
        <is>
          <t>https://creativecommons.org/licenses/by/3.0/</t>
        </is>
      </c>
      <c r="I76" s="29" t="inlineStr">
        <is>
          <t>Creative Commons Attribution 3.0</t>
        </is>
      </c>
      <c r="J76" s="29" t="inlineStr">
        <is>
          <t>José Luis Filpo Cabana · CC BY 3.0 · Wikimedia Commons</t>
        </is>
      </c>
      <c r="K76" s="29" t="n"/>
      <c r="L76" s="49" t="n">
        <v>46320</v>
      </c>
      <c r="M76" s="29" t="inlineStr">
        <is>
          <t>Bekliyor</t>
        </is>
      </c>
      <c r="N76" s="29" t="inlineStr">
        <is>
          <t>Bekliyor</t>
        </is>
      </c>
      <c r="O76" s="29" t="inlineStr">
        <is>
          <t>Fotoğraflar/sevilla_museo-de-bellas-artes-de-sevilla_02.jpg</t>
        </is>
      </c>
      <c r="P76" s="29" t="inlineStr">
        <is>
          <t>Güzel Sanatlar Müzesi'nin kemerli iç avlusu.</t>
        </is>
      </c>
      <c r="Q76" s="29" t="inlineStr">
        <is>
          <t>Bekliyor</t>
        </is>
      </c>
      <c r="R76" s="29" t="inlineStr">
        <is>
          <t>Wikimedia Commons dosya sayfasındaki lisans: CC BY 3.0</t>
        </is>
      </c>
      <c r="S76" s="29" t="inlineStr">
        <is>
          <t>Lisans kanıtları/museo-de-bellas-artes-de-sevilla-02.source-evidence.json</t>
        </is>
      </c>
      <c r="T76" s="29" t="inlineStr">
        <is>
          <t>153cbf96337e1baf66cd243b94f4fa04b09663d1cfba0fe19188f5a7dabae153</t>
        </is>
      </c>
      <c r="U76" s="29" t="inlineStr">
        <is>
          <t>Lisans kanıtları/museo-de-bellas-artes-de-sevilla-02.license-evidence.json</t>
        </is>
      </c>
      <c r="V76" s="29" t="inlineStr">
        <is>
          <t>e56366f3b48746362aa425de781f91ce5a8959f94eb24fdb73fab6534b393505</t>
        </is>
      </c>
      <c r="W76" s="29" t="inlineStr">
        <is>
          <t>{"source_url": "https://commons.wikimedia.org/wiki/File:Museo_de_Bellas_Artes,_Sevilla._Patio.jpg", "author": "José Luis Filpo Cabana", "license": "CC BY 3.0", "license_url": "https://creativecommons.org/licenses/by/3.0/", "original_api_record": {"size": 4770057, "width": 2736, "height": 3648, "thumburl": "https://thumb.wikimedia.org/wikipedia/commons/thumb/a/ae/Museo_de_Bellas_Artes%2C_Sevilla._Patio.jpg/1280px-Museo_de_Bellas_Artes%2C_Sevilla._Patio.jpg", "thumbwidth": 1280, "thumbheight": 1707, "responsiveUrls": {"2": "https://upload.wikimedia.org/wikipedia/commons/a/ae/Museo_de_Bellas_Artes%2C_Sevilla._Patio.jpg"}, "thumbattribs": {"src": "https://thumb.wikimedia.org/wikipedia/commons/thumb/a/ae/Museo_de_Bellas_Artes%2C_Sevilla._Patio.jpg/1280px-Museo_de_Bellas_Artes%2C_Sevilla._Patio.jpg", "decoding": "async", "loading": "lazy", "width": 1280, "height": 1707, "srcset": "https://upload.wikimedia.org/wikipedia/commons/a/ae/Museo_de_Bellas_Artes%2C_Sevilla._Patio.jpg 2x"}, "url": "https://upload.wikimedia.org/wikipedia/commons/a/ae/Museo_de_Bellas_Artes%2C_Sevilla._Patio.jpg", "descriptionurl": "https://commons.wikimedia.org/wiki/File:Museo_de_Bellas_Artes,_Sevilla._Patio.jpg", "descriptionshorturl": "https://commons.wikimedia.org/w/index.php?curid=41151114", "sha1": "52cd2bf27667b07b986367cc5bc3c244ffc53534", "extmetadata": {"DateTime": {"value": "2015-06-23 16:56:32", "source": "mediawiki-metadata", "hidden": ""}, "ObjectName": {"value": "Museo de Bellas Artes, Sevilla. Patio", "source": "mediawiki-metadata"}, "CommonsMetadataExtension": {"value": 1.2, "source": "extension", "hidden": ""}, "Categories": {"value": "GFDL|License migration redundant|Self-published work|Cloister of the Cistern, Museo de Bellas Artes de Sevilla", "source": "commons-categories", "hidden": ""}, "Assessments": {"value": "", "source": "commons-categories", "hidden": ""}, "ImageDescription": {"value": "Antiguo Claustro del Aljibe, Convento de la Merced Calzada (s. XVII).", "source": "commons-desc-page"}, "DateTimeOriginal": {"value": "2011-05", "source": "commons-desc-page"}, "Credit": {"value": "&lt;span class=\"int-own-work\" lang=\"en\"&gt;Own work&lt;/span&gt;", "source": "commons-desc-page"}, "Artist": {"value": "José Luis Filpo Cabana",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"https://thumb.wikimedia.org/wikipedia/commons/thumb/a/ae/Museo_de_Bellas_Artes%2C_Sevilla._Patio.jpg/1280px-Museo_de_Bellas_Artes%2C_Sevilla._Patio.jpg"}, "retrieved_on": "2026-10-25"}</t>
        </is>
      </c>
    </row>
    <row r="77" ht="54" customHeight="1">
      <c r="A77" s="29" t="inlineStr">
        <is>
          <t>sevilla:evidence:museo-de-artes-y-costumbres-populares-01</t>
        </is>
      </c>
      <c r="B77" s="29" t="inlineStr">
        <is>
          <t>sevilla</t>
        </is>
      </c>
      <c r="C77" s="29" t="inlineStr">
        <is>
          <t>sevilla:photo:museo-de-artes-y-costumbres-populares-01</t>
        </is>
      </c>
      <c r="D77" s="29" t="inlineStr">
        <is>
          <t>https://commons.wikimedia.org/wiki/File:Museo_de_Artes_y_Costumbres_Populares_de_Sevilla_(1).jpg</t>
        </is>
      </c>
      <c r="E77" s="29" t="inlineStr">
        <is>
          <t>File:Museo de Artes y Costumbres Populares de Sevilla (1).jpg</t>
        </is>
      </c>
      <c r="F77" s="29" t="inlineStr">
        <is>
          <t>Alberto-g-rovi</t>
        </is>
      </c>
      <c r="G77" s="29" t="inlineStr">
        <is>
          <t>CC BY 4.0</t>
        </is>
      </c>
      <c r="H77" s="29" t="inlineStr">
        <is>
          <t>https://creativecommons.org/licenses/by/4.0/</t>
        </is>
      </c>
      <c r="I77" s="29" t="inlineStr">
        <is>
          <t>Creative Commons Attribution 4.0</t>
        </is>
      </c>
      <c r="J77" s="29" t="inlineStr">
        <is>
          <t>Alberto-g-rovi · CC BY 4.0 · Wikimedia Commons</t>
        </is>
      </c>
      <c r="K77" s="29" t="n"/>
      <c r="L77" s="49" t="n">
        <v>46320</v>
      </c>
      <c r="M77" s="29" t="inlineStr">
        <is>
          <t>Bekliyor</t>
        </is>
      </c>
      <c r="N77" s="29" t="inlineStr">
        <is>
          <t>Bekliyor</t>
        </is>
      </c>
      <c r="O77" s="29" t="inlineStr">
        <is>
          <t>Fotoğraflar/sevilla_museo-de-artes-y-costumbres-populares_01.jpg</t>
        </is>
      </c>
      <c r="P77" s="29" t="inlineStr">
        <is>
          <t>Halk Sanatları ve Gelenekleri Müzesi'nin bulunduğu çini süslemeli Mudéjar köşkü.</t>
        </is>
      </c>
      <c r="Q77" s="29" t="inlineStr">
        <is>
          <t>Bekliyor</t>
        </is>
      </c>
      <c r="R77" s="29" t="inlineStr">
        <is>
          <t>Wikimedia Commons dosya sayfasındaki lisans: CC BY 4.0</t>
        </is>
      </c>
      <c r="S77" s="29" t="inlineStr">
        <is>
          <t>Lisans kanıtları/museo-de-artes-y-costumbres-populares-01.source-evidence.json</t>
        </is>
      </c>
      <c r="T77" s="29" t="inlineStr">
        <is>
          <t>92e210dbf3acbe85cb123ea451f114ecfd0ef202e1b0e0f9f05928009a5066fd</t>
        </is>
      </c>
      <c r="U77" s="29" t="inlineStr">
        <is>
          <t>Lisans kanıtları/museo-de-artes-y-costumbres-populares-01.license-evidence.json</t>
        </is>
      </c>
      <c r="V77" s="29" t="inlineStr">
        <is>
          <t>605474cd52cbc22a9342716661a17aee34b1a23936df232f74dd8102c0ae1123</t>
        </is>
      </c>
      <c r="W77" s="29" t="inlineStr">
        <is>
          <t>{"source_url": "https://commons.wikimedia.org/wiki/File:Museo_de_Artes_y_Costumbres_Populares_de_Sevilla_(1).jpg", "author": "Alberto-g-rovi", "license": "CC BY 4.0", "license_url": "https://creativecommons.org/licenses/by/4.0/", "original_api_record": {"size": 6795186, "width": 4912, "height": 7360, "thumburl": "https://thumb.wikimedia.org/wikipedia/commons/thumb/d/d1/Museo_de_Artes_y_Costumbres_Populares_de_Sevilla_%281%29.jpg/1280px-Museo_de_Artes_y_Costumbres_Populares_de_Sevilla_%281%29.jpg", "thumbwidth": 1280, "thumbheight": 1918, "responsiveUrls": {"2": "https://thumb.wikimedia.org/wikipedia/commons/thumb/d/d1/Museo_de_Artes_y_Costumbres_Populares_de_Sevilla_%281%29.jpg/3840px-Museo_de_Artes_y_Costumbres_Populares_de_Sevilla_%281%29.jpg"}, "thumbattribs": {"src": "https://thumb.wikimedia.org/wikipedia/commons/thumb/d/d1/Museo_de_Artes_y_Costumbres_Populares_de_Sevilla_%281%29.jpg/1280px-Museo_de_Artes_y_Costumbres_Populares_de_Sevilla_%281%29.jpg", "decoding": "async", "loading": "lazy", "width": 1280, "height": 1918, "srcset": "https://thumb.wikimedia.org/wikipedia/commons/thumb/d/d1/Museo_de_Artes_y_Costumbres_Populares_de_Sevilla_%281%29.jpg/3840px-Museo_de_Artes_y_Costumbres_Populares_de_Sevilla_%281%29.jpg 2x"}, "url": "https://upload.wikimedia.org/wikipedia/commons/d/d1/Museo_de_Artes_y_Costumbres_Populares_de_Sevilla_%281%29.jpg", "descriptionurl": "https://commons.wikimedia.org/wiki/File:Museo_de_Artes_y_Costumbres_Populares_de_Sevilla_(1).jpg", "descriptionshorturl": "https://commons.wikimedia.org/w/index.php?curid=176433586", "sha1": "729c0d45b2d4214ced28881b7d94a1f0d3cd1675", "extmetadata": {"DateTime": {"value": "2025-10-10 04:26:03", "source": "mediawiki-metadata", "hidden": ""}, "ObjectName": {"value": "Museo de Artes y Costumbres Populares de Sevilla (1)", "source": "mediawiki-metadata"}, "CommonsMetadataExtension": {"value": 1.2, "source": "extension", "hidden": ""}, "Categories": {"value": "Museo de Artes y Costumbres Populares de Sevilla|Self-published work|Photographs by Alberto-g-rovi in María Luisa Park", "source": "commons-categories", "hidden": ""}, "Assessments": {"value": "", "source": "commons-categories", "hidden": ""}, "ImageDescription": {"value": "Parque Mária Luisa", "source": "commons-desc-page"}, "DateTimeOriginal": {"value": "2025-09-18 17:38:26", "source": "commons-desc-page"}, "Credit": {"value": "&lt;span class=\"int-own-work\" lang=\"en\"&gt;Own work&lt;/span&gt;", "source": "commons-desc-page"}, "Artist": {"value": "&lt;a href=\"//commons.wikimedia.org/wiki/User:Alberto-g-rovi\" title=\"User:Alberto-g-rovi\"&gt;Alberto-g-rovi&lt;/a&gt;", "source": "commons-desc-page"}, "LicenseShortName": {"value": "CC BY 4.0", "source": "commons-desc-page", "hidden": ""}, "UsageTerms": {"value": "Creative Commons Attribution 4.0", "source": "commons-desc-page"}, "AttributionRequired": {"value": "true", "source": "commons-desc-page", "hidden": ""}, "LicenseUrl": {"value": "https://creativecommons.org/licenses/by/4.0", "source": "commons-desc-page"}, "Copyrighted": {"value": "True", "source": "commons-desc-page", "hidden": ""}, "Restrictions": {"value": "", "source": "commons-desc-page", "hidden": ""}, "License": {"value": "cc-by-4.0", "source": "commons-templates", "hidden": ""}}, "mime": "image/jpeg"}, "delivered_file": {"url": "https://thumb.wikimedia.org/wikipedia/commons/thumb/d/d1/Museo_de_Artes_y_Costumbres_Populares_de_Sevilla_%281%29.jpg/1280px-Museo_de_Artes_y_Costumbres_Populares_de_Sevilla_%281%29.jpg"}, "retrieved_on": "2026-10-25"}</t>
        </is>
      </c>
    </row>
    <row r="78" ht="54" customHeight="1">
      <c r="A78" s="29" t="inlineStr">
        <is>
          <t>sevilla:evidence:museo-del-baile-flamenco-01</t>
        </is>
      </c>
      <c r="B78" s="29" t="inlineStr">
        <is>
          <t>sevilla</t>
        </is>
      </c>
      <c r="C78" s="29" t="inlineStr">
        <is>
          <t>sevilla:photo:museo-del-baile-flamenco-01</t>
        </is>
      </c>
      <c r="D78" s="29" t="inlineStr">
        <is>
          <t>https://commons.wikimedia.org/wiki/File:Flamenco_in_Sevilla_01.jpg</t>
        </is>
      </c>
      <c r="E78" s="29" t="inlineStr">
        <is>
          <t>File:Flamenco in Sevilla 01.jpg</t>
        </is>
      </c>
      <c r="F78" s="29" t="inlineStr">
        <is>
          <t>Schnobby</t>
        </is>
      </c>
      <c r="G78" s="29" t="inlineStr">
        <is>
          <t>CC BY-SA 4.0</t>
        </is>
      </c>
      <c r="H78" s="29" t="inlineStr">
        <is>
          <t>https://creativecommons.org/licenses/by-sa/4.0/</t>
        </is>
      </c>
      <c r="I78" s="29" t="inlineStr">
        <is>
          <t>Creative Commons Attribution-Share Alike 4.0</t>
        </is>
      </c>
      <c r="J78" s="29" t="inlineStr">
        <is>
          <t>Schnobby · CC BY-SA 4.0 · Wikimedia Commons</t>
        </is>
      </c>
      <c r="K78" s="29" t="n"/>
      <c r="L78" s="49" t="n">
        <v>46320</v>
      </c>
      <c r="M78" s="29" t="inlineStr">
        <is>
          <t>Bekliyor</t>
        </is>
      </c>
      <c r="N78" s="29" t="inlineStr">
        <is>
          <t>Bekliyor</t>
        </is>
      </c>
      <c r="O78" s="29" t="inlineStr">
        <is>
          <t>Fotoğraflar/sevilla_museo-del-baile-flamenco_01.jpg</t>
        </is>
      </c>
      <c r="P78" s="29" t="inlineStr">
        <is>
          <t>Flamenko Dansı Müzesi'nin avlusunda puantiyeli elbiseyle dans eden flamenko dansçısı ve izleyiciler.</t>
        </is>
      </c>
      <c r="Q78" s="29" t="inlineStr">
        <is>
          <t>Bekliyor</t>
        </is>
      </c>
      <c r="R78" s="29" t="inlineStr">
        <is>
          <t>Wikimedia Commons dosya sayfasındaki lisans: CC BY-SA 4.0</t>
        </is>
      </c>
      <c r="S78" s="29" t="inlineStr">
        <is>
          <t>Lisans kanıtları/museo-del-baile-flamenco-01.source-evidence.json</t>
        </is>
      </c>
      <c r="T78" s="29" t="inlineStr">
        <is>
          <t>3e071f44d87aea1594cb7f812252fb3f4954a9cd6eae052cdf67e293cf927041</t>
        </is>
      </c>
      <c r="U78" s="29" t="inlineStr">
        <is>
          <t>Lisans kanıtları/museo-del-baile-flamenco-01.license-evidence.json</t>
        </is>
      </c>
      <c r="V78" s="29" t="inlineStr">
        <is>
          <t>bc9db2fd69d858efb32cbfa30bf204b872c5c65a0b35b78ebd5063b4b9276974</t>
        </is>
      </c>
      <c r="W78" s="29" t="inlineStr">
        <is>
          <t>{"source_url": "https://commons.wikimedia.org/wiki/File:Flamenco_in_Sevilla_01.jpg", "author": "Schnobby", "license": "CC BY-SA 4.0", "license_url": "https://creativecommons.org/licenses/by-sa/4.0/", "original_api_record": {"size": 2331801, "width": 3429, "height": 3262, "thumburl": "https://thumb.wikimedia.org/wikipedia/commons/thumb/4/4a/Flamenco_in_Sevilla_01.jpg/1280px-Flamenco_in_Sevilla_01.jpg", "thumbwidth": 1280, "thumbheight": 1218, "responsiveUrls": {"2": "https://upload.wikimedia.org/wikipedia/commons/4/4a/Flamenco_in_Sevilla_01.jpg"}, "thumbattribs": {"src": "https://thumb.wikimedia.org/wikipedia/commons/thumb/4/4a/Flamenco_in_Sevilla_01.jpg/1280px-Flamenco_in_Sevilla_01.jpg", "decoding": "async", "loading": "lazy", "width": 1280, "height": 1218, "srcset": "https://upload.wikimedia.org/wikipedia/commons/4/4a/Flamenco_in_Sevilla_01.jpg 2x"}, "url": "https://upload.wikimedia.org/wikipedia/commons/4/4a/Flamenco_in_Sevilla_01.jpg", "descriptionurl": "https://commons.wikimedia.org/wiki/File:Flamenco_in_Sevilla_01.jpg", "descriptionshorturl": "https://commons.wikimedia.org/w/index.php?curid=37183714", "sha1": "f6825bf0d19a7661a6415f4bf34d89a8442f9789", "extmetadata": {"DateTime": {"value": "2014-12-07 17:48:02", "source": "mediawiki-metadata", "hidden": ""}, "ObjectName": {"value": "Flamenco in Sevilla 01", "source": "mediawiki-metadata"}, "CommonsMetadataExtension": {"value": 1.2, "source": "extension", "hidden": ""}, "Categories": {"value": "Flamenco dancers|Self-published work|2014 in dance|September 2014 in Seville|2014 events in Seville", "source": "commons-categories", "hidden": ""}, "Assessments": {"value": "", "source": "commons-categories", "hidden": ""}, "ImageDescription": {"value": "Flamencotänzerin im Museo del baile flamenco in Sevilla", "source": "commons-desc-page"}, "DateTimeOriginal": {"value": "2014-09-27 19:18:58", "source": "commons-desc-page"}, "Credit": {"value": "&lt;span class=\"int-own-work\" lang=\"en\"&gt;Own work&lt;/span&gt;", "source": "commons-desc-page"}, "Artist": {"value": "&lt;a href=\"//commons.wikimedia.org/wiki/User:Schnobby\" title=\"User:Schnobby\"&gt;Schnobby&lt;/a&gt;",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"https://thumb.wikimedia.org/wikipedia/commons/thumb/4/4a/Flamenco_in_Sevilla_01.jpg/1280px-Flamenco_in_Sevilla_01.jpg"}, "retrieved_on": "2026-10-25"}</t>
        </is>
      </c>
    </row>
    <row r="79" ht="54" customHeight="1">
      <c r="A79" s="29" t="inlineStr">
        <is>
          <t>sevilla:evidence:museo-del-baile-flamenco-02</t>
        </is>
      </c>
      <c r="B79" s="29" t="inlineStr">
        <is>
          <t>sevilla</t>
        </is>
      </c>
      <c r="C79" s="29" t="inlineStr">
        <is>
          <t>sevilla:photo:museo-del-baile-flamenco-02</t>
        </is>
      </c>
      <c r="D79" s="29" t="inlineStr">
        <is>
          <t>https://commons.wikimedia.org/wiki/File:Museo_del_baile_flamenco,_sevilla.jpg</t>
        </is>
      </c>
      <c r="E79" s="29" t="inlineStr">
        <is>
          <t>File:Museo del baile flamenco, sevilla.jpg</t>
        </is>
      </c>
      <c r="F79" s="29" t="inlineStr">
        <is>
          <t>Anual</t>
        </is>
      </c>
      <c r="G79" s="29" t="inlineStr">
        <is>
          <t>CC BY 3.0</t>
        </is>
      </c>
      <c r="H79" s="29" t="inlineStr">
        <is>
          <t>https://creativecommons.org/licenses/by/3.0/</t>
        </is>
      </c>
      <c r="I79" s="29" t="inlineStr">
        <is>
          <t>Creative Commons Attribution 3.0</t>
        </is>
      </c>
      <c r="J79" s="29" t="inlineStr">
        <is>
          <t>Anual · CC BY 3.0 · Wikimedia Commons</t>
        </is>
      </c>
      <c r="K79" s="29" t="n"/>
      <c r="L79" s="49" t="n">
        <v>46320</v>
      </c>
      <c r="M79" s="29" t="inlineStr">
        <is>
          <t>Bekliyor</t>
        </is>
      </c>
      <c r="N79" s="29" t="inlineStr">
        <is>
          <t>Bekliyor</t>
        </is>
      </c>
      <c r="O79" s="29" t="inlineStr">
        <is>
          <t>Fotoğraflar/sevilla_museo-del-baile-flamenco_02.jpg</t>
        </is>
      </c>
      <c r="P79" s="29" t="inlineStr">
        <is>
          <t>Flamenko Dansı Müzesi'nin dar sokaktaki girişi ve kırmızı bayrakları.</t>
        </is>
      </c>
      <c r="Q79" s="29" t="inlineStr">
        <is>
          <t>Bekliyor</t>
        </is>
      </c>
      <c r="R79" s="29" t="inlineStr">
        <is>
          <t>Wikimedia Commons dosya sayfasındaki lisans: CC BY 3.0</t>
        </is>
      </c>
      <c r="S79" s="29" t="inlineStr">
        <is>
          <t>Lisans kanıtları/museo-del-baile-flamenco-02.source-evidence.json</t>
        </is>
      </c>
      <c r="T79" s="29" t="inlineStr">
        <is>
          <t>d24b6d79433d32c3d29e577166f41b29b7e31e11840311568a854efbaf2c49cb</t>
        </is>
      </c>
      <c r="U79" s="29" t="inlineStr">
        <is>
          <t>Lisans kanıtları/museo-del-baile-flamenco-02.license-evidence.json</t>
        </is>
      </c>
      <c r="V79" s="29" t="inlineStr">
        <is>
          <t>a9a8bbed0ea41eecf76be9d9761835cff49c73af39e626eabb8d219097edc826</t>
        </is>
      </c>
      <c r="W79" s="29" t="inlineStr">
        <is>
          <t>{"source_url": "https://commons.wikimedia.org/wiki/File:Museo_del_baile_flamenco,_sevilla.jpg", "author": "Anual", "license": "CC BY 3.0", "license_url": "https://creativecommons.org/licenses/by/3.0/", "original_api_record": {"size": 2768190, "width": 2592, "height": 3872, "thumburl": "https://thumb.wikimedia.org/wikipedia/commons/thumb/a/a6/Museo_del_baile_flamenco%2C_sevilla.jpg/1280px-Museo_del_baile_flamenco%2C_sevilla.jpg", "thumbwidth": 1280, "thumbheight": 1912, "responsiveUrls": {"2": "https://upload.wikimedia.org/wikipedia/commons/a/a6/Museo_del_baile_flamenco%2C_sevilla.jpg"}, "thumbattribs": {"src": "https://thumb.wikimedia.org/wikipedia/commons/thumb/a/a6/Museo_del_baile_flamenco%2C_sevilla.jpg/1280px-Museo_del_baile_flamenco%2C_sevilla.jpg", "decoding": "async", "loading": "lazy", "width": 1280, "height": 1912, "srcset": "https://upload.wikimedia.org/wikipedia/commons/a/a6/Museo_del_baile_flamenco%2C_sevilla.jpg 2x"}, "url": "https://upload.wikimedia.org/wikipedia/commons/a/a6/Museo_del_baile_flamenco%2C_sevilla.jpg", "descriptionurl": "https://commons.wikimedia.org/wiki/File:Museo_del_baile_flamenco,_sevilla.jpg", "descriptionshorturl": "https://commons.wikimedia.org/w/index.php?curid=5828087", "sha1": "f322e8c74851c4786754feb07f729ec4225be577", "extmetadata": {"DateTime": {"value": "2009-01-30 18:35:56", "source": "mediawiki-metadata", "hidden": ""}, "ObjectName": {"value": "Museo del baile flamenco, sevilla", "source": "mediawiki-metadata"}, "CommonsMetadataExtension": {"value": 1.2, "source": "extension", "hidden": ""}, "Categories": {"value": "GFDL|Taken with Nikon D80|Museo del Baile Flamenco (Sevilla)|License migration redundant|2009 in Andalusia|Self-published work", "source": "commons-categories", "hidden": ""}, "Assessments": {"value": "", "source": "commons-categories", "hidden": ""}, "ImageDescription": {"value": "Museums of flamenco in Sevilla", "source": "commons-desc-page"}, "DateTimeOriginal": {"value": "2009-01-24", "source": "commons-desc-page"}, "Credit": {"value": "&lt;span class=\"int-own-work\" lang=\"en\"&gt;Own work&lt;/span&gt;", "source": "commons-desc-page"}, "Artist": {"value": "&lt;a href=\"//commons.wikimedia.org/wiki/User:Anual\" title=\"User:Anual\"&gt;Anual&lt;/a&gt;",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"https://thumb.wikimedia.org/wikipedia/commons/thumb/a/a6/Museo_del_baile_flamenco%2C_sevilla.jpg/1280px-Museo_del_baile_flamenco%2C_sevilla.jpg"}, "retrieved_on": "2026-10-25"}</t>
        </is>
      </c>
    </row>
    <row r="80" ht="54" customHeight="1">
      <c r="A80" s="29" t="inlineStr">
        <is>
          <t>sevilla:evidence:museo-taurino-real-maestranza-01</t>
        </is>
      </c>
      <c r="B80" s="29" t="inlineStr">
        <is>
          <t>sevilla</t>
        </is>
      </c>
      <c r="C80" s="29" t="inlineStr">
        <is>
          <t>sevilla:photo:museo-taurino-real-maestranza-01</t>
        </is>
      </c>
      <c r="D80" s="29" t="inlineStr">
        <is>
          <t>https://commons.wikimedia.org/wiki/File:Cabeza_de_toro.jpg</t>
        </is>
      </c>
      <c r="E80" s="29" t="inlineStr">
        <is>
          <t>File:Cabeza de toro.jpg</t>
        </is>
      </c>
      <c r="F80" s="29" t="inlineStr">
        <is>
          <t>CarlosVdeHabsburgo</t>
        </is>
      </c>
      <c r="G80" s="29" t="inlineStr">
        <is>
          <t>CC BY-SA 4.0</t>
        </is>
      </c>
      <c r="H80" s="29" t="inlineStr">
        <is>
          <t>https://creativecommons.org/licenses/by-sa/4.0/</t>
        </is>
      </c>
      <c r="I80" s="29" t="inlineStr">
        <is>
          <t>Creative Commons Attribution-Share Alike 4.0</t>
        </is>
      </c>
      <c r="J80" s="29" t="inlineStr">
        <is>
          <t>CarlosVdeHabsburgo · CC BY-SA 4.0 · Wikimedia Commons</t>
        </is>
      </c>
      <c r="K80" s="29" t="n"/>
      <c r="L80" s="49" t="n">
        <v>46320</v>
      </c>
      <c r="M80" s="29" t="inlineStr">
        <is>
          <t>Bekliyor</t>
        </is>
      </c>
      <c r="N80" s="29" t="inlineStr">
        <is>
          <t>Bekliyor</t>
        </is>
      </c>
      <c r="O80" s="29" t="inlineStr">
        <is>
          <t>Fotoğraflar/sevilla_museo-taurino-real-maestranza_01.jpg</t>
        </is>
      </c>
      <c r="P80" s="29" t="inlineStr">
        <is>
          <t>Boğa Güreşi Müzesi'nde duvarda boğa başı ve tablolarla bir salon.</t>
        </is>
      </c>
      <c r="Q80" s="29" t="inlineStr">
        <is>
          <t>Bekliyor</t>
        </is>
      </c>
      <c r="R80" s="29" t="inlineStr">
        <is>
          <t>Wikimedia Commons dosya sayfasındaki lisans: CC BY-SA 4.0</t>
        </is>
      </c>
      <c r="S80" s="29" t="inlineStr">
        <is>
          <t>Lisans kanıtları/museo-taurino-real-maestranza-01.source-evidence.json</t>
        </is>
      </c>
      <c r="T80" s="29" t="inlineStr">
        <is>
          <t>87fdf7f0ceb9c3ff79db6c3bc1a564f06aed83ad767152b1fbf9896c843731d7</t>
        </is>
      </c>
      <c r="U80" s="29" t="inlineStr">
        <is>
          <t>Lisans kanıtları/museo-taurino-real-maestranza-01.license-evidence.json</t>
        </is>
      </c>
      <c r="V80" s="29" t="inlineStr">
        <is>
          <t>277c4cd4555cc0f046a78fc1d0d03b1e5fe1f8cf87fcac682411194b8027210d</t>
        </is>
      </c>
      <c r="W80" s="29" t="inlineStr">
        <is>
          <t>{"source_url": "https://commons.wikimedia.org/wiki/File:Cabeza_de_toro.jpg", "author": "CarlosVdeHabsburgo", "license": "CC BY-SA 4.0", "license_url": "https://creativecommons.org/licenses/by-sa/4.0/", "original_api_record": {"size": 8454211, "width": 4320, "height": 3240, "thumburl": "https://thumb.wikimedia.org/wikipedia/commons/thumb/f/fa/Cabeza_de_toro.jpg/1280px-Cabeza_de_toro.jpg", "thumbwidth": 1280, "thumbheight": 960, "responsiveUrls": {"2": "https://thumb.wikimedia.org/wikipedia/commons/thumb/f/fa/Cabeza_de_toro.jpg/3840px-Cabeza_de_toro.jpg"}, "thumbattribs": {"src": "https://thumb.wikimedia.org/wikipedia/commons/thumb/f/fa/Cabeza_de_toro.jpg/1280px-Cabeza_de_toro.jpg", "decoding": "async", "loading": "lazy", "width": 1280, "height": 960, "srcset": "https://thumb.wikimedia.org/wikipedia/commons/thumb/f/fa/Cabeza_de_toro.jpg/3840px-Cabeza_de_toro.jpg 2x"}, "url": "https://upload.wikimedia.org/wikipedia/commons/f/fa/Cabeza_de_toro.jpg", "descriptionurl": "https://commons.wikimedia.org/wiki/File:Cabeza_de_toro.jpg", "descriptionshorturl": "https://commons.wikimedia.org/w/index.php?curid=63430615", "sha1": "317a0b3f5e24e6001277e0eb6a2c9e65631f852a", "extmetadata": {"DateTime": {"value": "2017-10-17 17:42:42", "source": "mediawiki-metadata", "hidden": ""}, "ObjectName": {"value": "Cabeza de toro", "source": "mediawiki-metadata"}, "CommonsMetadataExtension": {"value": 1.2, "source": "extension", "hidden": ""}, "Categories": {"value": "Toro de lidia|Museo Taurino, Sevilla|Self-published work|Taxidermied bull heads", "source": "commons-categories", "hidden": ""}, "Assessments": {"value": "", "source": "commons-categories", "hidden": ""}, "ImageDescription": {"value": "Cabeza de toro. Museo Taurino. Plaza de toros de la Maestranza. Sevilla, Andalucía, España.", "source": "commons-desc-page"}, "DateTimeOriginal": {"value": "2017-10-16 18:55:33",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"https://thumb.wikimedia.org/wikipedia/commons/thumb/f/fa/Cabeza_de_toro.jpg/1280px-Cabeza_de_toro.jpg"}, "retrieved_on": "2026-10-25"}</t>
        </is>
      </c>
    </row>
    <row r="81" ht="54" customHeight="1">
      <c r="A81" s="29" t="inlineStr">
        <is>
          <t>sevilla:evidence:museo-historico-militar-sevilla-01</t>
        </is>
      </c>
      <c r="B81" s="29" t="inlineStr">
        <is>
          <t>sevilla</t>
        </is>
      </c>
      <c r="C81" s="29" t="inlineStr">
        <is>
          <t>sevilla:photo:museo-historico-militar-sevilla-01</t>
        </is>
      </c>
      <c r="D81" s="29" t="inlineStr">
        <is>
          <t>https://commons.wikimedia.org/wiki/File:3,7cm_Pak_at_Museo_Historico_Militar_de_Sevilla_001.jpg</t>
        </is>
      </c>
      <c r="E81" s="29" t="inlineStr">
        <is>
          <t>File:3,7cm Pak at Museo Historico Militar de Sevilla 001.jpg</t>
        </is>
      </c>
      <c r="F81" s="29" t="inlineStr">
        <is>
          <t>Reisender.ab</t>
        </is>
      </c>
      <c r="G81" s="29" t="inlineStr">
        <is>
          <t>CC BY-SA 4.0</t>
        </is>
      </c>
      <c r="H81" s="29" t="inlineStr">
        <is>
          <t>https://creativecommons.org/licenses/by-sa/4.0/</t>
        </is>
      </c>
      <c r="I81" s="29" t="inlineStr">
        <is>
          <t>Creative Commons Attribution-Share Alike 4.0</t>
        </is>
      </c>
      <c r="J81" s="29" t="inlineStr">
        <is>
          <t>Reisender.ab · CC BY-SA 4.0 · Wikimedia Commons</t>
        </is>
      </c>
      <c r="K81" s="29" t="n"/>
      <c r="L81" s="49" t="n">
        <v>46320</v>
      </c>
      <c r="M81" s="29" t="inlineStr">
        <is>
          <t>Bekliyor</t>
        </is>
      </c>
      <c r="N81" s="29" t="inlineStr">
        <is>
          <t>Bekliyor</t>
        </is>
      </c>
      <c r="O81" s="29" t="inlineStr">
        <is>
          <t>Fotoğraflar/sevilla_museo-historico-militar-sevilla_01.jpg</t>
        </is>
      </c>
      <c r="P81" s="29" t="inlineStr">
        <is>
          <t>Askerî Tarih Müzesi'nde tablolar ve top sergilenen salon.</t>
        </is>
      </c>
      <c r="Q81" s="29" t="inlineStr">
        <is>
          <t>Bekliyor</t>
        </is>
      </c>
      <c r="R81" s="29" t="inlineStr">
        <is>
          <t>Wikimedia Commons dosya sayfasındaki lisans: CC BY-SA 4.0</t>
        </is>
      </c>
      <c r="S81" s="29" t="inlineStr">
        <is>
          <t>Lisans kanıtları/museo-historico-militar-sevilla-01.source-evidence.json</t>
        </is>
      </c>
      <c r="T81" s="29" t="inlineStr">
        <is>
          <t>93db624240d675e9b627f55285e0687c788ed5bde9aeef83598488eb361e4027</t>
        </is>
      </c>
      <c r="U81" s="29" t="inlineStr">
        <is>
          <t>Lisans kanıtları/museo-historico-militar-sevilla-01.license-evidence.json</t>
        </is>
      </c>
      <c r="V81" s="29" t="inlineStr">
        <is>
          <t>7a69aaf480446c990b77211067798bbab69af991d782341b3cf56c7387db460a</t>
        </is>
      </c>
      <c r="W81" s="29" t="inlineStr">
        <is>
          <t>{"source_url": "https://commons.wikimedia.org/wiki/File:3,7cm_Pak_at_Museo_Historico_Militar_de_Sevilla_001.jpg", "author": "Reisender.ab", "license": "CC BY-SA 4.0", "license_url": "https://creativecommons.org/licenses/by-sa/4.0/", "original_api_record": {"size": 1789327, "width": 4032, "height": 3024, "thumburl": "https://thumb.wikimedia.org/wikipedia/commons/thumb/d/d0/3%2C7cm_Pak_at_Museo_Historico_Militar_de_Sevilla_001.jpg/1280px-3%2C7cm_Pak_at_Museo_Historico_Militar_de_Sevilla_001.jpg", "thumbwidth": 1280, "thumbheight": 960, "responsiveUrls": {"2": "https://thumb.wikimedia.org/wikipedia/commons/thumb/d/d0/3%2C7cm_Pak_at_Museo_Historico_Militar_de_Sevilla_001.jpg/3840px-3%2C7cm_Pak_at_Museo_Historico_Militar_de_Sevilla_001.jpg"}, "thumbattribs": {"src": "https://thumb.wikimedia.org/wikipedia/commons/thumb/d/d0/3%2C7cm_Pak_at_Museo_Historico_Militar_de_Sevilla_001.jpg/1280px-3%2C7cm_Pak_at_Museo_Historico_Militar_de_Sevilla_001.jpg", "decoding": "async", "loading": "lazy", "width": 1280, "height": 960, "srcset": "https://thumb.wikimedia.org/wikipedia/commons/thumb/d/d0/3%2C7cm_Pak_at_Museo_Historico_Militar_de_Sevilla_001.jpg/3840px-3%2C7cm_Pak_at_Museo_Historico_Militar_de_Sevilla_001.jpg 2x"}, "url": "https://upload.wikimedia.org/wikipedia/commons/d/d0/3%2C7cm_Pak_at_Museo_Historico_Militar_de_Sevilla_001.jpg", "descriptionurl": "https://commons.wikimedia.org/wiki/File:3,7cm_Pak_at_Museo_Historico_Militar_de_Sevilla_001.jpg", "descriptionshorturl": "https://commons.wikimedia.org/w/index.php?curid=167248786", "sha1": "a2c79024065e5f08404c66f22ca907d7f905b288", "extmetadata": {"DateTime": {"value": "2025-06-09 20:08:43", "source": "mediawiki-metadata", "hidden": ""}, "ObjectName": {"value": "3,7cm Pak at Museo Historico Militar de Sevilla 001", "source": "mediawiki-metadata"}, "CommonsMetadataExtension": {"value": 1.2, "source": "extension", "hidden": ""}, "Categories": {"value": "Self-published work|3.7 cm PaK 35/36 in museums|Collections of the Museo Histórico Militar de Sevilla", "source": "commons-categories", "hidden": ""}, "Assessments": {"value": "", "source": "commons-categories", "hidden": ""}, "ImageDescription": {"value": "German 3,7-cm Antitank Gun at Museo Miliar Regional in Sevilla", "source": "commons-desc-page"}, "DateTimeOriginal": {"value": "2025-06-09", "source": "commons-desc-page"}, "Credit": {"value": "&lt;span class=\"int-own-work\" lang=\"en\"&gt;Own work&lt;/span&gt;", "source": "commons-desc-page"}, "Artist": {"value": "&lt;a href=\"//commons.wikimedia.org/w/index.php?title=User:Reisender.ab&amp;amp;action=edit&amp;amp;redlink=1\" class=\"new\" title=\"User:Reisender.ab (page does not exist)\"&gt;Reisender.ab&lt;/a&gt;",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"https://thumb.wikimedia.org/wikipedia/commons/thumb/d/d0/3%2C7cm_Pak_at_Museo_Historico_Militar_de_Sevilla_001.jpg/1280px-3%2C7cm_Pak_at_Museo_Historico_Militar_de_Sevilla_001.jpg"}, "retrieved_on": "2026-10-25"}</t>
        </is>
      </c>
    </row>
    <row r="82" ht="54" customHeight="1">
      <c r="A82" s="29" t="inlineStr">
        <is>
          <t>sevilla:evidence:museo-historico-militar-sevilla-02</t>
        </is>
      </c>
      <c r="B82" s="29" t="inlineStr">
        <is>
          <t>sevilla</t>
        </is>
      </c>
      <c r="C82" s="29" t="inlineStr">
        <is>
          <t>sevilla:photo:museo-historico-militar-sevilla-02</t>
        </is>
      </c>
      <c r="D82" s="29" t="inlineStr">
        <is>
          <t>https://commons.wikimedia.org/wiki/File:Ametralladora_01.jpg</t>
        </is>
      </c>
      <c r="E82" s="29" t="inlineStr">
        <is>
          <t>File:Ametralladora 01.jpg</t>
        </is>
      </c>
      <c r="F82" s="29" t="inlineStr">
        <is>
          <t>CarlosVdeHabsburgo</t>
        </is>
      </c>
      <c r="G82" s="29" t="inlineStr">
        <is>
          <t>CC BY-SA 4.0</t>
        </is>
      </c>
      <c r="H82" s="29" t="inlineStr">
        <is>
          <t>https://creativecommons.org/licenses/by-sa/4.0/</t>
        </is>
      </c>
      <c r="I82" s="29" t="inlineStr">
        <is>
          <t>Creative Commons Attribution-Share Alike 4.0</t>
        </is>
      </c>
      <c r="J82" s="29" t="inlineStr">
        <is>
          <t>CarlosVdeHabsburgo · CC BY-SA 4.0 · Wikimedia Commons</t>
        </is>
      </c>
      <c r="K82" s="29" t="n"/>
      <c r="L82" s="49" t="n">
        <v>46320</v>
      </c>
      <c r="M82" s="29" t="inlineStr">
        <is>
          <t>Bekliyor</t>
        </is>
      </c>
      <c r="N82" s="29" t="inlineStr">
        <is>
          <t>Bekliyor</t>
        </is>
      </c>
      <c r="O82" s="29" t="inlineStr">
        <is>
          <t>Fotoğraflar/sevilla_museo-historico-militar-sevilla_02.jpg</t>
        </is>
      </c>
      <c r="P82" s="29" t="inlineStr">
        <is>
          <t>Askerî Tarih Müzesi'nde sergilenen helikopter ve askerî araçlar.</t>
        </is>
      </c>
      <c r="Q82" s="29" t="inlineStr">
        <is>
          <t>Bekliyor</t>
        </is>
      </c>
      <c r="R82" s="29" t="inlineStr">
        <is>
          <t>Wikimedia Commons dosya sayfasındaki lisans: CC BY-SA 4.0</t>
        </is>
      </c>
      <c r="S82" s="29" t="inlineStr">
        <is>
          <t>Lisans kanıtları/museo-historico-militar-sevilla-02.source-evidence.json</t>
        </is>
      </c>
      <c r="T82" s="29" t="inlineStr">
        <is>
          <t>5954eb5bb0730ad15fe69cc0341faa0b00f11971f481489895c3ab129f312acb</t>
        </is>
      </c>
      <c r="U82" s="29" t="inlineStr">
        <is>
          <t>Lisans kanıtları/museo-historico-militar-sevilla-02.license-evidence.json</t>
        </is>
      </c>
      <c r="V82" s="29" t="inlineStr">
        <is>
          <t>b717d80be20fff241d0027f19e84b3232eca8f9ea01641b9a53188933584f533</t>
        </is>
      </c>
      <c r="W82" s="29" t="inlineStr">
        <is>
          <t>{"source_url": "https://commons.wikimedia.org/wiki/File:Ametralladora_01.jpg", "author": "CarlosVdeHabsburgo", "license": "CC BY-SA 4.0", "license_url": "https://creativecommons.org/licenses/by-sa/4.0/", "original_api_record": {"size": 5310976, "width": 4000, "height": 3000, "thumburl": "https://thumb.wikimedia.org/wikipedia/commons/thumb/9/9f/Ametralladora_01.jpg/1280px-Ametralladora_01.jpg", "thumbwidth": 1280, "thumbheight": 960, "responsiveUrls": {"2": "https://thumb.wikimedia.org/wikipedia/commons/thumb/9/9f/Ametralladora_01.jpg/3840px-Ametralladora_01.jpg"}, "thumbattribs": {"src": "https://thumb.wikimedia.org/wikipedia/commons/thumb/9/9f/Ametralladora_01.jpg/1280px-Ametralladora_01.jpg", "decoding": "async", "loading": "lazy", "width": 1280, "height": 960, "srcset": "https://thumb.wikimedia.org/wikipedia/commons/thumb/9/9f/Ametralladora_01.jpg/3840px-Ametralladora_01.jpg 2x"}, "url": "https://upload.wikimedia.org/wikipedia/commons/9/9f/Ametralladora_01.jpg", "descriptionurl": "https://commons.wikimedia.org/wiki/File:Ametralladora_01.jpg", "descriptionshorturl": "https://commons.wikimedia.org/w/index.php?curid=132894021", "sha1": "abf93f98f66f49ed8ab82949e708526dc47acca5", "extmetadata": {"DateTime": {"value": "2023-06-10 17:43:08", "source": "mediawiki-metadata", "hidden": ""}, "ObjectName": {"value": "Ametralladora 01", "source": "mediawiki-metadata"}, "CommonsMetadataExtension": {"value": 1.2, "source": "extension", "hidden": ""}, "Categories": {"value": "Machine guns of Spain|Self-published work|Collections of the Museo Histórico Militar de Sevilla", "source": "commons-categories", "hidden": ""}, "Assessments": {"value": "", "source": "commons-categories", "hidden": ""}, "ImageDescription": {"value": "Ametralladora en el Museo Histórico Militar de Sevilla. Andalucía, España.", "source": "commons-desc-page"}, "DateTimeOriginal": {"value": "2023-06-10 12:24:08",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"https://thumb.wikimedia.org/wikipedia/commons/thumb/9/9f/Ametralladora_01.jpg/1280px-Ametralladora_01.jpg"}, "retrieved_on": "2026-10-25"}</t>
        </is>
      </c>
    </row>
    <row r="83" ht="54" customHeight="1">
      <c r="A83" s="29" t="inlineStr">
        <is>
          <t>sevilla:evidence:museo-historico-militar-sevilla-03</t>
        </is>
      </c>
      <c r="B83" s="29" t="inlineStr">
        <is>
          <t>sevilla</t>
        </is>
      </c>
      <c r="C83" s="29" t="inlineStr">
        <is>
          <t>sevilla:photo:museo-historico-militar-sevilla-03</t>
        </is>
      </c>
      <c r="D83" s="29" t="inlineStr">
        <is>
          <t>https://commons.wikimedia.org/wiki/File:Ametralladoras.JPG</t>
        </is>
      </c>
      <c r="E83" s="29" t="inlineStr">
        <is>
          <t>File:Ametralladoras.JPG</t>
        </is>
      </c>
      <c r="F83" s="29" t="inlineStr">
        <is>
          <t>CarlosVdeHabsburgo</t>
        </is>
      </c>
      <c r="G83" s="29" t="inlineStr">
        <is>
          <t>CC BY-SA 3.0</t>
        </is>
      </c>
      <c r="H83" s="29" t="inlineStr">
        <is>
          <t>https://creativecommons.org/licenses/by-sa/3.0/</t>
        </is>
      </c>
      <c r="I83" s="29" t="inlineStr">
        <is>
          <t>Creative Commons Attribution-Share Alike 3.0</t>
        </is>
      </c>
      <c r="J83" s="29" t="inlineStr">
        <is>
          <t>CarlosVdeHabsburgo · CC BY-SA 3.0 · Wikimedia Commons</t>
        </is>
      </c>
      <c r="K83" s="29" t="n"/>
      <c r="L83" s="49" t="n">
        <v>46320</v>
      </c>
      <c r="M83" s="29" t="inlineStr">
        <is>
          <t>Bekliyor</t>
        </is>
      </c>
      <c r="N83" s="29" t="inlineStr">
        <is>
          <t>Bekliyor</t>
        </is>
      </c>
      <c r="O83" s="29" t="inlineStr">
        <is>
          <t>Fotoğraflar/sevilla_museo-historico-militar-sevilla_03.jpg</t>
        </is>
      </c>
      <c r="P83" s="29" t="inlineStr">
        <is>
          <t>Askerî Tarih Müzesi'nde duvarlara dizili tüfeklerin bulunduğu salon.</t>
        </is>
      </c>
      <c r="Q83" s="29" t="inlineStr">
        <is>
          <t>Bekliyor</t>
        </is>
      </c>
      <c r="R83" s="29" t="inlineStr">
        <is>
          <t>Wikimedia Commons dosya sayfasındaki lisans: CC BY-SA 3.0</t>
        </is>
      </c>
      <c r="S83" s="29" t="inlineStr">
        <is>
          <t>Lisans kanıtları/museo-historico-militar-sevilla-03.source-evidence.json</t>
        </is>
      </c>
      <c r="T83" s="29" t="inlineStr">
        <is>
          <t>f9ef1c55e8f58f323f4f0cbd301fcb8b7070b8251c0d26da2d985a8c0858b28c</t>
        </is>
      </c>
      <c r="U83" s="29" t="inlineStr">
        <is>
          <t>Lisans kanıtları/museo-historico-militar-sevilla-03.license-evidence.json</t>
        </is>
      </c>
      <c r="V83" s="29" t="inlineStr">
        <is>
          <t>d661a559c6725bbc0be6200941878788983fdf33f5e514902a81970da85e3b72</t>
        </is>
      </c>
      <c r="W83" s="29" t="inlineStr">
        <is>
          <t>{"source_url": "https://commons.wikimedia.org/wiki/File:Ametralladoras.JPG", "author": "CarlosVdeHabsburgo", "license": "CC BY-SA 3.0", "license_url": "https://creativecommons.org/licenses/by-sa/3.0/", "original_api_record": {"size": 1807667, "width": 3072, "height": 2304, "thumburl": "https://thumb.wikimedia.org/wikipedia/commons/thumb/5/5b/Ametralladoras.JPG/1280px-Ametralladoras.JPG", "thumbwidth": 1280, "thumbheight": 960, "responsiveUrls": {"2": "https://upload.wikimedia.org/wikipedia/commons/5/5b/Ametralladoras.JPG"}, "thumbattribs": {"src": "https://thumb.wikimedia.org/wikipedia/commons/thumb/5/5b/Ametralladoras.JPG/1280px-Ametralladoras.JPG", "decoding": "async", "loading": "lazy", "width": 1280, "height": 960, "srcset": "https://upload.wikimedia.org/wikipedia/commons/5/5b/Ametralladoras.JPG 2x"}, "url": "https://upload.wikimedia.org/wikipedia/commons/5/5b/Ametralladoras.JPG", "descriptionurl": "https://commons.wikimedia.org/wiki/File:Ametralladoras.JPG", "descriptionshorturl": "https://commons.wikimedia.org/w/index.php?curid=26309053", "sha1": "f6aab528eb0ef8b82d7d9bb1b019c654c26267c9", "extmetadata": {"DateTime": {"value": "2013-05-25 17:26:42", "source": "mediawiki-metadata", "hidden": ""}, "ObjectName": {"value": "Ametralladoras", "source": "mediawiki-metadata"}, "CommonsMetadataExtension": {"value": 1.2, "source": "extension", "hidden": ""}, "Categories": {"value": "Military of Spain|Self-published work|Machine guns of the Spanish Army|Collections of the Museo Histórico Militar de Sevilla", "source": "commons-categories", "hidden": ""}, "Assessments": {"value": "", "source": "commons-categories", "hidden": ""}, "ImageDescription": {"value": "Fusiles de asalto y ametralladoras ligeras en el Museo Histórico Militar de Sevilla, en España.", "source": "commons-desc-page"}, "DateTimeOriginal": {"value": "2013",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"https://thumb.wikimedia.org/wikipedia/commons/thumb/5/5b/Ametralladoras.JPG/1280px-Ametralladoras.JPG"}, "retrieved_on": "2026-10-25"}</t>
        </is>
      </c>
    </row>
    <row r="84" ht="54" customHeight="1">
      <c r="A84" s="29" t="inlineStr">
        <is>
          <t>sevilla:evidence:museo-maritimo-torre-del-oro-01</t>
        </is>
      </c>
      <c r="B84" s="29" t="inlineStr">
        <is>
          <t>sevilla</t>
        </is>
      </c>
      <c r="C84" s="29" t="inlineStr">
        <is>
          <t>sevilla:photo:museo-maritimo-torre-del-oro-01</t>
        </is>
      </c>
      <c r="D84" s="29" t="inlineStr">
        <is>
          <t>https://commons.wikimedia.org/wiki/File:Cumbre_Torre_del_Oro.jpg</t>
        </is>
      </c>
      <c r="E84" s="29" t="inlineStr">
        <is>
          <t>File:Cumbre Torre del Oro.jpg</t>
        </is>
      </c>
      <c r="F84" s="29" t="inlineStr">
        <is>
          <t>Gzzz</t>
        </is>
      </c>
      <c r="G84" s="29" t="inlineStr">
        <is>
          <t>CC BY-SA 4.0</t>
        </is>
      </c>
      <c r="H84" s="29" t="inlineStr">
        <is>
          <t>https://creativecommons.org/licenses/by-sa/4.0/</t>
        </is>
      </c>
      <c r="I84" s="29" t="inlineStr">
        <is>
          <t>Creative Commons Attribution-Share Alike 4.0</t>
        </is>
      </c>
      <c r="J84" s="29" t="inlineStr">
        <is>
          <t>Gzzz · CC BY-SA 4.0 · Wikimedia Commons</t>
        </is>
      </c>
      <c r="K84" s="29" t="n"/>
      <c r="L84" s="49" t="n">
        <v>46320</v>
      </c>
      <c r="M84" s="29" t="inlineStr">
        <is>
          <t>Bekliyor</t>
        </is>
      </c>
      <c r="N84" s="29" t="inlineStr">
        <is>
          <t>Bekliyor</t>
        </is>
      </c>
      <c r="O84" s="29" t="inlineStr">
        <is>
          <t>Fotoğraflar/sevilla_museo-maritimo-torre-del-oro_01.jpg</t>
        </is>
      </c>
      <c r="P84" s="29" t="inlineStr">
        <is>
          <t>Torre del Oro'nun yukarı doğru daralan tuğla ve taş gövdesi.</t>
        </is>
      </c>
      <c r="Q84" s="29" t="inlineStr">
        <is>
          <t>Bekliyor</t>
        </is>
      </c>
      <c r="R84" s="29" t="inlineStr">
        <is>
          <t>Wikimedia Commons dosya sayfasındaki lisans: CC BY-SA 4.0</t>
        </is>
      </c>
      <c r="S84" s="29" t="inlineStr">
        <is>
          <t>Lisans kanıtları/museo-maritimo-torre-del-oro-01.source-evidence.json</t>
        </is>
      </c>
      <c r="T84" s="29" t="inlineStr">
        <is>
          <t>3ea46b56de207df66ab1d6e1f46f9bd950161befc4d3da47a18047dd0ba7cade</t>
        </is>
      </c>
      <c r="U84" s="29" t="inlineStr">
        <is>
          <t>Lisans kanıtları/museo-maritimo-torre-del-oro-01.license-evidence.json</t>
        </is>
      </c>
      <c r="V84" s="29" t="inlineStr">
        <is>
          <t>b3a883c190238c098405ba97471eed05193399d21b7bac59e380aeb8dae04067</t>
        </is>
      </c>
      <c r="W84" s="29" t="inlineStr">
        <is>
          <t>{"source_url": "https://commons.wikimedia.org/wiki/File:Cumbre_Torre_del_Oro.jpg", "author": "Gzzz", "license": "CC BY-SA 4.0", "license_url": "https://creativecommons.org/licenses/by-sa/4.0/", "original_api_record": {"size": 12699196, "width": 3712, "height": 5568, "thumburl": "https://thumb.wikimedia.org/wikipedia/commons/thumb/f/f9/Cumbre_Torre_del_Oro.jpg/1280px-Cumbre_Torre_del_Oro.jpg", "thumbwidth": 1280, "thumbheight": 1920, "responsiveUrls": {"2": "https://upload.wikimedia.org/wikipedia/commons/f/f9/Cumbre_Torre_del_Oro.jpg"}, "thumbattribs": {"src": "https://thumb.wikimedia.org/wikipedia/commons/thumb/f/f9/Cumbre_Torre_del_Oro.jpg/1280px-Cumbre_Torre_del_Oro.jpg", "decoding": "async", "loading": "lazy", "width": 1280, "height": 1920, "srcset": "https://upload.wikimedia.org/wikipedia/commons/f/f9/Cumbre_Torre_del_Oro.jpg 2x"}, "url": "https://upload.wikimedia.org/wikipedia/commons/f/f9/Cumbre_Torre_del_Oro.jpg", "descriptionurl": "https://commons.wikimedia.org/wiki/File:Cumbre_Torre_del_Oro.jpg", "descriptionshorturl": "https://commons.wikimedia.org/w/index.php?curid=85546303", "sha1": "e8f59c94e2761cc9243e54c8ba16fccceb331f1d", "extmetadata": {"DateTime": {"value": "2020-01-02 20:37:07", "source": "mediawiki-metadata", "hidden": ""}, "ObjectName": {"value": "Cumbre Torre del Oro", "source": "mediawiki-metadata"}, "CommonsMetadataExtension": {"value": 1.2, "source": "extension", "hidden": ""}, "Categories": {"value": "Torre del Oro|Self-published work|Files with coordinates missing SDC location of creation|Spain photographs taken on 2019-10-17", "source": "commons-categories", "hidden": ""}, "Assessments": {"value": "", "source": "commons-categories", "hidden": ""}, "GPSLatitude": {"value": "37.382419", "source": "commons-desc-page"}, "GPSLongitude": {"value": "-5.996329", "source": "commons-desc-page"}, "GPSMapDatum": {"value": "WGS-84", "source": "commons-desc-page", "hidden": ""}, "ImageDescription": {"value": "The top of the Torre del Oro (Seville, Spain), from the terrace of the first level.", "source": "commons-desc-page"}, "DateTimeOriginal": {"value": "2019-10-17 16:39:20", "source": "commons-desc-page"}, "Credit": {"value": "&lt;span class=\"int-own-work\" lang=\"en\"&gt;Own work&lt;/span&gt;", "source": "commons-desc-page"}, "Artist": {"value": "&lt;a href=\"//commons.wikimedia.org/wiki/User:Gzzz\" title=\"User:Gzzz\"&gt;Gzzz&lt;/a&gt;",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"https://thumb.wikimedia.org/wikipedia/commons/thumb/f/f9/Cumbre_Torre_del_Oro.jpg/1280px-Cumbre_Torre_del_Oro.jpg"}, "retrieved_on": "2026-10-25"}</t>
        </is>
      </c>
    </row>
    <row r="85" ht="54" customHeight="1">
      <c r="A85" s="29" t="inlineStr">
        <is>
          <t>sevilla:evidence:museo-maritimo-torre-del-oro-02</t>
        </is>
      </c>
      <c r="B85" s="29" t="inlineStr">
        <is>
          <t>sevilla</t>
        </is>
      </c>
      <c r="C85" s="29" t="inlineStr">
        <is>
          <t>sevilla:photo:museo-maritimo-torre-del-oro-02</t>
        </is>
      </c>
      <c r="D85" s="29" t="inlineStr">
        <is>
          <t>https://commons.wikimedia.org/wiki/File:Sevilla_(Spanien);_Torre_del_Oro_f.jpg</t>
        </is>
      </c>
      <c r="E85" s="29" t="inlineStr">
        <is>
          <t>File:Sevilla (Spanien); Torre del Oro f.jpg</t>
        </is>
      </c>
      <c r="F85" s="29" t="inlineStr">
        <is>
          <t>Colling-architektur</t>
        </is>
      </c>
      <c r="G85" s="29" t="inlineStr">
        <is>
          <t>CC BY-SA 3.0</t>
        </is>
      </c>
      <c r="H85" s="29" t="inlineStr">
        <is>
          <t>https://creativecommons.org/licenses/by-sa/3.0/</t>
        </is>
      </c>
      <c r="I85" s="29" t="inlineStr">
        <is>
          <t>Creative Commons Attribution-Share Alike 3.0</t>
        </is>
      </c>
      <c r="J85" s="29" t="inlineStr">
        <is>
          <t>Colling-architektur · CC BY-SA 3.0 · Wikimedia Commons</t>
        </is>
      </c>
      <c r="K85" s="29" t="n"/>
      <c r="L85" s="49" t="n">
        <v>46320</v>
      </c>
      <c r="M85" s="29" t="inlineStr">
        <is>
          <t>Bekliyor</t>
        </is>
      </c>
      <c r="N85" s="29" t="inlineStr">
        <is>
          <t>Bekliyor</t>
        </is>
      </c>
      <c r="O85" s="29" t="inlineStr">
        <is>
          <t>Fotoğraflar/sevilla_museo-maritimo-torre-del-oro_02.jpg</t>
        </is>
      </c>
      <c r="P85" s="29" t="inlineStr">
        <is>
          <t>Torre del Oro'daki Denizcilik Müzesi'nde gravürlerin asılı olduğu sarı duvarlı oda.</t>
        </is>
      </c>
      <c r="Q85" s="29" t="inlineStr">
        <is>
          <t>Bekliyor</t>
        </is>
      </c>
      <c r="R85" s="29" t="inlineStr">
        <is>
          <t>Wikimedia Commons dosya sayfasındaki lisans: CC BY-SA 3.0</t>
        </is>
      </c>
      <c r="S85" s="29" t="inlineStr">
        <is>
          <t>Lisans kanıtları/museo-maritimo-torre-del-oro-02.source-evidence.json</t>
        </is>
      </c>
      <c r="T85" s="29" t="inlineStr">
        <is>
          <t>433fdf41a391dfce3086e9c0a07b5115e89ebe95697db3fd237d85e52273764e</t>
        </is>
      </c>
      <c r="U85" s="29" t="inlineStr">
        <is>
          <t>Lisans kanıtları/museo-maritimo-torre-del-oro-02.license-evidence.json</t>
        </is>
      </c>
      <c r="V85" s="29" t="inlineStr">
        <is>
          <t>48df0b3db5faff7fa556258d285563b53f6b7826835c45000b849dea9fd4493b</t>
        </is>
      </c>
      <c r="W85" s="29" t="inlineStr">
        <is>
          <t>{"source_url": "https://commons.wikimedia.org/wiki/File:Sevilla_(Spanien);_Torre_del_Oro_f.jpg", "author": "Colling-architektur", "license": "CC BY-SA 3.0", "license_url": "https://creativecommons.org/licenses/by-sa/3.0/", "original_api_record": {"size": 2560558, "width": 3456, "height": 5184, "thumburl": "https://thumb.wikimedia.org/wikipedia/commons/thumb/b/b0/Sevilla_%28Spanien%29%3B_Torre_del_Oro_f.jpg/1280px-Sevilla_%28Spanien%29%3B_Torre_del_Oro_f.jpg", "thumbwidth": 1280, "thumbheight": 1920, "responsiveUrls": {"2": "https://upload.wikimedia.org/wikipedia/commons/b/b0/Sevilla_%28Spanien%29%3B_Torre_del_Oro_f.jpg"}, "thumbattribs": {"src": "https://thumb.wikimedia.org/wikipedia/commons/thumb/b/b0/Sevilla_%28Spanien%29%3B_Torre_del_Oro_f.jpg/1280px-Sevilla_%28Spanien%29%3B_Torre_del_Oro_f.jpg", "decoding": "async", "loading": "lazy", "width": 1280, "height": 1920, "srcset": "https://upload.wikimedia.org/wikipedia/commons/b/b0/Sevilla_%28Spanien%29%3B_Torre_del_Oro_f.jpg 2x"}, "url": "https://upload.wikimedia.org/wikipedia/commons/b/b0/Sevilla_%28Spanien%29%3B_Torre_del_Oro_f.jpg", "descriptionurl": "https://commons.wikimedia.org/wiki/File:Sevilla_(Spanien);_Torre_del_Oro_f.jpg", "descriptionshorturl": "https://commons.wikimedia.org/w/index.php?curid=68019056", "sha1": "c0e19d05d09102ccfc8cc8daf3845daa635b77a0", "extmetadata": {"DateTime": {"value": "2018-04-04 16:38:50", "source": "mediawiki-metadata", "hidden": ""}, "ObjectName": {"value": "Sevilla (Spanien); Torre del Oro f", "source": "mediawiki-metadata"}, "CommonsMetadataExtension": {"value": 1.2, "source": "extension", "hidden": ""}, "Categories": {"value": "Museo Naval Torre del Oro (Sevilla)|Self-published work", "source": "commons-categories", "hidden": ""}, "Assessments": {"value": "", "source": "commons-categories", "hidden": ""}, "ImageDescription": {"value": "41001–41080 Sevilla. Torre del Oro. Museumseingang im Turm. Aufnahme von 2018.", "source": "commons-desc-page"}, "DateTimeOriginal": {"value": "2018-03-18 15:07:09", "source": "commons-desc-page"}, "Credit": {"value": "&lt;span class=\"int-own-work\" lang=\"en\"&gt;Own work&lt;/span&gt;", "source": "commons-desc-page"}, "Artist": {"value": "&lt;a href=\"//commons.wikimedia.org/wiki/User:Colling-architektur\" title=\"User:Colling-architektur\"&gt;Colling-architektur&lt;/a&gt;",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"https://thumb.wikimedia.org/wikipedia/commons/thumb/b/b0/Sevilla_%28Spanien%29%3B_Torre_del_Oro_f.jpg/1280px-Sevilla_%28Spanien%29%3B_Torre_del_Oro_f.jpg"}, "retrieved_on": "2026-10-25"}</t>
        </is>
      </c>
    </row>
    <row r="86" ht="54" customHeight="1">
      <c r="A86" s="29" t="inlineStr">
        <is>
          <t>sevilla:evidence:caac-centro-andaluz-arte-contemporaneo-01</t>
        </is>
      </c>
      <c r="B86" s="29" t="inlineStr">
        <is>
          <t>sevilla</t>
        </is>
      </c>
      <c r="C86" s="29" t="inlineStr">
        <is>
          <t>sevilla:photo:caac-centro-andaluz-arte-contemporaneo-01</t>
        </is>
      </c>
      <c r="D86" s="29" t="inlineStr">
        <is>
          <t>https://commons.wikimedia.org/wiki/File:CAACfeb14.jpg</t>
        </is>
      </c>
      <c r="E86" s="29" t="inlineStr">
        <is>
          <t>File:CAACfeb14.jpg</t>
        </is>
      </c>
      <c r="F86" s="29" t="inlineStr">
        <is>
          <t>Caleteron</t>
        </is>
      </c>
      <c r="G86" s="29" t="inlineStr">
        <is>
          <t>CC BY-SA 3.0</t>
        </is>
      </c>
      <c r="H86" s="29" t="inlineStr">
        <is>
          <t>https://creativecommons.org/licenses/by-sa/3.0/</t>
        </is>
      </c>
      <c r="I86" s="29" t="inlineStr">
        <is>
          <t>Creative Commons Attribution-Share Alike 3.0</t>
        </is>
      </c>
      <c r="J86" s="29" t="inlineStr">
        <is>
          <t>Caleteron · CC BY-SA 3.0 · Wikimedia Commons</t>
        </is>
      </c>
      <c r="K86" s="29" t="n"/>
      <c r="L86" s="49" t="n">
        <v>46320</v>
      </c>
      <c r="M86" s="29" t="inlineStr">
        <is>
          <t>Bekliyor</t>
        </is>
      </c>
      <c r="N86" s="29" t="inlineStr">
        <is>
          <t>Bekliyor</t>
        </is>
      </c>
      <c r="O86" s="29" t="inlineStr">
        <is>
          <t>Fotoğraflar/sevilla_caac-centro-andaluz-arte-contemporaneo_01.jpg</t>
        </is>
      </c>
      <c r="P86" s="29" t="inlineStr">
        <is>
          <t>Endülüs Çağdaş Sanat Merkezi'nin sarı duvarı ve pencerelerden çıkan el-yüz yerleştirmesi.</t>
        </is>
      </c>
      <c r="Q86" s="29" t="inlineStr">
        <is>
          <t>Bekliyor</t>
        </is>
      </c>
      <c r="R86" s="29" t="inlineStr">
        <is>
          <t>Wikimedia Commons dosya sayfasındaki lisans: CC BY-SA 3.0</t>
        </is>
      </c>
      <c r="S86" s="29" t="inlineStr">
        <is>
          <t>Lisans kanıtları/caac-centro-andaluz-arte-contemporaneo-01.source-evidence.json</t>
        </is>
      </c>
      <c r="T86" s="29" t="inlineStr">
        <is>
          <t>5531771f4f9ea60a8f09091a095bfa908b47e7e5efde7052c5961aa1cfeab310</t>
        </is>
      </c>
      <c r="U86" s="29" t="inlineStr">
        <is>
          <t>Lisans kanıtları/caac-centro-andaluz-arte-contemporaneo-01.license-evidence.json</t>
        </is>
      </c>
      <c r="V86" s="29" t="inlineStr">
        <is>
          <t>30202fd547ed37fff83594ea32803afb1b23e89808b6a61d041532298ef45f31</t>
        </is>
      </c>
      <c r="W86" s="29" t="inlineStr">
        <is>
          <t>{"source_url": "https://commons.wikimedia.org/wiki/File:CAACfeb14.jpg", "author": "Caleteron", "license": "CC BY-SA 3.0", "license_url": "https://creativecommons.org/licenses/by-sa/3.0/", "original_api_record": {"size": 1023256, "width": 2048, "height": 1536, "thumburl": "https://thumb.wikimedia.org/wikipedia/commons/thumb/b/b7/CAACfeb14.jpg/1280px-CAACfeb14.jpg", "thumbwidth": 1280, "thumbheight": 960, "responsiveUrls": {"2": "https://upload.wikimedia.org/wikipedia/commons/b/b7/CAACfeb14.jpg"}, "thumbattribs": {"src": "https://thumb.wikimedia.org/wikipedia/commons/thumb/b/b7/CAACfeb14.jpg/1280px-CAACfeb14.jpg", "decoding": "async", "loading": "lazy", "width": 1280, "height": 960, "srcset": "https://upload.wikimedia.org/wikipedia/commons/b/b7/CAACfeb14.jpg 2x"}, "url": "https://upload.wikimedia.org/wikipedia/commons/b/b7/CAACfeb14.jpg", "descriptionurl": "https://commons.wikimedia.org/wiki/File:CAACfeb14.jpg", "descriptionshorturl": "https://commons.wikimedia.org/w/index.php?curid=31265405", "sha1": "96313d2e0f473b48bfd85c69abac2e1279eb106b", "extmetadata": {"DateTime": {"value": "2014-02-20 20:09:51", "source": "mediawiki-metadata", "hidden": ""}, "ObjectName": {"value": "CAACfeb14", "source": "mediawiki-metadata"}, "CommonsMetadataExtension": {"value": 1.2, "source": "extension", "hidden": ""}, "Categories": {"value": "GFDL|License migration redundant|Centro Andaluz de Arte Contemporáneo (Sevilla)|Self-published work|February 2014 in Seville", "source": "commons-categories", "hidden": ""}, "Assessments": {"value": "", "source": "commons-categories", "hidden": ""}, "ImageDescription": {"value": "Centro Andaluz de Arte Contemporáneo (CAAC) en Sevilla.", "source": "commons-desc-page"}, "DateTimeOriginal": {"value": "2014-02", "source": "commons-desc-page"}, "Credit": {"value": "&lt;span class=\"int-own-work\" lang=\"en\"&gt;Own work&lt;/span&gt;", "source": "commons-desc-page"}, "Artist": {"value": "&lt;a href=\"//commons.wikimedia.org/wiki/User:Caleteron\" title=\"User:Caleteron\"&gt;Caleteron&lt;/a&gt;",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"https://thumb.wikimedia.org/wikipedia/commons/thumb/b/b7/CAACfeb14.jpg/1280px-CAACfeb14.jpg"}, "retrieved_on": "2026-10-25"}</t>
        </is>
      </c>
    </row>
    <row r="87" ht="54" customHeight="1">
      <c r="A87" s="29" t="inlineStr">
        <is>
          <t>sevilla:evidence:caac-centro-andaluz-arte-contemporaneo-02</t>
        </is>
      </c>
      <c r="B87" s="29" t="inlineStr">
        <is>
          <t>sevilla</t>
        </is>
      </c>
      <c r="C87" s="29" t="inlineStr">
        <is>
          <t>sevilla:photo:caac-centro-andaluz-arte-contemporaneo-02</t>
        </is>
      </c>
      <c r="D87" s="29" t="inlineStr">
        <is>
          <t>https://commons.wikimedia.org/wiki/File:Sevilla_-_Centro_Andaluz_de_Arte_Contempor%C3%A1neo_(Cartuja_de_Santa_Mar%C3%ADa_de_las_Cuevas)_01.jpg</t>
        </is>
      </c>
      <c r="E87" s="29" t="inlineStr">
        <is>
          <t>File:Sevilla - Centro Andaluz de Arte Contemporáneo (Cartuja de Santa María de las Cuevas) 01.jpg</t>
        </is>
      </c>
      <c r="F87" s="29" t="inlineStr">
        <is>
          <t>Zarateman</t>
        </is>
      </c>
      <c r="G87" s="29" t="inlineStr">
        <is>
          <t>CC0 1.0</t>
        </is>
      </c>
      <c r="H87" s="29" t="inlineStr">
        <is>
          <t>https://creativecommons.org/publicdomain/zero/1.0/</t>
        </is>
      </c>
      <c r="I87" s="29" t="inlineStr">
        <is>
          <t>Creative Commons Zero, Public Domain Dedication</t>
        </is>
      </c>
      <c r="J87" s="29" t="inlineStr">
        <is>
          <t>Zarateman · CC0 1.0 · Wikimedia Commons</t>
        </is>
      </c>
      <c r="K87" s="29" t="n"/>
      <c r="L87" s="49" t="n">
        <v>46320</v>
      </c>
      <c r="M87" s="29" t="inlineStr">
        <is>
          <t>Bekliyor</t>
        </is>
      </c>
      <c r="N87" s="29" t="inlineStr">
        <is>
          <t>Bekliyor</t>
        </is>
      </c>
      <c r="O87" s="29" t="inlineStr">
        <is>
          <t>Fotoğraflar/sevilla_caac-centro-andaluz-arte-contemporaneo_02.jpg</t>
        </is>
      </c>
      <c r="P87" s="29" t="inlineStr">
        <is>
          <t>Endülüs Çağdaş Sanat Merkezi'nin sarı duvarları ve arkadaki kubbe, Cartuja Manastırı'nda.</t>
        </is>
      </c>
      <c r="Q87" s="29" t="inlineStr">
        <is>
          <t>Bekliyor</t>
        </is>
      </c>
      <c r="R87" s="29" t="inlineStr">
        <is>
          <t>Wikimedia Commons dosya sayfasındaki lisans: CC0 1.0</t>
        </is>
      </c>
      <c r="S87" s="29" t="inlineStr">
        <is>
          <t>Lisans kanıtları/caac-centro-andaluz-arte-contemporaneo-02.source-evidence.json</t>
        </is>
      </c>
      <c r="T87" s="29" t="inlineStr">
        <is>
          <t>a4ddfa5a40279b662dbc3a832b23fa030e4db2ea8cc5a762538be2cb300e84ce</t>
        </is>
      </c>
      <c r="U87" s="29" t="inlineStr">
        <is>
          <t>Lisans kanıtları/caac-centro-andaluz-arte-contemporaneo-02.license-evidence.json</t>
        </is>
      </c>
      <c r="V87" s="29" t="inlineStr">
        <is>
          <t>d803ee7287315935a7e58bb60d2241a4ed6802b9c5723b09e5e957906b4eb34b</t>
        </is>
      </c>
      <c r="W87" s="29" t="inlineStr">
        <is>
          <t>{"source_url": "https://commons.wikimedia.org/wiki/File:Sevilla_-_Centro_Andaluz_de_Arte_Contempor%C3%A1neo_(Cartuja_de_Santa_Mar%C3%ADa_de_las_Cuevas)_01.jpg", "author": "Zarateman", "license": "CC0 1.0", "license_url": "https://creativecommons.org/publicdomain/zero/1.0/", "original_api_record": {"size": 419797, "width": 2048, "height": 1536, "thumburl": "https://thumb.wikimedia.org/wikipedia/commons/thumb/1/10/Sevilla_-_Centro_Andaluz_de_Arte_Contempor%C3%A1neo_%28Cartuja_de_Santa_Mar%C3%ADa_de_las_Cuevas%29_01.jpg/1280px-Sevilla_-_Centro_Andaluz_de_Arte_Contempor%C3%A1neo_%28Cartuja_de_Santa_Mar%C3%ADa_de_las_Cuevas%29_01.jpg", "thumbwidth": 1280, "thumbheight": 960, "responsiveUrls": {"2": "https://upload.wikimedia.org/wikipedia/commons/1/10/Sevilla_-_Centro_Andaluz_de_Arte_Contempor%C3%A1neo_%28Cartuja_de_Santa_Mar%C3%ADa_de_las_Cuevas%29_01.jpg"}, "thumbattribs": {"src": "https://thumb.wikimedia.org/wikipedia/commons/thumb/1/10/Sevilla_-_Centro_Andaluz_de_Arte_Contempor%C3%A1neo_%28Cartuja_de_Santa_Mar%C3%ADa_de_las_Cuevas%29_01.jpg/1280px-Sevilla_-_Centro_Andaluz_de_Arte_Contempor%C3%A1neo_%28Cartuja_de_Santa_Mar%C3%ADa_de_las_Cuevas%29_01.jpg", "decoding": "async", "loading": "lazy", "width": 1280, "height": 960, "srcset": "https://upload.wikimedia.org/wikipedia/commons/1/10/Sevilla_-_Centro_Andaluz_de_Arte_Contempor%C3%A1neo_%28Cartuja_de_Santa_Mar%C3%ADa_de_las_Cuevas%29_01.jpg 2x"}, "url": "https://upload.wikimedia.org/wikipedia/commons/1/10/Sevilla_-_Centro_Andaluz_de_Arte_Contempor%C3%A1neo_%28Cartuja_de_Santa_Mar%C3%ADa_de_las_Cuevas%29_01.jpg", "descriptionurl": "https://commons.wikimedia.org/wiki/File:Sevilla_-_Centro_Andaluz_de_Arte_Contempor%C3%A1neo_(Cartuja_de_Santa_Mar%C3%ADa_de_las_Cuevas)_01.jpg", "descriptionshorturl": "https://commons.wikimedia.org/w/index.php?curid=160511492", "sha1": "e86911f2d12969708da9a073d52097457a6599c2", "extmetadata": {"DateTime": {"value": "2025-02-24 22:33:47", "source": "mediawiki-metadata", "hidden": ""}, "ObjectName": {"value": "Sevilla - Centro Andaluz de Arte Contemporáneo (Cartuja de Santa María de las Cuevas) 01", "source": "mediawiki-metadata"}, "CommonsMetadataExtension": {"value": 1.2, "source": "extension", "hidden": ""}, "Categories": {"value": "CC-Zero|Centro Andaluz de Arte Contemporáneo (Sevilla)|Self-published work|February 2025 in Seville", "source": "commons-categories", "hidden": ""}, "Assessments": {"value": "", "source": "commons-categories", "hidden": ""}, "ImageDescription": {"value": "Centro Andaluz de Arte Contemporáneo (Cartuja de Santa María de las Cuevas, Sevilla)", "source": "commons-desc-page"}, "DateTimeOriginal": {"value": "2025-02-24", "source": "commons-desc-page"}, "Credit": {"value": "&lt;span class=\"int-own-work\" lang=\"en\"&gt;Own work&lt;/span&gt;", "source": "commons-desc-page"}, "Artist": {"value": "&lt;a href=\"//commons.wikimedia.org/wiki/User:Zarateman\" title=\"User:Zarateman\"&gt;Zarateman&lt;/a&gt;",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1/10/Sevilla_-_Centro_Andaluz_de_Arte_Contempor%C3%A1neo_%28Cartuja_de_Santa_Mar%C3%ADa_de_las_Cuevas%29_01.jpg/1280px-Sevilla_-_Centro_Andaluz_de_Arte_Contempor%C3%A1neo_%28Cartuja_de_Santa_Mar%C3%ADa_de_las_Cuevas%29_01.jpg"}, "retrieved_on": "2026-10-25"}</t>
        </is>
      </c>
    </row>
    <row r="88" ht="54" customHeight="1">
      <c r="A88" s="29" t="inlineStr">
        <is>
          <t>sevilla:evidence:caixaforum-sevilla-01</t>
        </is>
      </c>
      <c r="B88" s="29" t="inlineStr">
        <is>
          <t>sevilla</t>
        </is>
      </c>
      <c r="C88" s="29" t="inlineStr">
        <is>
          <t>sevilla:photo:caixaforum-sevilla-01</t>
        </is>
      </c>
      <c r="D88" s="29" t="inlineStr">
        <is>
          <t>https://commons.wikimedia.org/wiki/File:CaixaForum_Sevilla_01.jpg</t>
        </is>
      </c>
      <c r="E88" s="29" t="inlineStr">
        <is>
          <t>File:CaixaForum Sevilla 01.jpg</t>
        </is>
      </c>
      <c r="F88" s="29" t="inlineStr">
        <is>
          <t>CarlosVdeHabsburgo</t>
        </is>
      </c>
      <c r="G88" s="29" t="inlineStr">
        <is>
          <t>CC BY-SA 4.0</t>
        </is>
      </c>
      <c r="H88" s="29" t="inlineStr">
        <is>
          <t>https://creativecommons.org/licenses/by-sa/4.0/</t>
        </is>
      </c>
      <c r="I88" s="29" t="inlineStr">
        <is>
          <t>Creative Commons Attribution-Share Alike 4.0</t>
        </is>
      </c>
      <c r="J88" s="29" t="inlineStr">
        <is>
          <t>CarlosVdeHabsburgo · CC BY-SA 4.0 · Wikimedia Commons</t>
        </is>
      </c>
      <c r="K88" s="29" t="n"/>
      <c r="L88" s="49" t="n">
        <v>46320</v>
      </c>
      <c r="M88" s="29" t="inlineStr">
        <is>
          <t>Bekliyor</t>
        </is>
      </c>
      <c r="N88" s="29" t="inlineStr">
        <is>
          <t>Bekliyor</t>
        </is>
      </c>
      <c r="O88" s="29" t="inlineStr">
        <is>
          <t>Fotoğraflar/sevilla_caixaforum-sevilla_01.jpg</t>
        </is>
      </c>
      <c r="P88" s="29" t="inlineStr">
        <is>
          <t>CaixaForum Sevilla'nın beyaz, dalgalı çatılı modern binası ağaçların ardında.</t>
        </is>
      </c>
      <c r="Q88" s="29" t="inlineStr">
        <is>
          <t>Bekliyor</t>
        </is>
      </c>
      <c r="R88" s="29" t="inlineStr">
        <is>
          <t>Wikimedia Commons dosya sayfasındaki lisans: CC BY-SA 4.0</t>
        </is>
      </c>
      <c r="S88" s="29" t="inlineStr">
        <is>
          <t>Lisans kanıtları/caixaforum-sevilla-01.source-evidence.json</t>
        </is>
      </c>
      <c r="T88" s="29" t="inlineStr">
        <is>
          <t>9f88fcdd2f81d478e1c186f02156b6971f255f187eb7d9145e6ad6e1e3d4f1b5</t>
        </is>
      </c>
      <c r="U88" s="29" t="inlineStr">
        <is>
          <t>Lisans kanıtları/caixaforum-sevilla-01.license-evidence.json</t>
        </is>
      </c>
      <c r="V88" s="29" t="inlineStr">
        <is>
          <t>e35202e155d62ec826171eee118ae03342e2bbcba185dfec8a594621e8cdb5e1</t>
        </is>
      </c>
      <c r="W88" s="29" t="inlineStr">
        <is>
          <t>{"source_url": "https://commons.wikimedia.org/wiki/File:CaixaForum_Sevilla_01.jpg", "author": "CarlosVdeHabsburgo", "license": "CC BY-SA 4.0", "license_url": "https://creativecommons.org/licenses/by-sa/4.0/", "original_api_record": {"size": 5579228, "width": 4320, "height": 3240, "thumburl": "https://thumb.wikimedia.org/wikipedia/commons/thumb/f/f1/CaixaForum_Sevilla_01.jpg/1280px-CaixaForum_Sevilla_01.jpg", "thumbwidth": 1280, "thumbheight": 960, "responsiveUrls": {"2": "https://thumb.wikimedia.org/wikipedia/commons/thumb/f/f1/CaixaForum_Sevilla_01.jpg/3840px-CaixaForum_Sevilla_01.jpg"}, "thumbattribs": {"src": "https://thumb.wikimedia.org/wikipedia/commons/thumb/f/f1/CaixaForum_Sevilla_01.jpg/1280px-CaixaForum_Sevilla_01.jpg", "decoding": "async", "loading": "lazy", "width": 1280, "height": 960, "srcset": "https://thumb.wikimedia.org/wikipedia/commons/thumb/f/f1/CaixaForum_Sevilla_01.jpg/3840px-CaixaForum_Sevilla_01.jpg 2x"}, "url": "https://upload.wikimedia.org/wikipedia/commons/f/f1/CaixaForum_Sevilla_01.jpg", "descriptionurl": "https://commons.wikimedia.org/wiki/File:CaixaForum_Sevilla_01.jpg", "descriptionshorturl": "https://commons.wikimedia.org/w/index.php?curid=62375150", "sha1": "88a8ca1e229133bff6eef971c25a6beaeeb9e64a", "extmetadata": {"DateTime": {"value": "2017-09-12 11:40:56", "source": "mediawiki-metadata", "hidden": ""}, "ObjectName": {"value": "CaixaForum Sevilla 01", "source": "mediawiki-metadata"}, "CommonsMetadataExtension": {"value": 1.2, "source": "extension", "hidden": ""}, "Categories": {"value": "CaixaForum Sevilla|Self-published work", "source": "commons-categories", "hidden": ""}, "Assessments": {"value": "", "source": "commons-categories", "hidden": ""}, "ImageDescription": {"value": "CaixaForum de Sevilla, Andalucía, España.", "source": "commons-desc-page"}, "DateTimeOriginal": {"value": "2017-09-11 17:20:20",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"https://thumb.wikimedia.org/wikipedia/commons/thumb/f/f1/CaixaForum_Sevilla_01.jpg/1280px-CaixaForum_Sevilla_01.jpg"}, "retrieved_on": "2026-10-25"}</t>
        </is>
      </c>
    </row>
    <row r="89" ht="54" customHeight="1">
      <c r="A89" s="29" t="inlineStr">
        <is>
          <t>sevilla:evidence:caixaforum-sevilla-02</t>
        </is>
      </c>
      <c r="B89" s="29" t="inlineStr">
        <is>
          <t>sevilla</t>
        </is>
      </c>
      <c r="C89" s="29" t="inlineStr">
        <is>
          <t>sevilla:photo:caixaforum-sevilla-02</t>
        </is>
      </c>
      <c r="D89" s="29" t="inlineStr">
        <is>
          <t>https://commons.wikimedia.org/wiki/File:CaixaForum_Sevilla_03.jpg</t>
        </is>
      </c>
      <c r="E89" s="29" t="inlineStr">
        <is>
          <t>File:CaixaForum Sevilla 03.jpg</t>
        </is>
      </c>
      <c r="F89" s="29" t="inlineStr">
        <is>
          <t>CarlosVdeHabsburgo</t>
        </is>
      </c>
      <c r="G89" s="29" t="inlineStr">
        <is>
          <t>CC BY-SA 4.0</t>
        </is>
      </c>
      <c r="H89" s="29" t="inlineStr">
        <is>
          <t>https://creativecommons.org/licenses/by-sa/4.0/</t>
        </is>
      </c>
      <c r="I89" s="29" t="inlineStr">
        <is>
          <t>Creative Commons Attribution-Share Alike 4.0</t>
        </is>
      </c>
      <c r="J89" s="29" t="inlineStr">
        <is>
          <t>CarlosVdeHabsburgo · CC BY-SA 4.0 · Wikimedia Commons</t>
        </is>
      </c>
      <c r="K89" s="29" t="n"/>
      <c r="L89" s="49" t="n">
        <v>46320</v>
      </c>
      <c r="M89" s="29" t="inlineStr">
        <is>
          <t>Bekliyor</t>
        </is>
      </c>
      <c r="N89" s="29" t="inlineStr">
        <is>
          <t>Bekliyor</t>
        </is>
      </c>
      <c r="O89" s="29" t="inlineStr">
        <is>
          <t>Fotoğraflar/sevilla_caixaforum-sevilla_02.jpg</t>
        </is>
      </c>
      <c r="P89" s="29" t="inlineStr">
        <is>
          <t>CaixaForum Sevilla'nın sergi salonunda bilgi panoları ve banklar.</t>
        </is>
      </c>
      <c r="Q89" s="29" t="inlineStr">
        <is>
          <t>Bekliyor</t>
        </is>
      </c>
      <c r="R89" s="29" t="inlineStr">
        <is>
          <t>Wikimedia Commons dosya sayfasındaki lisans: CC BY-SA 4.0</t>
        </is>
      </c>
      <c r="S89" s="29" t="inlineStr">
        <is>
          <t>Lisans kanıtları/caixaforum-sevilla-02.source-evidence.json</t>
        </is>
      </c>
      <c r="T89" s="29" t="inlineStr">
        <is>
          <t>29827668180916381cf511c7c2ad972563d4cb0c5db5bce677024b6955fd38e2</t>
        </is>
      </c>
      <c r="U89" s="29" t="inlineStr">
        <is>
          <t>Lisans kanıtları/caixaforum-sevilla-02.license-evidence.json</t>
        </is>
      </c>
      <c r="V89" s="29" t="inlineStr">
        <is>
          <t>db9a3c917da355e732b2a938dcc219f37ea2b2c1cb85d6394fe3f050dc5c144e</t>
        </is>
      </c>
      <c r="W89" s="29" t="inlineStr">
        <is>
          <t>{"source_url": "https://commons.wikimedia.org/wiki/File:CaixaForum_Sevilla_03.jpg", "author": "CarlosVdeHabsburgo", "license": "CC BY-SA 4.0", "license_url": "https://creativecommons.org/licenses/by-sa/4.0/", "original_api_record": {"size": 5896054, "width": 4320, "height": 3240, "thumburl": "https://thumb.wikimedia.org/wikipedia/commons/thumb/c/c6/CaixaForum_Sevilla_03.jpg/1280px-CaixaForum_Sevilla_03.jpg", "thumbwidth": 1280, "thumbheight": 960, "responsiveUrls": {"2": "https://thumb.wikimedia.org/wikipedia/commons/thumb/c/c6/CaixaForum_Sevilla_03.jpg/3840px-CaixaForum_Sevilla_03.jpg"}, "thumbattribs": {"src": "https://thumb.wikimedia.org/wikipedia/commons/thumb/c/c6/CaixaForum_Sevilla_03.jpg/1280px-CaixaForum_Sevilla_03.jpg", "decoding": "async", "loading": "lazy", "width": 1280, "height": 960, "srcset": "https://thumb.wikimedia.org/wikipedia/commons/thumb/c/c6/CaixaForum_Sevilla_03.jpg/3840px-CaixaForum_Sevilla_03.jpg 2x"}, "url": "https://upload.wikimedia.org/wikipedia/commons/c/c6/CaixaForum_Sevilla_03.jpg", "descriptionurl": "https://commons.wikimedia.org/wiki/File:CaixaForum_Sevilla_03.jpg", "descriptionshorturl": "https://commons.wikimedia.org/w/index.php?curid=62375809", "sha1": "4f2297d62e5b41ea576b84ffd606fa10d65ba3a1", "extmetadata": {"DateTime": {"value": "2017-09-12 12:15:07", "source": "mediawiki-metadata", "hidden": ""}, "ObjectName": {"value": "CaixaForum Sevilla 03", "source": "mediawiki-metadata"}, "CommonsMetadataExtension": {"value": 1.2, "source": "extension", "hidden": ""}, "Categories": {"value": "CaixaForum Sevilla|Self-published work", "source": "commons-categories", "hidden": ""}, "Assessments": {"value": "", "source": "commons-categories", "hidden": ""}, "ImageDescription": {"value": "CaixaForum de Sevilla, Andalucía, España.", "source": "commons-desc-page"}, "DateTimeOriginal": {"value": "2017-09-11 17:11:17",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"https://thumb.wikimedia.org/wikipedia/commons/thumb/c/c6/CaixaForum_Sevilla_03.jpg/1280px-CaixaForum_Sevilla_03.jpg"}, "retrieved_on": "2026-10-25"}</t>
        </is>
      </c>
    </row>
    <row r="90" ht="54" customHeight="1">
      <c r="A90" s="29" t="inlineStr">
        <is>
          <t>sevilla:evidence:caixaforum-sevilla-03</t>
        </is>
      </c>
      <c r="B90" s="29" t="inlineStr">
        <is>
          <t>sevilla</t>
        </is>
      </c>
      <c r="C90" s="29" t="inlineStr">
        <is>
          <t>sevilla:photo:caixaforum-sevilla-03</t>
        </is>
      </c>
      <c r="D90" s="29" t="inlineStr">
        <is>
          <t>https://commons.wikimedia.org/wiki/File:CaixaForum_Sevilla_04.jpg</t>
        </is>
      </c>
      <c r="E90" s="29" t="inlineStr">
        <is>
          <t>File:CaixaForum Sevilla 04.jpg</t>
        </is>
      </c>
      <c r="F90" s="29" t="inlineStr">
        <is>
          <t>CarlosVdeHabsburgo</t>
        </is>
      </c>
      <c r="G90" s="29" t="inlineStr">
        <is>
          <t>CC BY-SA 4.0</t>
        </is>
      </c>
      <c r="H90" s="29" t="inlineStr">
        <is>
          <t>https://creativecommons.org/licenses/by-sa/4.0/</t>
        </is>
      </c>
      <c r="I90" s="29" t="inlineStr">
        <is>
          <t>Creative Commons Attribution-Share Alike 4.0</t>
        </is>
      </c>
      <c r="J90" s="29" t="inlineStr">
        <is>
          <t>CarlosVdeHabsburgo · CC BY-SA 4.0 · Wikimedia Commons</t>
        </is>
      </c>
      <c r="K90" s="29" t="n"/>
      <c r="L90" s="49" t="n">
        <v>46320</v>
      </c>
      <c r="M90" s="29" t="inlineStr">
        <is>
          <t>Bekliyor</t>
        </is>
      </c>
      <c r="N90" s="29" t="inlineStr">
        <is>
          <t>Bekliyor</t>
        </is>
      </c>
      <c r="O90" s="29" t="inlineStr">
        <is>
          <t>Fotoğraflar/sevilla_caixaforum-sevilla_03.jpg</t>
        </is>
      </c>
      <c r="P90" s="29" t="inlineStr">
        <is>
          <t>CaixaForum Sevilla'nın geniş, sütunlu giriş holü.</t>
        </is>
      </c>
      <c r="Q90" s="29" t="inlineStr">
        <is>
          <t>Bekliyor</t>
        </is>
      </c>
      <c r="R90" s="29" t="inlineStr">
        <is>
          <t>Wikimedia Commons dosya sayfasındaki lisans: CC BY-SA 4.0</t>
        </is>
      </c>
      <c r="S90" s="29" t="inlineStr">
        <is>
          <t>Lisans kanıtları/caixaforum-sevilla-03.source-evidence.json</t>
        </is>
      </c>
      <c r="T90" s="29" t="inlineStr">
        <is>
          <t>c2d3f1c7a8f25bcb2df025f4ba43f43ddfdf76234157247c7bc1830e34e32888</t>
        </is>
      </c>
      <c r="U90" s="29" t="inlineStr">
        <is>
          <t>Lisans kanıtları/caixaforum-sevilla-03.license-evidence.json</t>
        </is>
      </c>
      <c r="V90" s="29" t="inlineStr">
        <is>
          <t>405551816bd50c3bcd1a1eb1d2d7d66f709c4dabe13d45374ba0bd4c543c4442</t>
        </is>
      </c>
      <c r="W90" s="29" t="inlineStr">
        <is>
          <t>{"source_url": "https://commons.wikimedia.org/wiki/File:CaixaForum_Sevilla_04.jpg", "author": "CarlosVdeHabsburgo", "license": "CC BY-SA 4.0", "license_url": "https://creativecommons.org/licenses/by-sa/4.0/", "original_api_record": {"size": 7538596, "width": 4320, "height": 3240, "thumburl": "https://thumb.wikimedia.org/wikipedia/commons/thumb/3/30/CaixaForum_Sevilla_04.jpg/1280px-CaixaForum_Sevilla_04.jpg", "thumbwidth": 1280, "thumbheight": 960, "responsiveUrls": {"2": "https://thumb.wikimedia.org/wikipedia/commons/thumb/3/30/CaixaForum_Sevilla_04.jpg/3840px-CaixaForum_Sevilla_04.jpg"}, "thumbattribs": {"src": "https://thumb.wikimedia.org/wikipedia/commons/thumb/3/30/CaixaForum_Sevilla_04.jpg/1280px-CaixaForum_Sevilla_04.jpg", "decoding": "async", "loading": "lazy", "width": 1280, "height": 960, "srcset": "https://thumb.wikimedia.org/wikipedia/commons/thumb/3/30/CaixaForum_Sevilla_04.jpg/3840px-CaixaForum_Sevilla_04.jpg 2x"}, "url": "https://upload.wikimedia.org/wikipedia/commons/3/30/CaixaForum_Sevilla_04.jpg", "descriptionurl": "https://commons.wikimedia.org/wiki/File:CaixaForum_Sevilla_04.jpg", "descriptionshorturl": "https://commons.wikimedia.org/w/index.php?curid=62375944", "sha1": "27680831c9bca96ca04bd46de152b520e55598cb", "extmetadata": {"DateTime": {"value": "2017-09-12 12:23:00", "source": "mediawiki-metadata", "hidden": ""}, "ObjectName": {"value": "CaixaForum Sevilla 04", "source": "mediawiki-metadata"}, "CommonsMetadataExtension": {"value": 1.2, "source": "extension", "hidden": ""}, "Categories": {"value": "CaixaForum Sevilla|Self-published work", "source": "commons-categories", "hidden": ""}, "Assessments": {"value": "", "source": "commons-categories", "hidden": ""}, "ImageDescription": {"value": "CaixaForum de Sevilla, Andalucía, España.", "source": "commons-desc-page"}, "DateTimeOriginal": {"value": "2017-09-11 17:14:03",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"https://thumb.wikimedia.org/wikipedia/commons/thumb/3/30/CaixaForum_Sevilla_04.jpg/1280px-CaixaForum_Sevilla_04.jpg"}, "retrieved_on": "2026-10-25"}</t>
        </is>
      </c>
    </row>
    <row r="91" ht="54" customHeight="1">
      <c r="A91" s="29" t="inlineStr">
        <is>
          <t>sevilla:evidence:real-academia-bellas-artes-sevilla-01</t>
        </is>
      </c>
      <c r="B91" s="29" t="inlineStr">
        <is>
          <t>sevilla</t>
        </is>
      </c>
      <c r="C91" s="29" t="inlineStr">
        <is>
          <t>sevilla:photo:real-academia-bellas-artes-sevilla-01</t>
        </is>
      </c>
      <c r="D91" s="29" t="inlineStr">
        <is>
          <t>https://commons.wikimedia.org/wiki/File:Juderia_de_Sevilla-Casa_de_los_Pinelos_2-20110915.jpg</t>
        </is>
      </c>
      <c r="E91" s="29" t="inlineStr">
        <is>
          <t>File:Juderia de Sevilla-Casa de los Pinelos 2-20110915.jpg</t>
        </is>
      </c>
      <c r="F91" s="29" t="inlineStr">
        <is>
          <t>Daniel VILLAFRUELA</t>
        </is>
      </c>
      <c r="G91" s="29" t="inlineStr">
        <is>
          <t>CC BY-SA 3.0</t>
        </is>
      </c>
      <c r="H91" s="29" t="inlineStr">
        <is>
          <t>https://creativecommons.org/licenses/by-sa/3.0/</t>
        </is>
      </c>
      <c r="I91" s="29" t="inlineStr">
        <is>
          <t>Creative Commons Attribution-Share Alike 3.0</t>
        </is>
      </c>
      <c r="J91" s="29" t="inlineStr">
        <is>
          <t>Daniel VILLAFRUELA · CC BY-SA 3.0 · Wikimedia Commons</t>
        </is>
      </c>
      <c r="K91" s="29" t="n"/>
      <c r="L91" s="49" t="n">
        <v>46320</v>
      </c>
      <c r="M91" s="29" t="inlineStr">
        <is>
          <t>Bekliyor</t>
        </is>
      </c>
      <c r="N91" s="29" t="inlineStr">
        <is>
          <t>Bekliyor</t>
        </is>
      </c>
      <c r="O91" s="29" t="inlineStr">
        <is>
          <t>Fotoğraflar/sevilla_real-academia-bellas-artes-sevilla_01.jpg</t>
        </is>
      </c>
      <c r="P91" s="29" t="inlineStr">
        <is>
          <t>Kraliyet Güzel Sanatlar Akademisi'nin bulunduğu kemerli loggialı tarihî konak (Casa de los Pinelo).</t>
        </is>
      </c>
      <c r="Q91" s="29" t="inlineStr">
        <is>
          <t>Bekliyor</t>
        </is>
      </c>
      <c r="R91" s="29" t="inlineStr">
        <is>
          <t>Wikimedia Commons dosya sayfasındaki lisans: CC BY-SA 3.0</t>
        </is>
      </c>
      <c r="S91" s="29" t="inlineStr">
        <is>
          <t>Lisans kanıtları/real-academia-bellas-artes-sevilla-01.source-evidence.json</t>
        </is>
      </c>
      <c r="T91" s="29" t="inlineStr">
        <is>
          <t>38ad5fb382aa99be6905cdf8a4a54a9eb81f11700df59228105a04cb32d29ff5</t>
        </is>
      </c>
      <c r="U91" s="29" t="inlineStr">
        <is>
          <t>Lisans kanıtları/real-academia-bellas-artes-sevilla-01.license-evidence.json</t>
        </is>
      </c>
      <c r="V91" s="29" t="inlineStr">
        <is>
          <t>81fcd4fda512d73301da2a4aadb25aaf45b33165780ed0a0514ac480eeb2da9d</t>
        </is>
      </c>
      <c r="W91" s="29" t="inlineStr">
        <is>
          <t>{"source_url": "https://commons.wikimedia.org/wiki/File:Juderia_de_Sevilla-Casa_de_los_Pinelos_2-20110915.jpg", "author": "Daniel VILLAFRUELA", "license": "CC BY-SA 3.0", "license_url": "https://creativecommons.org/licenses/by-sa/3.0/", "original_api_record": {"size": 1512764, "width": 2848, "height": 4272, "thumburl": "https://thumb.wikimedia.org/wikipedia/commons/thumb/8/8c/Juderia_de_Sevilla-Casa_de_los_Pinelos_2-20110915.jpg/1280px-Juderia_de_Sevilla-Casa_de_los_Pinelos_2-20110915.jpg", "thumbwidth": 1280, "thumbheight": 1920, "responsiveUrls": {"2": "https://upload.wikimedia.org/wikipedia/commons/8/8c/Juderia_de_Sevilla-Casa_de_los_Pinelos_2-20110915.jpg"}, "thumbattribs": {"src": "https://thumb.wikimedia.org/wikipedia/commons/thumb/8/8c/Juderia_de_Sevilla-Casa_de_los_Pinelos_2-20110915.jpg/1280px-Juderia_de_Sevilla-Casa_de_los_Pinelos_2-20110915.jpg", "decoding": "async", "loading": "lazy", "width": 1280, "height": 1920, "srcset": "https://upload.wikimedia.org/wikipedia/commons/8/8c/Juderia_de_Sevilla-Casa_de_los_Pinelos_2-20110915.jpg 2x"}, "url": "https://upload.wikimedia.org/wikipedia/commons/8/8c/Juderia_de_Sevilla-Casa_de_los_Pinelos_2-20110915.jpg", "descriptionurl": "https://commons.wikimedia.org/wiki/File:Juderia_de_Sevilla-Casa_de_los_Pinelos_2-20110915.jpg", "descriptionshorturl": "https://commons.wikimedia.org/w/index.php?curid=16923372", "sha1": "2e1729fa270e9c2d3f50680e154cda4c879bb4c2", "extmetadata": {"DateTime": {"value": "2011-10-08 20:03:50", "source": "mediawiki-metadata", "hidden": ""}, "ObjectName": {"value": "Juderia de Sevilla-Casa de los Pinelos 2-20110915", "source": "mediawiki-metadata"}, "CommonsMetadataExtension": {"value": 1.2, "source": "extension", "hidden": ""}, "Categories": {"value": "Taken with Canon EOS 450D|Exterior of the Casa de los Pinelo (Sevilla)|CC-BY-SA-3.0,2.5,2.0,1.0|Self-published work|Cultural heritage monuments in Spain with known IDs|September 2011 in Seville|Files with coordinates missing SDC location of creation|Spain photographs taken on 2011-09-15|Cultural heritage monuments in Spain missing SDC location of creation|Cultural heritage monuments in Spain missing SDC depicts", "source": "commons-categories", "hidden": ""}, "Assessments": {"value": "", "source": "commons-categories", "hidden": ""}, "GPSLatitude": {"value": "37.388278", "source": "commons-desc-page"}, "GPSLongitude": {"value": "-5.990778", "source": "commons-desc-page"}, "GPSMapDatum": {"value": "WGS-84", "source": "commons-desc-page", "hidden": ""}, "ImageDescription": {"value": "&lt;p&gt;Seville.\n&lt;/p&gt;", "source": "commons-desc-page"}, "DateTimeOriginal": {"value": "Taken on 15 September 2011", "source": "commons-desc-page"}, "Credit": {"value": "&lt;span class=\"int-own-work\" lang=\"en\"&gt;Own work&lt;/span&gt;", "source": "commons-desc-page"}, "Artist": {"value": "&lt;a href=\"//commons.wikimedia.org/wiki/User:Daniel_VILLAFRUELA\" title=\"User:Daniel VILLAFRUELA\"&gt; Daniel VILLAFRUELA&lt;/a&gt;", "source": "commons-desc-page"}, "LicenseShortName": {"value": "CC BY-SA 3.0", "source": "commons-desc-page", "hidden": ""}, "UsageTerms": {"value": "Creative Commons Attribution-Share Alike 3.0", "source": "commons-desc-page"}, "AttributionRequired": {"value": "true", "source": "commons-desc-page", "hidden": ""}, "Attribution": {"value": "&lt;a href=\"//commons.wikimedia.org/wiki/User:Daniel_VILLAFRUELA\" title=\"User:Daniel VILLAFRUELA\"&gt; Daniel VILLAFRUELA&lt;/a&gt;",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"https://thumb.wikimedia.org/wikipedia/commons/thumb/8/8c/Juderia_de_Sevilla-Casa_de_los_Pinelos_2-20110915.jpg/1280px-Juderia_de_Sevilla-Casa_de_los_Pinelos_2-20110915.jpg"}, "retrieved_on": "2026-10-25"}</t>
        </is>
      </c>
    </row>
    <row r="92" ht="54" customHeight="1">
      <c r="A92" s="29" t="inlineStr">
        <is>
          <t>sevilla:evidence:palacio-marqueses-de-la-algaba-01</t>
        </is>
      </c>
      <c r="B92" s="29" t="inlineStr">
        <is>
          <t>sevilla</t>
        </is>
      </c>
      <c r="C92" s="29" t="inlineStr">
        <is>
          <t>sevilla:photo:palacio-marqueses-de-la-algaba-01</t>
        </is>
      </c>
      <c r="D92" s="29" t="inlineStr">
        <is>
          <t>https://commons.wikimedia.org/wiki/File:Centro_del_mud%C3%A9jar_sevilla_2013_002.jpg</t>
        </is>
      </c>
      <c r="E92" s="29" t="inlineStr">
        <is>
          <t>File:Centro del mudéjar sevilla 2013 002.jpg</t>
        </is>
      </c>
      <c r="F92" s="29" t="inlineStr">
        <is>
          <t>Anual</t>
        </is>
      </c>
      <c r="G92" s="29" t="inlineStr">
        <is>
          <t>CC BY-SA 3.0</t>
        </is>
      </c>
      <c r="H92" s="29" t="inlineStr">
        <is>
          <t>https://creativecommons.org/licenses/by-sa/3.0/</t>
        </is>
      </c>
      <c r="I92" s="29" t="inlineStr">
        <is>
          <t>Creative Commons Attribution-Share Alike 3.0</t>
        </is>
      </c>
      <c r="J92" s="29" t="inlineStr">
        <is>
          <t>Anual · CC BY-SA 3.0 · Wikimedia Commons</t>
        </is>
      </c>
      <c r="K92" s="29" t="n"/>
      <c r="L92" s="49" t="n">
        <v>46320</v>
      </c>
      <c r="M92" s="29" t="inlineStr">
        <is>
          <t>Bekliyor</t>
        </is>
      </c>
      <c r="N92" s="29" t="inlineStr">
        <is>
          <t>Bekliyor</t>
        </is>
      </c>
      <c r="O92" s="29" t="inlineStr">
        <is>
          <t>Fotoğraflar/sevilla_palacio-marqueses-de-la-algaba_01.jpg</t>
        </is>
      </c>
      <c r="P92" s="29" t="inlineStr">
        <is>
          <t>Algaba Sarayı'ndaki Mudéjar Merkezi'nde sergi vitrinleri ve ahşap tavanlı salon.</t>
        </is>
      </c>
      <c r="Q92" s="29" t="inlineStr">
        <is>
          <t>Bekliyor</t>
        </is>
      </c>
      <c r="R92" s="29" t="inlineStr">
        <is>
          <t>Wikimedia Commons dosya sayfasındaki lisans: CC BY-SA 3.0</t>
        </is>
      </c>
      <c r="S92" s="29" t="inlineStr">
        <is>
          <t>Lisans kanıtları/palacio-marqueses-de-la-algaba-01.source-evidence.json</t>
        </is>
      </c>
      <c r="T92" s="29" t="inlineStr">
        <is>
          <t>ef558cb43733c4608d32dbcd5447513baaca990141b15d839ccdab7c0d19dafd</t>
        </is>
      </c>
      <c r="U92" s="29" t="inlineStr">
        <is>
          <t>Lisans kanıtları/palacio-marqueses-de-la-algaba-01.license-evidence.json</t>
        </is>
      </c>
      <c r="V92" s="29" t="inlineStr">
        <is>
          <t>6c9ea740aeeb091f1fe3343315cd45c5c1ae5c47c71778a7b2665703569a3f9a</t>
        </is>
      </c>
      <c r="W92" s="29" t="inlineStr">
        <is>
          <t>{"source_url": "https://commons.wikimedia.org/wiki/File:Centro_del_mud%C3%A9jar_sevilla_2013_002.jpg", "author": "Anual", "license": "CC BY-SA 3.0", "license_url": "https://creativecommons.org/licenses/by-sa/3.0/", "original_api_record": {"size": 4194885, "width": 3872, "height": 2592, "thumburl": "https://thumb.wikimedia.org/wikipedia/commons/thumb/1/13/Centro_del_mud%C3%A9jar_sevilla_2013_002.jpg/1280px-Centro_del_mud%C3%A9jar_sevilla_2013_002.jpg", "thumbwidth": 1280, "thumbheight": 857, "responsiveUrls": {"2": "https://thumb.wikimedia.org/wikipedia/commons/thumb/1/13/Centro_del_mud%C3%A9jar_sevilla_2013_002.jpg/3840px-Centro_del_mud%C3%A9jar_sevilla_2013_002.jpg"}, "thumbattribs": {"src": "https://thumb.wikimedia.org/wikipedia/commons/thumb/1/13/Centro_del_mud%C3%A9jar_sevilla_2013_002.jpg/1280px-Centro_del_mud%C3%A9jar_sevilla_2013_002.jpg", "decoding": "async", "loading": "lazy", "width": 1280, "height": 857, "srcset": "https://thumb.wikimedia.org/wikipedia/commons/thumb/1/13/Centro_del_mud%C3%A9jar_sevilla_2013_002.jpg/3840px-Centro_del_mud%C3%A9jar_sevilla_2013_002.jpg 2x"}, "url": "https://upload.wikimedia.org/wikipedia/commons/1/13/Centro_del_mud%C3%A9jar_sevilla_2013_002.jpg", "descriptionurl": "https://commons.wikimedia.org/wiki/File:Centro_del_mud%C3%A9jar_sevilla_2013_002.jpg", "descriptionshorturl": "https://commons.wikimedia.org/w/index.php?curid=24274580", "sha1": "5c411e958340027ddf99f463760f58987c31db5d", "extmetadata": {"DateTime": {"value": "2013-01-27 19:47:56", "source": "mediawiki-metadata", "hidden": ""}, "ObjectName": {"value": "Centro del mudéjar sevilla 2013 002", "source": "mediawiki-metadata"}, "CommonsMetadataExtension": {"value": 1.2, "source": "extension", "hidden": ""}, "Categories": {"value": "Taken with Nikon D80|Palacio de los Marqueses de La Algaba|Mudéjar art|Self-published work|January 2013 in Seville|Buildings in Seville photographed in 2013", "source": "commons-categories", "hidden": ""}, "Assessments": {"value": "", "source": "commons-categories", "hidden": ""}, "ImageDescription": {"value": "Centro del Mudéjar. Palacio de los marqueses de la Algaba. (Sevilla, España)", "source": "commons-desc-page"}, "DateTimeOriginal": {"value": "2013-01-12 12:45:44", "source": "commons-desc-page"}, "Credit": {"value": "&lt;span class=\"int-own-work\" lang=\"en\"&gt;Own work&lt;/span&gt;", "source": "commons-desc-page"}, "Artist": {"value": "&lt;a href=\"//commons.wikimedia.org/wiki/User:Anual\" title=\"User:Anual\"&gt;Anual&lt;/a&gt;",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"https://thumb.wikimedia.org/wikipedia/commons/thumb/1/13/Centro_del_mud%C3%A9jar_sevilla_2013_002.jpg/1280px-Centro_del_mud%C3%A9jar_sevilla_2013_002.jpg"}, "retrieved_on": "2026-10-25"}</t>
        </is>
      </c>
    </row>
    <row r="93" ht="54" customHeight="1">
      <c r="A93" s="29" t="inlineStr">
        <is>
          <t>sevilla:evidence:palacio-marqueses-de-la-algaba-02</t>
        </is>
      </c>
      <c r="B93" s="29" t="inlineStr">
        <is>
          <t>sevilla</t>
        </is>
      </c>
      <c r="C93" s="29" t="inlineStr">
        <is>
          <t>sevilla:photo:palacio-marqueses-de-la-algaba-02</t>
        </is>
      </c>
      <c r="D93" s="29" t="inlineStr">
        <is>
          <t>https://commons.wikimedia.org/wiki/File:Palacio_de_los_Marqueses_de_la_Algaba,_Sevilla._Escalera.jpg</t>
        </is>
      </c>
      <c r="E93" s="29" t="inlineStr">
        <is>
          <t>File:Palacio de los Marqueses de la Algaba, Sevilla. Escalera.jpg</t>
        </is>
      </c>
      <c r="F93" s="29" t="inlineStr">
        <is>
          <t>José Luis Filpo Cabana</t>
        </is>
      </c>
      <c r="G93" s="29" t="inlineStr">
        <is>
          <t>CC BY 3.0</t>
        </is>
      </c>
      <c r="H93" s="29" t="inlineStr">
        <is>
          <t>https://creativecommons.org/licenses/by/3.0/</t>
        </is>
      </c>
      <c r="I93" s="29" t="inlineStr">
        <is>
          <t>Creative Commons Attribution 3.0</t>
        </is>
      </c>
      <c r="J93" s="29" t="inlineStr">
        <is>
          <t>José Luis Filpo Cabana · CC BY 3.0 · Wikimedia Commons</t>
        </is>
      </c>
      <c r="K93" s="29" t="n"/>
      <c r="L93" s="49" t="n">
        <v>46320</v>
      </c>
      <c r="M93" s="29" t="inlineStr">
        <is>
          <t>Bekliyor</t>
        </is>
      </c>
      <c r="N93" s="29" t="inlineStr">
        <is>
          <t>Bekliyor</t>
        </is>
      </c>
      <c r="O93" s="29" t="inlineStr">
        <is>
          <t>Fotoğraflar/sevilla_palacio-marqueses-de-la-algaba_02.jpg</t>
        </is>
      </c>
      <c r="P93" s="29" t="inlineStr">
        <is>
          <t>Algaba Sarayı'nda çinili basamaklı merdiven.</t>
        </is>
      </c>
      <c r="Q93" s="29" t="inlineStr">
        <is>
          <t>Bekliyor</t>
        </is>
      </c>
      <c r="R93" s="29" t="inlineStr">
        <is>
          <t>Wikimedia Commons dosya sayfasındaki lisans: CC BY 3.0</t>
        </is>
      </c>
      <c r="S93" s="29" t="inlineStr">
        <is>
          <t>Lisans kanıtları/palacio-marqueses-de-la-algaba-02.source-evidence.json</t>
        </is>
      </c>
      <c r="T93" s="29" t="inlineStr">
        <is>
          <t>e41118efa258695208a2b425efffee79669130f18f34b45298046e5846346fa7</t>
        </is>
      </c>
      <c r="U93" s="29" t="inlineStr">
        <is>
          <t>Lisans kanıtları/palacio-marqueses-de-la-algaba-02.license-evidence.json</t>
        </is>
      </c>
      <c r="V93" s="29" t="inlineStr">
        <is>
          <t>e27ad82d85db6aec2bff90ada87f119d5822200f0771af1d05d561e0025bce03</t>
        </is>
      </c>
      <c r="W93" s="29" t="inlineStr">
        <is>
          <t>{"source_url": "https://commons.wikimedia.org/wiki/File:Palacio_de_los_Marqueses_de_la_Algaba,_Sevilla._Escalera.jpg", "author": "José Luis Filpo Cabana", "license": "CC BY 3.0", "license_url": "https://creativecommons.org/licenses/by/3.0/", "original_api_record": {"size": 6610181, "width": 2736, "height": 3648, "thumburl": "https://thumb.wikimedia.org/wikipedia/commons/thumb/3/30/Palacio_de_los_Marqueses_de_la_Algaba%2C_Sevilla._Escalera.jpg/1280px-Palacio_de_los_Marqueses_de_la_Algaba%2C_Sevilla._Escalera.jpg", "thumbwidth": 1280, "thumbheight": 1707, "responsiveUrls": {"2": "https://upload.wikimedia.org/wikipedia/commons/3/30/Palacio_de_los_Marqueses_de_la_Algaba%2C_Sevilla._Escalera.jpg"}, "thumbattribs": {"src": "https://thumb.wikimedia.org/wikipedia/commons/thumb/3/30/Palacio_de_los_Marqueses_de_la_Algaba%2C_Sevilla._Escalera.jpg/1280px-Palacio_de_los_Marqueses_de_la_Algaba%2C_Sevilla._Escalera.jpg", "decoding": "async", "loading": "lazy", "width": 1280, "height": 1707, "srcset": "https://upload.wikimedia.org/wikipedia/commons/3/30/Palacio_de_los_Marqueses_de_la_Algaba%2C_Sevilla._Escalera.jpg 2x"}, "url": "https://upload.wikimedia.org/wikipedia/commons/3/30/Palacio_de_los_Marqueses_de_la_Algaba%2C_Sevilla._Escalera.jpg", "descriptionurl": "https://commons.wikimedia.org/wiki/File:Palacio_de_los_Marqueses_de_la_Algaba,_Sevilla._Escalera.jpg", "descriptionshorturl": "https://commons.wikimedia.org/w/index.php?curid=40095901", "sha1": "61fbbdadb9445090d2e0a80cf82daf7bad1dfe67", "extmetadata": {"DateTime": {"value": "2015-05-10 07:02:26", "source": "mediawiki-metadata", "hidden": ""}, "ObjectName": {"value": "Palacio de los Marqueses de la Algaba, Sevilla. Escalera", "source": "mediawiki-metadata"}, "CommonsMetadataExtension": {"value": 1.2, "source": "extension", "hidden": ""}, "Categories": {"value": "GFDL|License migration redundant|Palacio de los Marqueses de La Algaba|Self-published work|Stairs in Seville", "source": "commons-categories", "hidden": ""}, "Assessments": {"value": "", "source": "commons-categories", "hidden": ""}, "ImageDescription": {"value": "Escalera principal del palacio", "source": "commons-desc-page"}, "DateTimeOriginal": {"value": "2015-04", "source": "commons-desc-page"}, "Credit": {"value": "&lt;span class=\"int-own-work\" lang=\"en\"&gt;Own work&lt;/span&gt;", "source": "commons-desc-page"}, "Artist": {"value": "José Luis Filpo Cabana",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"https://thumb.wikimedia.org/wikipedia/commons/thumb/3/30/Palacio_de_los_Marqueses_de_la_Algaba%2C_Sevilla._Escalera.jpg/1280px-Palacio_de_los_Marqueses_de_la_Algaba%2C_Sevilla._Escalera.jpg"}, "retrieved_on": "2026-10-25"}</t>
        </is>
      </c>
    </row>
    <row r="94" ht="54" customHeight="1">
      <c r="A94" s="29" t="inlineStr">
        <is>
          <t>sevilla:evidence:palacio-marqueses-de-la-algaba-03</t>
        </is>
      </c>
      <c r="B94" s="29" t="inlineStr">
        <is>
          <t>sevilla</t>
        </is>
      </c>
      <c r="C94" s="29" t="inlineStr">
        <is>
          <t>sevilla:photo:palacio-marqueses-de-la-algaba-03</t>
        </is>
      </c>
      <c r="D94" s="29" t="inlineStr">
        <is>
          <t>https://commons.wikimedia.org/wiki/File:Palacio_de_los_Marqueses_de_la_Algaba,_Sevilla._Fachada.jpg</t>
        </is>
      </c>
      <c r="E94" s="29" t="inlineStr">
        <is>
          <t>File:Palacio de los Marqueses de la Algaba, Sevilla. Fachada.jpg</t>
        </is>
      </c>
      <c r="F94" s="29" t="inlineStr">
        <is>
          <t>José Luis Filpo Cabana</t>
        </is>
      </c>
      <c r="G94" s="29" t="inlineStr">
        <is>
          <t>CC BY 3.0</t>
        </is>
      </c>
      <c r="H94" s="29" t="inlineStr">
        <is>
          <t>https://creativecommons.org/licenses/by/3.0/</t>
        </is>
      </c>
      <c r="I94" s="29" t="inlineStr">
        <is>
          <t>Creative Commons Attribution 3.0</t>
        </is>
      </c>
      <c r="J94" s="29" t="inlineStr">
        <is>
          <t>José Luis Filpo Cabana · CC BY 3.0 · Wikimedia Commons</t>
        </is>
      </c>
      <c r="K94" s="29" t="n"/>
      <c r="L94" s="49" t="n">
        <v>46320</v>
      </c>
      <c r="M94" s="29" t="inlineStr">
        <is>
          <t>Bekliyor</t>
        </is>
      </c>
      <c r="N94" s="29" t="inlineStr">
        <is>
          <t>Bekliyor</t>
        </is>
      </c>
      <c r="O94" s="29" t="inlineStr">
        <is>
          <t>Fotoğraflar/sevilla_palacio-marqueses-de-la-algaba_03.jpg</t>
        </is>
      </c>
      <c r="P94" s="29" t="inlineStr">
        <is>
          <t>Algaba Sarayı'nın tuğla cephesinde Mudéjar biçimli pencere ve balkon.</t>
        </is>
      </c>
      <c r="Q94" s="29" t="inlineStr">
        <is>
          <t>Bekliyor</t>
        </is>
      </c>
      <c r="R94" s="29" t="inlineStr">
        <is>
          <t>Wikimedia Commons dosya sayfasındaki lisans: CC BY 3.0</t>
        </is>
      </c>
      <c r="S94" s="29" t="inlineStr">
        <is>
          <t>Lisans kanıtları/palacio-marqueses-de-la-algaba-03.source-evidence.json</t>
        </is>
      </c>
      <c r="T94" s="29" t="inlineStr">
        <is>
          <t>3193d8f7b7e78059939d2e631fe0e64ae01575d449af0450dc95ad0e87c78c7f</t>
        </is>
      </c>
      <c r="U94" s="29" t="inlineStr">
        <is>
          <t>Lisans kanıtları/palacio-marqueses-de-la-algaba-03.license-evidence.json</t>
        </is>
      </c>
      <c r="V94" s="29" t="inlineStr">
        <is>
          <t>44465a1d09404124291f1788d5bbbbf0227f207b90bc91e0e3d184dd0dba89e3</t>
        </is>
      </c>
      <c r="W94" s="29" t="inlineStr">
        <is>
          <t>{"source_url": "https://commons.wikimedia.org/wiki/File:Palacio_de_los_Marqueses_de_la_Algaba,_Sevilla._Fachada.jpg", "author": "José Luis Filpo Cabana", "license": "CC BY 3.0", "license_url": "https://creativecommons.org/licenses/by/3.0/", "original_api_record": {"size": 5892904, "width": 2702, "height": 2702, "thumburl": "https://thumb.wikimedia.org/wikipedia/commons/thumb/2/29/Palacio_de_los_Marqueses_de_la_Algaba%2C_Sevilla._Fachada.jpg/1280px-Palacio_de_los_Marqueses_de_la_Algaba%2C_Sevilla._Fachada.jpg", "thumbwidth": 1280, "thumbheight": 1280, "responsiveUrls": {"2": "https://upload.wikimedia.org/wikipedia/commons/2/29/Palacio_de_los_Marqueses_de_la_Algaba%2C_Sevilla._Fachada.jpg"}, "thumbattribs": {"src": "https://thumb.wikimedia.org/wikipedia/commons/thumb/2/29/Palacio_de_los_Marqueses_de_la_Algaba%2C_Sevilla._Fachada.jpg/1280px-Palacio_de_los_Marqueses_de_la_Algaba%2C_Sevilla._Fachada.jpg", "decoding": "async", "loading": "lazy", "width": 1280, "height": 1280, "srcset": "https://upload.wikimedia.org/wikipedia/commons/2/29/Palacio_de_los_Marqueses_de_la_Algaba%2C_Sevilla._Fachada.jpg 2x"}, "url": "https://upload.wikimedia.org/wikipedia/commons/2/29/Palacio_de_los_Marqueses_de_la_Algaba%2C_Sevilla._Fachada.jpg", "descriptionurl": "https://commons.wikimedia.org/wiki/File:Palacio_de_los_Marqueses_de_la_Algaba,_Sevilla._Fachada.jpg", "descriptionshorturl": "https://commons.wikimedia.org/w/index.php?curid=39872182", "sha1": "c01bcf10e0282449621de81aabe112763ce91112", "extmetadata": {"DateTime": {"value": "2015-04-30 11:15:38", "source": "mediawiki-metadata", "hidden": ""}, "ObjectName": {"value": "Palacio de los Marqueses de la Algaba, Sevilla. Fachada", "source": "mediawiki-metadata"}, "CommonsMetadataExtension": {"value": 1.2, "source": "extension", "hidden": ""}, "Categories": {"value": "GFDL|Images with annotations|License migration redundant|Palacio de los Marqueses de La Algaba|Self-published work|April 2015 in Seville|Files with coordinates missing SDC location of creation|Buildings in Seville photographed in 2015|Palaces photographed in 2015|Mudéjar portals in Seville", "source": "commons-categories", "hidden": ""}, "Assessments": {"value": "", "source": "commons-categories", "hidden": ""}, "GPSLatitude": {"value": "37.399445", "source": "commons-desc-page"}, "GPSLongitude": {"value": "-5.991140", "source": "commons-desc-page"}, "GPSMapDatum": {"value": "WGS-84", "source": "commons-desc-page", "hidden": ""}, "ImageDescription": {"value": "Façade Palace of the Marqueses de la Algaba", "source": "commons-desc-page"}, "DateTimeOriginal": {"value": "2015-04", "source": "commons-desc-page"}, "Credit": {"value": "&lt;span class=\"int-own-work\" lang=\"en\"&gt;Own work&lt;/span&gt;", "source": "commons-desc-page"}, "Artist": {"value": "José Luis Filpo Cabana",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"https://thumb.wikimedia.org/wikipedia/commons/thumb/2/29/Palacio_de_los_Marqueses_de_la_Algaba%2C_Sevilla._Fachada.jpg/1280px-Palacio_de_los_Marqueses_de_la_Algaba%2C_Sevilla._Fachada.jpg"}, "retrieved_on": "2026-10-25"}</t>
        </is>
      </c>
    </row>
    <row r="95" ht="54" customHeight="1">
      <c r="A95" s="29" t="inlineStr">
        <is>
          <t>sevilla:evidence:casa-de-la-provincia-sevilla-01</t>
        </is>
      </c>
      <c r="B95" s="29" t="inlineStr">
        <is>
          <t>sevilla</t>
        </is>
      </c>
      <c r="C95" s="29" t="inlineStr">
        <is>
          <t>sevilla:photo:casa-de-la-provincia-sevilla-01</t>
        </is>
      </c>
      <c r="D95" s="29" t="inlineStr">
        <is>
          <t>https://commons.wikimedia.org/wiki/File:Arcos_Casa_de_la_Provincia.jpg</t>
        </is>
      </c>
      <c r="E95" s="29" t="inlineStr">
        <is>
          <t>File:Arcos Casa de la Provincia.jpg</t>
        </is>
      </c>
      <c r="F95" s="29" t="inlineStr">
        <is>
          <t>CarlosVdeHabsburgo</t>
        </is>
      </c>
      <c r="G95" s="29" t="inlineStr">
        <is>
          <t>CC BY-SA 4.0</t>
        </is>
      </c>
      <c r="H95" s="29" t="inlineStr">
        <is>
          <t>https://creativecommons.org/licenses/by-sa/4.0/</t>
        </is>
      </c>
      <c r="I95" s="29" t="inlineStr">
        <is>
          <t>Creative Commons Attribution-Share Alike 4.0</t>
        </is>
      </c>
      <c r="J95" s="29" t="inlineStr">
        <is>
          <t>CarlosVdeHabsburgo · CC BY-SA 4.0 · Wikimedia Commons</t>
        </is>
      </c>
      <c r="K95" s="29" t="n"/>
      <c r="L95" s="49" t="n">
        <v>46320</v>
      </c>
      <c r="M95" s="29" t="inlineStr">
        <is>
          <t>Bekliyor</t>
        </is>
      </c>
      <c r="N95" s="29" t="inlineStr">
        <is>
          <t>Bekliyor</t>
        </is>
      </c>
      <c r="O95" s="29" t="inlineStr">
        <is>
          <t>Fotoğraflar/sevilla_casa-de-la-provincia-sevilla_01.jpg</t>
        </is>
      </c>
      <c r="P95" s="29" t="inlineStr">
        <is>
          <t>Casa de la Provincia'nın iç mekânında beyaz kemerler ve galeri.</t>
        </is>
      </c>
      <c r="Q95" s="29" t="inlineStr">
        <is>
          <t>Bekliyor</t>
        </is>
      </c>
      <c r="R95" s="29" t="inlineStr">
        <is>
          <t>Wikimedia Commons dosya sayfasındaki lisans: CC BY-SA 4.0</t>
        </is>
      </c>
      <c r="S95" s="29" t="inlineStr">
        <is>
          <t>Lisans kanıtları/casa-de-la-provincia-sevilla-01.source-evidence.json</t>
        </is>
      </c>
      <c r="T95" s="29" t="inlineStr">
        <is>
          <t>a4d4209aa817b0ed5d3672d078b4e9ba6d5d2eff5dbd8bcc213f95c786d0f002</t>
        </is>
      </c>
      <c r="U95" s="29" t="inlineStr">
        <is>
          <t>Lisans kanıtları/casa-de-la-provincia-sevilla-01.license-evidence.json</t>
        </is>
      </c>
      <c r="V95" s="29" t="inlineStr">
        <is>
          <t>cad6eeefef0ea77baa70459987d97383ee5d2f2d1d35b53eb0bb9427482d8097</t>
        </is>
      </c>
      <c r="W95" s="29" t="inlineStr">
        <is>
          <t>{"source_url": "https://commons.wikimedia.org/wiki/File:Arcos_Casa_de_la_Provincia.jpg", "author": "CarlosVdeHabsburgo", "license": "CC BY-SA 4.0", "license_url": "https://creativecommons.org/licenses/by-sa/4.0/", "original_api_record": {"size": 3267237, "width": 3240, "height": 4320, "thumburl": "https://thumb.wikimedia.org/wikipedia/commons/thumb/f/f9/Arcos_Casa_de_la_Provincia.jpg/1280px-Arcos_Casa_de_la_Provincia.jpg", "thumbwidth": 1280, "thumbheight": 1707, "responsiveUrls": {"2": "https://upload.wikimedia.org/wikipedia/commons/f/f9/Arcos_Casa_de_la_Provincia.jpg"}, "thumbattribs": {"src": "https://thumb.wikimedia.org/wikipedia/commons/thumb/f/f9/Arcos_Casa_de_la_Provincia.jpg/1280px-Arcos_Casa_de_la_Provincia.jpg", "decoding": "async", "loading": "lazy", "width": 1280, "height": 1707, "srcset": "https://upload.wikimedia.org/wikipedia/commons/f/f9/Arcos_Casa_de_la_Provincia.jpg 2x"}, "url": "https://upload.wikimedia.org/wikipedia/commons/f/f9/Arcos_Casa_de_la_Provincia.jpg", "descriptionurl": "https://commons.wikimedia.org/wiki/File:Arcos_Casa_de_la_Provincia.jpg", "descriptionshorturl": "https://commons.wikimedia.org/w/index.php?curid=58459121", "sha1": "889e3dc8818979ba2a1bb842f7a705d3c1cc0fb3", "extmetadata": {"DateTime": {"value": "2017-05-03 10:55:45", "source": "mediawiki-metadata", "hidden": ""}, "ObjectName": {"value": "Arcos Casa de la Provincia", "source": "mediawiki-metadata"}, "CommonsMetadataExtension": {"value": 1.2, "source": "extension", "hidden": ""}, "Categories": {"value": "Casa de la Provincia (Sevilla)|Self-published work|Arches in Seville", "source": "commons-categories", "hidden": ""}, "Assessments": {"value": "", "source": "commons-categories", "hidden": ""}, "ImageDescription": {"value": "Arcos junto a la escalera de la Casa de la Provincia. Sevilla, Andalucía, España.", "source": "commons-desc-page"}, "DateTimeOriginal": {"value": "2017-04-30",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"https://thumb.wikimedia.org/wikipedia/commons/thumb/f/f9/Arcos_Casa_de_la_Provincia.jpg/1280px-Arcos_Casa_de_la_Provincia.jpg"}, "retrieved_on": "2026-10-25"}</t>
        </is>
      </c>
    </row>
    <row r="96" ht="54" customHeight="1">
      <c r="A96" s="29" t="inlineStr">
        <is>
          <t>sevilla:evidence:casa-de-la-provincia-sevilla-02</t>
        </is>
      </c>
      <c r="B96" s="29" t="inlineStr">
        <is>
          <t>sevilla</t>
        </is>
      </c>
      <c r="C96" s="29" t="inlineStr">
        <is>
          <t>sevilla:photo:casa-de-la-provincia-sevilla-02</t>
        </is>
      </c>
      <c r="D96" s="29" t="inlineStr">
        <is>
          <t>https://commons.wikimedia.org/wiki/File:Casa_de_la_Provincia_(Diputaci%C3%B3n_de_Sevilla).jpg</t>
        </is>
      </c>
      <c r="E96" s="29" t="inlineStr">
        <is>
          <t>File:Casa de la Provincia (Diputación de Sevilla).jpg</t>
        </is>
      </c>
      <c r="F96" s="29" t="inlineStr">
        <is>
          <t>CarlosVdeHabsburgo</t>
        </is>
      </c>
      <c r="G96" s="29" t="inlineStr">
        <is>
          <t>CC BY-SA 4.0</t>
        </is>
      </c>
      <c r="H96" s="29" t="inlineStr">
        <is>
          <t>https://creativecommons.org/licenses/by-sa/4.0/</t>
        </is>
      </c>
      <c r="I96" s="29" t="inlineStr">
        <is>
          <t>Creative Commons Attribution-Share Alike 4.0</t>
        </is>
      </c>
      <c r="J96" s="29" t="inlineStr">
        <is>
          <t>CarlosVdeHabsburgo · CC BY-SA 4.0 · Wikimedia Commons</t>
        </is>
      </c>
      <c r="K96" s="29" t="n"/>
      <c r="L96" s="49" t="n">
        <v>46320</v>
      </c>
      <c r="M96" s="29" t="inlineStr">
        <is>
          <t>Bekliyor</t>
        </is>
      </c>
      <c r="N96" s="29" t="inlineStr">
        <is>
          <t>Bekliyor</t>
        </is>
      </c>
      <c r="O96" s="29" t="inlineStr">
        <is>
          <t>Fotoğraflar/sevilla_casa-de-la-provincia-sevilla_02.jpg</t>
        </is>
      </c>
      <c r="P96" s="29" t="inlineStr">
        <is>
          <t>Casa de la Provincia'nın Plaza del Triunfo'ya bakan kırmızı-beyaz cephesi ve meydan.</t>
        </is>
      </c>
      <c r="Q96" s="29" t="inlineStr">
        <is>
          <t>Bekliyor</t>
        </is>
      </c>
      <c r="R96" s="29" t="inlineStr">
        <is>
          <t>Wikimedia Commons dosya sayfasındaki lisans: CC BY-SA 4.0</t>
        </is>
      </c>
      <c r="S96" s="29" t="inlineStr">
        <is>
          <t>Lisans kanıtları/casa-de-la-provincia-sevilla-02.source-evidence.json</t>
        </is>
      </c>
      <c r="T96" s="29" t="inlineStr">
        <is>
          <t>a27423606c89b6f81280088333f68a8552bdc8e905ba2e56180c9f8c52db8523</t>
        </is>
      </c>
      <c r="U96" s="29" t="inlineStr">
        <is>
          <t>Lisans kanıtları/casa-de-la-provincia-sevilla-02.license-evidence.json</t>
        </is>
      </c>
      <c r="V96" s="29" t="inlineStr">
        <is>
          <t>2dd1133f9bb6bff11974338b4a5001732c994c6dc0c965b520215acaf475e60d</t>
        </is>
      </c>
      <c r="W96" s="29" t="inlineStr">
        <is>
          <t>{"source_url": "https://commons.wikimedia.org/wiki/File:Casa_de_la_Provincia_(Diputaci%C3%B3n_de_Sevilla).jpg", "author": "CarlosVdeHabsburgo", "license": "CC BY-SA 4.0", "license_url": "https://creativecommons.org/licenses/by-sa/4.0/", "original_api_record": {"size": 6724096, "width": 4000, "height": 3000, "thumburl": "https://thumb.wikimedia.org/wikipedia/commons/thumb/5/50/Casa_de_la_Provincia_%28Diputaci%C3%B3n_de_Sevilla%29.jpg/1280px-Casa_de_la_Provincia_%28Diputaci%C3%B3n_de_Sevilla%29.jpg", "thumbwidth": 1280, "thumbheight": 960, "responsiveUrls": {"2": "https://thumb.wikimedia.org/wikipedia/commons/thumb/5/50/Casa_de_la_Provincia_%28Diputaci%C3%B3n_de_Sevilla%29.jpg/3840px-Casa_de_la_Provincia_%28Diputaci%C3%B3n_de_Sevilla%29.jpg"}, "thumbattribs": {"src": "https://thumb.wikimedia.org/wikipedia/commons/thumb/5/50/Casa_de_la_Provincia_%28Diputaci%C3%B3n_de_Sevilla%29.jpg/1280px-Casa_de_la_Provincia_%28Diputaci%C3%B3n_de_Sevilla%29.jpg", "decoding": "async", "loading": "lazy", "width": 1280, "height": 960, "srcset": "https://thumb.wikimedia.org/wikipedia/commons/thumb/5/50/Casa_de_la_Provincia_%28Diputaci%C3%B3n_de_Sevilla%29.jpg/3840px-Casa_de_la_Provincia_%28Diputaci%C3%B3n_de_Sevilla%29.jpg 2x"}, "url": "https://upload.wikimedia.org/wikipedia/commons/5/50/Casa_de_la_Provincia_%28Diputaci%C3%B3n_de_Sevilla%29.jpg", "descriptionurl": "https://commons.wikimedia.org/wiki/File:Casa_de_la_Provincia_(Diputaci%C3%B3n_de_Sevilla).jpg", "descriptionshorturl": "https://commons.wikimedia.org/w/index.php?curid=152702764", "sha1": "f2eb123d74e50ad5b7950b8483df1fd9e4f18210", "extmetadata": {"DateTime": {"value": "2024-09-16 08:01:59", "source": "mediawiki-metadata", "hidden": ""}, "ObjectName": {"value": "Casa de la Provincia (Diputación de Sevilla)", "source": "mediawiki-metadata"}, "CommonsMetadataExtension": {"value": 1.2, "source": "extension", "hidden": ""}, "Categories": {"value": "Casa de la Provincia (Sevilla)|Self-published work|September 2024 in Seville", "source": "commons-categories", "hidden": ""}, "Assessments": {"value": "", "source": "commons-categories", "hidden": ""}, "ImageDescription": {"value": "Casa de la Provincia de la Diputación de Sevilla. Plaza del Triunfo de Sevilla. Andalucía, España.", "source": "commons-desc-page"}, "DateTimeOriginal": {"value": "2024-09-15 15:09:54",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"https://thumb.wikimedia.org/wikipedia/commons/thumb/5/50/Casa_de_la_Provincia_%28Diputaci%C3%B3n_de_Sevilla%29.jpg/1280px-Casa_de_la_Provincia_%28Diputaci%C3%B3n_de_Sevilla%29.jpg"}, "retrieved_on": "2026-10-25"}</t>
        </is>
      </c>
    </row>
    <row r="97" ht="54" customHeight="1">
      <c r="A97" s="29" t="inlineStr">
        <is>
          <t>sevilla:evidence:casa-de-la-provincia-sevilla-03</t>
        </is>
      </c>
      <c r="B97" s="29" t="inlineStr">
        <is>
          <t>sevilla</t>
        </is>
      </c>
      <c r="C97" s="29" t="inlineStr">
        <is>
          <t>sevilla:photo:casa-de-la-provincia-sevilla-03</t>
        </is>
      </c>
      <c r="D97" s="29" t="inlineStr">
        <is>
          <t>https://commons.wikimedia.org/wiki/File:Casa_de_la_Provincia_(Sevilla)_01.jpg</t>
        </is>
      </c>
      <c r="E97" s="29" t="inlineStr">
        <is>
          <t>File:Casa de la Provincia (Sevilla) 01.jpg</t>
        </is>
      </c>
      <c r="F97" s="29" t="inlineStr">
        <is>
          <t>CarlosVdeHabsburgo</t>
        </is>
      </c>
      <c r="G97" s="29" t="inlineStr">
        <is>
          <t>CC BY-SA 4.0</t>
        </is>
      </c>
      <c r="H97" s="29" t="inlineStr">
        <is>
          <t>https://creativecommons.org/licenses/by-sa/4.0/</t>
        </is>
      </c>
      <c r="I97" s="29" t="inlineStr">
        <is>
          <t>Creative Commons Attribution-Share Alike 4.0</t>
        </is>
      </c>
      <c r="J97" s="29" t="inlineStr">
        <is>
          <t>CarlosVdeHabsburgo · CC BY-SA 4.0 · Wikimedia Commons</t>
        </is>
      </c>
      <c r="K97" s="29" t="n"/>
      <c r="L97" s="49" t="n">
        <v>46320</v>
      </c>
      <c r="M97" s="29" t="inlineStr">
        <is>
          <t>Bekliyor</t>
        </is>
      </c>
      <c r="N97" s="29" t="inlineStr">
        <is>
          <t>Bekliyor</t>
        </is>
      </c>
      <c r="O97" s="29" t="inlineStr">
        <is>
          <t>Fotoğraflar/sevilla_casa-de-la-provincia-sevilla_03.jpg</t>
        </is>
      </c>
      <c r="P97" s="29" t="inlineStr">
        <is>
          <t>Casa de la Provincia'nın cephesi, önünde atlı arabalar.</t>
        </is>
      </c>
      <c r="Q97" s="29" t="inlineStr">
        <is>
          <t>Bekliyor</t>
        </is>
      </c>
      <c r="R97" s="29" t="inlineStr">
        <is>
          <t>Wikimedia Commons dosya sayfasındaki lisans: CC BY-SA 4.0</t>
        </is>
      </c>
      <c r="S97" s="29" t="inlineStr">
        <is>
          <t>Lisans kanıtları/casa-de-la-provincia-sevilla-03.source-evidence.json</t>
        </is>
      </c>
      <c r="T97" s="29" t="inlineStr">
        <is>
          <t>00371266109d6aae795d4f90e4b96442b1b149a3b56dafaf50ff4e6d213b9100</t>
        </is>
      </c>
      <c r="U97" s="29" t="inlineStr">
        <is>
          <t>Lisans kanıtları/casa-de-la-provincia-sevilla-03.license-evidence.json</t>
        </is>
      </c>
      <c r="V97" s="29" t="inlineStr">
        <is>
          <t>da790e5f4041e4a3df03ea1636fd6584435d17f517b62cdb7b5b5b7a63285fae</t>
        </is>
      </c>
      <c r="W97" s="29" t="inlineStr">
        <is>
          <t>{"source_url": "https://commons.wikimedia.org/wiki/File:Casa_de_la_Provincia_(Sevilla)_01.jpg", "author": "CarlosVdeHabsburgo", "license": "CC BY-SA 4.0", "license_url": "https://creativecommons.org/licenses/by-sa/4.0/", "original_api_record": {"size": 6404096, "width": 4000, "height": 3000, "thumburl": "https://thumb.wikimedia.org/wikipedia/commons/thumb/d/d4/Casa_de_la_Provincia_%28Sevilla%29_01.jpg/1280px-Casa_de_la_Provincia_%28Sevilla%29_01.jpg", "thumbwidth": 1280, "thumbheight": 960, "responsiveUrls": {"2": "https://thumb.wikimedia.org/wikipedia/commons/thumb/d/d4/Casa_de_la_Provincia_%28Sevilla%29_01.jpg/3840px-Casa_de_la_Provincia_%28Sevilla%29_01.jpg"}, "thumbattribs": {"src": "https://thumb.wikimedia.org/wikipedia/commons/thumb/d/d4/Casa_de_la_Provincia_%28Sevilla%29_01.jpg/1280px-Casa_de_la_Provincia_%28Sevilla%29_01.jpg", "decoding": "async", "loading": "lazy", "width": 1280, "height": 960, "srcset": "https://thumb.wikimedia.org/wikipedia/commons/thumb/d/d4/Casa_de_la_Provincia_%28Sevilla%29_01.jpg/3840px-Casa_de_la_Provincia_%28Sevilla%29_01.jpg 2x"}, "url": "https://upload.wikimedia.org/wikipedia/commons/d/d4/Casa_de_la_Provincia_%28Sevilla%29_01.jpg", "descriptionurl": "https://commons.wikimedia.org/wiki/File:Casa_de_la_Provincia_(Sevilla)_01.jpg", "descriptionshorturl": "https://commons.wikimedia.org/w/index.php?curid=158231114", "sha1": "c5efef8e16eab154f8d1551d896f85075ea9861b", "extmetadata": {"DateTime": {"value": "2025-01-19 19:42:28", "source": "mediawiki-metadata", "hidden": ""}, "ObjectName": {"value": "Casa de la Provincia (Sevilla) 01", "source": "mediawiki-metadata"}, "CommonsMetadataExtension": {"value": 1.2, "source": "extension", "hidden": ""}, "Categories": {"value": "Casa de la Provincia (Sevilla)|Self-published work|January 2025 in Seville", "source": "commons-categories", "hidden": ""}, "Assessments": {"value": "", "source": "commons-categories", "hidden": ""}, "ImageDescription": {"value": "Casa de la Provincia de la Diputación de Sevilla. Andalucía, España.", "source": "commons-desc-page"}, "DateTimeOriginal": {"value": "2025-01-19 16:01:07",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"https://thumb.wikimedia.org/wikipedia/commons/thumb/d/d4/Casa_de_la_Provincia_%28Sevilla%29_01.jpg/1280px-Casa_de_la_Provincia_%28Sevilla%29_01.jpg"}, "retrieved_on": "2026-10-25"}</t>
        </is>
      </c>
    </row>
    <row r="98" ht="54" customHeight="1">
      <c r="A98" s="29" t="inlineStr">
        <is>
          <t>sevilla:evidence:acuario-de-sevilla-01</t>
        </is>
      </c>
      <c r="B98" s="29" t="inlineStr">
        <is>
          <t>sevilla</t>
        </is>
      </c>
      <c r="C98" s="29" t="inlineStr">
        <is>
          <t>sevilla:photo:acuario-de-sevilla-01</t>
        </is>
      </c>
      <c r="D98" s="29" t="inlineStr">
        <is>
          <t>https://commons.wikimedia.org/wiki/File:Acuario_Sevilla_Dos_peces_leon_cebra.JPG</t>
        </is>
      </c>
      <c r="E98" s="29" t="inlineStr">
        <is>
          <t>File:Acuario Sevilla Dos peces leon cebra.JPG</t>
        </is>
      </c>
      <c r="F98" s="29" t="inlineStr">
        <is>
          <t>Hispalois</t>
        </is>
      </c>
      <c r="G98" s="29" t="inlineStr">
        <is>
          <t>CC BY-SA 4.0</t>
        </is>
      </c>
      <c r="H98" s="29" t="inlineStr">
        <is>
          <t>https://creativecommons.org/licenses/by-sa/4.0/</t>
        </is>
      </c>
      <c r="I98" s="29" t="inlineStr">
        <is>
          <t>Creative Commons Attribution-Share Alike 4.0</t>
        </is>
      </c>
      <c r="J98" s="29" t="inlineStr">
        <is>
          <t>Hispalois · CC BY-SA 4.0 · Wikimedia Commons</t>
        </is>
      </c>
      <c r="K98" s="29" t="n"/>
      <c r="L98" s="49" t="n">
        <v>46320</v>
      </c>
      <c r="M98" s="29" t="inlineStr">
        <is>
          <t>Bekliyor</t>
        </is>
      </c>
      <c r="N98" s="29" t="inlineStr">
        <is>
          <t>Bekliyor</t>
        </is>
      </c>
      <c r="O98" s="29" t="inlineStr">
        <is>
          <t>Fotoğraflar/sevilla_acuario-de-sevilla_01.jpg</t>
        </is>
      </c>
      <c r="P98" s="29" t="inlineStr">
        <is>
          <t>Sevilla Akvaryumu'nda yüzgeçleri açık bir aslan balığı.</t>
        </is>
      </c>
      <c r="Q98" s="29" t="inlineStr">
        <is>
          <t>Bekliyor</t>
        </is>
      </c>
      <c r="R98" s="29" t="inlineStr">
        <is>
          <t>Wikimedia Commons dosya sayfasındaki lisans: CC BY-SA 4.0</t>
        </is>
      </c>
      <c r="S98" s="29" t="inlineStr">
        <is>
          <t>Lisans kanıtları/acuario-de-sevilla-01.source-evidence.json</t>
        </is>
      </c>
      <c r="T98" s="29" t="inlineStr">
        <is>
          <t>0191a28c7170ba470b0448045345490b336830a518d243800a75330389f14eeb</t>
        </is>
      </c>
      <c r="U98" s="29" t="inlineStr">
        <is>
          <t>Lisans kanıtları/acuario-de-sevilla-01.license-evidence.json</t>
        </is>
      </c>
      <c r="V98" s="29" t="inlineStr">
        <is>
          <t>1c825efb54ffa0b52f3f8a5fd3d8a454333a2b557dd4a45457afe0de7aaf4db6</t>
        </is>
      </c>
      <c r="W98" s="29" t="inlineStr">
        <is>
          <t>{"source_url": "https://commons.wikimedia.org/wiki/File:Acuario_Sevilla_Dos_peces_leon_cebra.JPG", "author": "Hispalois", "license": "CC BY-SA 4.0", "license_url": "https://creativecommons.org/licenses/by-sa/4.0/", "original_api_record": {"size": 1709402, "width": 3264, "height": 2448, "thumburl": "https://thumb.wikimedia.org/wikipedia/commons/thumb/2/28/Acuario_Sevilla_Dos_peces_leon_cebra.JPG/1280px-Acuario_Sevilla_Dos_peces_leon_cebra.JPG", "thumbwidth": 1280, "thumbheight": 960, "responsiveUrls": {"2": "https://upload.wikimedia.org/wikipedia/commons/2/28/Acuario_Sevilla_Dos_peces_leon_cebra.JPG"}, "thumbattribs": {"src": "https://thumb.wikimedia.org/wikipedia/commons/thumb/2/28/Acuario_Sevilla_Dos_peces_leon_cebra.JPG/1280px-Acuario_Sevilla_Dos_peces_leon_cebra.JPG", "decoding": "async", "loading": "lazy", "width": 1280, "height": 960, "srcset": "https://upload.wikimedia.org/wikipedia/commons/2/28/Acuario_Sevilla_Dos_peces_leon_cebra.JPG 2x"}, "url": "https://upload.wikimedia.org/wikipedia/commons/2/28/Acuario_Sevilla_Dos_peces_leon_cebra.JPG", "descriptionurl": "https://commons.wikimedia.org/wiki/File:Acuario_Sevilla_Dos_peces_leon_cebra.JPG", "descriptionshorturl": "https://commons.wikimedia.org/w/index.php?curid=42031930", "sha1": "66cc677da00d0172cf6c5fdb827c849307ed9af6", "extmetadata": {"DateTime": {"value": "2015-08-02 18:53:59", "source": "mediawiki-metadata", "hidden": ""}, "ObjectName": {"value": "Acuario Sevilla Dos peces leon cebra", "source": "mediawiki-metadata"}, "CommonsMetadataExtension": {"value": 1.2, "source": "extension", "hidden": ""}, "Categories": {"value": "Dendrochirus zebra|Aquarium of Seville|Self-published work|Images by Hispalois|Files with coordinates missing SDC location of creation", "source": "commons-categories", "hidden": ""}, "Assessments": {"value": "", "source": "commons-categories", "hidden": ""}, "GPSLatitude": {"value": "37.372786", "source": "commons-desc-page"}, "GPSLongitude": {"value": "-5.992233", "source": "commons-desc-page"}, "GPSMapDatum": {"value": "WGS-84", "source": "commons-desc-page", "hidden": ""}, "ImageDescription": {"value": "Two zebra lionfish (Dendrochirus zebra). Photograph taken in the Aquarium of Seville (Acuario de Sevilla).", "source": "commons-desc-page"}, "DateTimeOriginal": {"value": "2015-07-26 13:56:57", "source": "commons-desc-page"}, "Credit": {"value": "&lt;span class=\"int-own-work\" lang=\"en\"&gt;Own work&lt;/span&gt;", "source": "commons-desc-page"}, "Artist": {"value": "&lt;a href=\"//commons.wikimedia.org/wiki/User:Hispalois\" title=\"User:Hispalois\"&gt;Hispalois&lt;/a&gt;",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"https://thumb.wikimedia.org/wikipedia/commons/thumb/2/28/Acuario_Sevilla_Dos_peces_leon_cebra.JPG/1280px-Acuario_Sevilla_Dos_peces_leon_cebra.JPG"}, "retrieved_on": "2026-10-25"}</t>
        </is>
      </c>
    </row>
    <row r="99" ht="54" customHeight="1">
      <c r="A99" s="29" t="inlineStr">
        <is>
          <t>sevilla:evidence:acuario-de-sevilla-02</t>
        </is>
      </c>
      <c r="B99" s="29" t="inlineStr">
        <is>
          <t>sevilla</t>
        </is>
      </c>
      <c r="C99" s="29" t="inlineStr">
        <is>
          <t>sevilla:photo:acuario-de-sevilla-02</t>
        </is>
      </c>
      <c r="D99" s="29" t="inlineStr">
        <is>
          <t>https://commons.wikimedia.org/wiki/File:Acuario_Sevilla_Tortuga_careta.JPG</t>
        </is>
      </c>
      <c r="E99" s="29" t="inlineStr">
        <is>
          <t>File:Acuario Sevilla Tortuga careta.JPG</t>
        </is>
      </c>
      <c r="F99" s="29" t="inlineStr">
        <is>
          <t>Hispalois</t>
        </is>
      </c>
      <c r="G99" s="29" t="inlineStr">
        <is>
          <t>CC BY-SA 4.0</t>
        </is>
      </c>
      <c r="H99" s="29" t="inlineStr">
        <is>
          <t>https://creativecommons.org/licenses/by-sa/4.0/</t>
        </is>
      </c>
      <c r="I99" s="29" t="inlineStr">
        <is>
          <t>Creative Commons Attribution-Share Alike 4.0</t>
        </is>
      </c>
      <c r="J99" s="29" t="inlineStr">
        <is>
          <t>Hispalois · CC BY-SA 4.0 · Wikimedia Commons</t>
        </is>
      </c>
      <c r="K99" s="29" t="n"/>
      <c r="L99" s="49" t="n">
        <v>46320</v>
      </c>
      <c r="M99" s="29" t="inlineStr">
        <is>
          <t>Bekliyor</t>
        </is>
      </c>
      <c r="N99" s="29" t="inlineStr">
        <is>
          <t>Bekliyor</t>
        </is>
      </c>
      <c r="O99" s="29" t="inlineStr">
        <is>
          <t>Fotoğraflar/sevilla_acuario-de-sevilla_02.jpg</t>
        </is>
      </c>
      <c r="P99" s="29" t="inlineStr">
        <is>
          <t>Sevilla Akvaryumu'nda yüzen iri bir deniz kaplumbağası.</t>
        </is>
      </c>
      <c r="Q99" s="29" t="inlineStr">
        <is>
          <t>Bekliyor</t>
        </is>
      </c>
      <c r="R99" s="29" t="inlineStr">
        <is>
          <t>Wikimedia Commons dosya sayfasındaki lisans: CC BY-SA 4.0</t>
        </is>
      </c>
      <c r="S99" s="29" t="inlineStr">
        <is>
          <t>Lisans kanıtları/acuario-de-sevilla-02.source-evidence.json</t>
        </is>
      </c>
      <c r="T99" s="29" t="inlineStr">
        <is>
          <t>8465be28fdef15c3dd12420c8e1e33f2b2a44bad8cfdf720bed23c69cd7d66ae</t>
        </is>
      </c>
      <c r="U99" s="29" t="inlineStr">
        <is>
          <t>Lisans kanıtları/acuario-de-sevilla-02.license-evidence.json</t>
        </is>
      </c>
      <c r="V99" s="29" t="inlineStr">
        <is>
          <t>55721519c1714827944e0f644e00281a0d74f86de60c5eb898ff26969d7e84ba</t>
        </is>
      </c>
      <c r="W99" s="29" t="inlineStr">
        <is>
          <t>{"source_url": "https://commons.wikimedia.org/wiki/File:Acuario_Sevilla_Tortuga_careta.JPG", "author": "Hispalois", "license": "CC BY-SA 4.0", "license_url": "https://creativecommons.org/licenses/by-sa/4.0/", "original_api_record": {"size": 1217075, "width": 3264, "height": 2448, "thumburl": "https://thumb.wikimedia.org/wikipedia/commons/thumb/e/ed/Acuario_Sevilla_Tortuga_careta.JPG/1280px-Acuario_Sevilla_Tortuga_careta.JPG", "thumbwidth": 1280, "thumbheight": 960, "responsiveUrls": {"2": "https://upload.wikimedia.org/wikipedia/commons/e/ed/Acuario_Sevilla_Tortuga_careta.JPG"}, "thumbattribs": {"src": "https://thumb.wikimedia.org/wikipedia/commons/thumb/e/ed/Acuario_Sevilla_Tortuga_careta.JPG/1280px-Acuario_Sevilla_Tortuga_careta.JPG", "decoding": "async", "loading": "lazy", "width": 1280, "height": 960, "srcset": "https://upload.wikimedia.org/wikipedia/commons/e/ed/Acuario_Sevilla_Tortuga_careta.JPG 2x"}, "url": "https://upload.wikimedia.org/wikipedia/commons/e/ed/Acuario_Sevilla_Tortuga_careta.JPG", "descriptionurl": "https://commons.wikimedia.org/wiki/File:Acuario_Sevilla_Tortuga_careta.JPG", "descriptionshorturl": "https://commons.wikimedia.org/w/index.php?curid=42031928", "sha1": "47cc8bf5773bca5cd0965ae60c1968789bc445d8", "extmetadata": {"DateTime": {"value": "2015-08-02 18:53:57", "source": "mediawiki-metadata", "hidden": ""}, "ObjectName": {"value": "Acuario Sevilla Tortuga careta", "source": "mediawiki-metadata"}, "CommonsMetadataExtension": {"value": 1.2, "source": "extension", "hidden": ""}, "Categories": {"value": "Caretta caretta|Aquarium of Seville|Self-published work|Images by Hispalois|Files with coordinates missing SDC location of creation|Testudines in captivity", "source": "commons-categories", "hidden": ""}, "Assessments": {"value": "", "source": "commons-categories", "hidden": ""}, "GPSLatitude": {"value": "37.370517", "source": "commons-desc-page"}, "GPSLongitude": {"value": "-5.991711", "source": "commons-desc-page"}, "GPSMapDatum": {"value": "WGS-84", "source": "commons-desc-page", "hidden": ""}, "ImageDescription": {"value": "Loggerhead sea turtle (Caretta caretta). Photograph taken in the Aquarium of Seville (Acuario de Sevilla).", "source": "commons-desc-page"}, "DateTimeOriginal": {"value": "2015-07-26 14:14:55", "source": "commons-desc-page"}, "Credit": {"value": "&lt;span class=\"int-own-work\" lang=\"en\"&gt;Own work&lt;/span&gt;", "source": "commons-desc-page"}, "Artist": {"value": "&lt;a href=\"//commons.wikimedia.org/wiki/User:Hispalois\" title=\"User:Hispalois\"&gt;Hispalois&lt;/a&gt;",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"https://thumb.wikimedia.org/wikipedia/commons/thumb/e/ed/Acuario_Sevilla_Tortuga_careta.JPG/1280px-Acuario_Sevilla_Tortuga_careta.JPG"}, "retrieved_on": "2026-10-25"}</t>
        </is>
      </c>
    </row>
    <row r="100" ht="54" customHeight="1">
      <c r="A100" s="29" t="inlineStr">
        <is>
          <t>sevilla:evidence:acuario-de-sevilla-03</t>
        </is>
      </c>
      <c r="B100" s="29" t="inlineStr">
        <is>
          <t>sevilla</t>
        </is>
      </c>
      <c r="C100" s="29" t="inlineStr">
        <is>
          <t>sevilla:photo:acuario-de-sevilla-03</t>
        </is>
      </c>
      <c r="D100" s="29" t="inlineStr">
        <is>
          <t>https://commons.wikimedia.org/wiki/File:Acuario_Sevilla_caiman_de_Cuvier.JPG</t>
        </is>
      </c>
      <c r="E100" s="29" t="inlineStr">
        <is>
          <t>File:Acuario Sevilla caiman de Cuvier.JPG</t>
        </is>
      </c>
      <c r="F100" s="29" t="inlineStr">
        <is>
          <t>Hispalois</t>
        </is>
      </c>
      <c r="G100" s="29" t="inlineStr">
        <is>
          <t>CC BY-SA 4.0</t>
        </is>
      </c>
      <c r="H100" s="29" t="inlineStr">
        <is>
          <t>https://creativecommons.org/licenses/by-sa/4.0/</t>
        </is>
      </c>
      <c r="I100" s="29" t="inlineStr">
        <is>
          <t>Creative Commons Attribution-Share Alike 4.0</t>
        </is>
      </c>
      <c r="J100" s="29" t="inlineStr">
        <is>
          <t>Hispalois · CC BY-SA 4.0 · Wikimedia Commons</t>
        </is>
      </c>
      <c r="K100" s="29" t="n"/>
      <c r="L100" s="49" t="n">
        <v>46320</v>
      </c>
      <c r="M100" s="29" t="inlineStr">
        <is>
          <t>Bekliyor</t>
        </is>
      </c>
      <c r="N100" s="29" t="inlineStr">
        <is>
          <t>Bekliyor</t>
        </is>
      </c>
      <c r="O100" s="29" t="inlineStr">
        <is>
          <t>Fotoğraflar/sevilla_acuario-de-sevilla_03.jpg</t>
        </is>
      </c>
      <c r="P100" s="29" t="inlineStr">
        <is>
          <t>Sevilla Akvaryumu'nda suyun altında bir kayman.</t>
        </is>
      </c>
      <c r="Q100" s="29" t="inlineStr">
        <is>
          <t>Bekliyor</t>
        </is>
      </c>
      <c r="R100" s="29" t="inlineStr">
        <is>
          <t>Wikimedia Commons dosya sayfasındaki lisans: CC BY-SA 4.0</t>
        </is>
      </c>
      <c r="S100" s="29" t="inlineStr">
        <is>
          <t>Lisans kanıtları/acuario-de-sevilla-03.source-evidence.json</t>
        </is>
      </c>
      <c r="T100" s="29" t="inlineStr">
        <is>
          <t>400d9a66a5a980c9aaeee7e30d189e97d6a36db86f5927620fd110c89f506aa3</t>
        </is>
      </c>
      <c r="U100" s="29" t="inlineStr">
        <is>
          <t>Lisans kanıtları/acuario-de-sevilla-03.license-evidence.json</t>
        </is>
      </c>
      <c r="V100" s="29" t="inlineStr">
        <is>
          <t>1783c8f53c3f4e2ae1e26c0b473f99121bcde55408a06a237d0180cd1e000089</t>
        </is>
      </c>
      <c r="W100" s="29" t="inlineStr">
        <is>
          <t>{"source_url": "https://commons.wikimedia.org/wiki/File:Acuario_Sevilla_caiman_de_Cuvier.JPG", "author": "Hispalois", "license": "CC BY-SA 4.0", "license_url": "https://creativecommons.org/licenses/by-sa/4.0/", "original_api_record": {"size": 1389349, "width": 3118, "height": 1932, "thumburl": "https://thumb.wikimedia.org/wikipedia/commons/thumb/a/a8/Acuario_Sevilla_caiman_de_Cuvier.JPG/1280px-Acuario_Sevilla_caiman_de_Cuvier.JPG", "thumbwidth": 1280, "thumbheight": 793, "responsiveUrls": {"2": "https://upload.wikimedia.org/wikipedia/commons/a/a8/Acuario_Sevilla_caiman_de_Cuvier.JPG"}, "thumbattribs": {"src": "https://thumb.wikimedia.org/wikipedia/commons/thumb/a/a8/Acuario_Sevilla_caiman_de_Cuvier.JPG/1280px-Acuario_Sevilla_caiman_de_Cuvier.JPG", "decoding": "async", "loading": "lazy", "width": 1280, "height": 793, "srcset": "https://upload.wikimedia.org/wikipedia/commons/a/a8/Acuario_Sevilla_caiman_de_Cuvier.JPG 2x"}, "url": "https://upload.wikimedia.org/wikipedia/commons/a/a8/Acuario_Sevilla_caiman_de_Cuvier.JPG", "descriptionurl": "https://commons.wikimedia.org/wiki/File:Acuario_Sevilla_caiman_de_Cuvier.JPG", "descriptionshorturl": "https://commons.wikimedia.org/w/index.php?curid=42031929", "sha1": "2283fc9ca629d61ea8038ee9dfc2c48ba11d6d98", "extmetadata": {"DateTime": {"value": "2015-08-02 18:53:58", "source": "mediawiki-metadata", "hidden": ""}, "ObjectName": {"value": "Acuario Sevilla caiman de Cuvier", "source": "mediawiki-metadata"}, "CommonsMetadataExtension": {"value": 1.2, "source": "extension", "hidden": ""}, "Categories": {"value": "Aquarium of Seville|Self-published work|Images by Hispalois|Files with coordinates missing SDC location of creation|Paleosuchus palpebrosus in zoos", "source": "commons-categories", "hidden": ""}, "Assessments": {"value": "", "source": "commons-categories", "hidden": ""}, "GPSLatitude": {"value": "37.370394", "source": "commons-desc-page"}, "GPSLongitude": {"value": "-5.991514", "source": "commons-desc-page"}, "GPSMapDatum": {"value": "WGS-84", "source": "commons-desc-page", "hidden": ""}, "ImageDescription": {"value": "Head of Cuvier's dwarf caiman (Paleosuchus palpebrosus). Photograph taken in the Aquarium of Seville (Acuario de Sevilla).", "source": "commons-desc-page"}, "DateTimeOriginal": {"value": "2015-07-26 14:08:33", "source": "commons-desc-page"}, "Credit": {"value": "&lt;span class=\"int-own-work\" lang=\"en\"&gt;Own work&lt;/span&gt;", "source": "commons-desc-page"}, "Artist": {"value": "&lt;a href=\"//commons.wikimedia.org/wiki/User:Hispalois\" title=\"User:Hispalois\"&gt;Hispalois&lt;/a&gt;",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"https://thumb.wikimedia.org/wikipedia/commons/thumb/a/a8/Acuario_Sevilla_caiman_de_Cuvier.JPG/1280px-Acuario_Sevilla_caiman_de_Cuvier.JPG"}, "retrieved_on": "2026-10-25"}</t>
        </is>
      </c>
    </row>
    <row r="101" ht="54" customHeight="1">
      <c r="A101" s="29" t="inlineStr">
        <is>
          <t>sevilla:evidence:estadio-sanchez-pizjuan-tur-01</t>
        </is>
      </c>
      <c r="B101" s="29" t="inlineStr">
        <is>
          <t>sevilla</t>
        </is>
      </c>
      <c r="C101" s="29" t="inlineStr">
        <is>
          <t>sevilla:photo:estadio-sanchez-pizjuan-tur-01</t>
        </is>
      </c>
      <c r="D101" s="29" t="inlineStr">
        <is>
          <t>https://commons.wikimedia.org/wiki/File:2022-10-25_1_Estadio_Ram%C3%B3n_S%C3%A1nchez_Pizju%C3%A1n_(Sevilla_FC).jpg</t>
        </is>
      </c>
      <c r="E101" s="29" t="inlineStr">
        <is>
          <t>File:2022-10-25 1 Estadio Ramón Sánchez Pizjuán (Sevilla FC).jpg</t>
        </is>
      </c>
      <c r="F101" s="29" t="inlineStr">
        <is>
          <t>Niels98</t>
        </is>
      </c>
      <c r="G101" s="29" t="inlineStr">
        <is>
          <t>CC BY-SA 4.0</t>
        </is>
      </c>
      <c r="H101" s="29" t="inlineStr">
        <is>
          <t>https://creativecommons.org/licenses/by-sa/4.0/</t>
        </is>
      </c>
      <c r="I101" s="29" t="inlineStr">
        <is>
          <t>Creative Commons Attribution-Share Alike 4.0</t>
        </is>
      </c>
      <c r="J101" s="29" t="inlineStr">
        <is>
          <t>Niels98 · CC BY-SA 4.0 · Wikimedia Commons</t>
        </is>
      </c>
      <c r="K101" s="29" t="n"/>
      <c r="L101" s="49" t="n">
        <v>46320</v>
      </c>
      <c r="M101" s="29" t="inlineStr">
        <is>
          <t>Bekliyor</t>
        </is>
      </c>
      <c r="N101" s="29" t="inlineStr">
        <is>
          <t>Bekliyor</t>
        </is>
      </c>
      <c r="O101" s="29" t="inlineStr">
        <is>
          <t>Fotoğraflar/sevilla_estadio-sanchez-pizjuan-tur_01.jpg</t>
        </is>
      </c>
      <c r="P101" s="29" t="inlineStr">
        <is>
          <t>Sánchez-Pizjuán Stadı'nın kırmızı tribünleri ve sahası.</t>
        </is>
      </c>
      <c r="Q101" s="29" t="inlineStr">
        <is>
          <t>Bekliyor</t>
        </is>
      </c>
      <c r="R101" s="29" t="inlineStr">
        <is>
          <t>Wikimedia Commons dosya sayfasındaki lisans: CC BY-SA 4.0</t>
        </is>
      </c>
      <c r="S101" s="29" t="inlineStr">
        <is>
          <t>Lisans kanıtları/estadio-sanchez-pizjuan-tur-01.source-evidence.json</t>
        </is>
      </c>
      <c r="T101" s="29" t="inlineStr">
        <is>
          <t>a7da534465879a22dee95116653de41446d42ee2a69b403ed7b759704fe58438</t>
        </is>
      </c>
      <c r="U101" s="29" t="inlineStr">
        <is>
          <t>Lisans kanıtları/estadio-sanchez-pizjuan-tur-01.license-evidence.json</t>
        </is>
      </c>
      <c r="V101" s="29" t="inlineStr">
        <is>
          <t>2ab617a164ab6f6847ffc1a3d6fcc26c187bec852587cdad73f2ef4b695d77fb</t>
        </is>
      </c>
      <c r="W101" s="29" t="inlineStr">
        <is>
          <t>{"source_url": "https://commons.wikimedia.org/wiki/File:2022-10-25_1_Estadio_Ram%C3%B3n_S%C3%A1nchez_Pizju%C3%A1n_(Sevilla_FC).jpg", "author": "Niels98", "license": "CC BY-SA 4.0", "license_url": "https://creativecommons.org/licenses/by-sa/4.0/", "original_api_record": {"size": 2901649, "width": 4032, "height": 3024, "thumburl": "https://thumb.wikimedia.org/wikipedia/commons/thumb/f/fe/2022-10-25_1_Estadio_Ram%C3%B3n_S%C3%A1nchez_Pizju%C3%A1n_%28Sevilla_FC%29.jpg/1280px-2022-10-25_1_Estadio_Ram%C3%B3n_S%C3%A1nchez_Pizju%C3%A1n_%28Sevilla_FC%29.jpg", "thumbwidth": 1280, "thumbheight": 960, "responsiveUrls": {"2": "https://thumb.wikimedia.org/wikipedia/commons/thumb/f/fe/2022-10-25_1_Estadio_Ram%C3%B3n_S%C3%A1nchez_Pizju%C3%A1n_%28Sevilla_FC%29.jpg/3840px-2022-10-25_1_Estadio_Ram%C3%B3n_S%C3%A1nchez_Pizju%C3%A1n_%28Sevilla_FC%29.jpg"}, "thumbattribs": {"src": "https://thumb.wikimedia.org/wikipedia/commons/thumb/f/fe/2022-10-25_1_Estadio_Ram%C3%B3n_S%C3%A1nchez_Pizju%C3%A1n_%28Sevilla_FC%29.jpg/1280px-2022-10-25_1_Estadio_Ram%C3%B3n_S%C3%A1nchez_Pizju%C3%A1n_%28Sevilla_FC%29.jpg", "decoding": "async", "loading": "lazy", "width": 1280, "height": 960, "srcset": "https://thumb.wikimedia.org/wikipedia/commons/thumb/f/fe/2022-10-25_1_Estadio_Ram%C3%B3n_S%C3%A1nchez_Pizju%C3%A1n_%28Sevilla_FC%29.jpg/3840px-2022-10-25_1_Estadio_Ram%C3%B3n_S%C3%A1nchez_Pizju%C3%A1n_%28Sevilla_FC%29.jpg 2x"}, "url": "https://upload.wikimedia.org/wikipedia/commons/f/fe/2022-10-25_1_Estadio_Ram%C3%B3n_S%C3%A1nchez_Pizju%C3%A1n_%28Sevilla_FC%29.jpg", "descriptionurl": "https://commons.wikimedia.org/wiki/File:2022-10-25_1_Estadio_Ram%C3%B3n_S%C3%A1nchez_Pizju%C3%A1n_(Sevilla_FC).jpg", "descriptionshorturl": "https://commons.wikimedia.org/w/index.php?curid=124775986", "sha1": "edf5659dc4eee6263a8fc7f5cb2ec0a1effae549", "extmetadata": {"DateTime": {"value": "2022-10-31 11:24:37", "source": "mediawiki-metadata", "hidden": ""}, "ObjectName": {"value": "2022-10-25 1 Estadio Ramón Sánchez Pizjuán (Sevilla FC)", "source": "mediawiki-metadata"}, "CommonsMetadataExtension": {"value": 1.2, "source": "extension", "hidden": ""}, "Categories": {"value": "Sevilla FC|Self-published work|Files with coordinates missing SDC location of creation|Estadio Ramón Sánchez-Pizjuán", "source": "commons-categories", "hidden": ""}, "Assessments": {"value": "", "source": "commons-categories", "hidden": ""}, "GPSLatitude": {"value": "37.383633", "source": "commons-desc-page"}, "GPSLongitude": {"value": "-5.970894", "source": "commons-desc-page"}, "GPSMapDatum": {"value": "WGS-84", "source": "commons-desc-page", "hidden": ""}, "ImageDescription": {"value": "Estadio Ramón Sánchez Pizjuán (Sevilla FC) before the match against FC Kopenhagen (UCL 2022)", "source": "commons-desc-page"}, "DateTimeOriginal": {"value": "2022-10-25 17:29:23", "source": "commons-desc-page"}, "Credit": {"value": "&lt;span class=\"int-own-work\" lang=\"en\"&gt;Own work&lt;/span&gt;", "source": "commons-desc-page"}, "Artist": {"value": "&lt;a href=\"//commons.wikimedia.org/w/index.php?title=User:Niels98&amp;amp;action=edit&amp;amp;redlink=1\" class=\"new\" title=\"User:Niels98 (page does not exist)\"&gt;Niels98&lt;/a&gt;",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"https://thumb.wikimedia.org/wikipedia/commons/thumb/f/fe/2022-10-25_1_Estadio_Ram%C3%B3n_S%C3%A1nchez_Pizju%C3%A1n_%28Sevilla_FC%29.jpg/1280px-2022-10-25_1_Estadio_Ram%C3%B3n_S%C3%A1nchez_Pizju%C3%A1n_%28Sevilla_FC%29.jpg"}, "retrieved_on": "2026-10-25"}</t>
        </is>
      </c>
    </row>
    <row r="102" ht="54" customHeight="1">
      <c r="A102" s="29" t="inlineStr">
        <is>
          <t>sevilla:evidence:estadio-sanchez-pizjuan-tur-02</t>
        </is>
      </c>
      <c r="B102" s="29" t="inlineStr">
        <is>
          <t>sevilla</t>
        </is>
      </c>
      <c r="C102" s="29" t="inlineStr">
        <is>
          <t>sevilla:photo:estadio-sanchez-pizjuan-tur-02</t>
        </is>
      </c>
      <c r="D102" s="29" t="inlineStr">
        <is>
          <t>https://commons.wikimedia.org/wiki/File:Banquillo_del_Sevilla_FC.jpg</t>
        </is>
      </c>
      <c r="E102" s="29" t="inlineStr">
        <is>
          <t>File:Banquillo del Sevilla FC.jpg</t>
        </is>
      </c>
      <c r="F102" s="29" t="inlineStr">
        <is>
          <t>CarlosVdeHabsburgo</t>
        </is>
      </c>
      <c r="G102" s="29" t="inlineStr">
        <is>
          <t>CC BY-SA 4.0</t>
        </is>
      </c>
      <c r="H102" s="29" t="inlineStr">
        <is>
          <t>https://creativecommons.org/licenses/by-sa/4.0/</t>
        </is>
      </c>
      <c r="I102" s="29" t="inlineStr">
        <is>
          <t>Creative Commons Attribution-Share Alike 4.0</t>
        </is>
      </c>
      <c r="J102" s="29" t="inlineStr">
        <is>
          <t>CarlosVdeHabsburgo · CC BY-SA 4.0 · Wikimedia Commons</t>
        </is>
      </c>
      <c r="K102" s="29" t="n"/>
      <c r="L102" s="49" t="n">
        <v>46320</v>
      </c>
      <c r="M102" s="29" t="inlineStr">
        <is>
          <t>Bekliyor</t>
        </is>
      </c>
      <c r="N102" s="29" t="inlineStr">
        <is>
          <t>Bekliyor</t>
        </is>
      </c>
      <c r="O102" s="29" t="inlineStr">
        <is>
          <t>Fotoğraflar/sevilla_estadio-sanchez-pizjuan-tur_02.jpg</t>
        </is>
      </c>
      <c r="P102" s="29" t="inlineStr">
        <is>
          <t>Sánchez-Pizjuán Stadı'nda saha kenarındaki kırmızı yedek kulübesi koltukları.</t>
        </is>
      </c>
      <c r="Q102" s="29" t="inlineStr">
        <is>
          <t>Bekliyor</t>
        </is>
      </c>
      <c r="R102" s="29" t="inlineStr">
        <is>
          <t>Wikimedia Commons dosya sayfasındaki lisans: CC BY-SA 4.0</t>
        </is>
      </c>
      <c r="S102" s="29" t="inlineStr">
        <is>
          <t>Lisans kanıtları/estadio-sanchez-pizjuan-tur-02.source-evidence.json</t>
        </is>
      </c>
      <c r="T102" s="29" t="inlineStr">
        <is>
          <t>bb0c5d91fd9fdf5f9752239b2cb98d630406e502f4d11e7fec73f1217a49bb13</t>
        </is>
      </c>
      <c r="U102" s="29" t="inlineStr">
        <is>
          <t>Lisans kanıtları/estadio-sanchez-pizjuan-tur-02.license-evidence.json</t>
        </is>
      </c>
      <c r="V102" s="29" t="inlineStr">
        <is>
          <t>51f679b034cd239c2a1909021df2df81f4fade9a777ecf9bb1dddfdf5021cb07</t>
        </is>
      </c>
      <c r="W102" s="29" t="inlineStr">
        <is>
          <t>{"source_url": "https://commons.wikimedia.org/wiki/File:Banquillo_del_Sevilla_FC.jpg", "author": "CarlosVdeHabsburgo", "license": "CC BY-SA 4.0", "license_url": "https://creativecommons.org/licenses/by-sa/4.0/", "original_api_record": {"size": 6177280, "width": 4000, "height": 3000, "thumburl": "https://thumb.wikimedia.org/wikipedia/commons/thumb/6/68/Banquillo_del_Sevilla_FC.jpg/1280px-Banquillo_del_Sevilla_FC.jpg", "thumbwidth": 1280, "thumbheight": 960, "responsiveUrls": {"2": "https://thumb.wikimedia.org/wikipedia/commons/thumb/6/68/Banquillo_del_Sevilla_FC.jpg/3840px-Banquillo_del_Sevilla_FC.jpg"}, "thumbattribs": {"src": "https://thumb.wikimedia.org/wikipedia/commons/thumb/6/68/Banquillo_del_Sevilla_FC.jpg/1280px-Banquillo_del_Sevilla_FC.jpg", "decoding": "async", "loading": "lazy", "width": 1280, "height": 960, "srcset": "https://thumb.wikimedia.org/wikipedia/commons/thumb/6/68/Banquillo_del_Sevilla_FC.jpg/3840px-Banquillo_del_Sevilla_FC.jpg 2x"}, "url": "https://upload.wikimedia.org/wikipedia/commons/6/68/Banquillo_del_Sevilla_FC.jpg", "descriptionurl": "https://commons.wikimedia.org/wiki/File:Banquillo_del_Sevilla_FC.jpg", "descriptionshorturl": "https://commons.wikimedia.org/w/index.php?curid=152063187", "sha1": "667469c1674805488f5b5c7086a187050f1da74c", "extmetadata": {"DateTime": {"value": "2024-09-01 10:35:00", "source": "mediawiki-metadata", "hidden": ""}, "ObjectName": {"value": "Banquillo del Sevilla FC", "source": "mediawiki-metadata"}, "CommonsMetadataExtension": {"value": 1.2, "source": "extension", "hidden": ""}, "Categories": {"value": "Self-published work|August 2024 in Seville|Estadio Ramón Sánchez-Pizjuán", "source": "commons-categories", "hidden": ""}, "Assessments": {"value": "", "source": "commons-categories", "hidden": ""}, "ImageDescription": {"value": "Banquillo del Sevilla FC. Estadio Ramón Sánchez-Pizjuán. Sevilla, Andalucía, España.", "source": "commons-desc-page"}, "DateTimeOriginal": {"value": "2024-08-31 17:40:52",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"https://thumb.wikimedia.org/wikipedia/commons/thumb/6/68/Banquillo_del_Sevilla_FC.jpg/1280px-Banquillo_del_Sevilla_FC.jpg"}, "retrieved_on": "2026-10-25"}</t>
        </is>
      </c>
    </row>
    <row r="103" ht="54" customHeight="1">
      <c r="A103" s="29" t="inlineStr">
        <is>
          <t>sevilla:evidence:estadio-sanchez-pizjuan-tur-03</t>
        </is>
      </c>
      <c r="B103" s="29" t="inlineStr">
        <is>
          <t>sevilla</t>
        </is>
      </c>
      <c r="C103" s="29" t="inlineStr">
        <is>
          <t>sevilla:photo:estadio-sanchez-pizjuan-tur-03</t>
        </is>
      </c>
      <c r="D103" s="29" t="inlineStr">
        <is>
          <t>https://commons.wikimedia.org/wiki/File:Estadio_Ram%C3%B3n_S%C3%A1nchez_Pizju%C3%A1n,_2022_(b).jpg</t>
        </is>
      </c>
      <c r="E103" s="29" t="inlineStr">
        <is>
          <t>File:Estadio Ramón Sánchez Pizjuán, 2022 (b).jpg</t>
        </is>
      </c>
      <c r="F103" s="29" t="inlineStr">
        <is>
          <t>Thomas Dahlstrøm Nielsen</t>
        </is>
      </c>
      <c r="G103" s="29" t="inlineStr">
        <is>
          <t>CC BY-SA 4.0</t>
        </is>
      </c>
      <c r="H103" s="29" t="inlineStr">
        <is>
          <t>https://creativecommons.org/licenses/by-sa/4.0/</t>
        </is>
      </c>
      <c r="I103" s="29" t="inlineStr">
        <is>
          <t>Creative Commons Attribution-Share Alike 4.0</t>
        </is>
      </c>
      <c r="J103" s="29" t="inlineStr">
        <is>
          <t>Thomas Dahlstrøm Nielsen · CC BY-SA 4.0 · Wikimedia Commons</t>
        </is>
      </c>
      <c r="K103" s="29" t="n"/>
      <c r="L103" s="49" t="n">
        <v>46320</v>
      </c>
      <c r="M103" s="29" t="inlineStr">
        <is>
          <t>Bekliyor</t>
        </is>
      </c>
      <c r="N103" s="29" t="inlineStr">
        <is>
          <t>Bekliyor</t>
        </is>
      </c>
      <c r="O103" s="29" t="inlineStr">
        <is>
          <t>Fotoğraflar/sevilla_estadio-sanchez-pizjuan-tur_03.jpg</t>
        </is>
      </c>
      <c r="P103" s="29" t="inlineStr">
        <is>
          <t>Sánchez-Pizjuán Stadı'nın dış cephesindeki büyük çini kulüp panosu.</t>
        </is>
      </c>
      <c r="Q103" s="29" t="inlineStr">
        <is>
          <t>Bekliyor</t>
        </is>
      </c>
      <c r="R103" s="29" t="inlineStr">
        <is>
          <t>Wikimedia Commons dosya sayfasındaki lisans: CC BY-SA 4.0</t>
        </is>
      </c>
      <c r="S103" s="29" t="inlineStr">
        <is>
          <t>Lisans kanıtları/estadio-sanchez-pizjuan-tur-03.source-evidence.json</t>
        </is>
      </c>
      <c r="T103" s="29" t="inlineStr">
        <is>
          <t>4e6df00a0e3be19aac6caf6fae100eede6cb0d984eabc03e1a0402cfa25f82d4</t>
        </is>
      </c>
      <c r="U103" s="29" t="inlineStr">
        <is>
          <t>Lisans kanıtları/estadio-sanchez-pizjuan-tur-03.license-evidence.json</t>
        </is>
      </c>
      <c r="V103" s="29" t="inlineStr">
        <is>
          <t>2805eefe73ef59861b6fb1719ad42b8e6265a1fff9ba16e6e1e2aed5e3fbf055</t>
        </is>
      </c>
      <c r="W103" s="29" t="inlineStr">
        <is>
          <t>{"source_url": "https://commons.wikimedia.org/wiki/File:Estadio_Ram%C3%B3n_S%C3%A1nchez_Pizju%C3%A1n,_2022_(b).jpg", "author": "Thomas Dahlstrøm Nielsen", "license": "CC BY-SA 4.0", "license_url": "https://creativecommons.org/licenses/by-sa/4.0/", "original_api_record": {"size": 15386468, "width": 6000, "height": 4000, "thumburl": "https://thumb.wikimedia.org/wikipedia/commons/thumb/4/48/Estadio_Ram%C3%B3n_S%C3%A1nchez_Pizju%C3%A1n%2C_2022_%28b%29.jpg/1280px-Estadio_Ram%C3%B3n_S%C3%A1nchez_Pizju%C3%A1n%2C_2022_%28b%29.jpg", "thumbwidth": 1280, "thumbheight": 853, "responsiveUrls": {"2": "https://thumb.wikimedia.org/wikipedia/commons/thumb/4/48/Estadio_Ram%C3%B3n_S%C3%A1nchez_Pizju%C3%A1n%2C_2022_%28b%29.jpg/3840px-Estadio_Ram%C3%B3n_S%C3%A1nchez_Pizju%C3%A1n%2C_2022_%28b%29.jpg"}, "thumbattribs": {"src": "https://thumb.wikimedia.org/wikipedia/commons/thumb/4/48/Estadio_Ram%C3%B3n_S%C3%A1nchez_Pizju%C3%A1n%2C_2022_%28b%29.jpg/1280px-Estadio_Ram%C3%B3n_S%C3%A1nchez_Pizju%C3%A1n%2C_2022_%28b%29.jpg", "decoding": "async", "loading": "lazy", "width": 1280, "height": 853, "srcset": "https://thumb.wikimedia.org/wikipedia/commons/thumb/4/48/Estadio_Ram%C3%B3n_S%C3%A1nchez_Pizju%C3%A1n%2C_2022_%28b%29.jpg/3840px-Estadio_Ram%C3%B3n_S%C3%A1nchez_Pizju%C3%A1n%2C_2022_%28b%29.jpg 2x"}, "url": "https://upload.wikimedia.org/wikipedia/commons/4/48/Estadio_Ram%C3%B3n_S%C3%A1nchez_Pizju%C3%A1n%2C_2022_%28b%29.jpg", "descriptionurl": "https://commons.wikimedia.org/wiki/File:Estadio_Ram%C3%B3n_S%C3%A1nchez_Pizju%C3%A1n,_2022_(b).jpg", "descriptionshorturl": "https://commons.wikimedia.org/w/index.php?curid=125205421", "sha1": "359a7626560e05484151ee38d4e4f50897df92f7", "extmetadata": {"DateTime": {"value": "2022-11-09 16:53:51", "source": "mediawiki-metadata", "hidden": ""}, "ObjectName": {"value": "Estadio Ramón Sánchez Pizjuán, 2022 (b)", "source": "mediawiki-metadata"}, "CommonsMetadataExtension": {"value": 1.2, "source": "extension", "hidden": ""}, "Categories": {"value": "Self-published work|October 2022 in Seville|Estadio Ramón Sánchez-Pizjuán", "source": "commons-categories", "hidden": ""}, "Assessments": {"value": "", "source": "commons-categories", "hidden": ""}, "ImageDescription": {"value": "Estadio Ramón Sánchez Pizjuán, 2022", "source": "commons-desc-page"}, "DateTimeOriginal": {"value": "2022-10-24 12:21:58", "source": "commons-desc-page"}, "Credit": {"value": "&lt;span class=\"int-own-work\" lang=\"en\"&gt;Own work&lt;/span&gt;", "source": "commons-desc-page"}, "Artist": {"value": "&lt;a href=\"//commons.wikimedia.org/wiki/User:Tdn70\" title=\"User:Tdn70\"&gt;Thomas Dahlstrøm Nielsen&lt;/a&gt;",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"https://thumb.wikimedia.org/wikipedia/commons/thumb/4/48/Estadio_Ram%C3%B3n_S%C3%A1nchez_Pizju%C3%A1n%2C_2022_%28b%29.jpg/1280px-Estadio_Ram%C3%B3n_S%C3%A1nchez_Pizju%C3%A1n%2C_2022_%28b%29.jpg"}, "retrieved_on": "2026-10-25"}</t>
        </is>
      </c>
    </row>
    <row r="104" ht="54" customHeight="1">
      <c r="A104" s="29" t="inlineStr">
        <is>
          <t>sevilla:evidence:estadio-la-cartuja-01</t>
        </is>
      </c>
      <c r="B104" s="29" t="inlineStr">
        <is>
          <t>sevilla</t>
        </is>
      </c>
      <c r="C104" s="29" t="inlineStr">
        <is>
          <t>sevilla:photo:estadio-la-cartuja-01</t>
        </is>
      </c>
      <c r="D104" s="29" t="inlineStr">
        <is>
          <t>https://commons.wikimedia.org/wiki/File:Carrera_nocturna_2009_Sevilla_-_Estadio_olimpico_-_http-imd.sevilla.org_-_panoramio.jpg</t>
        </is>
      </c>
      <c r="E104" s="29" t="inlineStr">
        <is>
          <t>File:Carrera nocturna 2009 Sevilla - Estadio olimpico - http-imd.sevilla.org - panoramio.jpg</t>
        </is>
      </c>
      <c r="F104" s="29" t="inlineStr">
        <is>
          <t>alfonsocg1983</t>
        </is>
      </c>
      <c r="G104" s="29" t="inlineStr">
        <is>
          <t>CC BY 3.0</t>
        </is>
      </c>
      <c r="H104" s="29" t="inlineStr">
        <is>
          <t>https://creativecommons.org/licenses/by/3.0/</t>
        </is>
      </c>
      <c r="I104" s="29" t="inlineStr">
        <is>
          <t>Creative Commons Attribution 3.0</t>
        </is>
      </c>
      <c r="J104" s="29" t="inlineStr">
        <is>
          <t>alfonsocg1983 · CC BY 3.0 · Wikimedia Commons</t>
        </is>
      </c>
      <c r="K104" s="29" t="n"/>
      <c r="L104" s="49" t="n">
        <v>46320</v>
      </c>
      <c r="M104" s="29" t="inlineStr">
        <is>
          <t>Bekliyor</t>
        </is>
      </c>
      <c r="N104" s="29" t="inlineStr">
        <is>
          <t>Bekliyor</t>
        </is>
      </c>
      <c r="O104" s="29" t="inlineStr">
        <is>
          <t>Fotoğraflar/sevilla_estadio-la-cartuja_01.jpg</t>
        </is>
      </c>
      <c r="P104" s="29" t="inlineStr">
        <is>
          <t>La Cartuja Olimpiyat Stadı'nda pistte koşanlar ve tribünler.</t>
        </is>
      </c>
      <c r="Q104" s="29" t="inlineStr">
        <is>
          <t>Bekliyor</t>
        </is>
      </c>
      <c r="R104" s="29" t="inlineStr">
        <is>
          <t>Wikimedia Commons dosya sayfasındaki lisans: CC BY 3.0</t>
        </is>
      </c>
      <c r="S104" s="29" t="inlineStr">
        <is>
          <t>Lisans kanıtları/estadio-la-cartuja-01.source-evidence.json</t>
        </is>
      </c>
      <c r="T104" s="29" t="inlineStr">
        <is>
          <t>8fcc76ad4972b6fcc68b1f52cd2c97afeabd5cf153bc18ec530315273cdeb1c7</t>
        </is>
      </c>
      <c r="U104" s="29" t="inlineStr">
        <is>
          <t>Lisans kanıtları/estadio-la-cartuja-01.license-evidence.json</t>
        </is>
      </c>
      <c r="V104" s="29" t="inlineStr">
        <is>
          <t>bda7ec351603fe235fb76e9c985c6b6dffa4e715488766d55f805c74ce25a6c5</t>
        </is>
      </c>
      <c r="W104" s="29" t="inlineStr">
        <is>
          <t>{"source_url": "https://commons.wikimedia.org/wiki/File:Carrera_nocturna_2009_Sevilla_-_Estadio_olimpico_-_http-imd.sevilla.org_-_panoramio.jpg", "author": "alfonsocg1983", "license": "CC BY 3.0", "license_url": "https://creativecommons.org/licenses/by/3.0/", "original_api_record": {"size": 920014, "width": 2592, "height": 1944, "thumburl": "https://thumb.wikimedia.org/wikipedia/commons/thumb/7/73/Carrera_nocturna_2009_Sevilla_-_Estadio_olimpico_-_http-imd.sevilla.org_-_panoramio.jpg/1280px-Carrera_nocturna_2009_Sevilla_-_Estadio_olimpico_-_http-imd.sevilla.org_-_panoramio.jpg", "thumbwidth": 1280, "thumbheight": 960, "responsiveUrls": {"2": "https://upload.wikimedia.org/wikipedia/commons/7/73/Carrera_nocturna_2009_Sevilla_-_Estadio_olimpico_-_http-imd.sevilla.org_-_panoramio.jpg"}, "thumbattribs": {"src": "https://thumb.wikimedia.org/wikipedia/commons/thumb/7/73/Carrera_nocturna_2009_Sevilla_-_Estadio_olimpico_-_http-imd.sevilla.org_-_panoramio.jpg/1280px-Carrera_nocturna_2009_Sevilla_-_Estadio_olimpico_-_http-imd.sevilla.org_-_panoramio.jpg", "decoding": "async", "loading": "lazy", "width": 1280, "height": 960, "srcset": "https://upload.wikimedia.org/wikipedia/commons/7/73/Carrera_nocturna_2009_Sevilla_-_Estadio_olimpico_-_http-imd.sevilla.org_-_panoramio.jpg 2x"}, "url": "https://upload.wikimedia.org/wikipedia/commons/7/73/Carrera_nocturna_2009_Sevilla_-_Estadio_olimpico_-_http-imd.sevilla.org_-_panoramio.jpg", "descriptionurl": "https://commons.wikimedia.org/wiki/File:Carrera_nocturna_2009_Sevilla_-_Estadio_olimpico_-_http-imd.sevilla.org_-_panoramio.jpg", "descriptionshorturl": "https://commons.wikimedia.org/w/index.php?curid=53782011", "sha1": "05d723f813e8b4c1d159f1abb6cbdd6587a730c8", "extmetadata": {"DateTime": {"value": "2016-12-04 22:14:21", "source": "mediawiki-metadata", "hidden": ""}, "ObjectName": {"value": "Carrera nocturna 2009 Sevilla - Estadio olimpico - http-imd.sevilla.org - panoramio", "source": "mediawiki-metadata"}, "CommonsMetadataExtension": {"value": 1.2, "source": "extension", "hidden": ""}, "Categories": {"value": "Estadio Olímpico de la Cartuja|Panoramio files uploaded by Panoramio upload bot|Panoramio images reviewed by trusted users|Photos from Panoramio|Spain photographs taken on 2009-09-25|Files with coordinates missing SDC location of creation", "source": "commons-categories", "hidden": ""}, "Assessments": {"value": "", "source": "commons-categories", "hidden": ""}, "GPSLatitude": {"value": "37.416634", "source": "commons-desc-page"}, "GPSLongitude": {"value": "-6.005337", "source": "commons-desc-page"}, "GPSMapDatum": {"value": "WGS-84", "source": "commons-desc-page", "hidden": ""}, "ImageDescription": {"value": "Carrera nocturna 2009 Sevilla - Estadio olimpico - &lt;a rel=\"nofollow\" class=\"external free\" href=\"http://imd.sevilla.org/\"&gt;http://imd.sevilla.org/&lt;/a&gt;", "source": "commons-desc-page"}, "DateTimeOriginal": {"value": "Taken on 25 September 2009", "source": "commons-desc-page"}, "Credit": {"value": "&lt;a rel=\"nofollow\" class=\"external free\" href=\"https://web.archive.org/web/20161014132440/http://www.panoramio.com/photo/27187612\"&gt;https://web.archive.org/web/20161014132440/http://www.panoramio.com/photo/27187612&lt;/a&gt;", "source": "commons-desc-page"}, "Artist": {"value": "&lt;a rel=\"nofollow\" class=\"external text\" href=\"https://web.archive.org/web/20161014132442/http://www.panoramio.com/user/2338466?with_photo_id=27187612\"&gt;alfonsocg1983&lt;/a&gt;", "source": "commons-desc-page"}, "Permission": {"value": "&lt;div class=\"responsive-license-cc layouttemplate licensetpl\" dir=\"ltr\" lang=\"en\"&gt;&lt;div class=\"rlicense-icons\"&gt;&lt;span class=\"skin-invert\" typeof=\"mw:File\"&gt;&lt;span title=\"w:en:Creative Commons\"&gt;&lt;img alt=\"w:en:Creative Commons\" src=\"https://thumb.wikimedia.org/wikipedia/commons/thumb/7/79/CC_some_rights_reserved.svg/120px-CC_some_rights_reserved.svg.png?utm_source=commons.wikimedia.org&amp;amp;utm_campaign=parser&amp;amp;utm_content=thumbnail\" decoding=\"async\" loading=\"lazy\" width=\"90\" height=\"36\" class=\"mw-file-element\" srcset=\"https://thumb.wikimedia.org/wikipedia/commons/thumb/7/79/CC_some_rights_reserved.svg/250px-CC_some_rights_reserved.svg.png?utm_source=commons.wikimedia.org&amp;amp;utm_campaign=parser&amp;amp;utm_content=thumbnail 2x\" data-file-width=\"744\" data-file-height=\"300\"&gt;&lt;/span&gt;&lt;/span&gt;&lt;br&gt;\n&lt;span class=\"skin-invert\" typeof=\"mw:File\"&gt;&lt;span title=\"attribution\"&gt;&lt;img alt=\"attribution\" src=\"https://thumb.wikimedia.org/wikipedia/commons/thumb/1/11/Cc-by_new_white.svg/40px-Cc-by_new_white.svg.png?utm_source=commons.wikimedia.org&amp;amp;utm_campaign=parser&amp;amp;utm_content=thumbnail\" decoding=\"async\" loading=\"lazy\" width=\"24\" height=\"24\" class=\"mw-file-element\" srcset=\"https://thumb.wikimedia.org/wikipedia/commons/thumb/1/11/Cc-by_new_white.svg/60px-Cc-by_new_white.svg.png?utm_source=commons.wikimedia.org&amp;amp;utm_campaign=parser&amp;amp;utm_content=thumbnail 2x\" data-file-width=\"64\" data-file-height=\"64\"&gt;&lt;/span&gt;&lt;/span&gt;&lt;/div&gt;&lt;div class=\"rlicense-text\"&gt;&lt;div class=\"rlicense-declaration\"&gt;This file is licensed under the &lt;a href=\"https://en.wikipedia.org/wiki/en:Creative_Commons\" class=\"extiw\" title=\"w:en:Creative Commons\"&gt;Creative Commons&lt;/a&gt; &lt;a href=\"//creativecommons.org/licenses/by/3.0/deed.en\" class=\"extiw\" title=\"creativecommons:by/3.0/deed.en\"&gt;Attribution 3.0 Unported&lt;/a&gt; license.&lt;/div&gt;&lt;div class=\"rlicense-attr\" style=\"font-weight: bold;\"&gt;Attribution: &lt;div style=\"display:inline;font-size:larger;\" class=\"licensetpl_attr\"&gt;alfonsocg1983&lt;/div&gt;&lt;/div&gt;&lt;div class=\"rlicense-desc\" style=\"text-align:start;\" dir=\"ltr\" lang=\"en\"&gt;\n&lt;dl&gt;&lt;dd&gt;You are free:\n&lt;ul&gt;&lt;li&gt;&lt;b&gt;to share&lt;/b&gt; – to copy, distribute and transmit the work&lt;/li&gt;\n&lt;li&gt;&lt;b&gt;to remix&lt;/b&gt; – to adapt the work&lt;/li&gt;&lt;/ul&gt;&lt;/dd&gt;\n&lt;dd&gt;Under the following conditions:\n&lt;ul&gt;&lt;li&gt;&lt;b&gt;attribution&lt;/b&gt; – You must give appropriate credit, provide a link to the license, and indicate if changes were made. You may do so in any reasonable manner, but not in any way that suggests the licensor endorses you or your use.&lt;/li&gt;&lt;/ul&gt;&lt;/dd&gt;&lt;/dl&gt;\n&lt;/div&gt;&lt;span class=\"licensetpl_link\" style=\"display:none;\"&gt;https://creativecommons.org/licenses/by/3.0&lt;/span&gt;&lt;span class=\"licensetpl_short\" style=\"display:none;\"&gt;CC BY 3.0 &lt;/span&gt;&lt;span class=\"licensetpl_long\" style=\"display:none;\"&gt;Creative Commons Attribution 3.0 &lt;/span&gt;&lt;span class=\"licensetpl_link_req\" style=\"display:none;\"&gt;true&lt;/span&gt;&lt;span class=\"licensetpl_attr_req\" style=\"display:none;\"&gt;true&lt;/span&gt;&lt;/div&gt;&lt;/div&gt;\n&lt;style data-mw-deduplicate=\"TemplateStyles:r901585720\"&gt;.mw-parser-output .panoramioreview{width:100%;margin:0.5em 0;background-color:var(--background-color-warning-subtle,#fffff0);padding:5px;border:1px solid var(--border-color-warning,#aa8);color:inherit}.mw-parser-output .panoramioreview-failed{background-color:var(--background-color-error-subtle,#fcc);color:inherit}.mw-parser-output .panoramioreview-passed{background-color:var(--background-color-success-subtle,#efe);color:inherit}&lt;/style&gt;\n&lt;table class=\"panoramioreview panoramioreview-passed\" lang=\"en\" dir=\"ltr\"&gt;\n\n&lt;tbody&gt;&lt;tr&gt;\n&lt;td&gt;&lt;span typeof=\"mw:File\"&gt;&lt;span&gt;&lt;img alt=\"\" src=\"https://thumb.wikimedia.org/wikipedia/commons/thumb/9/95/Checked_copyright_icon.svg/60px-Checked_copyright_icon.svg.png?utm_source=commons.wikimedia.org&amp;amp;utm_campaign=parser&amp;amp;utm_content=thumbnail\" decoding=\"async\" loading=\"lazy\" width=\"50\" height=\"48\" class=\"mw-file-element\" srcset=\"https://thumb.wikimedia.org/wikipedia/commons/thumb/9/95/Checked_copyright_icon.svg/120px-Checked_copyright_icon.svg.png?utm_source=commons.wikimedia.org&amp;amp;utm_campaign=parser&amp;amp;utm_content=thumbnail 2x\" data-file-width=\"160\" data-file-height=\"153\"&gt;&lt;/span&gt;&lt;/span&gt;\n&lt;/td&gt;\n&lt;td&gt;This image, which was originally posted to &lt;b&gt;&lt;span lang=\"en\" dir=\"ltr\"&gt;&lt;a href=\"https://en.wikipedia.org/wiki/Panoramio\" class=\"extiw\" title=\"en:Panoramio\"&gt;Panoramio&lt;/a&gt;&lt;/span&gt;&lt;/b&gt;, was automatically reviewed on 4 December 2016 by &lt;b&gt;&lt;a href=\"//commons.wikimedia.org/wiki/User:Panoramio_upload_bot\" title=\"User:Panoramio upload bot\"&gt;Panoramio upload bot&lt;/a&gt;&lt;/b&gt;, who confirmed that it was available on Panoramio under the above license on that date.\n&lt;/td&gt;\n&lt;td&gt;&lt;span typeof=\"mw:File\"&gt;&lt;a href=\"//commons.wikimedia.org/wiki/File:Star_and_ring.svg\" class=\"mw-file-description\"&gt;&lt;img src=\"https://thumb.wikimedia.org/wikipedia/commons/thumb/9/98/Star_and_ring.svg/60px-Star_and_ring.svg.png?utm_source=commons.wikimedia.org&amp;amp;utm_campaign=parser&amp;amp;utm_content=thumbnail\" decoding=\"async\" loading=\"lazy\" width=\"50\" height=\"50\" class=\"mw-file-element\" srcset=\"https://thumb.wikimedia.org/wikipedia/commons/thumb/9/98/Star_and_ring.svg/120px-Star_and_ring.svg.png?utm_source=commons.wikimedia.org&amp;amp;utm_campaign=parser&amp;amp;utm_content=thumbnail 2x\" data-file-width=\"75\" data-file-height=\"75\"&gt;&lt;/a&gt;&lt;/span&gt;\n&lt;/td&gt;&lt;/tr&gt;&lt;/tbody&gt;&lt;/table&gt;", "source": "commons-desc-page", "hidden": ""}, "LicenseShortName": {"value": "CC BY 3.0", "source": "commons-desc-page", "hidden": ""}, "UsageTerms": {"value": "Creative Commons Attribution 3.0", "source": "commons-desc-page"}, "AttributionRequired": {"value": "true", "source": "commons-desc-page", "hidden": ""}, "Attribution": {"value": "alfonsocg1983",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"https://thumb.wikimedia.org/wikipedia/commons/thumb/7/73/Carrera_nocturna_2009_Sevilla_-_Estadio_olimpico_-_http-imd.sevilla.org_-_panoramio.jpg/1280px-Carrera_nocturna_2009_Sevilla_-_Estadio_olimpico_-_http-imd.sevilla.org_-_panoramio.jpg"}, "retrieved_on": "2026-10-25"}</t>
        </is>
      </c>
    </row>
    <row r="105" ht="54" customHeight="1">
      <c r="A105" s="29" t="inlineStr">
        <is>
          <t>sevilla:evidence:estadio-la-cartuja-02</t>
        </is>
      </c>
      <c r="B105" s="29" t="inlineStr">
        <is>
          <t>sevilla</t>
        </is>
      </c>
      <c r="C105" s="29" t="inlineStr">
        <is>
          <t>sevilla:photo:estadio-la-cartuja-02</t>
        </is>
      </c>
      <c r="D105" s="29" t="inlineStr">
        <is>
          <t>https://commons.wikimedia.org/wiki/File:Ciencias_vs_ElSalvador_2016.jpg</t>
        </is>
      </c>
      <c r="E105" s="29" t="inlineStr">
        <is>
          <t>File:Ciencias vs ElSalvador 2016.jpg</t>
        </is>
      </c>
      <c r="F105" s="29" t="inlineStr">
        <is>
          <t>JonnyJonny</t>
        </is>
      </c>
      <c r="G105" s="29" t="inlineStr">
        <is>
          <t>Public domain</t>
        </is>
      </c>
      <c r="H105" s="29" t="inlineStr">
        <is>
          <t>https://commons.wikimedia.org/wiki/File:Ciencias_vs_ElSalvador_2016.jpg</t>
        </is>
      </c>
      <c r="I105" s="29" t="inlineStr">
        <is>
          <t>Public domain</t>
        </is>
      </c>
      <c r="J105" s="29" t="inlineStr">
        <is>
          <t>JonnyJonny · Public domain · Wikimedia Commons</t>
        </is>
      </c>
      <c r="K105" s="29" t="n"/>
      <c r="L105" s="49" t="n">
        <v>46320</v>
      </c>
      <c r="M105" s="29" t="inlineStr">
        <is>
          <t>Bekliyor</t>
        </is>
      </c>
      <c r="N105" s="29" t="inlineStr">
        <is>
          <t>Bekliyor</t>
        </is>
      </c>
      <c r="O105" s="29" t="inlineStr">
        <is>
          <t>Fotoğraflar/sevilla_estadio-la-cartuja_02.jpg</t>
        </is>
      </c>
      <c r="P105" s="29" t="inlineStr">
        <is>
          <t>La Cartuja Stadı'nın çatılı tribünleri ve sahası.</t>
        </is>
      </c>
      <c r="Q105" s="29" t="inlineStr">
        <is>
          <t>Bekliyor</t>
        </is>
      </c>
      <c r="R105" s="29" t="inlineStr">
        <is>
          <t>Wikimedia Commons dosya sayfasındaki lisans: Public domain</t>
        </is>
      </c>
      <c r="S105" s="29" t="inlineStr">
        <is>
          <t>Lisans kanıtları/estadio-la-cartuja-02.source-evidence.json</t>
        </is>
      </c>
      <c r="T105" s="29" t="inlineStr">
        <is>
          <t>03c343030731ebff8bfa5f58d3058edff18b628ec48cfc91748cdbb4d9aa12e3</t>
        </is>
      </c>
      <c r="U105" s="29" t="inlineStr">
        <is>
          <t>Lisans kanıtları/estadio-la-cartuja-02.license-evidence.json</t>
        </is>
      </c>
      <c r="V105" s="29" t="inlineStr">
        <is>
          <t>49842c1df1566f72be5b00c34d9b1e7b15a9c6a9f7a9def91f8dc6cfcd20d554</t>
        </is>
      </c>
      <c r="W105" s="29" t="inlineStr">
        <is>
          <t>{"source_url": "https://commons.wikimedia.org/wiki/File:Ciencias_vs_ElSalvador_2016.jpg", "author": "JonnyJonny", "license": "Public domain", "license_url": "https://commons.wikimedia.org/wiki/File:Ciencias_vs_ElSalvador_2016.jpg", "original_api_record": {"size": 3475111, "width": 4128, "height": 2322, "thumburl": "https://thumb.wikimedia.org/wikipedia/commons/thumb/a/ae/Ciencias_vs_ElSalvador_2016.jpg/1280px-Ciencias_vs_ElSalvador_2016.jpg", "thumbwidth": 1280, "thumbheight": 720, "responsiveUrls": {"2": "https://thumb.wikimedia.org/wikipedia/commons/thumb/a/ae/Ciencias_vs_ElSalvador_2016.jpg/3840px-Ciencias_vs_ElSalvador_2016.jpg"}, "thumbattribs": {"src": "https://thumb.wikimedia.org/wikipedia/commons/thumb/a/ae/Ciencias_vs_ElSalvador_2016.jpg/1280px-Ciencias_vs_ElSalvador_2016.jpg", "decoding": "async", "loading": "lazy", "width": 1280, "height": 720, "srcset": "https://thumb.wikimedia.org/wikipedia/commons/thumb/a/ae/Ciencias_vs_ElSalvador_2016.jpg/3840px-Ciencias_vs_ElSalvador_2016.jpg 2x"}, "url": "https://upload.wikimedia.org/wikipedia/commons/a/ae/Ciencias_vs_ElSalvador_2016.jpg", "descriptionurl": "https://commons.wikimedia.org/wiki/File:Ciencias_vs_ElSalvador_2016.jpg", "descriptionshorturl": "https://commons.wikimedia.org/w/index.php?curid=51742207", "sha1": "d1b97c56e65c89b2619e35a3d3890914a4432bb0", "extmetadata": {"DateTime": {"value": "2016-09-25 21:43:27", "source": "mediawiki-metadata", "hidden": ""}, "ObjectName": {"value": "Ciencias vs ElSalvador 2016", "source": "mediawiki-metadata"}, "CommonsMetadataExtension": {"value": 1.2, "source": "extension", "hidden": ""}, "Categories": {"value": "Club de Rugby El Salvador|PD-user|Estadio Olímpico de la Cartuja|División de Honor de Rugby", "source": "commons-categories", "hidden": ""}, "Assessments": {"value": "", "source": "commons-categories", "hidden": ""}, "ImageDescription": {"value": "Fotografía del primer partido de &lt;a href=\"https://en.wikipedia.org/wiki/es:Divisi%C3%B3n_de_Honor_de_Rugby\" class=\"extiw\" title=\"w:es:División de Honor de Rugby\"&gt;División de Honor&lt;/a&gt; en su &lt;a href=\"https://en.wikipedia.org/wiki/es:Divisi%C3%B3n_de_Honor_de_Rugby_2016-2017\" class=\"extiw\" title=\"w:es:División de Honor de Rugby 2016-2017\"&gt;temporada 2016-2017&lt;/a&gt;. Se enfrentaban el &lt;a href=\"https://en.wikipedia.org/wiki/es:Club_de_Rugby_Ciencias\" class=\"extiw\" title=\"w:es:Club de Rugby Ciencias\"&gt;Ciencias Fundación Cajasol&lt;/a&gt; contra el &lt;a href=\"https://en.wikipedia.org/wiki/es:Club_de_Rugby_El_Salvador\" class=\"extiw\" title=\"w:es:Club de Rugby El Salvador\"&gt;Silverstorm - El Salvador&lt;/a&gt; en el &lt;a href=\"https://en.wikipedia.org/wiki/es:Estadio_Ol%C3%ADmpico_de_La_Cartuja\" class=\"extiw\" title=\"w:es:Estadio Olímpico de La Cartuja\"&gt;Estadio Olímpico de la Cartuja&lt;/a&gt; de &lt;a href=\"https://en.wikipedia.org/wiki/es:Sevilla\" class=\"extiw\" title=\"w:es:Sevilla\"&gt;Sevilla&lt;/a&gt;.", "source": "commons-desc-page"}, "DateTimeOriginal": {"value": "2016-09-11", "source": "commons-desc-page"}, "Credit": {"value": "&lt;a class=\"external text\" href=\"https://gl.wikipedia.org/wiki/Ficheiro:Ciencias_vs_ElSalvador_2016_2017.jpg\"&gt;Galipedia&lt;/a&gt;", "source": "commons-desc-page"}, "Artist": {"value": "JonnyJonny", "source": "commons-desc-page"}, "Permission": {"value": "&lt;table class=\"licensetpl\" style=\"display:none\"&gt;\n&lt;tbody&gt;&lt;tr&gt;\n&lt;td&gt;&lt;span class=\"licensetpl_short\"&gt;Public domain&lt;/span&gt;&lt;span class=\"licensetpl_long\"&gt;Public domain&lt;/span&gt;&lt;span class=\"licensetpl_link_req\"&gt;false&lt;/span&gt;&lt;span class=\"licensetpl_attr_req\"&gt;false&lt;/span&gt;\n&lt;/td&gt;&lt;/tr&gt;&lt;/tbody&gt;&lt;/table&gt;\n&lt;table style=\"width: 100%; clear: both; margin: 0.5em auto; background-color: var(--background-color-progressive-subtle, #f7f8ff); color: var(--color-base, #202122); border: var(--border-subtle, 2px solid #8888aa); border-spacing: 8px; padding: 0px;\" dir=\"ltr\" class=\"layouttemplate\" lang=\"en\"&gt;\n&lt;tbody&gt;&lt;tr&gt;\n&lt;td&gt;&lt;span class=\"layouttemplateargs\" style=\"display:none;speak:none;\" title=\"template=PD-user-w 1%3D%3Agl%3A 2%3DWikipedia 3%3DJonnyJonny 4%3D 5%3D 6%3D 7%3D%5B%5B%3Agl%3AUser%3AJonnyJonny%7CJonnyJonny%5D%5D\"&gt; &lt;/span&gt; &lt;span typeof=\"mw:File\"&gt;&lt;span&gt;&lt;img src=\"https://thumb.wikimedia.org/wikipedia/commons/thumb/6/62/PD-icon.svg/120px-PD-icon.svg.png?utm_source=commons.wikimedia.org&amp;amp;utm_campaign=parser&amp;amp;utm_content=thumbnail\" decoding=\"async\" loading=\"lazy\" width=\"64\" height=\"64\" class=\"mw-file-element\" srcset=\"https://thumb.wikimedia.org/wikipedia/commons/thumb/6/62/PD-icon.svg/250px-PD-icon.svg.png?utm_source=commons.wikimedia.org&amp;amp;utm_campaign=parser&amp;amp;utm_content=thumbnail 2x\" data-file-width=\"196\" data-file-height=\"196\"&gt;&lt;/span&gt;&lt;/span&gt;\n&lt;/td&gt;\n&lt;td&gt;This work has been released into the &lt;b&gt;&lt;a href=\"https://en.wikipedia.org/wiki/en:public_domain\" class=\"extiw\" title=\"w:en:public domain\"&gt;public domain&lt;/a&gt;&lt;/b&gt; by its author, &lt;b&gt;&lt;a href=\"https://gl.wikipedia.org/wiki/User:JonnyJonny\" class=\"extiw\" title=\"gl:User:JonnyJonny\"&gt;JonnyJonny&lt;/a&gt;, at the &lt;a href=\"https://gl.wikipedia.org/wiki/\" class=\"extiw\" title=\"gl:\"&gt;English Wikipedia&lt;/a&gt; project&lt;/b&gt;. This applies worldwide.&lt;br&gt;\n&lt;p&gt;&lt;small&gt;In case this is not legally possible:&lt;/small&gt;&lt;br&gt; &lt;a href=\"https://gl.wikipedia.org/wiki/User:JonnyJonny\" class=\"extiw\" title=\"gl:User:JonnyJonny\"&gt;JonnyJonny&lt;/a&gt; grants anyone the right to use this work &lt;b&gt;for any purpose&lt;/b&gt;, without any conditions, unless such conditions are required by law.\n&lt;/p&gt;\n&lt;/td&gt;&lt;/tr&gt;&lt;/tbody&gt;&lt;/table&gt;", "source": "commons-desc-page", "hidden": ""}, "LicenseShortName": {"value": "Public domain", "source": "commons-desc-page", "hidden": ""}, "UsageTerms": {"value": "Public domain", "source": "commons-desc-page"}, "AttributionRequired": {"value": "false", "source": "commons-desc-page", "hidden": ""}, "Copyrighted": {"value": "False", "source": "commons-desc-page", "hidden": ""}, "Restrictions": {"value": "", "source": "commons-desc-page", "hidden": ""}, "License": {"value": "pd", "source": "commons-templates", "hidden": ""}}, "mime": "image/jpeg"}, "delivered_file": {"url": "https://thumb.wikimedia.org/wikipedia/commons/thumb/a/ae/Ciencias_vs_ElSalvador_2016.jpg/1280px-Ciencias_vs_ElSalvador_2016.jpg"}, "retrieved_on": "2026-10-25"}</t>
        </is>
      </c>
    </row>
    <row r="106" ht="54" customHeight="1">
      <c r="A106" s="29" t="inlineStr">
        <is>
          <t>sevilla:evidence:estadio-la-cartuja-03</t>
        </is>
      </c>
      <c r="B106" s="29" t="inlineStr">
        <is>
          <t>sevilla</t>
        </is>
      </c>
      <c r="C106" s="29" t="inlineStr">
        <is>
          <t>sevilla:photo:estadio-la-cartuja-03</t>
        </is>
      </c>
      <c r="D106" s="29" t="inlineStr">
        <is>
          <t>https://commons.wikimedia.org/wiki/File:Estadio_Ol%C3%ADmpico_de_La_Cartuja,_Sevilla.jpg</t>
        </is>
      </c>
      <c r="E106" s="29" t="inlineStr">
        <is>
          <t>File:Estadio Olímpico de La Cartuja, Sevilla.jpg</t>
        </is>
      </c>
      <c r="F106" s="29" t="inlineStr">
        <is>
          <t>Granadino anti-andaluz</t>
        </is>
      </c>
      <c r="G106" s="29" t="inlineStr">
        <is>
          <t>CC BY-SA 4.0</t>
        </is>
      </c>
      <c r="H106" s="29" t="inlineStr">
        <is>
          <t>https://creativecommons.org/licenses/by-sa/4.0/</t>
        </is>
      </c>
      <c r="I106" s="29" t="inlineStr">
        <is>
          <t>Creative Commons Attribution-Share Alike 4.0</t>
        </is>
      </c>
      <c r="J106" s="29" t="inlineStr">
        <is>
          <t>Granadino anti-andaluz · CC BY-SA 4.0 · Wikimedia Commons</t>
        </is>
      </c>
      <c r="K106" s="29" t="n"/>
      <c r="L106" s="49" t="n">
        <v>46320</v>
      </c>
      <c r="M106" s="29" t="inlineStr">
        <is>
          <t>Bekliyor</t>
        </is>
      </c>
      <c r="N106" s="29" t="inlineStr">
        <is>
          <t>Bekliyor</t>
        </is>
      </c>
      <c r="O106" s="29" t="inlineStr">
        <is>
          <t>Fotoğraflar/sevilla_estadio-la-cartuja_03.jpg</t>
        </is>
      </c>
      <c r="P106" s="29" t="inlineStr">
        <is>
          <t>La Cartuja Stadı'nın boş tribünleri ve atletizm pisti.</t>
        </is>
      </c>
      <c r="Q106" s="29" t="inlineStr">
        <is>
          <t>Bekliyor</t>
        </is>
      </c>
      <c r="R106" s="29" t="inlineStr">
        <is>
          <t>Wikimedia Commons dosya sayfasındaki lisans: CC BY-SA 4.0</t>
        </is>
      </c>
      <c r="S106" s="29" t="inlineStr">
        <is>
          <t>Lisans kanıtları/estadio-la-cartuja-03.source-evidence.json</t>
        </is>
      </c>
      <c r="T106" s="29" t="inlineStr">
        <is>
          <t>9bb34a67bcde98f912c9cacc676723f9537729de989c520ca9e485813fee4e6d</t>
        </is>
      </c>
      <c r="U106" s="29" t="inlineStr">
        <is>
          <t>Lisans kanıtları/estadio-la-cartuja-03.license-evidence.json</t>
        </is>
      </c>
      <c r="V106" s="29" t="inlineStr">
        <is>
          <t>5de51c5f5238ed83e1140a41e66d40b704cdccfbf40d0df9f2a1215fc1647700</t>
        </is>
      </c>
      <c r="W106" s="29" t="inlineStr">
        <is>
          <t>{"source_url": "https://commons.wikimedia.org/wiki/File:Estadio_Ol%C3%ADmpico_de_La_Cartuja,_Sevilla.jpg", "author": "Granadino anti-andaluz", "license": "CC BY-SA 4.0", "license_url": "https://creativecommons.org/licenses/by-sa/4.0/", "original_api_record": {"size": 1600070, "width": 2592, "height": 1952, "thumburl": "https://thumb.wikimedia.org/wikipedia/commons/thumb/e/e0/Estadio_Ol%C3%ADmpico_de_La_Cartuja%2C_Sevilla.jpg/1280px-Estadio_Ol%C3%ADmpico_de_La_Cartuja%2C_Sevilla.jpg", "thumbwidth": 1280, "thumbheight": 964, "responsiveUrls": {"2": "https://upload.wikimedia.org/wikipedia/commons/e/e0/Estadio_Ol%C3%ADmpico_de_La_Cartuja%2C_Sevilla.jpg"}, "thumbattribs": {"src": "https://thumb.wikimedia.org/wikipedia/commons/thumb/e/e0/Estadio_Ol%C3%ADmpico_de_La_Cartuja%2C_Sevilla.jpg/1280px-Estadio_Ol%C3%ADmpico_de_La_Cartuja%2C_Sevilla.jpg", "decoding": "async", "loading": "lazy", "width": 1280, "height": 964, "srcset": "https://upload.wikimedia.org/wikipedia/commons/e/e0/Estadio_Ol%C3%ADmpico_de_La_Cartuja%2C_Sevilla.jpg 2x"}, "url": "https://upload.wikimedia.org/wikipedia/commons/e/e0/Estadio_Ol%C3%ADmpico_de_La_Cartuja%2C_Sevilla.jpg", "descriptionurl": "https://commons.wikimedia.org/wiki/File:Estadio_Ol%C3%ADmpico_de_La_Cartuja,_Sevilla.jpg", "descriptionshorturl": "https://commons.wikimedia.org/w/index.php?curid=4658558", "sha1": "7963b59214e31af9361c577e998f46887a2a4465", "extmetadata": {"DateTime": {"value": "2008-08-29 23:49:39", "source": "mediawiki-metadata", "hidden": ""}, "ObjectName": {"value": "Estadio Olímpico de La Cartuja, Sevilla", "source": "mediawiki-metadata"}, "CommonsMetadataExtension": {"value": 1.2, "source": "extension", "hidden": ""}, "Categories": {"value": "GFDL|Taken with HP PhotoSmart R707|Estadio Olímpico de la Cartuja|License migration redundant|CC-BY-SA-4.0,3.0,2.5,2.0,1.0|Self-published work", "source": "commons-categories", "hidden": ""}, "Assessments": {"value": "", "source": "commons-categories", "hidden": ""}, "ImageDescription": {"value": "Estadio Olímpico de La Cartuja, en Sevilla (España)", "source": "commons-desc-page"}, "DateTimeOriginal": {"value": "2007-08-28", "source": "commons-desc-page"}, "Credit": {"value": "&lt;span class=\"int-own-work\" lang=\"en\"&gt;Own work&lt;/span&gt;", "source": "commons-desc-page"}, "Artist": {"value": "&lt;a href=\"//commons.wikimedia.org/wiki/User:Granadino_anti-andaluz\" title=\"User:Granadino anti-andaluz\"&gt;Granadino anti-andaluz&lt;/a&gt;",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"https://thumb.wikimedia.org/wikipedia/commons/thumb/e/e0/Estadio_Ol%C3%ADmpico_de_La_Cartuja%2C_Sevilla.jpg/1280px-Estadio_Ol%C3%ADmpico_de_La_Cartuja%2C_Sevilla.jpg"}, "retrieved_on": "2026-10-25"}</t>
        </is>
      </c>
    </row>
    <row r="107" ht="54" customHeight="1">
      <c r="A107" s="29" t="inlineStr">
        <is>
          <t>sevilla:evidence:teatro-de-la-maestranza-01</t>
        </is>
      </c>
      <c r="B107" s="29" t="inlineStr">
        <is>
          <t>sevilla</t>
        </is>
      </c>
      <c r="C107" s="29" t="inlineStr">
        <is>
          <t>sevilla:photo:teatro-de-la-maestranza-01</t>
        </is>
      </c>
      <c r="D107" s="29" t="inlineStr">
        <is>
          <t>https://commons.wikimedia.org/wiki/File:Exteriores_del_Teatro_de_la_Maestranza,_Sevilla.jpg</t>
        </is>
      </c>
      <c r="E107" s="29" t="inlineStr">
        <is>
          <t>File:Exteriores del Teatro de la Maestranza, Sevilla.jpg</t>
        </is>
      </c>
      <c r="F107" s="29" t="inlineStr">
        <is>
          <t>Jl FilpoC</t>
        </is>
      </c>
      <c r="G107" s="29" t="inlineStr">
        <is>
          <t>CC BY-SA 4.0</t>
        </is>
      </c>
      <c r="H107" s="29" t="inlineStr">
        <is>
          <t>https://creativecommons.org/licenses/by-sa/4.0/</t>
        </is>
      </c>
      <c r="I107" s="29" t="inlineStr">
        <is>
          <t>Creative Commons Attribution-Share Alike 4.0</t>
        </is>
      </c>
      <c r="J107" s="29" t="inlineStr">
        <is>
          <t>Jl FilpoC · CC BY-SA 4.0 · Wikimedia Commons</t>
        </is>
      </c>
      <c r="K107" s="29" t="n"/>
      <c r="L107" s="49" t="n">
        <v>46320</v>
      </c>
      <c r="M107" s="29" t="inlineStr">
        <is>
          <t>Bekliyor</t>
        </is>
      </c>
      <c r="N107" s="29" t="inlineStr">
        <is>
          <t>Bekliyor</t>
        </is>
      </c>
      <c r="O107" s="29" t="inlineStr">
        <is>
          <t>Fotoğraflar/sevilla_teatro-de-la-maestranza_01.jpg</t>
        </is>
      </c>
      <c r="P107" s="29" t="inlineStr">
        <is>
          <t>Maestranza Tiyatrosu'nun yuvarlak modern binası ve önündeki yol.</t>
        </is>
      </c>
      <c r="Q107" s="29" t="inlineStr">
        <is>
          <t>Bekliyor</t>
        </is>
      </c>
      <c r="R107" s="29" t="inlineStr">
        <is>
          <t>Wikimedia Commons dosya sayfasındaki lisans: CC BY-SA 4.0</t>
        </is>
      </c>
      <c r="S107" s="29" t="inlineStr">
        <is>
          <t>Lisans kanıtları/teatro-de-la-maestranza-01.source-evidence.json</t>
        </is>
      </c>
      <c r="T107" s="29" t="inlineStr">
        <is>
          <t>d7a8c5fa67f6369fa36169fd2f1de5caec22baaf07feec6385bab3a7d59a0228</t>
        </is>
      </c>
      <c r="U107" s="29" t="inlineStr">
        <is>
          <t>Lisans kanıtları/teatro-de-la-maestranza-01.license-evidence.json</t>
        </is>
      </c>
      <c r="V107" s="29" t="inlineStr">
        <is>
          <t>03f5915b96cfe8a054343172d0319e98f46081df38d1d3b06cd676353a42e064</t>
        </is>
      </c>
      <c r="W107" s="29" t="inlineStr">
        <is>
          <t>{"source_url": "https://commons.wikimedia.org/wiki/File:Exteriores_del_Teatro_de_la_Maestranza,_Sevilla.jpg", "author": "Jl FilpoC", "license": "CC BY-SA 4.0", "license_url": "https://creativecommons.org/licenses/by-sa/4.0/", "original_api_record": {"size": 7180052, "width": 4112, "height": 3088, "thumburl": "https://thumb.wikimedia.org/wikipedia/commons/thumb/9/9b/Exteriores_del_Teatro_de_la_Maestranza%2C_Sevilla.jpg/1280px-Exteriores_del_Teatro_de_la_Maestranza%2C_Sevilla.jpg", "thumbwidth": 1280, "thumbheight": 961, "responsiveUrls": {"2": "https://thumb.wikimedia.org/wikipedia/commons/thumb/9/9b/Exteriores_del_Teatro_de_la_Maestranza%2C_Sevilla.jpg/3840px-Exteriores_del_Teatro_de_la_Maestranza%2C_Sevilla.jpg"}, "thumbattribs": {"src": "https://thumb.wikimedia.org/wikipedia/commons/thumb/9/9b/Exteriores_del_Teatro_de_la_Maestranza%2C_Sevilla.jpg/1280px-Exteriores_del_Teatro_de_la_Maestranza%2C_Sevilla.jpg", "decoding": "async", "loading": "lazy", "width": 1280, "height": 961, "srcset": "https://thumb.wikimedia.org/wikipedia/commons/thumb/9/9b/Exteriores_del_Teatro_de_la_Maestranza%2C_Sevilla.jpg/3840px-Exteriores_del_Teatro_de_la_Maestranza%2C_Sevilla.jpg 2x"}, "url": "https://upload.wikimedia.org/wikipedia/commons/9/9b/Exteriores_del_Teatro_de_la_Maestranza%2C_Sevilla.jpg", "descriptionurl": "https://commons.wikimedia.org/wiki/File:Exteriores_del_Teatro_de_la_Maestranza,_Sevilla.jpg", "descriptionshorturl": "https://commons.wikimedia.org/w/index.php?curid=111050284", "sha1": "2d8c75807eef1a06fdbb099244c8475ea35f1410", "extmetadata": {"DateTime": {"value": "2021-10-16 08:34:37", "source": "mediawiki-metadata", "hidden": ""}, "ObjectName": {"value": "Exteriores del Teatro de la Maestranza, Sevilla", "source": "mediawiki-metadata"}, "CommonsMetadataExtension": {"value": 1.2, "source": "extension", "hidden": ""}, "Categories": {"value": "Exterior of Teatro de la Maestranza|Self-published work", "source": "commons-categories", "hidden": ""}, "Assessments": {"value": "", "source": "commons-categories", "hidden": ""}, "ImageDescription": {"value": "Un edificio de Aurelio del Pozo Serrano y Luis Marín de Terán (1991).", "source": "commons-desc-page"}, "DateTimeOriginal": {"value": "2021-10-11", "source": "commons-desc-page"}, "Credit": {"value": "&lt;span class=\"int-own-work\" lang=\"en\"&gt;Own work&lt;/span&gt;", "source": "commons-desc-page"}, "Artist": {"value": "&lt;a href=\"//commons.wikimedia.org/wiki/User:Jl_FilpoC\" title=\"User:Jl FilpoC\"&gt;Jl FilpoC&lt;/a&gt;",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"https://thumb.wikimedia.org/wikipedia/commons/thumb/9/9b/Exteriores_del_Teatro_de_la_Maestranza%2C_Sevilla.jpg/1280px-Exteriores_del_Teatro_de_la_Maestranza%2C_Sevilla.jpg"}, "retrieved_on": "2026-10-25"}</t>
        </is>
      </c>
    </row>
    <row r="108" ht="54" customHeight="1">
      <c r="A108" s="29" t="inlineStr">
        <is>
          <t>sevilla:evidence:teatro-de-la-maestranza-02</t>
        </is>
      </c>
      <c r="B108" s="29" t="inlineStr">
        <is>
          <t>sevilla</t>
        </is>
      </c>
      <c r="C108" s="29" t="inlineStr">
        <is>
          <t>sevilla:photo:teatro-de-la-maestranza-02</t>
        </is>
      </c>
      <c r="D108" s="29" t="inlineStr">
        <is>
          <t>https://commons.wikimedia.org/wiki/File:Maestranza_desde_jardines.jpg</t>
        </is>
      </c>
      <c r="E108" s="29" t="inlineStr">
        <is>
          <t>File:Maestranza desde jardines.jpg</t>
        </is>
      </c>
      <c r="F108" s="29" t="inlineStr">
        <is>
          <t>CarlosVdeHabsburgo</t>
        </is>
      </c>
      <c r="G108" s="29" t="inlineStr">
        <is>
          <t>CC BY-SA 4.0</t>
        </is>
      </c>
      <c r="H108" s="29" t="inlineStr">
        <is>
          <t>https://creativecommons.org/licenses/by-sa/4.0/</t>
        </is>
      </c>
      <c r="I108" s="29" t="inlineStr">
        <is>
          <t>Creative Commons Attribution-Share Alike 4.0</t>
        </is>
      </c>
      <c r="J108" s="29" t="inlineStr">
        <is>
          <t>CarlosVdeHabsburgo · CC BY-SA 4.0 · Wikimedia Commons</t>
        </is>
      </c>
      <c r="K108" s="29" t="n"/>
      <c r="L108" s="49" t="n">
        <v>46320</v>
      </c>
      <c r="M108" s="29" t="inlineStr">
        <is>
          <t>Bekliyor</t>
        </is>
      </c>
      <c r="N108" s="29" t="inlineStr">
        <is>
          <t>Bekliyor</t>
        </is>
      </c>
      <c r="O108" s="29" t="inlineStr">
        <is>
          <t>Fotoğraflar/sevilla_teatro-de-la-maestranza_02.jpg</t>
        </is>
      </c>
      <c r="P108" s="29" t="inlineStr">
        <is>
          <t>Maestranza Tiyatrosu'nun binası, bahçedeki ağaçların arasından.</t>
        </is>
      </c>
      <c r="Q108" s="29" t="inlineStr">
        <is>
          <t>Bekliyor</t>
        </is>
      </c>
      <c r="R108" s="29" t="inlineStr">
        <is>
          <t>Wikimedia Commons dosya sayfasındaki lisans: CC BY-SA 4.0</t>
        </is>
      </c>
      <c r="S108" s="29" t="inlineStr">
        <is>
          <t>Lisans kanıtları/teatro-de-la-maestranza-02.source-evidence.json</t>
        </is>
      </c>
      <c r="T108" s="29" t="inlineStr">
        <is>
          <t>540ea8a0df5a506dacfa7b9da6f3347d310cf08710c35441e4b5017206a7545a</t>
        </is>
      </c>
      <c r="U108" s="29" t="inlineStr">
        <is>
          <t>Lisans kanıtları/teatro-de-la-maestranza-02.license-evidence.json</t>
        </is>
      </c>
      <c r="V108" s="29" t="inlineStr">
        <is>
          <t>d28b50a425d95136bd25fc1f9d06bd8c425fb2c0bb47785d86153b217c5171f3</t>
        </is>
      </c>
      <c r="W108" s="29" t="inlineStr">
        <is>
          <t>{"source_url": "https://commons.wikimedia.org/wiki/File:Maestranza_desde_jardines.jpg", "author": "CarlosVdeHabsburgo", "license": "CC BY-SA 4.0", "license_url": "https://creativecommons.org/licenses/by-sa/4.0/", "original_api_record": {"size": 5775102, "width": 4320, "height": 3240, "thumburl": "https://thumb.wikimedia.org/wikipedia/commons/thumb/8/89/Maestranza_desde_jardines.jpg/1280px-Maestranza_desde_jardines.jpg", "thumbwidth": 1280, "thumbheight": 960, "responsiveUrls": {"2": "https://thumb.wikimedia.org/wikipedia/commons/thumb/8/89/Maestranza_desde_jardines.jpg/3840px-Maestranza_desde_jardines.jpg"}, "thumbattribs": {"src": "https://thumb.wikimedia.org/wikipedia/commons/thumb/8/89/Maestranza_desde_jardines.jpg/1280px-Maestranza_desde_jardines.jpg", "decoding": "async", "loading": "lazy", "width": 1280, "height": 960, "srcset": "https://thumb.wikimedia.org/wikipedia/commons/thumb/8/89/Maestranza_desde_jardines.jpg/3840px-Maestranza_desde_jardines.jpg 2x"}, "url": "https://upload.wikimedia.org/wikipedia/commons/8/89/Maestranza_desde_jardines.jpg", "descriptionurl": "https://commons.wikimedia.org/wiki/File:Maestranza_desde_jardines.jpg", "descriptionshorturl": "https://commons.wikimedia.org/w/index.php?curid=52110559", "sha1": "4be7239da0ebe347cc4b489024fdc30b078e77be", "extmetadata": {"DateTime": {"value": "2016-10-07 10:30:48", "source": "mediawiki-metadata", "hidden": ""}, "ObjectName": {"value": "Maestranza desde jardines", "source": "mediawiki-metadata"}, "CommonsMetadataExtension": {"value": 1.2, "source": "extension", "hidden": ""}, "Categories": {"value": "Exterior of Teatro de la Maestranza|Jardines de la Caridad|Self-published work", "source": "commons-categories", "hidden": ""}, "Assessments": {"value": "", "source": "commons-categories", "hidden": ""}, "ImageDescription": {"value": "Una fachada lateral del teatro de la Maestranza desde los jardines de la Caridad. Sevilla, Andalucía, España.", "source": "commons-desc-page"}, "DateTimeOriginal": {"value": "2016-10-06 19:58:35",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"https://thumb.wikimedia.org/wikipedia/commons/thumb/8/89/Maestranza_desde_jardines.jpg/1280px-Maestranza_desde_jardines.jpg"}, "retrieved_on": "2026-10-25"}</t>
        </is>
      </c>
    </row>
    <row r="109" ht="54" customHeight="1">
      <c r="A109" s="29" t="inlineStr">
        <is>
          <t>sevilla:evidence:teatro-lope-de-vega-01</t>
        </is>
      </c>
      <c r="B109" s="29" t="inlineStr">
        <is>
          <t>sevilla</t>
        </is>
      </c>
      <c r="C109" s="29" t="inlineStr">
        <is>
          <t>sevilla:photo:teatro-lope-de-vega-01</t>
        </is>
      </c>
      <c r="D109" s="29" t="inlineStr">
        <is>
          <t>https://commons.wikimedia.org/wiki/File:Entrada_al_Teatro_Lope_de_Vega.JPG</t>
        </is>
      </c>
      <c r="E109" s="29" t="inlineStr">
        <is>
          <t>File:Entrada al Teatro Lope de Vega.JPG</t>
        </is>
      </c>
      <c r="F109" s="29" t="inlineStr">
        <is>
          <t>CarlosVdeHabsburgo</t>
        </is>
      </c>
      <c r="G109" s="29" t="inlineStr">
        <is>
          <t>CC BY-SA 3.0</t>
        </is>
      </c>
      <c r="H109" s="29" t="inlineStr">
        <is>
          <t>https://creativecommons.org/licenses/by-sa/3.0/</t>
        </is>
      </c>
      <c r="I109" s="29" t="inlineStr">
        <is>
          <t>Creative Commons Attribution-Share Alike 3.0</t>
        </is>
      </c>
      <c r="J109" s="29" t="inlineStr">
        <is>
          <t>CarlosVdeHabsburgo · CC BY-SA 3.0 · Wikimedia Commons</t>
        </is>
      </c>
      <c r="K109" s="29" t="n"/>
      <c r="L109" s="49" t="n">
        <v>46320</v>
      </c>
      <c r="M109" s="29" t="inlineStr">
        <is>
          <t>Bekliyor</t>
        </is>
      </c>
      <c r="N109" s="29" t="inlineStr">
        <is>
          <t>Bekliyor</t>
        </is>
      </c>
      <c r="O109" s="29" t="inlineStr">
        <is>
          <t>Fotoğraflar/sevilla_teatro-lope-de-vega_01.jpg</t>
        </is>
      </c>
      <c r="P109" s="29" t="inlineStr">
        <is>
          <t>Lope de Vega Tiyatrosu'nun beyaz-sarı cephesi ve önündeki meydan.</t>
        </is>
      </c>
      <c r="Q109" s="29" t="inlineStr">
        <is>
          <t>Bekliyor</t>
        </is>
      </c>
      <c r="R109" s="29" t="inlineStr">
        <is>
          <t>Wikimedia Commons dosya sayfasındaki lisans: CC BY-SA 3.0</t>
        </is>
      </c>
      <c r="S109" s="29" t="inlineStr">
        <is>
          <t>Lisans kanıtları/teatro-lope-de-vega-01.source-evidence.json</t>
        </is>
      </c>
      <c r="T109" s="29" t="inlineStr">
        <is>
          <t>94815e7356a64d64a1624187bd9f49336cab12e22a947d57982590dd46ef0fd9</t>
        </is>
      </c>
      <c r="U109" s="29" t="inlineStr">
        <is>
          <t>Lisans kanıtları/teatro-lope-de-vega-01.license-evidence.json</t>
        </is>
      </c>
      <c r="V109" s="29" t="inlineStr">
        <is>
          <t>27d66653c58a1e78c4c57139c341ad424a3f3926aafbf49a41e286ea79b0b87f</t>
        </is>
      </c>
      <c r="W109" s="29" t="inlineStr">
        <is>
          <t>{"source_url": "https://commons.wikimedia.org/wiki/File:Entrada_al_Teatro_Lope_de_Vega.JPG", "author": "CarlosVdeHabsburgo", "license": "CC BY-SA 3.0", "license_url": "https://creativecommons.org/licenses/by-sa/3.0/", "original_api_record": {"size": 5960576, "width": 4608, "height": 3456, "thumburl": "https://thumb.wikimedia.org/wikipedia/commons/thumb/a/a7/Entrada_al_Teatro_Lope_de_Vega.JPG/1280px-Entrada_al_Teatro_Lope_de_Vega.JPG", "thumbwidth": 1280, "thumbheight": 960, "responsiveUrls": {"2": "https://thumb.wikimedia.org/wikipedia/commons/thumb/a/a7/Entrada_al_Teatro_Lope_de_Vega.JPG/3840px-Entrada_al_Teatro_Lope_de_Vega.JPG"}, "thumbattribs": {"src": "https://thumb.wikimedia.org/wikipedia/commons/thumb/a/a7/Entrada_al_Teatro_Lope_de_Vega.JPG/1280px-Entrada_al_Teatro_Lope_de_Vega.JPG", "decoding": "async", "loading": "lazy", "width": 1280, "height": 960, "srcset": "https://thumb.wikimedia.org/wikipedia/commons/thumb/a/a7/Entrada_al_Teatro_Lope_de_Vega.JPG/3840px-Entrada_al_Teatro_Lope_de_Vega.JPG 2x"}, "url": "https://upload.wikimedia.org/wikipedia/commons/a/a7/Entrada_al_Teatro_Lope_de_Vega.JPG", "descriptionurl": "https://commons.wikimedia.org/wiki/File:Entrada_al_Teatro_Lope_de_Vega.JPG", "descriptionshorturl": "https://commons.wikimedia.org/w/index.php?curid=31556177", "sha1": "0a16980e576622e2a22b28fb93e6cbaea4f8bb71", "extmetadata": {"DateTime": {"value": "2014-03-11 18:38:43", "source": "mediawiki-metadata", "hidden": ""}, "ObjectName": {"value": "Entrada al Teatro Lope de Vega", "source": "mediawiki-metadata"}, "CommonsMetadataExtension": {"value": 1.2, "source": "extension", "hidden": ""}, "Categories": {"value": "Teatro Lope de Vega (Sevilla)|Taken with Sony DSC-W710|Self-published work|March 2014 in Seville", "source": "commons-categories", "hidden": ""}, "Assessments": {"value": "", "source": "commons-categories", "hidden": ""}, "ImageDescription": {"value": "Entrada al Teatro Lope de Vega de Sevilla, en una foto tomada desde la Avenida de María Luisa.", "source": "commons-desc-page"}, "DateTimeOriginal": {"value": "2014-03-10 18:49:38",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"https://thumb.wikimedia.org/wikipedia/commons/thumb/a/a7/Entrada_al_Teatro_Lope_de_Vega.JPG/1280px-Entrada_al_Teatro_Lope_de_Vega.JPG"}, "retrieved_on": "2026-10-25"}</t>
        </is>
      </c>
    </row>
    <row r="110" ht="54" customHeight="1">
      <c r="A110" s="29" t="inlineStr">
        <is>
          <t>sevilla:evidence:teatro-lope-de-vega-02</t>
        </is>
      </c>
      <c r="B110" s="29" t="inlineStr">
        <is>
          <t>sevilla</t>
        </is>
      </c>
      <c r="C110" s="29" t="inlineStr">
        <is>
          <t>sevilla:photo:teatro-lope-de-vega-02</t>
        </is>
      </c>
      <c r="D110" s="29" t="inlineStr">
        <is>
          <t>https://commons.wikimedia.org/wiki/File:Lope_de_Vega_Theatre,_Seville,_Spain.jpg</t>
        </is>
      </c>
      <c r="E110" s="29" t="inlineStr">
        <is>
          <t>File:Lope de Vega Theatre, Seville, Spain.jpg</t>
        </is>
      </c>
      <c r="F110" s="29" t="inlineStr">
        <is>
          <t>Tulumnes</t>
        </is>
      </c>
      <c r="G110" s="29" t="inlineStr">
        <is>
          <t>CC BY-SA 4.0</t>
        </is>
      </c>
      <c r="H110" s="29" t="inlineStr">
        <is>
          <t>https://creativecommons.org/licenses/by-sa/4.0/</t>
        </is>
      </c>
      <c r="I110" s="29" t="inlineStr">
        <is>
          <t>Creative Commons Attribution-Share Alike 4.0</t>
        </is>
      </c>
      <c r="J110" s="29" t="inlineStr">
        <is>
          <t>Tulumnes · CC BY-SA 4.0 · Wikimedia Commons</t>
        </is>
      </c>
      <c r="K110" s="29" t="n"/>
      <c r="L110" s="49" t="n">
        <v>46320</v>
      </c>
      <c r="M110" s="29" t="inlineStr">
        <is>
          <t>Bekliyor</t>
        </is>
      </c>
      <c r="N110" s="29" t="inlineStr">
        <is>
          <t>Bekliyor</t>
        </is>
      </c>
      <c r="O110" s="29" t="inlineStr">
        <is>
          <t>Fotoğraflar/sevilla_teatro-lope-de-vega_02.jpg</t>
        </is>
      </c>
      <c r="P110" s="29" t="inlineStr">
        <is>
          <t>Lope de Vega Tiyatrosu'nun kubbeli beyaz-sarı binası ve ağaçlar.</t>
        </is>
      </c>
      <c r="Q110" s="29" t="inlineStr">
        <is>
          <t>Bekliyor</t>
        </is>
      </c>
      <c r="R110" s="29" t="inlineStr">
        <is>
          <t>Wikimedia Commons dosya sayfasındaki lisans: CC BY-SA 4.0</t>
        </is>
      </c>
      <c r="S110" s="29" t="inlineStr">
        <is>
          <t>Lisans kanıtları/teatro-lope-de-vega-02.source-evidence.json</t>
        </is>
      </c>
      <c r="T110" s="29" t="inlineStr">
        <is>
          <t>db19f0d85da9ceeed469d48c3959b980c8ded83a4d4608f11730c0f68652d6cc</t>
        </is>
      </c>
      <c r="U110" s="29" t="inlineStr">
        <is>
          <t>Lisans kanıtları/teatro-lope-de-vega-02.license-evidence.json</t>
        </is>
      </c>
      <c r="V110" s="29" t="inlineStr">
        <is>
          <t>6dc8284a6c703f01dc6741c205d164559e3e45689ec218c20d8faf16be20ab04</t>
        </is>
      </c>
      <c r="W110" s="29" t="inlineStr">
        <is>
          <t>{"source_url": "https://commons.wikimedia.org/wiki/File:Lope_de_Vega_Theatre,_Seville,_Spain.jpg", "author": "Tulumnes", "license": "CC BY-SA 4.0", "license_url": "https://creativecommons.org/licenses/by-sa/4.0/", "original_api_record": {"size": 8964965, "width": 5184, "height": 3456, "thumburl": "https://thumb.wikimedia.org/wikipedia/commons/thumb/5/5d/Lope_de_Vega_Theatre%2C_Seville%2C_Spain.jpg/1280px-Lope_de_Vega_Theatre%2C_Seville%2C_Spain.jpg", "thumbwidth": 1280, "thumbheight": 853, "responsiveUrls": {"2": "https://thumb.wikimedia.org/wikipedia/commons/thumb/5/5d/Lope_de_Vega_Theatre%2C_Seville%2C_Spain.jpg/3840px-Lope_de_Vega_Theatre%2C_Seville%2C_Spain.jpg"}, "thumbattribs": {"src": "https://thumb.wikimedia.org/wikipedia/commons/thumb/5/5d/Lope_de_Vega_Theatre%2C_Seville%2C_Spain.jpg/1280px-Lope_de_Vega_Theatre%2C_Seville%2C_Spain.jpg", "decoding": "async", "loading": "lazy", "width": 1280, "height": 853, "srcset": "https://thumb.wikimedia.org/wikipedia/commons/thumb/5/5d/Lope_de_Vega_Theatre%2C_Seville%2C_Spain.jpg/3840px-Lope_de_Vega_Theatre%2C_Seville%2C_Spain.jpg 2x"}, "url": "https://upload.wikimedia.org/wikipedia/commons/5/5d/Lope_de_Vega_Theatre%2C_Seville%2C_Spain.jpg", "descriptionurl": "https://commons.wikimedia.org/wiki/File:Lope_de_Vega_Theatre,_Seville,_Spain.jpg", "descriptionshorturl": "https://commons.wikimedia.org/w/index.php?curid=64856269", "sha1": "6619b1b07116c2d97e3aba38d744f155876a6bfc", "extmetadata": {"DateTime": {"value": "2017-12-16 21:22:02", "source": "mediawiki-metadata", "hidden": ""}, "ObjectName": {"value": "Lope de Vega Theatre, Seville, Spain", "source": "mediawiki-metadata"}, "CommonsMetadataExtension": {"value": 1.2, "source": "extension", "hidden": ""}, "Categories": {"value": "Teatro Lope de Vega (Sevilla)|Self-published work", "source": "commons-categories", "hidden": ""}, "Assessments": {"value": "", "source": "commons-categories", "hidden": ""}, "ImageDescription": {"value": "Lope de Vega Theatre, Seville, Spain", "source": "commons-desc-page"}, "DateTimeOriginal": {"value": "2014-06-25 19:43:53", "source": "commons-desc-page"}, "Credit": {"value": "&lt;span class=\"int-own-work\" lang=\"en\"&gt;Own work&lt;/span&gt;", "source": "commons-desc-page"}, "Artist": {"value": "&lt;a href=\"//commons.wikimedia.org/w/index.php?title=User:Tulumnes&amp;amp;action=edit&amp;amp;redlink=1\" class=\"new\" title=\"User:Tulumnes (page does not exist)\"&gt;Tulumnes&lt;/a&gt;",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"https://thumb.wikimedia.org/wikipedia/commons/thumb/5/5d/Lope_de_Vega_Theatre%2C_Seville%2C_Spain.jpg/1280px-Lope_de_Vega_Theatre%2C_Seville%2C_Spain.jpg"}, "retrieved_on": "2026-10-25"}</t>
        </is>
      </c>
    </row>
    <row r="111" ht="54" customHeight="1">
      <c r="A111" s="29" t="inlineStr">
        <is>
          <t>sevilla:evidence:teatro-lope-de-vega-03</t>
        </is>
      </c>
      <c r="B111" s="29" t="inlineStr">
        <is>
          <t>sevilla</t>
        </is>
      </c>
      <c r="C111" s="29" t="inlineStr">
        <is>
          <t>sevilla:photo:teatro-lope-de-vega-03</t>
        </is>
      </c>
      <c r="D111" s="29" t="inlineStr">
        <is>
          <t>https://commons.wikimedia.org/wiki/File:Sevilla_-_Teatro_Lope_de_Vega_01.jpg</t>
        </is>
      </c>
      <c r="E111" s="29" t="inlineStr">
        <is>
          <t>File:Sevilla - Teatro Lope de Vega 01.jpg</t>
        </is>
      </c>
      <c r="F111" s="29" t="inlineStr">
        <is>
          <t>Zarateman</t>
        </is>
      </c>
      <c r="G111" s="29" t="inlineStr">
        <is>
          <t>CC0 1.0</t>
        </is>
      </c>
      <c r="H111" s="29" t="inlineStr">
        <is>
          <t>https://creativecommons.org/publicdomain/zero/1.0/</t>
        </is>
      </c>
      <c r="I111" s="29" t="inlineStr">
        <is>
          <t>Creative Commons Zero, Public Domain Dedication</t>
        </is>
      </c>
      <c r="J111" s="29" t="inlineStr">
        <is>
          <t>Zarateman · CC0 1.0 · Wikimedia Commons</t>
        </is>
      </c>
      <c r="K111" s="29" t="n"/>
      <c r="L111" s="49" t="n">
        <v>46320</v>
      </c>
      <c r="M111" s="29" t="inlineStr">
        <is>
          <t>Bekliyor</t>
        </is>
      </c>
      <c r="N111" s="29" t="inlineStr">
        <is>
          <t>Bekliyor</t>
        </is>
      </c>
      <c r="O111" s="29" t="inlineStr">
        <is>
          <t>Fotoğraflar/sevilla_teatro-lope-de-vega_03.jpg</t>
        </is>
      </c>
      <c r="P111" s="29" t="inlineStr">
        <is>
          <t>Lope de Vega Tiyatrosu'nun yan cephesi ve süslemeli kulesi.</t>
        </is>
      </c>
      <c r="Q111" s="29" t="inlineStr">
        <is>
          <t>Bekliyor</t>
        </is>
      </c>
      <c r="R111" s="29" t="inlineStr">
        <is>
          <t>Wikimedia Commons dosya sayfasındaki lisans: CC0 1.0</t>
        </is>
      </c>
      <c r="S111" s="29" t="inlineStr">
        <is>
          <t>Lisans kanıtları/teatro-lope-de-vega-03.source-evidence.json</t>
        </is>
      </c>
      <c r="T111" s="29" t="inlineStr">
        <is>
          <t>4b679f444f46b2834dacd73275ad164ad80dbe9eb57f94d271170372ed8a289b</t>
        </is>
      </c>
      <c r="U111" s="29" t="inlineStr">
        <is>
          <t>Lisans kanıtları/teatro-lope-de-vega-03.license-evidence.json</t>
        </is>
      </c>
      <c r="V111" s="29" t="inlineStr">
        <is>
          <t>4ba4db0d0387b376693c80f0a72db7718605a1659353386de1b2ded12f891d42</t>
        </is>
      </c>
      <c r="W111" s="29" t="inlineStr">
        <is>
          <t>{"source_url": "https://commons.wikimedia.org/wiki/File:Sevilla_-_Teatro_Lope_de_Vega_01.jpg", "author": "Zarateman", "license": "CC0 1.0", "license_url": "https://creativecommons.org/publicdomain/zero/1.0/", "original_api_record": {"size": 483357, "width": 2048, "height": 1536, "thumburl": "https://thumb.wikimedia.org/wikipedia/commons/thumb/4/4f/Sevilla_-_Teatro_Lope_de_Vega_01.jpg/1280px-Sevilla_-_Teatro_Lope_de_Vega_01.jpg", "thumbwidth": 1280, "thumbheight": 960, "responsiveUrls": {"2": "https://upload.wikimedia.org/wikipedia/commons/4/4f/Sevilla_-_Teatro_Lope_de_Vega_01.jpg"}, "thumbattribs": {"src": "https://thumb.wikimedia.org/wikipedia/commons/thumb/4/4f/Sevilla_-_Teatro_Lope_de_Vega_01.jpg/1280px-Sevilla_-_Teatro_Lope_de_Vega_01.jpg", "decoding": "async", "loading": "lazy", "width": 1280, "height": 960, "srcset": "https://upload.wikimedia.org/wikipedia/commons/4/4f/Sevilla_-_Teatro_Lope_de_Vega_01.jpg 2x"}, "url": "https://upload.wikimedia.org/wikipedia/commons/4/4f/Sevilla_-_Teatro_Lope_de_Vega_01.jpg", "descriptionurl": "https://commons.wikimedia.org/wiki/File:Sevilla_-_Teatro_Lope_de_Vega_01.jpg", "descriptionshorturl": "https://commons.wikimedia.org/w/index.php?curid=130877622", "sha1": "05c43486486ce39f417c8e9a51670d6a30d53586", "extmetadata": {"DateTime": {"value": "2023-04-19 09:02:28", "source": "mediawiki-metadata", "hidden": ""}, "ObjectName": {"value": "Sevilla - Teatro Lope de Vega 01", "source": "mediawiki-metadata"}, "CommonsMetadataExtension": {"value": 1.2, "source": "extension", "hidden": ""}, "Categories": {"value": "Teatro Lope de Vega (Sevilla)|CC-Zero|Self-published work|April 2023 in Seville", "source": "commons-categories", "hidden": ""}, "Assessments": {"value": "", "source": "commons-categories", "hidden": ""}, "ImageDescription": {"value": "Teatro Lope de Vega (Sevilla)", "source": "commons-desc-page"}, "DateTimeOriginal": {"value": "2023-04-19", "source": "commons-desc-page"}, "Credit": {"value": "&lt;span class=\"int-own-work\" lang=\"en\"&gt;Own work&lt;/span&gt;", "source": "commons-desc-page"}, "Artist": {"value": "&lt;a href=\"//commons.wikimedia.org/wiki/User:Zarateman\" title=\"User:Zarateman\"&gt;Zarateman&lt;/a&gt;",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"https://thumb.wikimedia.org/wikipedia/commons/thumb/4/4f/Sevilla_-_Teatro_Lope_de_Vega_01.jpg/1280px-Sevilla_-_Teatro_Lope_de_Vega_01.jpg"}, "retrieved_on": "2026-10-25"}</t>
        </is>
      </c>
    </row>
    <row r="112" ht="54" customHeight="1">
      <c r="A112" s="29" t="inlineStr">
        <is>
          <t>sevilla:evidence:el-patio-sevillano-01</t>
        </is>
      </c>
      <c r="B112" s="29" t="inlineStr">
        <is>
          <t>sevilla</t>
        </is>
      </c>
      <c r="C112" s="29" t="inlineStr">
        <is>
          <t>sevilla:photo:el-patio-sevillano-01</t>
        </is>
      </c>
      <c r="D112" s="29" t="inlineStr">
        <is>
          <t>https://commons.wikimedia.org/wiki/File:%22Flamenco_authentisch_und_beeindruckend%22._01.jpg</t>
        </is>
      </c>
      <c r="E112" s="29" t="inlineStr">
        <is>
          <t>File:"Flamenco authentisch und beeindruckend". 01.jpg</t>
        </is>
      </c>
      <c r="F112" s="29" t="inlineStr">
        <is>
          <t>Holger Uwe Schmitt</t>
        </is>
      </c>
      <c r="G112" s="29" t="inlineStr">
        <is>
          <t>CC BY-SA 4.0</t>
        </is>
      </c>
      <c r="H112" s="29" t="inlineStr">
        <is>
          <t>https://creativecommons.org/licenses/by-sa/4.0/</t>
        </is>
      </c>
      <c r="I112" s="29" t="inlineStr">
        <is>
          <t>Creative Commons Attribution-Share Alike 4.0</t>
        </is>
      </c>
      <c r="J112" s="29" t="inlineStr">
        <is>
          <t>Holger Uwe Schmitt · CC BY-SA 4.0 · Wikimedia Commons</t>
        </is>
      </c>
      <c r="K112" s="29" t="n"/>
      <c r="L112" s="49" t="n">
        <v>46320</v>
      </c>
      <c r="M112" s="29" t="inlineStr">
        <is>
          <t>Bekliyor</t>
        </is>
      </c>
      <c r="N112" s="29" t="inlineStr">
        <is>
          <t>Bekliyor</t>
        </is>
      </c>
      <c r="O112" s="29" t="inlineStr">
        <is>
          <t>Fotoğraflar/sevilla_el-patio-sevillano_01.jpg</t>
        </is>
      </c>
      <c r="P112" s="29" t="inlineStr">
        <is>
          <t>El Patio Sevillano sahnesinde gitarist eşliğinde dans eden flamenko dansçısı.</t>
        </is>
      </c>
      <c r="Q112" s="29" t="inlineStr">
        <is>
          <t>Bekliyor</t>
        </is>
      </c>
      <c r="R112" s="29" t="inlineStr">
        <is>
          <t>Wikimedia Commons dosya sayfasındaki lisans: CC BY-SA 4.0</t>
        </is>
      </c>
      <c r="S112" s="29" t="inlineStr">
        <is>
          <t>Lisans kanıtları/el-patio-sevillano-01.source-evidence.json</t>
        </is>
      </c>
      <c r="T112" s="29" t="inlineStr">
        <is>
          <t>6e8b7fc323ed585c028637b0453926ad9c564ad383ee3945f0c8efbd7a8328c2</t>
        </is>
      </c>
      <c r="U112" s="29" t="inlineStr">
        <is>
          <t>Lisans kanıtları/el-patio-sevillano-01.license-evidence.json</t>
        </is>
      </c>
      <c r="V112" s="29" t="inlineStr">
        <is>
          <t>5c3c2edb3f3f68499f337e8667195d3dad9f5cc12685485a6c2662b69e2ce96d</t>
        </is>
      </c>
      <c r="W112" s="29" t="inlineStr">
        <is>
          <t>{"source_url": "https://commons.wikimedia.org/wiki/File:%22Flamenco_authentisch_und_beeindruckend%22._01.jpg", "author": "Holger Uwe Schmitt", "license": "CC BY-SA 4.0", "license_url": "https://creativecommons.org/licenses/by-sa/4.0/", "original_api_record": {"size": 2737196, "width": 2685, "height": 3767, "thumburl": "https://thumb.wikimedia.org/wikipedia/commons/thumb/8/8f/%22Flamenco_authentisch_und_beeindruckend%22._01.jpg/1280px-%22Flamenco_authentisch_und_beeindruckend%22._01.jpg", "thumbwidth": 1280, "thumbheight": 1796, "responsiveUrls": {"2": "https://upload.wikimedia.org/wikipedia/commons/8/8f/%22Flamenco_authentisch_und_beeindruckend%22._01.jpg"}, "thumbattribs": {"src": "https://thumb.wikimedia.org/wikipedia/commons/thumb/8/8f/%22Flamenco_authentisch_und_beeindruckend%22._01.jpg/1280px-%22Flamenco_authentisch_und_beeindruckend%22._01.jpg", "decoding": "async", "loading": "lazy", "width": 1280, "height": 1796, "srcset": "https://upload.wikimedia.org/wikipedia/commons/8/8f/%22Flamenco_authentisch_und_beeindruckend%22._01.jpg 2x"}, "url": "https://upload.wikimedia.org/wikipedia/commons/8/8f/%22Flamenco_authentisch_und_beeindruckend%22._01.jpg", "descriptionurl": "https://commons.wikimedia.org/wiki/File:%22Flamenco_authentisch_und_beeindruckend%22._01.jpg", "descriptionshorturl": "https://commons.wikimedia.org/w/index.php?curid=155204478", "sha1": "f99771de6c0b13f7749a62f14a384d58a7e1e365", "extmetadata": {"DateTime": {"value": "2024-11-15 13:51:04", "source": "mediawiki-metadata", "hidden": ""}, "ObjectName": {"value": "\"Flamenco authentisch und beeindruckend\". 01", "source": "mediawiki-metadata"}, "CommonsMetadataExtension": {"value": 1.2, "source": "extension", "hidden": ""}, "Categories": {"value": "Self-published work|Flamenco in Seville", "source": "commons-categories", "hidden": ""}, "Assessments": {"value": "", "source": "commons-categories", "hidden": ""}, "ImageDescription": {"value": "The Show El Patio Sevillano.", "source": "commons-desc-page"}, "DateTimeOriginal": {"value": "2024-10-15 18:09:31", "source": "commons-desc-page"}, "Credit": {"value": "&lt;span class=\"int-own-work\" lang=\"en\"&gt;Own work&lt;/span&gt;", "source": "commons-desc-page"}, "Artist": {"value": "&lt;a href=\"//commons.wikimedia.org/wiki/User:Holger_Uwe_Schmitt\" title=\"User:Holger Uwe Schmitt\"&gt;Holger Uwe Schmitt&lt;/a&gt;",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"https://thumb.wikimedia.org/wikipedia/commons/thumb/8/8f/%22Flamenco_authentisch_und_beeindruckend%22._01.jpg/1280px-%22Flamenco_authentisch_und_beeindruckend%22._01.jpg"}, "retrieved_on": "2026-10-25"}</t>
        </is>
      </c>
    </row>
    <row r="113" ht="54" customHeight="1">
      <c r="A113" s="29" t="inlineStr">
        <is>
          <t>sevilla:evidence:el-patio-sevillano-02</t>
        </is>
      </c>
      <c r="B113" s="29" t="inlineStr">
        <is>
          <t>sevilla</t>
        </is>
      </c>
      <c r="C113" s="29" t="inlineStr">
        <is>
          <t>sevilla:photo:el-patio-sevillano-02</t>
        </is>
      </c>
      <c r="D113" s="29" t="inlineStr">
        <is>
          <t>https://commons.wikimedia.org/wiki/File:%22Flamenco_authentisch_und_beeindruckend%22._04.jpg</t>
        </is>
      </c>
      <c r="E113" s="29" t="inlineStr">
        <is>
          <t>File:"Flamenco authentisch und beeindruckend". 04.jpg</t>
        </is>
      </c>
      <c r="F113" s="29" t="inlineStr">
        <is>
          <t>Holger Uwe Schmitt</t>
        </is>
      </c>
      <c r="G113" s="29" t="inlineStr">
        <is>
          <t>CC BY-SA 4.0</t>
        </is>
      </c>
      <c r="H113" s="29" t="inlineStr">
        <is>
          <t>https://creativecommons.org/licenses/by-sa/4.0/</t>
        </is>
      </c>
      <c r="I113" s="29" t="inlineStr">
        <is>
          <t>Creative Commons Attribution-Share Alike 4.0</t>
        </is>
      </c>
      <c r="J113" s="29" t="inlineStr">
        <is>
          <t>Holger Uwe Schmitt · CC BY-SA 4.0 · Wikimedia Commons</t>
        </is>
      </c>
      <c r="K113" s="29" t="n"/>
      <c r="L113" s="49" t="n">
        <v>46320</v>
      </c>
      <c r="M113" s="29" t="inlineStr">
        <is>
          <t>Bekliyor</t>
        </is>
      </c>
      <c r="N113" s="29" t="inlineStr">
        <is>
          <t>Bekliyor</t>
        </is>
      </c>
      <c r="O113" s="29" t="inlineStr">
        <is>
          <t>Fotoğraflar/sevilla_el-patio-sevillano_02.jpg</t>
        </is>
      </c>
      <c r="P113" s="29" t="inlineStr">
        <is>
          <t>El Patio Sevillano'da mavi ışıklı sahnede şallı flamenko dansçısı.</t>
        </is>
      </c>
      <c r="Q113" s="29" t="inlineStr">
        <is>
          <t>Bekliyor</t>
        </is>
      </c>
      <c r="R113" s="29" t="inlineStr">
        <is>
          <t>Wikimedia Commons dosya sayfasındaki lisans: CC BY-SA 4.0</t>
        </is>
      </c>
      <c r="S113" s="29" t="inlineStr">
        <is>
          <t>Lisans kanıtları/el-patio-sevillano-02.source-evidence.json</t>
        </is>
      </c>
      <c r="T113" s="29" t="inlineStr">
        <is>
          <t>55fed5763a2e3b5436ed545d7e9a1bda11e86a1b7aa73c5eb73d4d05a6d58048</t>
        </is>
      </c>
      <c r="U113" s="29" t="inlineStr">
        <is>
          <t>Lisans kanıtları/el-patio-sevillano-02.license-evidence.json</t>
        </is>
      </c>
      <c r="V113" s="29" t="inlineStr">
        <is>
          <t>94688e4ab572a2ddcb75d0147f60ab971421bba44a2cdee96a4d50e56730906d</t>
        </is>
      </c>
      <c r="W113" s="29" t="inlineStr">
        <is>
          <t>{"source_url": "https://commons.wikimedia.org/wiki/File:%22Flamenco_authentisch_und_beeindruckend%22._04.jpg", "author": "Holger Uwe Schmitt", "license": "CC BY-SA 4.0", "license_url": "https://creativecommons.org/licenses/by-sa/4.0/", "original_api_record": {"size": 2583736, "width": 2261, "height": 4527, "thumburl": "https://thumb.wikimedia.org/wikipedia/commons/thumb/2/2c/%22Flamenco_authentisch_und_beeindruckend%22._04.jpg/1280px-%22Flamenco_authentisch_und_beeindruckend%22._04.jpg", "thumbwidth": 1280, "thumbheight": 2563, "responsiveUrls": {"2": "https://upload.wikimedia.org/wikipedia/commons/2/2c/%22Flamenco_authentisch_und_beeindruckend%22._04.jpg"}, "thumbattribs": {"src": "https://thumb.wikimedia.org/wikipedia/commons/thumb/2/2c/%22Flamenco_authentisch_und_beeindruckend%22._04.jpg/1280px-%22Flamenco_authentisch_und_beeindruckend%22._04.jpg", "decoding": "async", "loading": "lazy", "width": 1280, "height": 2563, "srcset": "https://upload.wikimedia.org/wikipedia/commons/2/2c/%22Flamenco_authentisch_und_beeindruckend%22._04.jpg 2x"}, "url": "https://upload.wikimedia.org/wikipedia/commons/2/2c/%22Flamenco_authentisch_und_beeindruckend%22._04.jpg", "descriptionurl": "https://commons.wikimedia.org/wiki/File:%22Flamenco_authentisch_und_beeindruckend%22._04.jpg", "descriptionshorturl": "https://commons.wikimedia.org/w/index.php?curid=155204481", "sha1": "56c161e253401b8389ee8a413f9fd5b522ec09d0", "extmetadata": {"DateTime": {"value": "2024-11-15 13:51:08", "source": "mediawiki-metadata", "hidden": ""}, "ObjectName": {"value": "\"Flamenco authentisch und beeindruckend\". 04", "source": "mediawiki-metadata"}, "CommonsMetadataExtension": {"value": 1.2, "source": "extension", "hidden": ""}, "Categories": {"value": "Self-published work|Flamenco in Seville", "source": "commons-categories", "hidden": ""}, "Assessments": {"value": "", "source": "commons-categories", "hidden": ""}, "ImageDescription": {"value": "The Show El Patio Sevillano.", "source": "commons-desc-page"}, "DateTimeOriginal": {"value": "2024-10-15 18:27:52", "source": "commons-desc-page"}, "Credit": {"value": "&lt;span class=\"int-own-work\" lang=\"en\"&gt;Own work&lt;/span&gt;", "source": "commons-desc-page"}, "Artist": {"value": "&lt;a href=\"//commons.wikimedia.org/wiki/User:Holger_Uwe_Schmitt\" title=\"User:Holger Uwe Schmitt\"&gt;Holger Uwe Schmitt&lt;/a&gt;",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"https://thumb.wikimedia.org/wikipedia/commons/thumb/2/2c/%22Flamenco_authentisch_und_beeindruckend%22._04.jpg/1280px-%22Flamenco_authentisch_und_beeindruckend%22._04.jpg"}, "retrieved_on": "2026-10-25"}</t>
        </is>
      </c>
    </row>
    <row r="114" ht="54" customHeight="1">
      <c r="A114" s="29" t="inlineStr">
        <is>
          <t>sevilla:evidence:cartuja-center-cite-01</t>
        </is>
      </c>
      <c r="B114" s="29" t="inlineStr">
        <is>
          <t>sevilla</t>
        </is>
      </c>
      <c r="C114" s="29" t="inlineStr">
        <is>
          <t>sevilla:photo:cartuja-center-cite-01</t>
        </is>
      </c>
      <c r="D114" s="29" t="inlineStr">
        <is>
          <t>https://commons.wikimedia.org/wiki/File:Cartuja_Center_City,_Cartuja_93_Sevilla.jpg</t>
        </is>
      </c>
      <c r="E114" s="29" t="inlineStr">
        <is>
          <t>File:Cartuja Center City, Cartuja 93 Sevilla.jpg</t>
        </is>
      </c>
      <c r="F114" s="29" t="inlineStr">
        <is>
          <t>Jl FilpoC</t>
        </is>
      </c>
      <c r="G114" s="29" t="inlineStr">
        <is>
          <t>CC BY-SA 4.0</t>
        </is>
      </c>
      <c r="H114" s="29" t="inlineStr">
        <is>
          <t>https://creativecommons.org/licenses/by-sa/4.0/</t>
        </is>
      </c>
      <c r="I114" s="29" t="inlineStr">
        <is>
          <t>Creative Commons Attribution-Share Alike 4.0</t>
        </is>
      </c>
      <c r="J114" s="29" t="inlineStr">
        <is>
          <t>Jl FilpoC · CC BY-SA 4.0 · Wikimedia Commons</t>
        </is>
      </c>
      <c r="K114" s="29" t="n"/>
      <c r="L114" s="49" t="n">
        <v>46320</v>
      </c>
      <c r="M114" s="29" t="inlineStr">
        <is>
          <t>Bekliyor</t>
        </is>
      </c>
      <c r="N114" s="29" t="inlineStr">
        <is>
          <t>Bekliyor</t>
        </is>
      </c>
      <c r="O114" s="29" t="inlineStr">
        <is>
          <t>Fotoğraflar/sevilla_cartuja-center-cite_01.jpg</t>
        </is>
      </c>
      <c r="P114" s="29" t="inlineStr">
        <is>
          <t>Cartuja Center CITE'nin geniş meydanlı modern binası.</t>
        </is>
      </c>
      <c r="Q114" s="29" t="inlineStr">
        <is>
          <t>Bekliyor</t>
        </is>
      </c>
      <c r="R114" s="29" t="inlineStr">
        <is>
          <t>Wikimedia Commons dosya sayfasındaki lisans: CC BY-SA 4.0</t>
        </is>
      </c>
      <c r="S114" s="29" t="inlineStr">
        <is>
          <t>Lisans kanıtları/cartuja-center-cite-01.source-evidence.json</t>
        </is>
      </c>
      <c r="T114" s="29" t="inlineStr">
        <is>
          <t>3296119d19e2d958f33fb3ba8a4734d3a57735e4eff0dc8cd7cf08d90f85e684</t>
        </is>
      </c>
      <c r="U114" s="29" t="inlineStr">
        <is>
          <t>Lisans kanıtları/cartuja-center-cite-01.license-evidence.json</t>
        </is>
      </c>
      <c r="V114" s="29" t="inlineStr">
        <is>
          <t>e12cfdb132e8987f0b34ae29084ffb7e4efa8ad947370240f5316d26b948c3fc</t>
        </is>
      </c>
      <c r="W114" s="29" t="inlineStr">
        <is>
          <t>{"source_url": "https://commons.wikimedia.org/wiki/File:Cartuja_Center_City,_Cartuja_93_Sevilla.jpg", "author": "Jl FilpoC", "license": "CC BY-SA 4.0", "license_url": "https://creativecommons.org/licenses/by-sa/4.0/", "original_api_record": {"size": 6297711, "width": 4480, "height": 2520, "thumburl": "https://thumb.wikimedia.org/wikipedia/commons/thumb/a/a1/Cartuja_Center_City%2C_Cartuja_93_Sevilla.jpg/1280px-Cartuja_Center_City%2C_Cartuja_93_Sevilla.jpg", "thumbwidth": 1280, "thumbheight": 720, "responsiveUrls": {"2": "https://thumb.wikimedia.org/wikipedia/commons/thumb/a/a1/Cartuja_Center_City%2C_Cartuja_93_Sevilla.jpg/3840px-Cartuja_Center_City%2C_Cartuja_93_Sevilla.jpg"}, "thumbattribs": {"src": "https://thumb.wikimedia.org/wikipedia/commons/thumb/a/a1/Cartuja_Center_City%2C_Cartuja_93_Sevilla.jpg/1280px-Cartuja_Center_City%2C_Cartuja_93_Sevilla.jpg", "decoding": "async", "loading": "lazy", "width": 1280, "height": 720, "srcset": "https://thumb.wikimedia.org/wikipedia/commons/thumb/a/a1/Cartuja_Center_City%2C_Cartuja_93_Sevilla.jpg/3840px-Cartuja_Center_City%2C_Cartuja_93_Sevilla.jpg 2x"}, "url": "https://upload.wikimedia.org/wikipedia/commons/a/a1/Cartuja_Center_City%2C_Cartuja_93_Sevilla.jpg", "descriptionurl": "https://commons.wikimedia.org/wiki/File:Cartuja_Center_City,_Cartuja_93_Sevilla.jpg", "descriptionshorturl": "https://commons.wikimedia.org/w/index.php?curid=90544289", "sha1": "4886e3f1ec4cbed0011de79c475ab636c0502c1e", "extmetadata": {"DateTime": {"value": "2020-05-22 17:02:59", "source": "mediawiki-metadata", "hidden": ""}, "ObjectName": {"value": "Cartuja Center City, Cartuja 93 Sevilla", "source": "mediawiki-metadata"}, "CommonsMetadataExtension": {"value": 1.2, "source": "extension", "hidden": ""}, "Categories": {"value": "Cartuja Center CITE|Self-published work|Files with coordinates missing SDC location of creation", "source": "commons-categories", "hidden": ""}, "Assessments": {"value": "", "source": "commons-categories", "hidden": ""}, "GPSLatitude": {"value": "37.404217", "source": "commons-desc-page"}, "GPSLongitude": {"value": "-6.007119", "source": "commons-desc-page"}, "GPSMapDatum": {"value": "WGS-84", "source": "commons-desc-page", "hidden": ""}, "ImageDescription": {"value": "Edificio de Eduardo Santiago Fajardo (2018)", "source": "commons-desc-page"}, "DateTimeOriginal": {"value": "2020-05-05", "source": "commons-desc-page"}, "Credit": {"value": "&lt;span class=\"int-own-work\" lang=\"en\"&gt;Own work&lt;/span&gt;", "source": "commons-desc-page"}, "Artist": {"value": "&lt;a href=\"//commons.wikimedia.org/wiki/User:Jl_FilpoC\" title=\"User:Jl FilpoC\"&gt;Jl FilpoC&lt;/a&gt;",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"https://thumb.wikimedia.org/wikipedia/commons/thumb/a/a1/Cartuja_Center_City%2C_Cartuja_93_Sevilla.jpg/1280px-Cartuja_Center_City%2C_Cartuja_93_Sevilla.jpg"}, "retrieved_on": "2026-10-25"}</t>
        </is>
      </c>
    </row>
    <row r="115" ht="54" customHeight="1">
      <c r="A115" s="29" t="inlineStr">
        <is>
          <t>sevilla:evidence:cartuja-center-cite-02</t>
        </is>
      </c>
      <c r="B115" s="29" t="inlineStr">
        <is>
          <t>sevilla</t>
        </is>
      </c>
      <c r="C115" s="29" t="inlineStr">
        <is>
          <t>sevilla:photo:cartuja-center-cite-02</t>
        </is>
      </c>
      <c r="D115" s="29" t="inlineStr">
        <is>
          <t>https://commons.wikimedia.org/wiki/File:FACHADA_PRINCIPAL_-_VISTA_NOCTURNA_DETALLE.jpg</t>
        </is>
      </c>
      <c r="E115" s="29" t="inlineStr">
        <is>
          <t>File:FACHADA PRINCIPAL - VISTA NOCTURNA DETALLE.jpg</t>
        </is>
      </c>
      <c r="F115" s="29" t="inlineStr">
        <is>
          <t>DireccióntecnicaJPA</t>
        </is>
      </c>
      <c r="G115" s="29" t="inlineStr">
        <is>
          <t>CC BY-SA 4.0</t>
        </is>
      </c>
      <c r="H115" s="29" t="inlineStr">
        <is>
          <t>https://creativecommons.org/licenses/by-sa/4.0/</t>
        </is>
      </c>
      <c r="I115" s="29" t="inlineStr">
        <is>
          <t>Creative Commons Attribution-Share Alike 4.0</t>
        </is>
      </c>
      <c r="J115" s="29" t="inlineStr">
        <is>
          <t>DireccióntecnicaJPA · CC BY-SA 4.0 · Wikimedia Commons</t>
        </is>
      </c>
      <c r="K115" s="29" t="n"/>
      <c r="L115" s="49" t="n">
        <v>46320</v>
      </c>
      <c r="M115" s="29" t="inlineStr">
        <is>
          <t>Bekliyor</t>
        </is>
      </c>
      <c r="N115" s="29" t="inlineStr">
        <is>
          <t>Bekliyor</t>
        </is>
      </c>
      <c r="O115" s="29" t="inlineStr">
        <is>
          <t>Fotoğraflar/sevilla_cartuja-center-cite_02.jpg</t>
        </is>
      </c>
      <c r="P115" s="29" t="inlineStr">
        <is>
          <t>Cartuja Center CITE'nin gece ışıklandırılmış cam cephesi.</t>
        </is>
      </c>
      <c r="Q115" s="29" t="inlineStr">
        <is>
          <t>Bekliyor</t>
        </is>
      </c>
      <c r="R115" s="29" t="inlineStr">
        <is>
          <t>Wikimedia Commons dosya sayfasındaki lisans: CC BY-SA 4.0</t>
        </is>
      </c>
      <c r="S115" s="29" t="inlineStr">
        <is>
          <t>Lisans kanıtları/cartuja-center-cite-02.source-evidence.json</t>
        </is>
      </c>
      <c r="T115" s="29" t="inlineStr">
        <is>
          <t>054e2fdb60b5fa3c5779aaa53411b594987112afaa5a142696204ddda8d74912</t>
        </is>
      </c>
      <c r="U115" s="29" t="inlineStr">
        <is>
          <t>Lisans kanıtları/cartuja-center-cite-02.license-evidence.json</t>
        </is>
      </c>
      <c r="V115" s="29" t="inlineStr">
        <is>
          <t>74ac1312f42b3fcd574fc62ef5610e454b4c0ca3639be90c146c198c4753e80f</t>
        </is>
      </c>
      <c r="W115" s="29" t="inlineStr">
        <is>
          <t>{"source_url": "https://commons.wikimedia.org/wiki/File:FACHADA_PRINCIPAL_-_VISTA_NOCTURNA_DETALLE.jpg", "author": "DireccióntecnicaJPA", "license": "CC BY-SA 4.0", "license_url": "https://creativecommons.org/licenses/by-sa/4.0/", "original_api_record": {"size": 822327, "width": 4992, "height": 3328, "thumburl": "https://thumb.wikimedia.org/wikipedia/commons/thumb/d/d6/FACHADA_PRINCIPAL_-_VISTA_NOCTURNA_DETALLE.jpg/1280px-FACHADA_PRINCIPAL_-_VISTA_NOCTURNA_DETALLE.jpg", "thumbwidth": 1280, "thumbheight": 853, "responsiveUrls": {"2": "https://thumb.wikimedia.org/wikipedia/commons/thumb/d/d6/FACHADA_PRINCIPAL_-_VISTA_NOCTURNA_DETALLE.jpg/3840px-FACHADA_PRINCIPAL_-_VISTA_NOCTURNA_DETALLE.jpg"}, "thumbattribs": {"src": "https://thumb.wikimedia.org/wikipedia/commons/thumb/d/d6/FACHADA_PRINCIPAL_-_VISTA_NOCTURNA_DETALLE.jpg/1280px-FACHADA_PRINCIPAL_-_VISTA_NOCTURNA_DETALLE.jpg", "decoding": "async", "loading": "lazy", "width": 1280, "height": 853, "srcset": "https://thumb.wikimedia.org/wikipedia/commons/thumb/d/d6/FACHADA_PRINCIPAL_-_VISTA_NOCTURNA_DETALLE.jpg/3840px-FACHADA_PRINCIPAL_-_VISTA_NOCTURNA_DETALLE.jpg 2x"}, "url": "https://upload.wikimedia.org/wikipedia/commons/d/d6/FACHADA_PRINCIPAL_-_VISTA_NOCTURNA_DETALLE.jpg", "descriptionurl": "https://commons.wikimedia.org/wiki/File:FACHADA_PRINCIPAL_-_VISTA_NOCTURNA_DETALLE.jpg", "descriptionshorturl": "https://commons.wikimedia.org/w/index.php?curid=112886913", "sha1": "000fe28dc161a547a412507b43f8d90b7d77f0b3", "extmetadata": {"DateTime": {"value": "2021-11-28 13:01:21", "source": "mediawiki-metadata", "hidden": ""}, "ObjectName": {"value": "FACHADA PRINCIPAL - VISTA NOCTURNA DETALLE", "source": "mediawiki-metadata"}, "CommonsMetadataExtension": {"value": 1.2, "source": "extension", "hidden": ""}, "Categories": {"value": "Cartuja Center CITE|Self-published work", "source": "commons-categories", "hidden": ""}, "Assessments": {"value": "", "source": "commons-categories", "hidden": ""}, "ImageDescription": {"value": "FACHADA PRINCIPAL - VISTA NOCTURNA DETALLE", "source": "commons-desc-page"}, "DateTimeOriginal": {"value": "2012-10-22", "source": "commons-desc-page"}, "Credit": {"value": "&lt;span class=\"int-own-work\" lang=\"en\"&gt;Own work&lt;/span&gt;", "source": "commons-desc-page"}, "Artist": {"value": "&lt;a href=\"//commons.wikimedia.org/w/index.php?title=User:Direcci%C3%B3ntecnicaJPA&amp;amp;action=edit&amp;amp;redlink=1\" class=\"new\" title=\"User:DireccióntecnicaJPA (page does not exist)\"&gt;DireccióntecnicaJPA&lt;/a&gt;",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"https://thumb.wikimedia.org/wikipedia/commons/thumb/d/d6/FACHADA_PRINCIPAL_-_VISTA_NOCTURNA_DETALLE.jpg/1280px-FACHADA_PRINCIPAL_-_VISTA_NOCTURNA_DETALLE.jpg"}, "retrieved_on": "2026-10-25"}</t>
        </is>
      </c>
    </row>
    <row r="116" ht="54" customHeight="1">
      <c r="A116" s="29" t="inlineStr">
        <is>
          <t>sevilla:evidence:teatro-central-sevilla-01</t>
        </is>
      </c>
      <c r="B116" s="29" t="inlineStr">
        <is>
          <t>sevilla</t>
        </is>
      </c>
      <c r="C116" s="29" t="inlineStr">
        <is>
          <t>sevilla:photo:teatro-central-sevilla-01</t>
        </is>
      </c>
      <c r="D116" s="29" t="inlineStr">
        <is>
          <t>https://commons.wikimedia.org/wiki/File:Teatro_Central_(Sevilla).jpg</t>
        </is>
      </c>
      <c r="E116" s="29" t="inlineStr">
        <is>
          <t>File:Teatro Central (Sevilla).jpg</t>
        </is>
      </c>
      <c r="F116" s="29" t="inlineStr">
        <is>
          <t>CarlosVdeHabsburgo</t>
        </is>
      </c>
      <c r="G116" s="29" t="inlineStr">
        <is>
          <t>CC BY-SA 4.0</t>
        </is>
      </c>
      <c r="H116" s="29" t="inlineStr">
        <is>
          <t>https://creativecommons.org/licenses/by-sa/4.0/</t>
        </is>
      </c>
      <c r="I116" s="29" t="inlineStr">
        <is>
          <t>Creative Commons Attribution-Share Alike 4.0</t>
        </is>
      </c>
      <c r="J116" s="29" t="inlineStr">
        <is>
          <t>CarlosVdeHabsburgo · CC BY-SA 4.0 · Wikimedia Commons</t>
        </is>
      </c>
      <c r="K116" s="29" t="n"/>
      <c r="L116" s="49" t="n">
        <v>46320</v>
      </c>
      <c r="M116" s="29" t="inlineStr">
        <is>
          <t>Bekliyor</t>
        </is>
      </c>
      <c r="N116" s="29" t="inlineStr">
        <is>
          <t>Bekliyor</t>
        </is>
      </c>
      <c r="O116" s="29" t="inlineStr">
        <is>
          <t>Fotoğraflar/sevilla_teatro-central-sevilla_01.jpg</t>
        </is>
      </c>
      <c r="P116" s="29" t="inlineStr">
        <is>
          <t>Teatro Central'ın nehir kıyısındaki taş kaplı binası.</t>
        </is>
      </c>
      <c r="Q116" s="29" t="inlineStr">
        <is>
          <t>Bekliyor</t>
        </is>
      </c>
      <c r="R116" s="29" t="inlineStr">
        <is>
          <t>Wikimedia Commons dosya sayfasındaki lisans: CC BY-SA 4.0</t>
        </is>
      </c>
      <c r="S116" s="29" t="inlineStr">
        <is>
          <t>Lisans kanıtları/teatro-central-sevilla-01.source-evidence.json</t>
        </is>
      </c>
      <c r="T116" s="29" t="inlineStr">
        <is>
          <t>05d6e6aaca818d7b12f172f9fda3a63b58d423103044f3c74c93ba1c50e6ec1f</t>
        </is>
      </c>
      <c r="U116" s="29" t="inlineStr">
        <is>
          <t>Lisans kanıtları/teatro-central-sevilla-01.license-evidence.json</t>
        </is>
      </c>
      <c r="V116" s="29" t="inlineStr">
        <is>
          <t>9ca2993921e8e982ab903fdb04379bc2ed045665de519c7ba91dc0f02b93e2bc</t>
        </is>
      </c>
      <c r="W116" s="29" t="inlineStr">
        <is>
          <t>{"source_url": "https://commons.wikimedia.org/wiki/File:Teatro_Central_(Sevilla).jpg", "author": "CarlosVdeHabsburgo", "license": "CC BY-SA 4.0", "license_url": "https://creativecommons.org/licenses/by-sa/4.0/", "original_api_record": {"size": 2355184, "width": 2709, "height": 1878, "thumburl": "https://thumb.wikimedia.org/wikipedia/commons/thumb/7/75/Teatro_Central_%28Sevilla%29.jpg/1280px-Teatro_Central_%28Sevilla%29.jpg", "thumbwidth": 1280, "thumbheight": 887, "responsiveUrls": {"2": "https://upload.wikimedia.org/wikipedia/commons/7/75/Teatro_Central_%28Sevilla%29.jpg"}, "thumbattribs": {"src": "https://thumb.wikimedia.org/wikipedia/commons/thumb/7/75/Teatro_Central_%28Sevilla%29.jpg/1280px-Teatro_Central_%28Sevilla%29.jpg", "decoding": "async", "loading": "lazy", "width": 1280, "height": 887, "srcset": "https://upload.wikimedia.org/wikipedia/commons/7/75/Teatro_Central_%28Sevilla%29.jpg 2x"}, "url": "https://upload.wikimedia.org/wikipedia/commons/7/75/Teatro_Central_%28Sevilla%29.jpg", "descriptionurl": "https://commons.wikimedia.org/wiki/File:Teatro_Central_(Sevilla).jpg", "descriptionshorturl": "https://commons.wikimedia.org/w/index.php?curid=66413454", "sha1": "1282876491073b410f2dd3ccf1b01d8b679d1ce8", "extmetadata": {"DateTime": {"value": "2018-02-13 23:25:48", "source": "mediawiki-metadata", "hidden": ""}, "ObjectName": {"value": "Teatro Central (Sevilla)", "source": "mediawiki-metadata"}, "CommonsMetadataExtension": {"value": 1.2, "source": "extension", "hidden": ""}, "Categories": {"value": "Teatro Central, Sevilla|Self-published work", "source": "commons-categories", "hidden": ""}, "Assessments": {"value": "", "source": "commons-categories", "hidden": ""}, "ImageDescription": {"value": "Teatro Central. Sevilla, Andalucía, España.", "source": "commons-desc-page"}, "DateTimeOriginal": {"value": "2018-02-13 17:27:23",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"https://thumb.wikimedia.org/wikipedia/commons/thumb/7/75/Teatro_Central_%28Sevilla%29.jpg/1280px-Teatro_Central_%28Sevilla%29.jpg"}, "retrieved_on": "2026-10-25"}</t>
        </is>
      </c>
    </row>
    <row r="117" ht="54" customHeight="1">
      <c r="A117" s="29" t="inlineStr">
        <is>
          <t>sevilla:evidence:teatro-central-sevilla-02</t>
        </is>
      </c>
      <c r="B117" s="29" t="inlineStr">
        <is>
          <t>sevilla</t>
        </is>
      </c>
      <c r="C117" s="29" t="inlineStr">
        <is>
          <t>sevilla:photo:teatro-central-sevilla-02</t>
        </is>
      </c>
      <c r="D117" s="29" t="inlineStr">
        <is>
          <t>https://commons.wikimedia.org/wiki/File:Teatro_Central_1.JPG</t>
        </is>
      </c>
      <c r="E117" s="29" t="inlineStr">
        <is>
          <t>File:Teatro Central 1.JPG</t>
        </is>
      </c>
      <c r="F117" s="29" t="inlineStr">
        <is>
          <t>CarlosVdeHabsburgo</t>
        </is>
      </c>
      <c r="G117" s="29" t="inlineStr">
        <is>
          <t>CC BY-SA 4.0</t>
        </is>
      </c>
      <c r="H117" s="29" t="inlineStr">
        <is>
          <t>https://creativecommons.org/licenses/by-sa/4.0/</t>
        </is>
      </c>
      <c r="I117" s="29" t="inlineStr">
        <is>
          <t>Creative Commons Attribution-Share Alike 4.0</t>
        </is>
      </c>
      <c r="J117" s="29" t="inlineStr">
        <is>
          <t>CarlosVdeHabsburgo · CC BY-SA 4.0 · Wikimedia Commons</t>
        </is>
      </c>
      <c r="K117" s="29" t="n"/>
      <c r="L117" s="49" t="n">
        <v>46320</v>
      </c>
      <c r="M117" s="29" t="inlineStr">
        <is>
          <t>Bekliyor</t>
        </is>
      </c>
      <c r="N117" s="29" t="inlineStr">
        <is>
          <t>Bekliyor</t>
        </is>
      </c>
      <c r="O117" s="29" t="inlineStr">
        <is>
          <t>Fotoğraflar/sevilla_teatro-central-sevilla_02.jpg</t>
        </is>
      </c>
      <c r="P117" s="29" t="inlineStr">
        <is>
          <t>Teatro Central'ın kare biçimli binası ve palmiyeler.</t>
        </is>
      </c>
      <c r="Q117" s="29" t="inlineStr">
        <is>
          <t>Bekliyor</t>
        </is>
      </c>
      <c r="R117" s="29" t="inlineStr">
        <is>
          <t>Wikimedia Commons dosya sayfasındaki lisans: CC BY-SA 4.0</t>
        </is>
      </c>
      <c r="S117" s="29" t="inlineStr">
        <is>
          <t>Lisans kanıtları/teatro-central-sevilla-02.source-evidence.json</t>
        </is>
      </c>
      <c r="T117" s="29" t="inlineStr">
        <is>
          <t>1c38d039dc99ad11ba609c6a3ae7c025332a15338df4cdcae8993eaebb6f3962</t>
        </is>
      </c>
      <c r="U117" s="29" t="inlineStr">
        <is>
          <t>Lisans kanıtları/teatro-central-sevilla-02.license-evidence.json</t>
        </is>
      </c>
      <c r="V117" s="29" t="inlineStr">
        <is>
          <t>4d0ef171faab101e7ed2509cffc5dd591c1166e5ecfbebb5c948c50bc280f118</t>
        </is>
      </c>
      <c r="W117" s="29" t="inlineStr">
        <is>
          <t>{"source_url": "https://commons.wikimedia.org/wiki/File:Teatro_Central_1.JPG", "author": "CarlosVdeHabsburgo", "license": "CC BY-SA 4.0", "license_url": "https://creativecommons.org/licenses/by-sa/4.0/", "original_api_record": {"size": 2859169, "width": 3240, "height": 4320, "thumburl": "https://thumb.wikimedia.org/wikipedia/commons/thumb/9/9f/Teatro_Central_1.JPG/1280px-Teatro_Central_1.JPG", "thumbwidth": 1280, "thumbheight": 1707, "responsiveUrls": {"2": "https://upload.wikimedia.org/wikipedia/commons/9/9f/Teatro_Central_1.JPG"}, "thumbattribs": {"src": "https://thumb.wikimedia.org/wikipedia/commons/thumb/9/9f/Teatro_Central_1.JPG/1280px-Teatro_Central_1.JPG", "decoding": "async", "loading": "lazy", "width": 1280, "height": 1707, "srcset": "https://upload.wikimedia.org/wikipedia/commons/9/9f/Teatro_Central_1.JPG 2x"}, "url": "https://upload.wikimedia.org/wikipedia/commons/9/9f/Teatro_Central_1.JPG", "descriptionurl": "https://commons.wikimedia.org/wiki/File:Teatro_Central_1.JPG", "descriptionshorturl": "https://commons.wikimedia.org/w/index.php?curid=40797434", "sha1": "fb754d98005044ca7372694722a491b021eb9191", "extmetadata": {"DateTime": {"value": "2015-06-07 14:01:33", "source": "mediawiki-metadata", "hidden": ""}, "ObjectName": {"value": "Teatro Central 1", "source": "mediawiki-metadata"}, "CommonsMetadataExtension": {"value": 1.2, "source": "extension", "hidden": ""}, "Categories": {"value": "Teatro Central, Sevilla|Self-published work", "source": "commons-categories", "hidden": ""}, "Assessments": {"value": "", "source": "commons-categories", "hidden": ""}, "ImageDescription": {"value": "Teatro Central. Isla de la Cartuja, Sevilla.", "source": "commons-desc-page"}, "DateTimeOriginal": {"value": "2015-05",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"https://thumb.wikimedia.org/wikipedia/commons/thumb/9/9f/Teatro_Central_1.JPG/1280px-Teatro_Central_1.JPG"}, "retrieved_on": "2026-10-25"}</t>
        </is>
      </c>
    </row>
    <row r="118" ht="54" customHeight="1">
      <c r="A118" s="29" t="inlineStr">
        <is>
          <t>sevilla:evidence:teatro-central-sevilla-03</t>
        </is>
      </c>
      <c r="B118" s="29" t="inlineStr">
        <is>
          <t>sevilla</t>
        </is>
      </c>
      <c r="C118" s="29" t="inlineStr">
        <is>
          <t>sevilla:photo:teatro-central-sevilla-03</t>
        </is>
      </c>
      <c r="D118" s="29" t="inlineStr">
        <is>
          <t>https://commons.wikimedia.org/wiki/File:Teatro_Central_2.JPG</t>
        </is>
      </c>
      <c r="E118" s="29" t="inlineStr">
        <is>
          <t>File:Teatro Central 2.JPG</t>
        </is>
      </c>
      <c r="F118" s="29" t="inlineStr">
        <is>
          <t>CarlosVdeHabsburgo</t>
        </is>
      </c>
      <c r="G118" s="29" t="inlineStr">
        <is>
          <t>CC BY-SA 4.0</t>
        </is>
      </c>
      <c r="H118" s="29" t="inlineStr">
        <is>
          <t>https://creativecommons.org/licenses/by-sa/4.0/</t>
        </is>
      </c>
      <c r="I118" s="29" t="inlineStr">
        <is>
          <t>Creative Commons Attribution-Share Alike 4.0</t>
        </is>
      </c>
      <c r="J118" s="29" t="inlineStr">
        <is>
          <t>CarlosVdeHabsburgo · CC BY-SA 4.0 · Wikimedia Commons</t>
        </is>
      </c>
      <c r="K118" s="29" t="n"/>
      <c r="L118" s="49" t="n">
        <v>46320</v>
      </c>
      <c r="M118" s="29" t="inlineStr">
        <is>
          <t>Bekliyor</t>
        </is>
      </c>
      <c r="N118" s="29" t="inlineStr">
        <is>
          <t>Bekliyor</t>
        </is>
      </c>
      <c r="O118" s="29" t="inlineStr">
        <is>
          <t>Fotoğraflar/sevilla_teatro-central-sevilla_03.jpg</t>
        </is>
      </c>
      <c r="P118" s="29" t="inlineStr">
        <is>
          <t>Teatro Central'ın taş duvarında gösteri afişi.</t>
        </is>
      </c>
      <c r="Q118" s="29" t="inlineStr">
        <is>
          <t>Bekliyor</t>
        </is>
      </c>
      <c r="R118" s="29" t="inlineStr">
        <is>
          <t>Wikimedia Commons dosya sayfasındaki lisans: CC BY-SA 4.0</t>
        </is>
      </c>
      <c r="S118" s="29" t="inlineStr">
        <is>
          <t>Lisans kanıtları/teatro-central-sevilla-03.source-evidence.json</t>
        </is>
      </c>
      <c r="T118" s="29" t="inlineStr">
        <is>
          <t>120953eb1fd8bf15b0f5c37dd4e7103ce9d583caa9768eba53f2d9ec13234e04</t>
        </is>
      </c>
      <c r="U118" s="29" t="inlineStr">
        <is>
          <t>Lisans kanıtları/teatro-central-sevilla-03.license-evidence.json</t>
        </is>
      </c>
      <c r="V118" s="29" t="inlineStr">
        <is>
          <t>6290a2cf6cb2a1ba741968b9dd6f2eae6528d7707ffe55eadee70102812899ec</t>
        </is>
      </c>
      <c r="W118" s="29" t="inlineStr">
        <is>
          <t>{"source_url": "https://commons.wikimedia.org/wiki/File:Teatro_Central_2.JPG", "author": "CarlosVdeHabsburgo", "license": "CC BY-SA 4.0", "license_url": "https://creativecommons.org/licenses/by-sa/4.0/", "original_api_record": {"size": 3575985, "width": 4320, "height": 3240, "thumburl": "https://thumb.wikimedia.org/wikipedia/commons/thumb/9/9a/Teatro_Central_2.JPG/1280px-Teatro_Central_2.JPG", "thumbwidth": 1280, "thumbheight": 960, "responsiveUrls": {"2": "https://thumb.wikimedia.org/wikipedia/commons/thumb/9/9a/Teatro_Central_2.JPG/3840px-Teatro_Central_2.JPG"}, "thumbattribs": {"src": "https://thumb.wikimedia.org/wikipedia/commons/thumb/9/9a/Teatro_Central_2.JPG/1280px-Teatro_Central_2.JPG", "decoding": "async", "loading": "lazy", "width": 1280, "height": 960, "srcset": "https://thumb.wikimedia.org/wikipedia/commons/thumb/9/9a/Teatro_Central_2.JPG/3840px-Teatro_Central_2.JPG 2x"}, "url": "https://upload.wikimedia.org/wikipedia/commons/9/9a/Teatro_Central_2.JPG", "descriptionurl": "https://commons.wikimedia.org/wiki/File:Teatro_Central_2.JPG", "descriptionshorturl": "https://commons.wikimedia.org/w/index.php?curid=40797501", "sha1": "7eba1981c4ee8d1ddedc0aa96ef7a74f22cfb1fe", "extmetadata": {"DateTime": {"value": "2015-06-07 14:05:45", "source": "mediawiki-metadata", "hidden": ""}, "ObjectName": {"value": "Teatro Central 2", "source": "mediawiki-metadata"}, "CommonsMetadataExtension": {"value": 1.2, "source": "extension", "hidden": ""}, "Categories": {"value": "Teatro Central, Sevilla|Self-published work", "source": "commons-categories", "hidden": ""}, "Assessments": {"value": "", "source": "commons-categories", "hidden": ""}, "ImageDescription": {"value": "Teatro Central. Isla de la Cartuja, Sevilla", "source": "commons-desc-page"}, "DateTimeOriginal": {"value": "2015-05",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"https://thumb.wikimedia.org/wikipedia/commons/thumb/9/9a/Teatro_Central_2.JPG/1280px-Teatro_Central_2.JPG"}, "retrieved_on": "2026-10-25"}</t>
        </is>
      </c>
    </row>
    <row r="119" ht="54" customHeight="1">
      <c r="A119" s="29" t="inlineStr">
        <is>
          <t>sevilla:evidence:auditorio-cartuja-sevilla-01</t>
        </is>
      </c>
      <c r="B119" s="29" t="inlineStr">
        <is>
          <t>sevilla</t>
        </is>
      </c>
      <c r="C119" s="29" t="inlineStr">
        <is>
          <t>sevilla:photo:auditorio-cartuja-sevilla-01</t>
        </is>
      </c>
      <c r="D119" s="29" t="inlineStr">
        <is>
          <t>https://commons.wikimedia.org/wiki/File:Entrada_exterior.jpg</t>
        </is>
      </c>
      <c r="E119" s="29" t="inlineStr">
        <is>
          <t>File:Entrada exterior.jpg</t>
        </is>
      </c>
      <c r="F119" s="29" t="inlineStr">
        <is>
          <t>Auditorio Nissan Cartuja</t>
        </is>
      </c>
      <c r="G119" s="29" t="inlineStr">
        <is>
          <t>CC BY-SA 4.0</t>
        </is>
      </c>
      <c r="H119" s="29" t="inlineStr">
        <is>
          <t>https://creativecommons.org/licenses/by-sa/4.0/</t>
        </is>
      </c>
      <c r="I119" s="29" t="inlineStr">
        <is>
          <t>Creative Commons Attribution-Share Alike 4.0</t>
        </is>
      </c>
      <c r="J119" s="29" t="inlineStr">
        <is>
          <t>Auditorio Nissan Cartuja · CC BY-SA 4.0 · Wikimedia Commons</t>
        </is>
      </c>
      <c r="K119" s="29" t="n"/>
      <c r="L119" s="49" t="n">
        <v>46320</v>
      </c>
      <c r="M119" s="29" t="inlineStr">
        <is>
          <t>Bekliyor</t>
        </is>
      </c>
      <c r="N119" s="29" t="inlineStr">
        <is>
          <t>Bekliyor</t>
        </is>
      </c>
      <c r="O119" s="29" t="inlineStr">
        <is>
          <t>Fotoğraflar/sevilla_auditorio-cartuja-sevilla_01.jpg</t>
        </is>
      </c>
      <c r="P119" s="29" t="inlineStr">
        <is>
          <t>Ibercaja Auditorio Cartuja'nın tabelalı cam girişi.</t>
        </is>
      </c>
      <c r="Q119" s="29" t="inlineStr">
        <is>
          <t>Bekliyor</t>
        </is>
      </c>
      <c r="R119" s="29" t="inlineStr">
        <is>
          <t>Wikimedia Commons dosya sayfasındaki lisans: CC BY-SA 4.0</t>
        </is>
      </c>
      <c r="S119" s="29" t="inlineStr">
        <is>
          <t>Lisans kanıtları/auditorio-cartuja-sevilla-01.source-evidence.json</t>
        </is>
      </c>
      <c r="T119" s="29" t="inlineStr">
        <is>
          <t>34723a01354186cda16ac2da6823444c4edc974434b4ccb7bcffeff4fc540be9</t>
        </is>
      </c>
      <c r="U119" s="29" t="inlineStr">
        <is>
          <t>Lisans kanıtları/auditorio-cartuja-sevilla-01.license-evidence.json</t>
        </is>
      </c>
      <c r="V119" s="29" t="inlineStr">
        <is>
          <t>5a1b2808a745c25a0ffddc4c6902e67350ce029891c53ea4cf57725e8333c51e</t>
        </is>
      </c>
      <c r="W119" s="29" t="inlineStr">
        <is>
          <t>{"source_url": "https://commons.wikimedia.org/wiki/File:Entrada_exterior.jpg", "author": "Auditorio Nissan Cartuja", "license": "CC BY-SA 4.0", "license_url": "https://creativecommons.org/licenses/by-sa/4.0/", "original_api_record": {"size": 5615038, "width": 4032, "height": 3024, "thumburl": "https://thumb.wikimedia.org/wikipedia/commons/thumb/6/67/Entrada_exterior.jpg/1280px-Entrada_exterior.jpg", "thumbwidth": 1280, "thumbheight": 960, "responsiveUrls": {"2": "https://thumb.wikimedia.org/wikipedia/commons/thumb/6/67/Entrada_exterior.jpg/3840px-Entrada_exterior.jpg"}, "thumbattribs": {"src": "https://thumb.wikimedia.org/wikipedia/commons/thumb/6/67/Entrada_exterior.jpg/1280px-Entrada_exterior.jpg", "decoding": "async", "loading": "lazy", "width": 1280, "height": 960, "srcset": "https://thumb.wikimedia.org/wikipedia/commons/thumb/6/67/Entrada_exterior.jpg/3840px-Entrada_exterior.jpg 2x"}, "url": "https://upload.wikimedia.org/wikipedia/commons/6/67/Entrada_exterior.jpg", "descriptionurl": "https://commons.wikimedia.org/wiki/File:Entrada_exterior.jpg", "descriptionshorturl": "https://commons.wikimedia.org/w/index.php?curid=139627747", "sha1": "5ef22e4f021f8e29ddd6805f881753ab6c46316b", "extmetadata": {"DateTime": {"value": "2023-10-27 11:31:05", "source": "mediawiki-metadata", "hidden": ""}, "ObjectName": {"value": "Entrada exterior", "source": "mediawiki-metadata"}, "CommonsMetadataExtension": {"value": 1.2, "source": "extension", "hidden": ""}, "Categories": {"value": "Auditorio Nissan cartuja|Self-published work", "source": "commons-categories", "hidden": ""}, "Assessments": {"value": "", "source": "commons-categories", "hidden": ""}, "ImageDescription": {"value": "Vista del exterior del Auditorio", "source": "commons-desc-page"}, "DateTimeOriginal": {"value": "2023-10-27", "source": "commons-desc-page"}, "Credit": {"value": "&lt;span class=\"int-own-work\" lang=\"en\"&gt;Own work&lt;/span&gt;", "source": "commons-desc-page"}, "Artist": {"value": "&lt;a href=\"//commons.wikimedia.org/w/index.php?title=User:Josemi_Castro&amp;amp;action=edit&amp;amp;redlink=1\" class=\"new\" title=\"User:Josemi Castro (page does not exist)\"&gt;Auditorio Nissan Cartuja&lt;/a&gt;",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"https://thumb.wikimedia.org/wikipedia/commons/thumb/6/67/Entrada_exterior.jpg/1280px-Entrada_exterior.jpg"}, "retrieved_on": "2026-10-25"}</t>
        </is>
      </c>
    </row>
    <row r="120" ht="54" customHeight="1">
      <c r="A120" s="29" t="inlineStr">
        <is>
          <t>sevilla:evidence:mercado-de-triana-01</t>
        </is>
      </c>
      <c r="B120" s="29" t="inlineStr">
        <is>
          <t>sevilla</t>
        </is>
      </c>
      <c r="C120" s="29" t="inlineStr">
        <is>
          <t>sevilla:photo:mercado-de-triana-01</t>
        </is>
      </c>
      <c r="D120" s="29" t="inlineStr">
        <is>
          <t>https://commons.wikimedia.org/wiki/File:Halles_March%C3%A9_Triana_-_S%C3%A9ville_(ES61)_-_2023-04-24_-_1.jpg</t>
        </is>
      </c>
      <c r="E120" s="29" t="inlineStr">
        <is>
          <t>File:Halles Marché Triana - Séville (ES61) - 2023-04-24 - 1.jpg</t>
        </is>
      </c>
      <c r="F120" s="29" t="inlineStr">
        <is>
          <t>Chabe01</t>
        </is>
      </c>
      <c r="G120" s="29" t="inlineStr">
        <is>
          <t>CC BY-SA 4.0</t>
        </is>
      </c>
      <c r="H120" s="29" t="inlineStr">
        <is>
          <t>https://creativecommons.org/licenses/by-sa/4.0/</t>
        </is>
      </c>
      <c r="I120" s="29" t="inlineStr">
        <is>
          <t>Creative Commons Attribution-Share Alike 4.0</t>
        </is>
      </c>
      <c r="J120" s="29" t="inlineStr">
        <is>
          <t>Chabe01 · CC BY-SA 4.0 · Wikimedia Commons</t>
        </is>
      </c>
      <c r="K120" s="29" t="n"/>
      <c r="L120" s="49" t="n">
        <v>46320</v>
      </c>
      <c r="M120" s="29" t="inlineStr">
        <is>
          <t>Bekliyor</t>
        </is>
      </c>
      <c r="N120" s="29" t="inlineStr">
        <is>
          <t>Bekliyor</t>
        </is>
      </c>
      <c r="O120" s="29" t="inlineStr">
        <is>
          <t>Fotoğraflar/sevilla_mercado-de-triana_01.jpg</t>
        </is>
      </c>
      <c r="P120" s="29" t="inlineStr">
        <is>
          <t>Triana Pazarı'nın kırmızı kiremitli binası ve önündeki yol.</t>
        </is>
      </c>
      <c r="Q120" s="29" t="inlineStr">
        <is>
          <t>Bekliyor</t>
        </is>
      </c>
      <c r="R120" s="29" t="inlineStr">
        <is>
          <t>Wikimedia Commons dosya sayfasındaki lisans: CC BY-SA 4.0</t>
        </is>
      </c>
      <c r="S120" s="29" t="inlineStr">
        <is>
          <t>Lisans kanıtları/mercado-de-triana-01.source-evidence.json</t>
        </is>
      </c>
      <c r="T120" s="29" t="inlineStr">
        <is>
          <t>f5c99c0a8826e13cac19fddc358ef5837d98d6be8476635fb305b36ca29368d0</t>
        </is>
      </c>
      <c r="U120" s="29" t="inlineStr">
        <is>
          <t>Lisans kanıtları/mercado-de-triana-01.license-evidence.json</t>
        </is>
      </c>
      <c r="V120" s="29" t="inlineStr">
        <is>
          <t>3eb95e5060714d0627eb1c74be18c5484d53a2965057b1987e0da7684dc0e34e</t>
        </is>
      </c>
      <c r="W120" s="29" t="inlineStr">
        <is>
          <t>{"source_url": "https://commons.wikimedia.org/wiki/File:Halles_March%C3%A9_Triana_-_S%C3%A9ville_(ES61)_-_2023-04-24_-_1.jpg", "author": "Chabe01", "license": "CC BY-SA 4.0", "license_url": "https://creativecommons.org/licenses/by-sa/4.0/", "original_api_record": {"size": 3954777, "width": 4032, "height": 3024, "thumburl": "https://thumb.wikimedia.org/wikipedia/commons/thumb/c/c9/Halles_March%C3%A9_Triana_-_S%C3%A9ville_%28ES61%29_-_2023-04-24_-_1.jpg/1280px-Halles_March%C3%A9_Triana_-_S%C3%A9ville_%28ES61%29_-_2023-04-24_-_1.jpg", "thumbwidth": 1280, "thumbheight": 960, "responsiveUrls": {"2": "https://thumb.wikimedia.org/wikipedia/commons/thumb/c/c9/Halles_March%C3%A9_Triana_-_S%C3%A9ville_%28ES61%29_-_2023-04-24_-_1.jpg/3840px-Halles_March%C3%A9_Triana_-_S%C3%A9ville_%28ES61%29_-_2023-04-24_-_1.jpg"}, "thumbattribs": {"src": "https://thumb.wikimedia.org/wikipedia/commons/thumb/c/c9/Halles_March%C3%A9_Triana_-_S%C3%A9ville_%28ES61%29_-_2023-04-24_-_1.jpg/1280px-Halles_March%C3%A9_Triana_-_S%C3%A9ville_%28ES61%29_-_2023-04-24_-_1.jpg", "decoding": "async", "loading": "lazy", "width": 1280, "height": 960, "srcset": "https://thumb.wikimedia.org/wikipedia/commons/thumb/c/c9/Halles_March%C3%A9_Triana_-_S%C3%A9ville_%28ES61%29_-_2023-04-24_-_1.jpg/3840px-Halles_March%C3%A9_Triana_-_S%C3%A9ville_%28ES61%29_-_2023-04-24_-_1.jpg 2x"}, "url": "https://upload.wikimedia.org/wikipedia/commons/c/c9/Halles_March%C3%A9_Triana_-_S%C3%A9ville_%28ES61%29_-_2023-04-24_-_1.jpg", "descriptionurl": "https://commons.wikimedia.org/wiki/File:Halles_March%C3%A9_Triana_-_S%C3%A9ville_(ES61)_-_2023-04-24_-_1.jpg", "descriptionshorturl": "https://commons.wikimedia.org/w/index.php?curid=131209987", "sha1": "4bd2b300e71e103c12e761b361251172fa496554", "extmetadata": {"DateTime": {"value": "2023-04-26 22:47:58", "source": "mediawiki-metadata", "hidden": ""}, "ObjectName": {"value": "Halles Marché Triana - Séville (ES61) - 2023-04-24 - 1", "source": "mediawiki-metadata"}, "CommonsMetadataExtension": {"value": 1.2, "source": "extension", "hidden": ""}, "Categories": {"value": "Mercado de Triana|Self-published work|Files with coordinates missing SDC location of creation|Spain photographs taken on 2023-04-24|April 2023 in Seville|Images by Chabe01 taken with iPhone 13 Pro|Images of Seville by Chabe01", "source": "commons-categories", "hidden": ""}, "Assessments": {"value": "", "source": "commons-categories", "hidden": ""}, "GPSLatitude": {"value": "37.385539", "source": "commons-desc-page"}, "GPSLongitude": {"value": "-6.003039", "source": "commons-desc-page"}, "GPSMapDatum": {"value": "WGS-84", "source": "commons-desc-page", "hidden": ""}, "ImageDescription": {"value": "Halles du marché Triana, Séville.", "source": "commons-desc-page"}, "DateTimeOriginal": {"value": "2023-04-24 15:54:21", "source": "commons-desc-page"}, "Credit": {"value": "&lt;span class=\"int-own-work\" lang=\"en\"&gt;Own work&lt;/span&gt;", "source": "commons-desc-page"}, "Artist": {"value": "&lt;a href=\"//commons.wikimedia.org/wiki/User:Chabe01\" title=\"User:Chabe01\"&gt;Chabe01&lt;/a&gt;",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"https://thumb.wikimedia.org/wikipedia/commons/thumb/c/c9/Halles_March%C3%A9_Triana_-_S%C3%A9ville_%28ES61%29_-_2023-04-24_-_1.jpg/1280px-Halles_March%C3%A9_Triana_-_S%C3%A9ville_%28ES61%29_-_2023-04-24_-_1.jpg"}, "retrieved_on": "2026-10-25"}</t>
        </is>
      </c>
    </row>
    <row r="121" ht="54" customHeight="1">
      <c r="A121" s="29" t="inlineStr">
        <is>
          <t>sevilla:evidence:mercado-de-triana-02</t>
        </is>
      </c>
      <c r="B121" s="29" t="inlineStr">
        <is>
          <t>sevilla</t>
        </is>
      </c>
      <c r="C121" s="29" t="inlineStr">
        <is>
          <t>sevilla:photo:mercado-de-triana-02</t>
        </is>
      </c>
      <c r="D121" s="29" t="inlineStr">
        <is>
          <t>https://commons.wikimedia.org/wiki/File:Halles_March%C3%A9_Triana_-_S%C3%A9ville_(ES61)_-_2023-04-24_-_2.jpg</t>
        </is>
      </c>
      <c r="E121" s="29" t="inlineStr">
        <is>
          <t>File:Halles Marché Triana - Séville (ES61) - 2023-04-24 - 2.jpg</t>
        </is>
      </c>
      <c r="F121" s="29" t="inlineStr">
        <is>
          <t>Chabe01</t>
        </is>
      </c>
      <c r="G121" s="29" t="inlineStr">
        <is>
          <t>CC BY-SA 4.0</t>
        </is>
      </c>
      <c r="H121" s="29" t="inlineStr">
        <is>
          <t>https://creativecommons.org/licenses/by-sa/4.0/</t>
        </is>
      </c>
      <c r="I121" s="29" t="inlineStr">
        <is>
          <t>Creative Commons Attribution-Share Alike 4.0</t>
        </is>
      </c>
      <c r="J121" s="29" t="inlineStr">
        <is>
          <t>Chabe01 · CC BY-SA 4.0 · Wikimedia Commons</t>
        </is>
      </c>
      <c r="K121" s="29" t="n"/>
      <c r="L121" s="49" t="n">
        <v>46320</v>
      </c>
      <c r="M121" s="29" t="inlineStr">
        <is>
          <t>Bekliyor</t>
        </is>
      </c>
      <c r="N121" s="29" t="inlineStr">
        <is>
          <t>Bekliyor</t>
        </is>
      </c>
      <c r="O121" s="29" t="inlineStr">
        <is>
          <t>Fotoğraflar/sevilla_mercado-de-triana_02.jpg</t>
        </is>
      </c>
      <c r="P121" s="29" t="inlineStr">
        <is>
          <t>Triana Pazarı'nın tabelalı girişi.</t>
        </is>
      </c>
      <c r="Q121" s="29" t="inlineStr">
        <is>
          <t>Bekliyor</t>
        </is>
      </c>
      <c r="R121" s="29" t="inlineStr">
        <is>
          <t>Wikimedia Commons dosya sayfasındaki lisans: CC BY-SA 4.0</t>
        </is>
      </c>
      <c r="S121" s="29" t="inlineStr">
        <is>
          <t>Lisans kanıtları/mercado-de-triana-02.source-evidence.json</t>
        </is>
      </c>
      <c r="T121" s="29" t="inlineStr">
        <is>
          <t>818536574692d4906d6bd605e2bf3a2b9871967de7d40ad3fb2f55d7776ed415</t>
        </is>
      </c>
      <c r="U121" s="29" t="inlineStr">
        <is>
          <t>Lisans kanıtları/mercado-de-triana-02.license-evidence.json</t>
        </is>
      </c>
      <c r="V121" s="29" t="inlineStr">
        <is>
          <t>9829a6abc65a3f6530654664ce6bfeac66ea48e6084f036f4bf4653519ca2621</t>
        </is>
      </c>
      <c r="W121" s="29" t="inlineStr">
        <is>
          <t>{"source_url": "https://commons.wikimedia.org/wiki/File:Halles_March%C3%A9_Triana_-_S%C3%A9ville_(ES61)_-_2023-04-24_-_2.jpg", "author": "Chabe01", "license": "CC BY-SA 4.0", "license_url": "https://creativecommons.org/licenses/by-sa/4.0/", "original_api_record": {"size": 4072206, "width": 4032, "height": 3024, "thumburl": "https://thumb.wikimedia.org/wikipedia/commons/thumb/c/cd/Halles_March%C3%A9_Triana_-_S%C3%A9ville_%28ES61%29_-_2023-04-24_-_2.jpg/1280px-Halles_March%C3%A9_Triana_-_S%C3%A9ville_%28ES61%29_-_2023-04-24_-_2.jpg", "thumbwidth": 1280, "thumbheight": 960, "responsiveUrls": {"2": "https://thumb.wikimedia.org/wikipedia/commons/thumb/c/cd/Halles_March%C3%A9_Triana_-_S%C3%A9ville_%28ES61%29_-_2023-04-24_-_2.jpg/3840px-Halles_March%C3%A9_Triana_-_S%C3%A9ville_%28ES61%29_-_2023-04-24_-_2.jpg"}, "thumbattribs": {"src": "https://thumb.wikimedia.org/wikipedia/commons/thumb/c/cd/Halles_March%C3%A9_Triana_-_S%C3%A9ville_%28ES61%29_-_2023-04-24_-_2.jpg/1280px-Halles_March%C3%A9_Triana_-_S%C3%A9ville_%28ES61%29_-_2023-04-24_-_2.jpg", "decoding": "async", "loading": "lazy", "width": 1280, "height": 960, "srcset": "https://thumb.wikimedia.org/wikipedia/commons/thumb/c/cd/Halles_March%C3%A9_Triana_-_S%C3%A9ville_%28ES61%29_-_2023-04-24_-_2.jpg/3840px-Halles_March%C3%A9_Triana_-_S%C3%A9ville_%28ES61%29_-_2023-04-24_-_2.jpg 2x"}, "url": "https://upload.wikimedia.org/wikipedia/commons/c/cd/Halles_March%C3%A9_Triana_-_S%C3%A9ville_%28ES61%29_-_2023-04-24_-_2.jpg", "descriptionurl": "https://commons.wikimedia.org/wiki/File:Halles_March%C3%A9_Triana_-_S%C3%A9ville_(ES61)_-_2023-04-24_-_2.jpg", "descriptionshorturl": "https://commons.wikimedia.org/w/index.php?curid=131209993", "sha1": "a7c60c31c32518bcb2aa9b3548e725a571434b04", "extmetadata": {"DateTime": {"value": "2023-04-26 22:48:05", "source": "mediawiki-metadata", "hidden": ""}, "ObjectName": {"value": "Halles Marché Triana - Séville (ES61) - 2023-04-24 - 2", "source": "mediawiki-metadata"}, "CommonsMetadataExtension": {"value": 1.2, "source": "extension", "hidden": ""}, "Categories": {"value": "Mercado de Triana|Self-published work|Files with coordinates missing SDC location of creation|Spain photographs taken on 2023-04-24|April 2023 in Seville|Images by Chabe01 taken with iPhone 13 Pro|Images of Seville by Chabe01", "source": "commons-categories", "hidden": ""}, "Assessments": {"value": "", "source": "commons-categories", "hidden": ""}, "GPSLatitude": {"value": "37.385544", "source": "commons-desc-page"}, "GPSLongitude": {"value": "-6.003036", "source": "commons-desc-page"}, "GPSMapDatum": {"value": "WGS-84", "source": "commons-desc-page", "hidden": ""}, "ImageDescription": {"value": "Halles du marché Triana, Séville.", "source": "commons-desc-page"}, "DateTimeOriginal": {"value": "2023-04-24 15:54:23", "source": "commons-desc-page"}, "Credit": {"value": "&lt;span class=\"int-own-work\" lang=\"en\"&gt;Own work&lt;/span&gt;", "source": "commons-desc-page"}, "Artist": {"value": "&lt;a href=\"//commons.wikimedia.org/wiki/User:Chabe01\" title=\"User:Chabe01\"&gt;Chabe01&lt;/a&gt;",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"https://thumb.wikimedia.org/wikipedia/commons/thumb/c/cd/Halles_March%C3%A9_Triana_-_S%C3%A9ville_%28ES61%29_-_2023-04-24_-_2.jpg/1280px-Halles_March%C3%A9_Triana_-_S%C3%A9ville_%28ES61%29_-_2023-04-24_-_2.jpg"}, "retrieved_on": "2026-10-25"}</t>
        </is>
      </c>
    </row>
    <row r="122" ht="54" customHeight="1">
      <c r="A122" s="29" t="inlineStr">
        <is>
          <t>sevilla:evidence:mercado-de-la-calle-feria-01</t>
        </is>
      </c>
      <c r="B122" s="29" t="inlineStr">
        <is>
          <t>sevilla</t>
        </is>
      </c>
      <c r="C122" s="29" t="inlineStr">
        <is>
          <t>sevilla:photo:mercado-de-la-calle-feria-01</t>
        </is>
      </c>
      <c r="D122" s="29" t="inlineStr">
        <is>
          <t>https://commons.wikimedia.org/wiki/File:Sevilla_-_Mercado_de_Feria_8.jpg</t>
        </is>
      </c>
      <c r="E122" s="29" t="inlineStr">
        <is>
          <t>File:Sevilla - Mercado de Feria 8.jpg</t>
        </is>
      </c>
      <c r="F122" s="29" t="inlineStr">
        <is>
          <t>Zarateman</t>
        </is>
      </c>
      <c r="G122" s="29" t="inlineStr">
        <is>
          <t>CC0 1.0</t>
        </is>
      </c>
      <c r="H122" s="29" t="inlineStr">
        <is>
          <t>https://creativecommons.org/publicdomain/zero/1.0/</t>
        </is>
      </c>
      <c r="I122" s="29" t="inlineStr">
        <is>
          <t>Creative Commons Zero, Public Domain Dedication</t>
        </is>
      </c>
      <c r="J122" s="29" t="inlineStr">
        <is>
          <t>Zarateman · CC0 1.0 · Wikimedia Commons</t>
        </is>
      </c>
      <c r="K122" s="29" t="n"/>
      <c r="L122" s="49" t="n">
        <v>46320</v>
      </c>
      <c r="M122" s="29" t="inlineStr">
        <is>
          <t>Bekliyor</t>
        </is>
      </c>
      <c r="N122" s="29" t="inlineStr">
        <is>
          <t>Bekliyor</t>
        </is>
      </c>
      <c r="O122" s="29" t="inlineStr">
        <is>
          <t>Fotoğraflar/sevilla_mercado-de-la-calle-feria_01.jpg</t>
        </is>
      </c>
      <c r="P122" s="29" t="inlineStr">
        <is>
          <t>Feria Pazarı'nın beyaz cepheli binası ve tenteleri.</t>
        </is>
      </c>
      <c r="Q122" s="29" t="inlineStr">
        <is>
          <t>Bekliyor</t>
        </is>
      </c>
      <c r="R122" s="29" t="inlineStr">
        <is>
          <t>Wikimedia Commons dosya sayfasındaki lisans: CC0 1.0</t>
        </is>
      </c>
      <c r="S122" s="29" t="inlineStr">
        <is>
          <t>Lisans kanıtları/mercado-de-la-calle-feria-01.source-evidence.json</t>
        </is>
      </c>
      <c r="T122" s="29" t="inlineStr">
        <is>
          <t>2ae03592df8935a870f0f01f8a6baa8fe2ca7ab77a42fee24f8ec1553826a542</t>
        </is>
      </c>
      <c r="U122" s="29" t="inlineStr">
        <is>
          <t>Lisans kanıtları/mercado-de-la-calle-feria-01.license-evidence.json</t>
        </is>
      </c>
      <c r="V122" s="29" t="inlineStr">
        <is>
          <t>98e5f80fa87d6fdf1618d03699c5549f52b6e02190af66b24889971de1ec1822</t>
        </is>
      </c>
      <c r="W122" s="29" t="inlineStr">
        <is>
          <t>{"source_url": "https://commons.wikimedia.org/wiki/File:Sevilla_-_Mercado_de_Feria_8.jpg", "author": "Zarateman", "license": "CC0 1.0", "license_url": "https://creativecommons.org/publicdomain/zero/1.0/", "original_api_record": {"size": 368774, "width": 2048, "height": 1536, "thumburl": "https://thumb.wikimedia.org/wikipedia/commons/thumb/d/d4/Sevilla_-_Mercado_de_Feria_8.jpg/1280px-Sevilla_-_Mercado_de_Feria_8.jpg", "thumbwidth": 1280, "thumbheight": 960, "responsiveUrls": {"2": "https://upload.wikimedia.org/wikipedia/commons/d/d4/Sevilla_-_Mercado_de_Feria_8.jpg"}, "thumbattribs": {"src": "https://thumb.wikimedia.org/wikipedia/commons/thumb/d/d4/Sevilla_-_Mercado_de_Feria_8.jpg/1280px-Sevilla_-_Mercado_de_Feria_8.jpg", "decoding": "async", "loading": "lazy", "width": 1280, "height": 960, "srcset": "https://upload.wikimedia.org/wikipedia/commons/d/d4/Sevilla_-_Mercado_de_Feria_8.jpg 2x"}, "url": "https://upload.wikimedia.org/wikipedia/commons/d/d4/Sevilla_-_Mercado_de_Feria_8.jpg", "descriptionurl": "https://commons.wikimedia.org/wiki/File:Sevilla_-_Mercado_de_Feria_8.jpg", "descriptionshorturl": "https://commons.wikimedia.org/w/index.php?curid=133424672", "sha1": "c34402078a3111f40e9b72f179a6e9756e856e10", "extmetadata": {"DateTime": {"value": "2023-06-22 02:24:39", "source": "mediawiki-metadata", "hidden": ""}, "ObjectName": {"value": "Sevilla - Mercado de Feria 8", "source": "mediawiki-metadata"}, "CommonsMetadataExtension": {"value": 1.2, "source": "extension", "hidden": ""}, "Categories": {"value": "CC-Zero|Self-published work|June 2023 in Seville|Mercado de Feria", "source": "commons-categories", "hidden": ""}, "Assessments": {"value": "", "source": "commons-categories", "hidden": ""}, "ImageDescription": {"value": "Mercado de Feria (Sevilla)", "source": "commons-desc-page"}, "DateTimeOriginal": {"value": "2023-06-22", "source": "commons-desc-page"}, "Credit": {"value": "&lt;span class=\"int-own-work\" lang=\"en\"&gt;Own work&lt;/span&gt;", "source": "commons-desc-page"}, "Artist": {"value": "&lt;a href=\"//commons.wikimedia.org/wiki/User:Zarateman\" title=\"User:Zarateman\"&gt;Zarateman&lt;/a&gt;",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"https://thumb.wikimedia.org/wikipedia/commons/thumb/d/d4/Sevilla_-_Mercado_de_Feria_8.jpg/1280px-Sevilla_-_Mercado_de_Feria_8.jpg"}, "retrieved_on": "2026-10-25"}</t>
        </is>
      </c>
    </row>
    <row r="123" ht="54" customHeight="1">
      <c r="A123" s="29" t="inlineStr">
        <is>
          <t>sevilla:evidence:el-rinconcillo-01</t>
        </is>
      </c>
      <c r="B123" s="29" t="inlineStr">
        <is>
          <t>sevilla</t>
        </is>
      </c>
      <c r="C123" s="29" t="inlineStr">
        <is>
          <t>sevilla:photo:el-rinconcillo-01</t>
        </is>
      </c>
      <c r="D123" s="29" t="inlineStr">
        <is>
          <t>https://commons.wikimedia.org/wiki/File:El_Rinconcillo_(108215924).jpg</t>
        </is>
      </c>
      <c r="E123" s="29" t="inlineStr">
        <is>
          <t>File:El Rinconcillo (108215924).jpg</t>
        </is>
      </c>
      <c r="F123" s="29" t="inlineStr">
        <is>
          <t>Victoria Rachitzky Hoch</t>
        </is>
      </c>
      <c r="G123" s="29" t="inlineStr">
        <is>
          <t>CC BY 2.0</t>
        </is>
      </c>
      <c r="H123" s="29" t="inlineStr">
        <is>
          <t>https://creativecommons.org/licenses/by/2.0/</t>
        </is>
      </c>
      <c r="I123" s="29" t="inlineStr">
        <is>
          <t>Creative Commons Attribution 2.0</t>
        </is>
      </c>
      <c r="J123" s="29" t="inlineStr">
        <is>
          <t>Victoria Rachitzky Hoch · CC BY 2.0 · Wikimedia Commons</t>
        </is>
      </c>
      <c r="K123" s="29" t="n"/>
      <c r="L123" s="49" t="n">
        <v>46320</v>
      </c>
      <c r="M123" s="29" t="inlineStr">
        <is>
          <t>Bekliyor</t>
        </is>
      </c>
      <c r="N123" s="29" t="inlineStr">
        <is>
          <t>Bekliyor</t>
        </is>
      </c>
      <c r="O123" s="29" t="inlineStr">
        <is>
          <t>Fotoğraflar/sevilla_el-rinconcillo_01.jpg</t>
        </is>
      </c>
      <c r="P123" s="29" t="inlineStr">
        <is>
          <t>El Rinconcillo'nun eski ahşap vitrinli dükkân cephesi.</t>
        </is>
      </c>
      <c r="Q123" s="29" t="inlineStr">
        <is>
          <t>Bekliyor</t>
        </is>
      </c>
      <c r="R123" s="29" t="inlineStr">
        <is>
          <t>Wikimedia Commons dosya sayfasındaki lisans: CC BY 2.0</t>
        </is>
      </c>
      <c r="S123" s="29" t="inlineStr">
        <is>
          <t>Lisans kanıtları/el-rinconcillo-01.source-evidence.json</t>
        </is>
      </c>
      <c r="T123" s="29" t="inlineStr">
        <is>
          <t>a788eb7951df764fbb45239e70d5752fa14a50428d786af5162169d02c3918f8</t>
        </is>
      </c>
      <c r="U123" s="29" t="inlineStr">
        <is>
          <t>Lisans kanıtları/el-rinconcillo-01.license-evidence.json</t>
        </is>
      </c>
      <c r="V123" s="29" t="inlineStr">
        <is>
          <t>e6f74ace60bdb34887a1b848408774dfed0eda299af2c1b4e46df3cb92b75076</t>
        </is>
      </c>
      <c r="W123" s="29" t="inlineStr">
        <is>
          <t>{"source_url": "https://commons.wikimedia.org/wiki/File:El_Rinconcillo_(108215924).jpg", "author": "Victoria Rachitzky Hoch", "license": "CC BY 2.0", "license_url": "https://creativecommons.org/licenses/by/2.0/", "original_api_record": {"size": 1819743, "width": 2592, "height": 1944, "thumburl": "https://thumb.wikimedia.org/wikipedia/commons/thumb/4/4a/El_Rinconcillo_%28108215924%29.jpg/1280px-El_Rinconcillo_%28108215924%29.jpg", "thumbwidth": 1280, "thumbheight": 960, "responsiveUrls": {"2": "https://upload.wikimedia.org/wikipedia/commons/4/4a/El_Rinconcillo_%28108215924%29.jpg"}, "thumbattribs": {"src": "https://thumb.wikimedia.org/wikipedia/commons/thumb/4/4a/El_Rinconcillo_%28108215924%29.jpg/1280px-El_Rinconcillo_%28108215924%29.jpg", "decoding": "async", "loading": "lazy", "width": 1280, "height": 960, "srcset": "https://upload.wikimedia.org/wikipedia/commons/4/4a/El_Rinconcillo_%28108215924%29.jpg 2x"}, "url": "https://upload.wikimedia.org/wikipedia/commons/4/4a/El_Rinconcillo_%28108215924%29.jpg", "descriptionurl": "https://commons.wikimedia.org/wiki/File:El_Rinconcillo_(108215924).jpg", "descriptionshorturl": "https://commons.wikimedia.org/w/index.php?curid=75680287", "sha1": "d01a94ca6863f790af7d92180edef362006eaa05", "extmetadata": {"DateTime": {"value": "2019-01-08 09:36:43", "source": "mediawiki-metadata", "hidden": ""}, "ObjectName": {"value": "El Rinconcillo (108215924)", "source": "mediawiki-metadata"}, "CommonsMetadataExtension": {"value": 1.2, "source": "extension", "hidden": ""}, "Categories": {"value": "Files with coordinates missing SDC location of creation|Flickr images reviewed by FlickreviewR 2|El Rinconcillo", "source": "commons-categories", "hidden": ""}, "Assessments": {"value": "", "source": "commons-categories", "hidden": ""}, "GPSLatitude": {"value": "37.405687", "source": "commons-desc-page"}, "GPSLongitude": {"value": "-5.985317", "source": "commons-desc-page"}, "GPSMapDatum": {"value": "WGS-84", "source": "commons-desc-page", "hidden": ""}, "ImageDescription": {"value": "Sevilla, Andalucía.", "source": "commons-desc-page"}, "DateTimeOriginal": {"value": "2006-02-25 16:59", "source": "commons-desc-page"}, "Credit": {"value": "&lt;a rel=\"nofollow\" class=\"external text\" href=\"https://www.flickr.com/photos/viclic/108215924/\"&gt;Sevilla&lt;/a&gt;", "source": "commons-desc-page"}, "Artist": {"value": "&lt;a rel=\"nofollow\" class=\"external text\" href=\"https://www.flickr.com/people/72675636@N00\"&gt;Victoria Rachitzky Hoch&lt;/a&gt;",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 "delivered_file": {"url": "https://thumb.wikimedia.org/wikipedia/commons/thumb/4/4a/El_Rinconcillo_%28108215924%29.jpg/1280px-El_Rinconcillo_%28108215924%29.jpg"}, "retrieved_on": "2026-10-25"}</t>
        </is>
      </c>
    </row>
    <row r="124" ht="54" customHeight="1">
      <c r="A124" s="29" t="inlineStr">
        <is>
          <t>sevilla:evidence:el-rinconcillo-02</t>
        </is>
      </c>
      <c r="B124" s="29" t="inlineStr">
        <is>
          <t>sevilla</t>
        </is>
      </c>
      <c r="C124" s="29" t="inlineStr">
        <is>
          <t>sevilla:photo:el-rinconcillo-02</t>
        </is>
      </c>
      <c r="D124" s="29" t="inlineStr">
        <is>
          <t>https://commons.wikimedia.org/wiki/File:El_Rinconcillo_(Sevilla).jpg</t>
        </is>
      </c>
      <c r="E124" s="29" t="inlineStr">
        <is>
          <t>File:El Rinconcillo (Sevilla).jpg</t>
        </is>
      </c>
      <c r="F124" s="29" t="inlineStr">
        <is>
          <t>CarlosVdeHabsburgo</t>
        </is>
      </c>
      <c r="G124" s="29" t="inlineStr">
        <is>
          <t>CC BY-SA 4.0</t>
        </is>
      </c>
      <c r="H124" s="29" t="inlineStr">
        <is>
          <t>https://creativecommons.org/licenses/by-sa/4.0/</t>
        </is>
      </c>
      <c r="I124" s="29" t="inlineStr">
        <is>
          <t>Creative Commons Attribution-Share Alike 4.0</t>
        </is>
      </c>
      <c r="J124" s="29" t="inlineStr">
        <is>
          <t>CarlosVdeHabsburgo · CC BY-SA 4.0 · Wikimedia Commons</t>
        </is>
      </c>
      <c r="K124" s="29" t="n"/>
      <c r="L124" s="49" t="n">
        <v>46320</v>
      </c>
      <c r="M124" s="29" t="inlineStr">
        <is>
          <t>Bekliyor</t>
        </is>
      </c>
      <c r="N124" s="29" t="inlineStr">
        <is>
          <t>Bekliyor</t>
        </is>
      </c>
      <c r="O124" s="29" t="inlineStr">
        <is>
          <t>Fotoğraflar/sevilla_el-rinconcillo_02.jpg</t>
        </is>
      </c>
      <c r="P124" s="29" t="inlineStr">
        <is>
          <t>El Rinconcillo'nun bulunduğu sarı köşe binası.</t>
        </is>
      </c>
      <c r="Q124" s="29" t="inlineStr">
        <is>
          <t>Bekliyor</t>
        </is>
      </c>
      <c r="R124" s="29" t="inlineStr">
        <is>
          <t>Wikimedia Commons dosya sayfasındaki lisans: CC BY-SA 4.0</t>
        </is>
      </c>
      <c r="S124" s="29" t="inlineStr">
        <is>
          <t>Lisans kanıtları/el-rinconcillo-02.source-evidence.json</t>
        </is>
      </c>
      <c r="T124" s="29" t="inlineStr">
        <is>
          <t>0690b9aeb5334795f88345c6beb6732b2b0a9b0d4c92767c2d64ddecd13cfdb8</t>
        </is>
      </c>
      <c r="U124" s="29" t="inlineStr">
        <is>
          <t>Lisans kanıtları/el-rinconcillo-02.license-evidence.json</t>
        </is>
      </c>
      <c r="V124" s="29" t="inlineStr">
        <is>
          <t>654ae22fea1360e053e63297c54083b1053aece4fbdb184c88e4cdeaf627c6ff</t>
        </is>
      </c>
      <c r="W124" s="29" t="inlineStr">
        <is>
          <t>{"source_url": "https://commons.wikimedia.org/wiki/File:El_Rinconcillo_(Sevilla).jpg", "author": "CarlosVdeHabsburgo", "license": "CC BY-SA 4.0", "license_url": "https://creativecommons.org/licenses/by-sa/4.0/", "original_api_record": {"size": 2729299, "width": 3000, "height": 3804, "thumburl": "https://thumb.wikimedia.org/wikipedia/commons/thumb/8/87/El_Rinconcillo_%28Sevilla%29.jpg/1280px-El_Rinconcillo_%28Sevilla%29.jpg", "thumbwidth": 1280, "thumbheight": 1623, "responsiveUrls": {"2": "https://upload.wikimedia.org/wikipedia/commons/8/87/El_Rinconcillo_%28Sevilla%29.jpg"}, "thumbattribs": {"src": "https://thumb.wikimedia.org/wikipedia/commons/thumb/8/87/El_Rinconcillo_%28Sevilla%29.jpg/1280px-El_Rinconcillo_%28Sevilla%29.jpg", "decoding": "async", "loading": "lazy", "width": 1280, "height": 1623, "srcset": "https://upload.wikimedia.org/wikipedia/commons/8/87/El_Rinconcillo_%28Sevilla%29.jpg 2x"}, "url": "https://upload.wikimedia.org/wikipedia/commons/8/87/El_Rinconcillo_%28Sevilla%29.jpg", "descriptionurl": "https://commons.wikimedia.org/wiki/File:El_Rinconcillo_(Sevilla).jpg", "descriptionshorturl": "https://commons.wikimedia.org/w/index.php?curid=138107323", "sha1": "3d0fb4681df4cf137254741f64ad537f2f8a51cf", "extmetadata": {"DateTime": {"value": "2023-09-25 16:55:57", "source": "mediawiki-metadata", "hidden": ""}, "ObjectName": {"value": "El Rinconcillo (Sevilla)", "source": "mediawiki-metadata"}, "CommonsMetadataExtension": {"value": 1.2, "source": "extension", "hidden": ""}, "Categories": {"value": "Self-published work|El Rinconcillo", "source": "commons-categories", "hidden": ""}, "Assessments": {"value": "", "source": "commons-categories", "hidden": ""}, "ImageDescription": {"value": "Bar El Rinconcillo. Sevilla, Andalucía, España.", "source": "commons-desc-page"}, "DateTimeOriginal": {"value": "2023-09-24 18:00:40",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"https://thumb.wikimedia.org/wikipedia/commons/thumb/8/87/El_Rinconcillo_%28Sevilla%29.jpg/1280px-El_Rinconcillo_%28Sevilla%29.jpg"}, "retrieved_on": "2026-10-25"}</t>
        </is>
      </c>
    </row>
    <row r="125" ht="54" customHeight="1">
      <c r="A125" s="29" t="inlineStr">
        <is>
          <t>sevilla:evidence:el-rinconcillo-03</t>
        </is>
      </c>
      <c r="B125" s="29" t="inlineStr">
        <is>
          <t>sevilla</t>
        </is>
      </c>
      <c r="C125" s="29" t="inlineStr">
        <is>
          <t>sevilla:photo:el-rinconcillo-03</t>
        </is>
      </c>
      <c r="D125" s="29" t="inlineStr">
        <is>
          <t>https://commons.wikimedia.org/wiki/File:El_Rinconcillo.jpg</t>
        </is>
      </c>
      <c r="E125" s="29" t="inlineStr">
        <is>
          <t>File:El Rinconcillo.jpg</t>
        </is>
      </c>
      <c r="F125" s="29" t="inlineStr">
        <is>
          <t>CarlosVdeHabsburgo</t>
        </is>
      </c>
      <c r="G125" s="29" t="inlineStr">
        <is>
          <t>CC BY-SA 4.0</t>
        </is>
      </c>
      <c r="H125" s="29" t="inlineStr">
        <is>
          <t>https://creativecommons.org/licenses/by-sa/4.0/</t>
        </is>
      </c>
      <c r="I125" s="29" t="inlineStr">
        <is>
          <t>Creative Commons Attribution-Share Alike 4.0</t>
        </is>
      </c>
      <c r="J125" s="29" t="inlineStr">
        <is>
          <t>CarlosVdeHabsburgo · CC BY-SA 4.0 · Wikimedia Commons</t>
        </is>
      </c>
      <c r="K125" s="29" t="n"/>
      <c r="L125" s="49" t="n">
        <v>46320</v>
      </c>
      <c r="M125" s="29" t="inlineStr">
        <is>
          <t>Bekliyor</t>
        </is>
      </c>
      <c r="N125" s="29" t="inlineStr">
        <is>
          <t>Bekliyor</t>
        </is>
      </c>
      <c r="O125" s="29" t="inlineStr">
        <is>
          <t>Fotoğraflar/sevilla_el-rinconcillo_03.jpg</t>
        </is>
      </c>
      <c r="P125" s="29" t="inlineStr">
        <is>
          <t>El Rinconcillo'nun bulunduğu sokak ve köşe binası.</t>
        </is>
      </c>
      <c r="Q125" s="29" t="inlineStr">
        <is>
          <t>Bekliyor</t>
        </is>
      </c>
      <c r="R125" s="29" t="inlineStr">
        <is>
          <t>Wikimedia Commons dosya sayfasındaki lisans: CC BY-SA 4.0</t>
        </is>
      </c>
      <c r="S125" s="29" t="inlineStr">
        <is>
          <t>Lisans kanıtları/el-rinconcillo-03.source-evidence.json</t>
        </is>
      </c>
      <c r="T125" s="29" t="inlineStr">
        <is>
          <t>7d081ba5734d14ae00c83c175d455d03df78d62fd31e2263dd0cf74d822b7f35</t>
        </is>
      </c>
      <c r="U125" s="29" t="inlineStr">
        <is>
          <t>Lisans kanıtları/el-rinconcillo-03.license-evidence.json</t>
        </is>
      </c>
      <c r="V125" s="29" t="inlineStr">
        <is>
          <t>95f57fdbd8532e160777084792954e2a4642d06c06bca3fa987b3a136b65f47d</t>
        </is>
      </c>
      <c r="W125" s="29" t="inlineStr">
        <is>
          <t>{"source_url": "https://commons.wikimedia.org/wiki/File:El_Rinconcillo.jpg", "author": "CarlosVdeHabsburgo", "license": "CC BY-SA 4.0", "license_url": "https://creativecommons.org/licenses/by-sa/4.0/", "original_api_record": {"size": 3319790, "width": 4000, "height": 2455, "thumburl": "https://thumb.wikimedia.org/wikipedia/commons/thumb/f/fb/El_Rinconcillo.jpg/1280px-El_Rinconcillo.jpg", "thumbwidth": 1280, "thumbheight": 786, "responsiveUrls": {"2": "https://thumb.wikimedia.org/wikipedia/commons/thumb/f/fb/El_Rinconcillo.jpg/3840px-El_Rinconcillo.jpg"}, "thumbattribs": {"src": "https://thumb.wikimedia.org/wikipedia/commons/thumb/f/fb/El_Rinconcillo.jpg/1280px-El_Rinconcillo.jpg", "decoding": "async", "loading": "lazy", "width": 1280, "height": 786, "srcset": "https://thumb.wikimedia.org/wikipedia/commons/thumb/f/fb/El_Rinconcillo.jpg/3840px-El_Rinconcillo.jpg 2x"}, "url": "https://upload.wikimedia.org/wikipedia/commons/f/fb/El_Rinconcillo.jpg", "descriptionurl": "https://commons.wikimedia.org/wiki/File:El_Rinconcillo.jpg", "descriptionshorturl": "https://commons.wikimedia.org/w/index.php?curid=138107210", "sha1": "bac2d2e596f0919f14c9cbbee776b6d8021a1d4a", "extmetadata": {"DateTime": {"value": "2023-09-25 16:52:45", "source": "mediawiki-metadata", "hidden": ""}, "ObjectName": {"value": "El Rinconcillo", "source": "mediawiki-metadata"}, "CommonsMetadataExtension": {"value": 1.2, "source": "extension", "hidden": ""}, "Categories": {"value": "Self-published work|El Rinconcillo", "source": "commons-categories", "hidden": ""}, "Assessments": {"value": "", "source": "commons-categories", "hidden": ""}, "ImageDescription": {"value": "Bar El Rinconcillo. Sevilla, Andalucía, España.", "source": "commons-desc-page"}, "DateTimeOriginal": {"value": "2023-09-24 18:01:19",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"https://thumb.wikimedia.org/wikipedia/commons/thumb/f/fb/El_Rinconcillo.jpg/1280px-El_Rinconcillo.jpg"}, "retrieved_on": "2026-10-25"}</t>
        </is>
      </c>
    </row>
    <row r="126" ht="54" customHeight="1">
      <c r="A126" s="29" t="inlineStr">
        <is>
          <t>sevilla:evidence:catedral-de-sevilla-giralda-01</t>
        </is>
      </c>
      <c r="B126" s="29" t="inlineStr">
        <is>
          <t>sevilla</t>
        </is>
      </c>
      <c r="C126" s="29" t="inlineStr">
        <is>
          <t>sevilla:photo:catedral-de-sevilla-giralda-01</t>
        </is>
      </c>
      <c r="D126" s="29" t="inlineStr">
        <is>
          <t>https://commons.wikimedia.org/wiki/File:CATEDRAL_DE_SEVILLA.jpg</t>
        </is>
      </c>
      <c r="E126" s="29" t="inlineStr">
        <is>
          <t>File:CATEDRAL DE SEVILLA.jpg</t>
        </is>
      </c>
      <c r="F126" s="29" t="inlineStr">
        <is>
          <t>PEPE GADEIRAS</t>
        </is>
      </c>
      <c r="G126" s="29" t="inlineStr">
        <is>
          <t>CC BY-SA 4.0</t>
        </is>
      </c>
      <c r="H126" s="29" t="inlineStr">
        <is>
          <t>https://creativecommons.org/licenses/by-sa/4.0/</t>
        </is>
      </c>
      <c r="I126" s="29" t="inlineStr">
        <is>
          <t>Creative Commons Attribution-Share Alike 4.0</t>
        </is>
      </c>
      <c r="J126" s="29" t="inlineStr">
        <is>
          <t>PEPE GADEIRAS · CC BY-SA 4.0 · Wikimedia Commons</t>
        </is>
      </c>
      <c r="K126" s="29" t="n"/>
      <c r="L126" s="49" t="n">
        <v>46320</v>
      </c>
      <c r="M126" s="29" t="inlineStr">
        <is>
          <t>Bekliyor</t>
        </is>
      </c>
      <c r="N126" s="29" t="inlineStr">
        <is>
          <t>Bekliyor</t>
        </is>
      </c>
      <c r="O126" s="29" t="inlineStr">
        <is>
          <t>Fotoğraflar/sevilla_catedral-de-sevilla-giralda_01.jpg</t>
        </is>
      </c>
      <c r="P126" s="29" t="inlineStr">
        <is>
          <t>Sevilla Katedrali'nin cephesi ve önünde bekleyen atlı arabalar.</t>
        </is>
      </c>
      <c r="Q126" s="29" t="inlineStr">
        <is>
          <t>Bekliyor</t>
        </is>
      </c>
      <c r="R126" s="29" t="inlineStr">
        <is>
          <t>Wikimedia Commons dosya sayfasındaki lisans: CC BY-SA 4.0</t>
        </is>
      </c>
      <c r="S126" s="29" t="inlineStr">
        <is>
          <t>Lisans kanıtları/catedral-de-sevilla-giralda-01.source-evidence.json</t>
        </is>
      </c>
      <c r="T126" s="29" t="inlineStr">
        <is>
          <t>b02bc8b4edf1e5c348dacd38be9d3d3924280976d409682db6b33ac6741763a2</t>
        </is>
      </c>
      <c r="U126" s="29" t="inlineStr">
        <is>
          <t>Lisans kanıtları/catedral-de-sevilla-giralda-01.license-evidence.json</t>
        </is>
      </c>
      <c r="V126" s="29" t="inlineStr">
        <is>
          <t>e5ee9ce22567a7d3042742939e3df9c05004eaf68c9764c3cc85736fc7ba5df6</t>
        </is>
      </c>
      <c r="W126" s="29" t="inlineStr">
        <is>
          <t>{"source_url": "https://commons.wikimedia.org/wiki/File:CATEDRAL_DE_SEVILLA.jpg", "author": "PEPE GADEIRAS", "license": "CC BY-SA 4.0", "license_url": "https://creativecommons.org/licenses/by-sa/4.0/", "original_api_record": {"size": 13639787, "width": 5184, "height": 3456, "thumburl": "https://thumb.wikimedia.org/wikipedia/commons/thumb/a/ab/CATEDRAL_DE_SEVILLA.jpg/1280px-CATEDRAL_DE_SEVILLA.jpg", "thumbwidth": 1280, "thumbheight": 853, "responsiveUrls": {"2": "https://thumb.wikimedia.org/wikipedia/commons/thumb/a/ab/CATEDRAL_DE_SEVILLA.jpg/3840px-CATEDRAL_DE_SEVILLA.jpg"}, "thumbattribs": {"src": "https://thumb.wikimedia.org/wikipedia/commons/thumb/a/ab/CATEDRAL_DE_SEVILLA.jpg/1280px-CATEDRAL_DE_SEVILLA.jpg", "decoding": "async", "loading": "lazy", "width": 1280, "height": 853, "srcset": "https://thumb.wikimedia.org/wikipedia/commons/thumb/a/ab/CATEDRAL_DE_SEVILLA.jpg/3840px-CATEDRAL_DE_SEVILLA.jpg 2x"}, "url": "https://upload.wikimedia.org/wikipedia/commons/a/ab/CATEDRAL_DE_SEVILLA.jpg", "descriptionurl": "https://commons.wikimedia.org/wiki/File:CATEDRAL_DE_SEVILLA.jpg", "descriptionshorturl": "https://commons.wikimedia.org/w/index.php?curid=178576135", "sha1": "ded8a4e578ec2d49e5f0f9e7ceefbe1f21d60b1c", "extmetadata": {"DateTime": {"value": "2025-11-16 18:14:46", "source": "mediawiki-metadata", "hidden": ""}, "ObjectName": {"value": "CATEDRAL DE SEVILLA", "source": "mediawiki-metadata"}, "CommonsMetadataExtension": {"value": 1.2, "source": "extension", "hidden": ""}, "Categories": {"value": "Avenida de la Constitución, Seville|Self-published work|Cathedral of Seville, facade south", "source": "commons-categories", "hidden": ""}, "Assessments": {"value": "", "source": "commons-categories", "hidden": ""}, "ImageDescription": {"value": "According to tradition, construction began in 1401, although there is no documentary evidence of the start of the work until 1433. The building was erected on the site left after the demolition of the old main mosque of Seville.", "source": "commons-desc-page"}, "DateTimeOriginal": {"value": "2018-01-21 11:48:39", "source": "commons-desc-page"}, "Credit": {"value": "&lt;span class=\"int-own-work\" lang=\"en\"&gt;Own work&lt;/span&gt;", "source": "commons-desc-page"}, "Artist": {"value": "&lt;a href=\"//commons.wikimedia.org/w/index.php?title=User:PEPE_GADEIRAS&amp;amp;action=edit&amp;amp;redlink=1\" class=\"new\" title=\"User:PEPE GADEIRAS (page does not exist)\"&gt;PEPE GADEIRAS&lt;/a&gt;",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"https://thumb.wikimedia.org/wikipedia/commons/thumb/a/ab/CATEDRAL_DE_SEVILLA.jpg/1280px-CATEDRAL_DE_SEVILLA.jpg"}, "retrieved_on": "2026-10-25"}</t>
        </is>
      </c>
    </row>
    <row r="127" ht="54" customHeight="1">
      <c r="A127" s="29" t="inlineStr">
        <is>
          <t>sevilla:evidence:catedral-de-sevilla-giralda-02</t>
        </is>
      </c>
      <c r="B127" s="29" t="inlineStr">
        <is>
          <t>sevilla</t>
        </is>
      </c>
      <c r="C127" s="29" t="inlineStr">
        <is>
          <t>sevilla:photo:catedral-de-sevilla-giralda-02</t>
        </is>
      </c>
      <c r="D127" s="29" t="inlineStr">
        <is>
          <t>https://commons.wikimedia.org/wiki/File:Catedral_de_Sevilla_y_Giralda..jpg</t>
        </is>
      </c>
      <c r="E127" s="29" t="inlineStr">
        <is>
          <t>File:Catedral de Sevilla y Giralda..jpg</t>
        </is>
      </c>
      <c r="F127" s="29" t="inlineStr">
        <is>
          <t>Azukiki</t>
        </is>
      </c>
      <c r="G127" s="29" t="inlineStr">
        <is>
          <t>CC BY-SA 3.0</t>
        </is>
      </c>
      <c r="H127" s="29" t="inlineStr">
        <is>
          <t>https://creativecommons.org/licenses/by-sa/3.0/</t>
        </is>
      </c>
      <c r="I127" s="29" t="inlineStr">
        <is>
          <t>Creative Commons Attribution-Share Alike 3.0</t>
        </is>
      </c>
      <c r="J127" s="29" t="inlineStr">
        <is>
          <t>Azukiki · CC BY-SA 3.0 · Wikimedia Commons</t>
        </is>
      </c>
      <c r="K127" s="29" t="n"/>
      <c r="L127" s="49" t="n">
        <v>46320</v>
      </c>
      <c r="M127" s="29" t="inlineStr">
        <is>
          <t>Bekliyor</t>
        </is>
      </c>
      <c r="N127" s="29" t="inlineStr">
        <is>
          <t>Bekliyor</t>
        </is>
      </c>
      <c r="O127" s="29" t="inlineStr">
        <is>
          <t>Fotoğraflar/sevilla_catedral-de-sevilla-giralda_02.jpg</t>
        </is>
      </c>
      <c r="P127" s="29" t="inlineStr">
        <is>
          <t>Sevilla Katedrali'nin kubbeleri, sivri kuleleri ve Giralda.</t>
        </is>
      </c>
      <c r="Q127" s="29" t="inlineStr">
        <is>
          <t>Bekliyor</t>
        </is>
      </c>
      <c r="R127" s="29" t="inlineStr">
        <is>
          <t>Wikimedia Commons dosya sayfasındaki lisans: CC BY-SA 3.0</t>
        </is>
      </c>
      <c r="S127" s="29" t="inlineStr">
        <is>
          <t>Lisans kanıtları/catedral-de-sevilla-giralda-02.source-evidence.json</t>
        </is>
      </c>
      <c r="T127" s="29" t="inlineStr">
        <is>
          <t>85ee3037cde2fd6b11cfd02d888e50bf116c48f08ab2b06ffdc95bac1c88e069</t>
        </is>
      </c>
      <c r="U127" s="29" t="inlineStr">
        <is>
          <t>Lisans kanıtları/catedral-de-sevilla-giralda-02.license-evidence.json</t>
        </is>
      </c>
      <c r="V127" s="29" t="inlineStr">
        <is>
          <t>a7034209b7355f2f1c96f0d299f4e60486b3d8767e4e8a4b5f1519909257de69</t>
        </is>
      </c>
      <c r="W127" s="29" t="inlineStr">
        <is>
          <t>{"source_url": "https://commons.wikimedia.org/wiki/File:Catedral_de_Sevilla_y_Giralda..jpg", "author": "Azukiki", "license": "CC BY-SA 3.0", "license_url": "https://creativecommons.org/licenses/by-sa/3.0/", "original_api_record": {"size": 1970471, "width": 3072, "height": 2304, "thumburl": "https://thumb.wikimedia.org/wikipedia/commons/thumb/5/52/Catedral_de_Sevilla_y_Giralda..jpg/1280px-Catedral_de_Sevilla_y_Giralda..jpg", "thumbwidth": 1280, "thumbheight": 960, "responsiveUrls": {"2": "https://upload.wikimedia.org/wikipedia/commons/5/52/Catedral_de_Sevilla_y_Giralda..jpg"}, "thumbattribs": {"src": "https://thumb.wikimedia.org/wikipedia/commons/thumb/5/52/Catedral_de_Sevilla_y_Giralda..jpg/1280px-Catedral_de_Sevilla_y_Giralda..jpg", "decoding": "async", "loading": "lazy", "width": 1280, "height": 960, "srcset": "https://upload.wikimedia.org/wikipedia/commons/5/52/Catedral_de_Sevilla_y_Giralda..jpg 2x"}, "url": "https://upload.wikimedia.org/wikipedia/commons/5/52/Catedral_de_Sevilla_y_Giralda..jpg", "descriptionurl": "https://commons.wikimedia.org/wiki/File:Catedral_de_Sevilla_y_Giralda..jpg", "descriptionshorturl": "https://commons.wikimedia.org/w/index.php?curid=16606205", "sha1": "f5b73700dae827cc5674e632c2684718a8024765", "extmetadata": {"DateTime": {"value": "2011-09-20 22:29:08", "source": "mediawiki-metadata", "hidden": ""}, "ObjectName": {"value": "Catedral de Sevilla y Giralda.", "source": "mediawiki-metadata"}, "CommonsMetadataExtension": {"value": 1.2, "source": "extension", "hidden": ""}, "Categories": {"value": "Taken with Nikon Coolpix L16|Giralda|Self-published work|September 2010 in Europe|Views of Giralda in 2010", "source": "commons-categories", "hidden": ""}, "Assessments": {"value": "", "source": "commons-categories", "hidden": ""}, "ImageDescription": {"value": "Tomada en pleno centro histórico.", "source": "commons-desc-page"}, "DateTimeOriginal": {"value": "2010-09-19", "source": "commons-desc-page"}, "Credit": {"value": "&lt;span class=\"int-own-work\" lang=\"en\"&gt;Own work&lt;/span&gt;", "source": "commons-desc-page"}, "Artist": {"value": "&lt;a href=\"//commons.wikimedia.org/wiki/User:Azukiki\" title=\"User:Azukiki\"&gt;Azukiki&lt;/a&gt;",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"https://thumb.wikimedia.org/wikipedia/commons/thumb/5/52/Catedral_de_Sevilla_y_Giralda..jpg/1280px-Catedral_de_Sevilla_y_Giralda..jpg"}, "retrieved_on": "2026-10-25"}</t>
        </is>
      </c>
    </row>
    <row r="128" ht="54" customHeight="1">
      <c r="A128" s="29" t="inlineStr">
        <is>
          <t>sevilla:evidence:catedral-de-sevilla-giralda-03</t>
        </is>
      </c>
      <c r="B128" s="29" t="inlineStr">
        <is>
          <t>sevilla</t>
        </is>
      </c>
      <c r="C128" s="29" t="inlineStr">
        <is>
          <t>sevilla:photo:catedral-de-sevilla-giralda-03</t>
        </is>
      </c>
      <c r="D128" s="29" t="inlineStr">
        <is>
          <t>https://commons.wikimedia.org/wiki/File:La_catedral_de_Sevilla_-_Cathedral_of_Seville_-_Tagzania_-_1776588949777.jpg</t>
        </is>
      </c>
      <c r="E128" s="29" t="inlineStr">
        <is>
          <t>File:La catedral de Sevilla - Cathedral of Seville - Tagzania - 1776588949777.jpg</t>
        </is>
      </c>
      <c r="F128" s="29" t="inlineStr">
        <is>
          <t>Andoni (Tagzania user ID: 24784)</t>
        </is>
      </c>
      <c r="G128" s="29" t="inlineStr">
        <is>
          <t>CC BY-SA 4.0</t>
        </is>
      </c>
      <c r="H128" s="29" t="inlineStr">
        <is>
          <t>https://creativecommons.org/licenses/by-sa/4.0/</t>
        </is>
      </c>
      <c r="I128" s="29" t="inlineStr">
        <is>
          <t>Creative Commons Attribution-Share Alike 4.0</t>
        </is>
      </c>
      <c r="J128" s="29" t="inlineStr">
        <is>
          <t>Andoni (Tagzania user ID: 24784) · CC BY-SA 4.0 · Wikimedia Commons</t>
        </is>
      </c>
      <c r="K128" s="29" t="n"/>
      <c r="L128" s="49" t="n">
        <v>46320</v>
      </c>
      <c r="M128" s="29" t="inlineStr">
        <is>
          <t>Bekliyor</t>
        </is>
      </c>
      <c r="N128" s="29" t="inlineStr">
        <is>
          <t>Bekliyor</t>
        </is>
      </c>
      <c r="O128" s="29" t="inlineStr">
        <is>
          <t>Fotoğraflar/sevilla_catedral-de-sevilla-giralda_03.jpg</t>
        </is>
      </c>
      <c r="P128" s="29" t="inlineStr">
        <is>
          <t>Sevilla Katedrali ve Giralda, meydandan bakış.</t>
        </is>
      </c>
      <c r="Q128" s="29" t="inlineStr">
        <is>
          <t>Bekliyor</t>
        </is>
      </c>
      <c r="R128" s="29" t="inlineStr">
        <is>
          <t>Wikimedia Commons dosya sayfasındaki lisans: CC BY-SA 4.0</t>
        </is>
      </c>
      <c r="S128" s="29" t="inlineStr">
        <is>
          <t>Lisans kanıtları/catedral-de-sevilla-giralda-03.source-evidence.json</t>
        </is>
      </c>
      <c r="T128" s="29" t="inlineStr">
        <is>
          <t>59432cc4a4a82362ea3004afe23c3cd8ee46bfa3a3c6bd8b140be540e49833d4</t>
        </is>
      </c>
      <c r="U128" s="29" t="inlineStr">
        <is>
          <t>Lisans kanıtları/catedral-de-sevilla-giralda-03.license-evidence.json</t>
        </is>
      </c>
      <c r="V128" s="29" t="inlineStr">
        <is>
          <t>0b05ac26cc130a62210f6549c20655c3afe7dd4c4e338b537972eee41aeb5d8a</t>
        </is>
      </c>
      <c r="W128" s="29" t="inlineStr">
        <is>
          <t>{"source_url": "https://commons.wikimedia.org/wiki/File:La_catedral_de_Sevilla_-_Cathedral_of_Seville_-_Tagzania_-_1776588949777.jpg", "author": "Andoni (Tagzania user ID: 24784)", "license": "CC BY-SA 4.0", "license_url": "https://creativecommons.org/licenses/by-sa/4.0/", "original_api_record": {"size": 1170997, "width": 1773, "height": 2364, "thumburl": "https://thumb.wikimedia.org/wikipedia/commons/thumb/f/f8/La_catedral_de_Sevilla_-_Cathedral_of_Seville_-_Tagzania_-_1776588949777.jpg/1280px-La_catedral_de_Sevilla_-_Cathedral_of_Seville_-_Tagzania_-_1776588949777.jpg", "thumbwidth": 1280, "thumbheight": 1707, "responsiveUrls": {"2": "https://upload.wikimedia.org/wikipedia/commons/f/f8/La_catedral_de_Sevilla_-_Cathedral_of_Seville_-_Tagzania_-_1776588949777.jpg"}, "thumbattribs": {"src": "https://thumb.wikimedia.org/wikipedia/commons/thumb/f/f8/La_catedral_de_Sevilla_-_Cathedral_of_Seville_-_Tagzania_-_1776588949777.jpg/1280px-La_catedral_de_Sevilla_-_Cathedral_of_Seville_-_Tagzania_-_1776588949777.jpg", "decoding": "async", "loading": "lazy", "width": 1280, "height": 1707, "srcset": "https://upload.wikimedia.org/wikipedia/commons/f/f8/La_catedral_de_Sevilla_-_Cathedral_of_Seville_-_Tagzania_-_1776588949777.jpg 2x"}, "url": "https://upload.wikimedia.org/wikipedia/commons/f/f8/La_catedral_de_Sevilla_-_Cathedral_of_Seville_-_Tagzania_-_1776588949777.jpg", "descriptionurl": "https://commons.wikimedia.org/wiki/File:La_catedral_de_Sevilla_-_Cathedral_of_Seville_-_Tagzania_-_1776588949777.jpg", "descriptionshorturl": "https://commons.wikimedia.org/w/index.php?curid=195804239", "sha1": "0f734084b6503befe4fce366152d23124c229075", "extmetadata": {"DateTime": {"value": "2026-07-17 14:55:00", "source": "mediawiki-metadata", "hidden": ""}, "ObjectName": {"value": "La catedral de Sevilla - Cathedral of Seville - Tagzania - 1776588949777", "source": "mediawiki-metadata"}, "CommonsMetadataExtension": {"value": 1.2, "source": "extension", "hidden": ""}, "Categories": {"value": "Cathedral of Seville|Files with coordinates missing SDC location of creation|Photos from Tagzania|Photos from Tagzania by user ID 24784", "source": "commons-categories", "hidden": ""}, "Assessments": {"value": "", "source": "commons-categories", "hidden": ""}, "GPSLatitude": {"value": "37.384883", "source": "commons-desc-page"}, "GPSLongitude": {"value": "-5.992514", "source": "commons-desc-page"}, "GPSMapDatum": {"value": "WGS-84", "source": "commons-desc-page", "hidden": ""}, "ImageDescription": {"value": "This photo has been uploaded using TagzaniaBot, and taken using the Tagzania game app.", "source": "commons-desc-page"}, "DateTimeOriginal": {"value": "2026-04-19", "source": "commons-desc-page"}, "Credit": {"value": "&lt;a rel=\"nofollow\" class=\"external free\" href=\"https://tagzania.com/user-places/721290ab-ffae-4ddf-9bb6-84e6b64b711d\"&gt;https://tagzania.com/user-places/721290ab-ffae-4ddf-9bb6-84e6b64b711d&lt;/a&gt;", "source": "commons-desc-page"}, "Artist": {"value": "Andoni (Tagzania user ID: 24784)",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"https://thumb.wikimedia.org/wikipedia/commons/thumb/f/f8/La_catedral_de_Sevilla_-_Cathedral_of_Seville_-_Tagzania_-_1776588949777.jpg/1280px-La_catedral_de_Sevilla_-_Cathedral_of_Seville_-_Tagzania_-_1776588949777.jpg"}, "retrieved_on": "2026-10-25"}</t>
        </is>
      </c>
    </row>
    <row r="129" ht="54" customHeight="1">
      <c r="A129" s="29" t="inlineStr">
        <is>
          <t>sevilla:evidence:casa-de-pilatos-01</t>
        </is>
      </c>
      <c r="B129" s="29" t="inlineStr">
        <is>
          <t>sevilla</t>
        </is>
      </c>
      <c r="C129" s="29" t="inlineStr">
        <is>
          <t>sevilla:photo:casa-de-pilatos-01</t>
        </is>
      </c>
      <c r="D129" s="29" t="inlineStr">
        <is>
          <t>https://commons.wikimedia.org/wiki/File:Artesonado_del_Sal%C3%B3n_del_Pretorio,_Casa_de_Pilatos_(Sevilla).jpg</t>
        </is>
      </c>
      <c r="E129" s="29" t="inlineStr">
        <is>
          <t>File:Artesonado del Salón del Pretorio, Casa de Pilatos (Sevilla).jpg</t>
        </is>
      </c>
      <c r="F129" s="29" t="inlineStr">
        <is>
          <t>Jl FilpoC</t>
        </is>
      </c>
      <c r="G129" s="29" t="inlineStr">
        <is>
          <t>CC BY-SA 4.0</t>
        </is>
      </c>
      <c r="H129" s="29" t="inlineStr">
        <is>
          <t>https://creativecommons.org/licenses/by-sa/4.0/</t>
        </is>
      </c>
      <c r="I129" s="29" t="inlineStr">
        <is>
          <t>Creative Commons Attribution-Share Alike 4.0</t>
        </is>
      </c>
      <c r="J129" s="29" t="inlineStr">
        <is>
          <t>Jl FilpoC · CC BY-SA 4.0 · Wikimedia Commons</t>
        </is>
      </c>
      <c r="K129" s="29" t="n"/>
      <c r="L129" s="49" t="n">
        <v>46320</v>
      </c>
      <c r="M129" s="29" t="inlineStr">
        <is>
          <t>Bekliyor</t>
        </is>
      </c>
      <c r="N129" s="29" t="inlineStr">
        <is>
          <t>Bekliyor</t>
        </is>
      </c>
      <c r="O129" s="29" t="inlineStr">
        <is>
          <t>Fotoğraflar/sevilla_casa-de-pilatos_01.jpg</t>
        </is>
      </c>
      <c r="P129" s="29" t="inlineStr">
        <is>
          <t>Pilatos Konağı'nda renkli geometrik desenli kasetli ahşap tavan.</t>
        </is>
      </c>
      <c r="Q129" s="29" t="inlineStr">
        <is>
          <t>Bekliyor</t>
        </is>
      </c>
      <c r="R129" s="29" t="inlineStr">
        <is>
          <t>Wikimedia Commons dosya sayfasındaki lisans: CC BY-SA 4.0</t>
        </is>
      </c>
      <c r="S129" s="29" t="inlineStr">
        <is>
          <t>Lisans kanıtları/casa-de-pilatos-01.source-evidence.json</t>
        </is>
      </c>
      <c r="T129" s="29" t="inlineStr">
        <is>
          <t>57eaf732f7507a9791e53ba8b696ca20d714e6f2d80e0c527488c1b082f79762</t>
        </is>
      </c>
      <c r="U129" s="29" t="inlineStr">
        <is>
          <t>Lisans kanıtları/casa-de-pilatos-01.license-evidence.json</t>
        </is>
      </c>
      <c r="V129" s="29" t="inlineStr">
        <is>
          <t>553ced07b7d01ab8415d7982cec19c3817f48e1572afb1792987c2b739d1f096</t>
        </is>
      </c>
      <c r="W129" s="29" t="inlineStr">
        <is>
          <t>{"source_url": "https://commons.wikimedia.org/wiki/File:Artesonado_del_Sal%C3%B3n_del_Pretorio,_Casa_de_Pilatos_(Sevilla).jpg", "author": "Jl FilpoC", "license": "CC BY-SA 4.0", "license_url": "https://creativecommons.org/licenses/by-sa/4.0/", "original_api_record": {"size": 9682555, "width": 4215, "height": 2810, "thumburl": "https://thumb.wikimedia.org/wikipedia/commons/thumb/6/6a/Artesonado_del_Sal%C3%B3n_del_Pretorio%2C_Casa_de_Pilatos_%28Sevilla%29.jpg/1280px-Artesonado_del_Sal%C3%B3n_del_Pretorio%2C_Casa_de_Pilatos_%28Sevilla%29.jpg", "thumbwidth": 1280, "thumbheight": 853, "responsiveUrls": {"2": "https://thumb.wikimedia.org/wikipedia/commons/thumb/6/6a/Artesonado_del_Sal%C3%B3n_del_Pretorio%2C_Casa_de_Pilatos_%28Sevilla%29.jpg/3840px-Artesonado_del_Sal%C3%B3n_del_Pretorio%2C_Casa_de_Pilatos_%28Sevilla%29.jpg"}, "thumbattribs": {"src": "https://thumb.wikimedia.org/wikipedia/commons/thumb/6/6a/Artesonado_del_Sal%C3%B3n_del_Pretorio%2C_Casa_de_Pilatos_%28Sevilla%29.jpg/1280px-Artesonado_del_Sal%C3%B3n_del_Pretorio%2C_Casa_de_Pilatos_%28Sevilla%29.jpg", "decoding": "async", "loading": "lazy", "width": 1280, "height": 853, "srcset": "https://thumb.wikimedia.org/wikipedia/commons/thumb/6/6a/Artesonado_del_Sal%C3%B3n_del_Pretorio%2C_Casa_de_Pilatos_%28Sevilla%29.jpg/3840px-Artesonado_del_Sal%C3%B3n_del_Pretorio%2C_Casa_de_Pilatos_%28Sevilla%29.jpg 2x"}, "url": "https://upload.wikimedia.org/wikipedia/commons/6/6a/Artesonado_del_Sal%C3%B3n_del_Pretorio%2C_Casa_de_Pilatos_%28Sevilla%29.jpg", "descriptionurl": "https://commons.wikimedia.org/wiki/File:Artesonado_del_Sal%C3%B3n_del_Pretorio,_Casa_de_Pilatos_(Sevilla).jpg", "descriptionshorturl": "https://commons.wikimedia.org/w/index.php?curid=104931059", "sha1": "33246b79705ee095f4d56bb40bac2ea95daa9dcd", "extmetadata": {"DateTime": {"value": "2021-05-05 09:46:51", "source": "mediawiki-metadata", "hidden": ""}, "ObjectName": {"value": "Artesonado del Salón del Pretorio, Casa de Pilatos (Sevilla)", "source": "mediawiki-metadata"}, "CommonsMetadataExtension": {"value": 1.2, "source": "extension", "hidden": ""}, "Categories": {"value": "Images with annotations|Self-published work|Ceilings in the Casa de Pilatos|Salón del Pretorio, Casa de Pilatos (Sevilla)", "source": "commons-categories", "hidden": ""}, "Assessments": {"value": "", "source": "commons-categories", "hidden": ""}, "ImageDescription": {"value": "&lt;a href=\"https://es.wikipedia.org/wiki/Fadrique_Enr%C3%ADquez_de_Ribera\" class=\"extiw\" title=\"es:Fadrique Enríquez de Ribera\"&gt;Fadrique Enríquez de Ribera&lt;/a&gt; muestra en el artesonado los escudos de los linajes Enríquez y Ribera.", "source": "commons-desc-page"}, "DateTimeOriginal": {"value": "2021-04-20", "source": "commons-desc-page"}, "Credit": {"value": "&lt;span class=\"int-own-work\" lang=\"en\"&gt;Own work&lt;/span&gt;", "source": "commons-desc-page"}, "Artist": {"value": "&lt;a href=\"//commons.wikimedia.org/wiki/User:Jl_FilpoC\" title=\"User:Jl FilpoC\"&gt;Jl FilpoC&lt;/a&gt;",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"https://thumb.wikimedia.org/wikipedia/commons/thumb/6/6a/Artesonado_del_Sal%C3%B3n_del_Pretorio%2C_Casa_de_Pilatos_%28Sevilla%29.jpg/1280px-Artesonado_del_Sal%C3%B3n_del_Pretorio%2C_Casa_de_Pilatos_%28Sevilla%29.jpg"}, "retrieved_on": "2026-10-25"}</t>
        </is>
      </c>
    </row>
    <row r="130" ht="54" customHeight="1">
      <c r="A130" s="29" t="inlineStr">
        <is>
          <t>sevilla:evidence:casa-de-pilatos-02</t>
        </is>
      </c>
      <c r="B130" s="29" t="inlineStr">
        <is>
          <t>sevilla</t>
        </is>
      </c>
      <c r="C130" s="29" t="inlineStr">
        <is>
          <t>sevilla:photo:casa-de-pilatos-02</t>
        </is>
      </c>
      <c r="D130" s="29" t="inlineStr">
        <is>
          <t>https://commons.wikimedia.org/wiki/File:Casa_de_Pilatos,_Sevilla_SP(1).jpg</t>
        </is>
      </c>
      <c r="E130" s="29" t="inlineStr">
        <is>
          <t>File:Casa de Pilatos, Sevilla SP(1).jpg</t>
        </is>
      </c>
      <c r="F130" s="29" t="inlineStr">
        <is>
          <t>Stefano Vigorelli</t>
        </is>
      </c>
      <c r="G130" s="29" t="inlineStr">
        <is>
          <t>CC BY-SA 4.0</t>
        </is>
      </c>
      <c r="H130" s="29" t="inlineStr">
        <is>
          <t>https://creativecommons.org/licenses/by-sa/4.0/</t>
        </is>
      </c>
      <c r="I130" s="29" t="inlineStr">
        <is>
          <t>Creative Commons Attribution-Share Alike 4.0</t>
        </is>
      </c>
      <c r="J130" s="29" t="inlineStr">
        <is>
          <t>Stefano Vigorelli · CC BY-SA 4.0 · Wikimedia Commons</t>
        </is>
      </c>
      <c r="K130" s="29" t="n"/>
      <c r="L130" s="49" t="n">
        <v>46320</v>
      </c>
      <c r="M130" s="29" t="inlineStr">
        <is>
          <t>Bekliyor</t>
        </is>
      </c>
      <c r="N130" s="29" t="inlineStr">
        <is>
          <t>Bekliyor</t>
        </is>
      </c>
      <c r="O130" s="29" t="inlineStr">
        <is>
          <t>Fotoğraflar/sevilla_casa-de-pilatos_02.jpg</t>
        </is>
      </c>
      <c r="P130" s="29" t="inlineStr">
        <is>
          <t>Pilatos Konağı'nda begonvillerle çevrili yeşil parmaklıklı pencere.</t>
        </is>
      </c>
      <c r="Q130" s="29" t="inlineStr">
        <is>
          <t>Bekliyor</t>
        </is>
      </c>
      <c r="R130" s="29" t="inlineStr">
        <is>
          <t>Wikimedia Commons dosya sayfasındaki lisans: CC BY-SA 4.0</t>
        </is>
      </c>
      <c r="S130" s="29" t="inlineStr">
        <is>
          <t>Lisans kanıtları/casa-de-pilatos-02.source-evidence.json</t>
        </is>
      </c>
      <c r="T130" s="29" t="inlineStr">
        <is>
          <t>6c60dca01a2dab909579b4143fffe053aba895617c375cb3edee72d3027a1f49</t>
        </is>
      </c>
      <c r="U130" s="29" t="inlineStr">
        <is>
          <t>Lisans kanıtları/casa-de-pilatos-02.license-evidence.json</t>
        </is>
      </c>
      <c r="V130" s="29" t="inlineStr">
        <is>
          <t>6aea63298cfe847d337833e09b850547f385b8cda140d2de53dad42d1190a94b</t>
        </is>
      </c>
      <c r="W130" s="29" t="inlineStr">
        <is>
          <t>{"source_url": "https://commons.wikimedia.org/wiki/File:Casa_de_Pilatos,_Sevilla_SP(1).jpg", "author": "Stefano Vigorelli", "license": "CC BY-SA 4.0", "license_url": "https://creativecommons.org/licenses/by-sa/4.0/", "original_api_record": {"size": 1548190, "width": 2000, "height": 3008, "thumburl": "https://thumb.wikimedia.org/wikipedia/commons/thumb/a/a3/Casa_de_Pilatos%2C_Sevilla_SP%281%29.jpg/1280px-Casa_de_Pilatos%2C_Sevilla_SP%281%29.jpg", "thumbwidth": 1280, "thumbheight": 1925, "responsiveUrls": {"2": "https://thumb.wikimedia.org/wikipedia/commons/thumb/a/a3/Casa_de_Pilatos%2C_Sevilla_SP%281%29.jpg/1920px-Casa_de_Pilatos%2C_Sevilla_SP%281%29.jpg"}, "thumbattribs": {"src": "https://thumb.wikimedia.org/wikipedia/commons/thumb/a/a3/Casa_de_Pilatos%2C_Sevilla_SP%281%29.jpg/1280px-Casa_de_Pilatos%2C_Sevilla_SP%281%29.jpg", "decoding": "async", "loading": "lazy", "width": 1280, "height": 1925, "srcset": "https://thumb.wikimedia.org/wikipedia/commons/thumb/a/a3/Casa_de_Pilatos%2C_Sevilla_SP%281%29.jpg/1920px-Casa_de_Pilatos%2C_Sevilla_SP%281%29.jpg 2x"}, "url": "https://upload.wikimedia.org/wikipedia/commons/a/a3/Casa_de_Pilatos%2C_Sevilla_SP%281%29.jpg", "descriptionurl": "https://commons.wikimedia.org/wiki/File:Casa_de_Pilatos,_Sevilla_SP(1).jpg", "descriptionshorturl": "https://commons.wikimedia.org/w/index.php?curid=130998658", "sha1": "6d1ac2333da4e66fa164ab78474bcc17217a302e", "extmetadata": {"DateTime": {"value": "2023-04-22 09:03:11", "source": "mediawiki-metadata", "hidden": ""}, "ObjectName": {"value": "Casa de Pilatos, Sevilla SP(1)", "source": "mediawiki-metadata"}, "CommonsMetadataExtension": {"value": 1.2, "source": "extension", "hidden": ""}, "Categories": {"value": "Exterior of the Casa de Pilatos|Self-published work|Windows in Seville|Barred windows in Seville", "source": "commons-categories", "hidden": ""}, "Assessments": {"value": "", "source": "commons-categories", "hidden": ""}, "ImageDescription": {"value": "Casa de Pilatos, Sevilla", "source": "commons-desc-page"}, "DateTimeOriginal": {"value": "2016-02-13 15:36:40", "source": "commons-desc-page"}, "Credit": {"value": "&lt;span class=\"int-own-work\" lang=\"en\"&gt;Own work&lt;/span&gt;", "source": "commons-desc-page"}, "Artist": {"value": "&lt;a href=\"//commons.wikimedia.org/w/index.php?title=User:Stefano_Vigorelli&amp;amp;action=edit&amp;amp;redlink=1\" class=\"new\" title=\"User:Stefano Vigorelli (page does not exist)\"&gt;Stefano Vigorelli&lt;/a&gt;",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"https://thumb.wikimedia.org/wikipedia/commons/thumb/a/a3/Casa_de_Pilatos%2C_Sevilla_SP%281%29.jpg/1280px-Casa_de_Pilatos%2C_Sevilla_SP%281%29.jpg"}, "retrieved_on": "2026-10-25"}</t>
        </is>
      </c>
    </row>
    <row r="131" ht="54" customHeight="1">
      <c r="A131" s="29" t="inlineStr">
        <is>
          <t>sevilla:evidence:basilica-de-la-macarena-01</t>
        </is>
      </c>
      <c r="B131" s="29" t="inlineStr">
        <is>
          <t>sevilla</t>
        </is>
      </c>
      <c r="C131" s="29" t="inlineStr">
        <is>
          <t>sevilla:photo:basilica-de-la-macarena-01</t>
        </is>
      </c>
      <c r="D131" s="29" t="inlineStr">
        <is>
          <t>https://commons.wikimedia.org/wiki/File:Bas%C3%ADlica_Macarena_paso_Rosario.jpg</t>
        </is>
      </c>
      <c r="E131" s="29" t="inlineStr">
        <is>
          <t>File:Basílica Macarena paso Rosario.jpg</t>
        </is>
      </c>
      <c r="F131" s="29" t="inlineStr">
        <is>
          <t>Morenohuelva</t>
        </is>
      </c>
      <c r="G131" s="29" t="inlineStr">
        <is>
          <t>CC BY-SA 4.0</t>
        </is>
      </c>
      <c r="H131" s="29" t="inlineStr">
        <is>
          <t>https://creativecommons.org/licenses/by-sa/4.0/</t>
        </is>
      </c>
      <c r="I131" s="29" t="inlineStr">
        <is>
          <t>Creative Commons Attribution-Share Alike 4.0</t>
        </is>
      </c>
      <c r="J131" s="29" t="inlineStr">
        <is>
          <t>Morenohuelva · CC BY-SA 4.0 · Wikimedia Commons</t>
        </is>
      </c>
      <c r="K131" s="29" t="n"/>
      <c r="L131" s="49" t="n">
        <v>46320</v>
      </c>
      <c r="M131" s="29" t="inlineStr">
        <is>
          <t>Bekliyor</t>
        </is>
      </c>
      <c r="N131" s="29" t="inlineStr">
        <is>
          <t>Bekliyor</t>
        </is>
      </c>
      <c r="O131" s="29" t="inlineStr">
        <is>
          <t>Fotoğraflar/sevilla_basilica-de-la-macarena_01.jpg</t>
        </is>
      </c>
      <c r="P131" s="29" t="inlineStr">
        <is>
          <t>Macarena Bazilikası'nın içinde uzun nef ve ışıklı sunak.</t>
        </is>
      </c>
      <c r="Q131" s="29" t="inlineStr">
        <is>
          <t>Bekliyor</t>
        </is>
      </c>
      <c r="R131" s="29" t="inlineStr">
        <is>
          <t>Wikimedia Commons dosya sayfasındaki lisans: CC BY-SA 4.0</t>
        </is>
      </c>
      <c r="S131" s="29" t="inlineStr">
        <is>
          <t>Lisans kanıtları/basilica-de-la-macarena-01.source-evidence.json</t>
        </is>
      </c>
      <c r="T131" s="29" t="inlineStr">
        <is>
          <t>83db11e20c258a2c421ec94fb387fe7db9a9efa5c3c985b28be9725056fbf867</t>
        </is>
      </c>
      <c r="U131" s="29" t="inlineStr">
        <is>
          <t>Lisans kanıtları/basilica-de-la-macarena-01.license-evidence.json</t>
        </is>
      </c>
      <c r="V131" s="29" t="inlineStr">
        <is>
          <t>67a53c5485dd9f30f78c3135185d94a7ae7c3cdd5c670e810027f8e84c1b22b4</t>
        </is>
      </c>
      <c r="W131" s="29" t="inlineStr">
        <is>
          <t>{"source_url": "https://commons.wikimedia.org/wiki/File:Bas%C3%ADlica_Macarena_paso_Rosario.jpg", "author": "Morenohuelva", "license": "CC BY-SA 4.0", "license_url": "https://creativecommons.org/licenses/by-sa/4.0/", "original_api_record": {"size": 1562730, "width": 1836, "height": 3264, "thumburl": "https://thumb.wikimedia.org/wikipedia/commons/thumb/5/57/Bas%C3%ADlica_Macarena_paso_Rosario.jpg/1280px-Bas%C3%ADlica_Macarena_paso_Rosario.jpg", "thumbwidth": 1280, "thumbheight": 2276, "thumbattribs": {"src": "https://thumb.wikimedia.org/wikipedia/commons/thumb/5/57/Bas%C3%ADlica_Macarena_paso_Rosario.jpg/1280px-Bas%C3%ADlica_Macarena_paso_Rosario.jpg", "decoding": "async", "loading": "lazy", "width": 1280, "height": 2276}, "url": "https://upload.wikimedia.org/wikipedia/commons/5/57/Bas%C3%ADlica_Macarena_paso_Rosario.jpg", "descriptionurl": "https://commons.wikimedia.org/wiki/File:Bas%C3%ADlica_Macarena_paso_Rosario.jpg", "descriptionshorturl": "https://commons.wikimedia.org/w/index.php?curid=133059316", "sha1": "5a4144811d965e023e082c8a51bdd98167036bd9", "extmetadata": {"DateTime": {"value": "2023-06-13 15:52:57", "source": "mediawiki-metadata", "hidden": ""}, "ObjectName": {"value": "Basílica Macarena paso Rosario", "source": "mediawiki-metadata"}, "CommonsMetadataExtension": {"value": 1.2, "source": "extension", "hidden": ""}, "Categories": {"value": "Basílica de la Macarena, Sevilla|Hermandad de la Macarena (Sevilla)|Self-published work", "source": "commons-categories", "hidden": ""}, "Assessments": {"value": "", "source": "commons-categories", "hidden": ""}, "ImageDescription": {"value": "Basílica de la Macarena de Sevilla presidida por el paso de la Virgen del Rosario", "source": "commons-desc-page"}, "DateTimeOriginal": {"value": "2022-10-23 16:12:03", "source": "commons-desc-page"}, "Credit": {"value": "&lt;span class=\"int-own-work\" lang=\"en\"&gt;Own work&lt;/span&gt;", "source": "commons-desc-page"}, "Artist": {"value": "&lt;a href=\"//commons.wikimedia.org/w/index.php?title=User:Morenohuelva&amp;amp;action=edit&amp;amp;redlink=1\" class=\"new\" title=\"User:Morenohuelva (page does not exist)\"&gt;Morenohuelva&lt;/a&gt;",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"https://thumb.wikimedia.org/wikipedia/commons/thumb/5/57/Bas%C3%ADlica_Macarena_paso_Rosario.jpg/1280px-Bas%C3%ADlica_Macarena_paso_Rosario.jpg"}, "retrieved_on": "2026-10-25"}</t>
        </is>
      </c>
    </row>
    <row r="132" ht="54" customHeight="1">
      <c r="A132" s="29" t="inlineStr">
        <is>
          <t>sevilla:evidence:basilica-de-la-macarena-02</t>
        </is>
      </c>
      <c r="B132" s="29" t="inlineStr">
        <is>
          <t>sevilla</t>
        </is>
      </c>
      <c r="C132" s="29" t="inlineStr">
        <is>
          <t>sevilla:photo:basilica-de-la-macarena-02</t>
        </is>
      </c>
      <c r="D132" s="29" t="inlineStr">
        <is>
          <t>https://commons.wikimedia.org/wiki/File:Campanario_del_Templo_de_la_Macarena_en_Sevilla.JPG</t>
        </is>
      </c>
      <c r="E132" s="29" t="inlineStr">
        <is>
          <t>File:Campanario del Templo de la Macarena en Sevilla.JPG</t>
        </is>
      </c>
      <c r="F132" s="29" t="inlineStr">
        <is>
          <t>Manuel López Gutiérrez (Logut)</t>
        </is>
      </c>
      <c r="G132" s="29" t="inlineStr">
        <is>
          <t>CC BY-SA 3.0 es</t>
        </is>
      </c>
      <c r="H132" s="29" t="inlineStr">
        <is>
          <t>https://creativecommons.org/licenses/by-sa/3.0/es/deed.en/</t>
        </is>
      </c>
      <c r="I132" s="29" t="inlineStr">
        <is>
          <t>Creative Commons Attribution-Share Alike 3.0 es</t>
        </is>
      </c>
      <c r="J132" s="29" t="inlineStr">
        <is>
          <t>Manuel López Gutiérrez (Logut) · CC BY-SA 3.0 es · Wikimedia Commons</t>
        </is>
      </c>
      <c r="K132" s="29" t="n"/>
      <c r="L132" s="49" t="n">
        <v>46320</v>
      </c>
      <c r="M132" s="29" t="inlineStr">
        <is>
          <t>Bekliyor</t>
        </is>
      </c>
      <c r="N132" s="29" t="inlineStr">
        <is>
          <t>Bekliyor</t>
        </is>
      </c>
      <c r="O132" s="29" t="inlineStr">
        <is>
          <t>Fotoğraflar/sevilla_basilica-de-la-macarena_02.jpg</t>
        </is>
      </c>
      <c r="P132" s="29" t="inlineStr">
        <is>
          <t>Macarena Bazilikası'nın barok çan kulesi.</t>
        </is>
      </c>
      <c r="Q132" s="29" t="inlineStr">
        <is>
          <t>Bekliyor</t>
        </is>
      </c>
      <c r="R132" s="29" t="inlineStr">
        <is>
          <t>Wikimedia Commons dosya sayfasındaki lisans: CC BY-SA 3.0 es</t>
        </is>
      </c>
      <c r="S132" s="29" t="inlineStr">
        <is>
          <t>Lisans kanıtları/basilica-de-la-macarena-02.source-evidence.json</t>
        </is>
      </c>
      <c r="T132" s="29" t="inlineStr">
        <is>
          <t>b5d819266faeaddde8d97ea8e309b6ba083a8840f87328143a2e33a5c742e2d3</t>
        </is>
      </c>
      <c r="U132" s="29" t="inlineStr">
        <is>
          <t>Lisans kanıtları/basilica-de-la-macarena-02.license-evidence.json</t>
        </is>
      </c>
      <c r="V132" s="29" t="inlineStr">
        <is>
          <t>26fe47635995233f42c8d9656e8d9b63759e51dc36122b86d7a65ec0b2e96d22</t>
        </is>
      </c>
      <c r="W132" s="29" t="inlineStr">
        <is>
          <t>{"source_url": "https://commons.wikimedia.org/wiki/File:Campanario_del_Templo_de_la_Macarena_en_Sevilla.JPG", "author": "Manuel López Gutiérrez (Logut)", "license": "CC BY-SA 3.0 es", "license_url": "https://creativecommons.org/licenses/by-sa/3.0/es/deed.en/", "original_api_record": {"size": 1387655, "width": 6016, "height": 4000, "thumburl": "https://thumb.wikimedia.org/wikipedia/commons/thumb/1/15/Campanario_del_Templo_de_la_Macarena_en_Sevilla.JPG/1280px-Campanario_del_Templo_de_la_Macarena_en_Sevilla.JPG", "thumbwidth": 1280, "thumbheight": 851, "responsiveUrls": {"2": "https://thumb.wikimedia.org/wikipedia/commons/thumb/1/15/Campanario_del_Templo_de_la_Macarena_en_Sevilla.JPG/3840px-Campanario_del_Templo_de_la_Macarena_en_Sevilla.JPG"}, "thumbattribs": {"src": "https://thumb.wikimedia.org/wikipedia/commons/thumb/1/15/Campanario_del_Templo_de_la_Macarena_en_Sevilla.JPG/1280px-Campanario_del_Templo_de_la_Macarena_en_Sevilla.JPG", "decoding": "async", "loading": "lazy", "width": 1280, "height": 851, "srcset": "https://thumb.wikimedia.org/wikipedia/commons/thumb/1/15/Campanario_del_Templo_de_la_Macarena_en_Sevilla.JPG/3840px-Campanario_del_Templo_de_la_Macarena_en_Sevilla.JPG 2x"}, "url": "https://upload.wikimedia.org/wikipedia/commons/1/15/Campanario_del_Templo_de_la_Macarena_en_Sevilla.JPG", "descriptionurl": "https://commons.wikimedia.org/wiki/File:Campanario_del_Templo_de_la_Macarena_en_Sevilla.JPG", "descriptionshorturl": "https://commons.wikimedia.org/w/index.php?curid=35443625", "sha1": "bece7382134943c1d9f3caa891292dd4164b9f4e", "extmetadata": {"DateTime": {"value": "2014-09-17 19:40:01", "source": "mediawiki-metadata", "hidden": ""}, "ObjectName": {"value": "Campanario del Templo de la Macarena en Sevilla", "source": "mediawiki-metadata"}, "CommonsMetadataExtension": {"value": 1.2, "source": "extension", "hidden": ""}, "Categories": {"value": "Taken with Nikon D3200|Exterior of Basílica de la Macarena, Sevilla|Media lacking a description|Self-published work|Bell gables in the province of Seville|Images from Wiki Loves Monuments 2014|Images from Wiki Loves Monuments 2014 in Spain|Uploaded via Campaign:wlm-es|All media supported by Wikimedia España in 2014|Spain photographs taken on 2014-04-15|Images from Wiki Loves Monuments missing SDC location of creation", "source": "commons-categories", "hidden": ""}, "Assessments": {"value": "", "source": "commons-categories", "hidden": ""}, "DateTimeOriginal": {"value": "2014-04-15 10:57:48", "source": "commons-desc-page"}, "Credit": {"value": "&lt;span class=\"int-own-work\" lang=\"en\"&gt;Own work&lt;/span&gt;", "source": "commons-desc-page"}, "Artist": {"value": "&lt;a href=\"//commons.wikimedia.org/w/index.php?title=User:Logut&amp;amp;action=edit&amp;amp;redlink=1\" class=\"new\" title=\"User:Logut (page does not exist)\"&gt;Manuel López Gutiérrez (Logut)&lt;/a&gt;", "source": "commons-desc-page"}, "LicenseShortName": {"value": "CC BY-SA 3.0 es", "source": "commons-desc-page", "hidden": ""}, "UsageTerms": {"value": "Creative Commons Attribution-Share Alike 3.0 es", "source": "commons-desc-page"}, "AttributionRequired": {"value": "true", "source": "commons-desc-page", "hidden": ""}, "LicenseUrl": {"value": "https://creativecommons.org/licenses/by-sa/3.0/es/deed.en", "source": "commons-desc-page"}, "Copyrighted": {"value": "True", "source": "commons-desc-page", "hidden": ""}, "Restrictions": {"value": "", "source": "commons-desc-page", "hidden": ""}, "License": {"value": "cc-by-sa-3.0-es", "source": "commons-templates", "hidden": ""}}, "mime": "image/jpeg"}, "delivered_file": {"url": "https://thumb.wikimedia.org/wikipedia/commons/thumb/1/15/Campanario_del_Templo_de_la_Macarena_en_Sevilla.JPG/1280px-Campanario_del_Templo_de_la_Macarena_en_Sevilla.JPG"}, "retrieved_on": "2026-10-25"}</t>
        </is>
      </c>
    </row>
    <row r="133" ht="54" customHeight="1">
      <c r="A133" s="29" t="inlineStr">
        <is>
          <t>sevilla:evidence:basilica-de-la-macarena-03</t>
        </is>
      </c>
      <c r="B133" s="29" t="inlineStr">
        <is>
          <t>sevilla</t>
        </is>
      </c>
      <c r="C133" s="29" t="inlineStr">
        <is>
          <t>sevilla:photo:basilica-de-la-macarena-03</t>
        </is>
      </c>
      <c r="D133" s="29" t="inlineStr">
        <is>
          <t>https://commons.wikimedia.org/wiki/File:Entrada_al_Templo_de_la_Macarena_de_Sevilla.JPG</t>
        </is>
      </c>
      <c r="E133" s="29" t="inlineStr">
        <is>
          <t>File:Entrada al Templo de la Macarena de Sevilla.JPG</t>
        </is>
      </c>
      <c r="F133" s="29" t="inlineStr">
        <is>
          <t>Manuel López Gutiérrez (Logut)</t>
        </is>
      </c>
      <c r="G133" s="29" t="inlineStr">
        <is>
          <t>CC BY-SA 3.0 es</t>
        </is>
      </c>
      <c r="H133" s="29" t="inlineStr">
        <is>
          <t>https://creativecommons.org/licenses/by-sa/3.0/es/deed.en/</t>
        </is>
      </c>
      <c r="I133" s="29" t="inlineStr">
        <is>
          <t>Creative Commons Attribution-Share Alike 3.0 es</t>
        </is>
      </c>
      <c r="J133" s="29" t="inlineStr">
        <is>
          <t>Manuel López Gutiérrez (Logut) · CC BY-SA 3.0 es · Wikimedia Commons</t>
        </is>
      </c>
      <c r="K133" s="29" t="n"/>
      <c r="L133" s="49" t="n">
        <v>46320</v>
      </c>
      <c r="M133" s="29" t="inlineStr">
        <is>
          <t>Bekliyor</t>
        </is>
      </c>
      <c r="N133" s="29" t="inlineStr">
        <is>
          <t>Bekliyor</t>
        </is>
      </c>
      <c r="O133" s="29" t="inlineStr">
        <is>
          <t>Fotoğraflar/sevilla_basilica-de-la-macarena_03.jpg</t>
        </is>
      </c>
      <c r="P133" s="29" t="inlineStr">
        <is>
          <t>Macarena Bazilikası'nın beyaz-sarı cephesi ve kulesi.</t>
        </is>
      </c>
      <c r="Q133" s="29" t="inlineStr">
        <is>
          <t>Bekliyor</t>
        </is>
      </c>
      <c r="R133" s="29" t="inlineStr">
        <is>
          <t>Wikimedia Commons dosya sayfasındaki lisans: CC BY-SA 3.0 es</t>
        </is>
      </c>
      <c r="S133" s="29" t="inlineStr">
        <is>
          <t>Lisans kanıtları/basilica-de-la-macarena-03.source-evidence.json</t>
        </is>
      </c>
      <c r="T133" s="29" t="inlineStr">
        <is>
          <t>ffa9d5c78459909ab5ec7d7ac8d8a83088e85263175ae599d6d516dadb66b395</t>
        </is>
      </c>
      <c r="U133" s="29" t="inlineStr">
        <is>
          <t>Lisans kanıtları/basilica-de-la-macarena-03.license-evidence.json</t>
        </is>
      </c>
      <c r="V133" s="29" t="inlineStr">
        <is>
          <t>5e1c478cd5e7bf91a916fe9d5a8226ab13e0f6787c5d246aaedcc4429b464ab9</t>
        </is>
      </c>
      <c r="W133" s="29" t="inlineStr">
        <is>
          <t>{"source_url": "https://commons.wikimedia.org/wiki/File:Entrada_al_Templo_de_la_Macarena_de_Sevilla.JPG", "author": "Manuel López Gutiérrez (Logut)", "license": "CC BY-SA 3.0 es", "license_url": "https://creativecommons.org/licenses/by-sa/3.0/es/deed.en/", "original_api_record": {"size": 1893069, "width": 4000, "height": 6016, "thumburl": "https://thumb.wikimedia.org/wikipedia/commons/thumb/3/38/Entrada_al_Templo_de_la_Macarena_de_Sevilla.JPG/1280px-Entrada_al_Templo_de_la_Macarena_de_Sevilla.JPG", "thumbwidth": 1280, "thumbheight": 1925, "responsiveUrls": {"2": "https://thumb.wikimedia.org/wikipedia/commons/thumb/3/38/Entrada_al_Templo_de_la_Macarena_de_Sevilla.JPG/3840px-Entrada_al_Templo_de_la_Macarena_de_Sevilla.JPG"}, "thumbattribs": {"src": "https://thumb.wikimedia.org/wikipedia/commons/thumb/3/38/Entrada_al_Templo_de_la_Macarena_de_Sevilla.JPG/1280px-Entrada_al_Templo_de_la_Macarena_de_Sevilla.JPG", "decoding": "async", "loading": "lazy", "width": 1280, "height": 1925, "srcset": "https://thumb.wikimedia.org/wikipedia/commons/thumb/3/38/Entrada_al_Templo_de_la_Macarena_de_Sevilla.JPG/3840px-Entrada_al_Templo_de_la_Macarena_de_Sevilla.JPG 2x"}, "url": "https://upload.wikimedia.org/wikipedia/commons/3/38/Entrada_al_Templo_de_la_Macarena_de_Sevilla.JPG", "descriptionurl": "https://commons.wikimedia.org/wiki/File:Entrada_al_Templo_de_la_Macarena_de_Sevilla.JPG", "descriptionshorturl": "https://commons.wikimedia.org/w/index.php?curid=35443630", "sha1": "7b8bc3ff58bb9cd88fbc13079ee2fcbcd2f55375", "extmetadata": {"DateTime": {"value": "2014-09-17 19:40:05", "source": "mediawiki-metadata", "hidden": ""}, "ObjectName": {"value": "Entrada al Templo de la Macarena de Sevilla", "source": "mediawiki-metadata"}, "CommonsMetadataExtension": {"value": 1.2, "source": "extension", "hidden": ""}, "Categories": {"value": "Taken with Nikon D3200|Exterior of Basílica de la Macarena, Sevilla|Self-published work|Images from Wiki Loves Monuments 2014|Images from Wiki Loves Monuments 2014 in Spain|Uploaded via Campaign:wlm-es|All media supported by Wikimedia España in 2014|Spain photographs taken on 2014-04-15|Images from Wiki Loves Monuments missing SDC depicts|Images from Wiki Loves Monuments missing SDC location of creation", "source": "commons-categories", "hidden": ""}, "Assessments": {"value": "", "source": "commons-categories", "hidden": ""}, "ImageDescription": {"value": "Entrada al Templo de la Macarena de Sevilla.", "source": "commons-desc-page"}, "DateTimeOriginal": {"value": "2014-04-15 11:01:03", "source": "commons-desc-page"}, "Credit": {"value": "&lt;span class=\"int-own-work\" lang=\"en\"&gt;Own work&lt;/span&gt;", "source": "commons-desc-page"}, "Artist": {"value": "&lt;a href=\"//commons.wikimedia.org/w/index.php?title=User:Logut&amp;amp;action=edit&amp;amp;redlink=1\" class=\"new\" title=\"User:Logut (page does not exist)\"&gt;Manuel López Gutiérrez (Logut)&lt;/a&gt;", "source": "commons-desc-page"}, "LicenseShortName": {"value": "CC BY-SA 3.0 es", "source": "commons-desc-page", "hidden": ""}, "UsageTerms": {"value": "Creative Commons Attribution-Share Alike 3.0 es", "source": "commons-desc-page"}, "AttributionRequired": {"value": "true", "source": "commons-desc-page", "hidden": ""}, "LicenseUrl": {"value": "https://creativecommons.org/licenses/by-sa/3.0/es/deed.en", "source": "commons-desc-page"}, "Copyrighted": {"value": "True", "source": "commons-desc-page", "hidden": ""}, "Restrictions": {"value": "", "source": "commons-desc-page", "hidden": ""}, "License": {"value": "cc-by-sa-3.0-es", "source": "commons-templates", "hidden": ""}}, "mime": "image/jpeg"}, "delivered_file": {"url": "https://thumb.wikimedia.org/wikipedia/commons/thumb/3/38/Entrada_al_Templo_de_la_Macarena_de_Sevilla.JPG/1280px-Entrada_al_Templo_de_la_Macarena_de_Sevilla.JPG"}, "retrieved_on": "2026-10-25"}</t>
        </is>
      </c>
    </row>
    <row r="134" ht="54" customHeight="1">
      <c r="A134" s="29" t="inlineStr">
        <is>
          <t>sevilla:evidence:casa-de-la-memoria-al-andalus-01</t>
        </is>
      </c>
      <c r="B134" s="29" t="inlineStr">
        <is>
          <t>sevilla</t>
        </is>
      </c>
      <c r="C134" s="29" t="inlineStr">
        <is>
          <t>sevilla:photo:casa-de-la-memoria-al-andalus-01</t>
        </is>
      </c>
      <c r="D134" s="29" t="inlineStr">
        <is>
          <t>https://commons.wikimedia.org/wiki/File:Casa_de_la_Memoria_de_Al-Andalus.jpg</t>
        </is>
      </c>
      <c r="E134" s="29" t="inlineStr">
        <is>
          <t>File:Casa de la Memoria de Al-Andalus.jpg</t>
        </is>
      </c>
      <c r="F134" s="29" t="inlineStr">
        <is>
          <t>Mx. Granger</t>
        </is>
      </c>
      <c r="G134" s="29" t="inlineStr">
        <is>
          <t>CC0 1.0</t>
        </is>
      </c>
      <c r="H134" s="29" t="inlineStr">
        <is>
          <t>https://creativecommons.org/publicdomain/zero/1.0/</t>
        </is>
      </c>
      <c r="I134" s="29" t="inlineStr">
        <is>
          <t>Creative Commons Zero, Public Domain Dedication</t>
        </is>
      </c>
      <c r="J134" s="29" t="inlineStr">
        <is>
          <t>Mx. Granger · CC0 1.0 · Wikimedia Commons</t>
        </is>
      </c>
      <c r="K134" s="29" t="n"/>
      <c r="L134" s="49" t="n">
        <v>46320</v>
      </c>
      <c r="M134" s="29" t="inlineStr">
        <is>
          <t>Bekliyor</t>
        </is>
      </c>
      <c r="N134" s="29" t="inlineStr">
        <is>
          <t>Bekliyor</t>
        </is>
      </c>
      <c r="O134" s="29" t="inlineStr">
        <is>
          <t>Fotoğraflar/sevilla_casa-de-la-memoria-al-andalus_01.jpg</t>
        </is>
      </c>
      <c r="P134" s="29" t="inlineStr">
        <is>
          <t>Casa de la Memoria'nın kırmızı çerçeveli girişi ve balkonunda flamenko figürleri.</t>
        </is>
      </c>
      <c r="Q134" s="29" t="inlineStr">
        <is>
          <t>Bekliyor</t>
        </is>
      </c>
      <c r="R134" s="29" t="inlineStr">
        <is>
          <t>Wikimedia Commons dosya sayfasındaki lisans: CC0 1.0</t>
        </is>
      </c>
      <c r="S134" s="29" t="inlineStr">
        <is>
          <t>Lisans kanıtları/casa-de-la-memoria-al-andalus-01.source-evidence.json</t>
        </is>
      </c>
      <c r="T134" s="29" t="inlineStr">
        <is>
          <t>e464a38f5cdd0b9790965495acc674d7a3541dcb0e0ae48924130ee3546b0546</t>
        </is>
      </c>
      <c r="U134" s="29" t="inlineStr">
        <is>
          <t>Lisans kanıtları/casa-de-la-memoria-al-andalus-01.license-evidence.json</t>
        </is>
      </c>
      <c r="V134" s="29" t="inlineStr">
        <is>
          <t>ac434c05f2d374391e2dbc6a15d67b29ab1dbfa9c60767984a0d4b77613976f8</t>
        </is>
      </c>
      <c r="W134" s="29" t="inlineStr">
        <is>
          <t>{"source_url": "https://commons.wikimedia.org/wiki/File:Casa_de_la_Memoria_de_Al-Andalus.jpg", "author": "Mx. Granger", "license": "CC0 1.0", "license_url": "https://creativecommons.org/publicdomain/zero/1.0/", "original_api_record": {"size": 1373438, "width": 1944, "height": 2592, "thumburl": "https://thumb.wikimedia.org/wikipedia/commons/thumb/f/fd/Casa_de_la_Memoria_de_Al-Andalus.jpg/1280px-Casa_de_la_Memoria_de_Al-Andalus.jpg", "thumbwidth": 1280, "thumbheight": 1707, "responsiveUrls": {"2": "https://upload.wikimedia.org/wikipedia/commons/f/fd/Casa_de_la_Memoria_de_Al-Andalus.jpg"}, "thumbattribs": {"src": "https://thumb.wikimedia.org/wikipedia/commons/thumb/f/fd/Casa_de_la_Memoria_de_Al-Andalus.jpg/1280px-Casa_de_la_Memoria_de_Al-Andalus.jpg", "decoding": "async", "loading": "lazy", "width": 1280, "height": 1707, "srcset": "https://upload.wikimedia.org/wikipedia/commons/f/fd/Casa_de_la_Memoria_de_Al-Andalus.jpg 2x"}, "url": "https://upload.wikimedia.org/wikipedia/commons/f/fd/Casa_de_la_Memoria_de_Al-Andalus.jpg", "descriptionurl": "https://commons.wikimedia.org/wiki/File:Casa_de_la_Memoria_de_Al-Andalus.jpg", "descriptionshorturl": "https://commons.wikimedia.org/w/index.php?curid=48808608", "sha1": "0f4bf65364677d2636f7475e141401e6c3462bd6", "extmetadata": {"DateTime": {"value": "2016-05-16 07:02:54", "source": "mediawiki-metadata", "hidden": ""}, "ObjectName": {"value": "Casa de la Memoria de Al-Andalus", "source": "mediawiki-metadata"}, "CommonsMetadataExtension": {"value": 1.2, "source": "extension", "hidden": ""}, "Categories": {"value": "CC-Zero|Casa de la Memoria de Al-Andalus (Sevilla)|Self-published work|Portals in Seville|Uploaded with Mobile/Android|Files with coordinates missing SDC location of creation|Balconies in Seville", "source": "commons-categories", "hidden": ""}, "Assessments": {"value": "", "source": "commons-categories", "hidden": ""}, "GPSLatitude": {"value": "37.392273", "source": "commons-desc-page"}, "GPSLongitude": {"value": "-5.993616", "source": "commons-desc-page"}, "GPSMapDatum": {"value": "WGS-84", "source": "commons-desc-page", "hidden": ""}, "ImageDescription": {"value": "&lt;a href=\"https://es.wikipedia.org/wiki/Casa_de_la_Memoria_de_Al-Andalus_(Sevilla)\" class=\"extiw\" title=\"es:Casa de la Memoria de Al-Andalus (Sevilla)\"&gt;Casa de la Memoria de Al-Andalus (Sevilla)&lt;/a&gt;", "source": "commons-desc-page"}, "DateTimeOriginal": {"value": "2016-05-14", "source": "commons-desc-page"}, "Credit": {"value": "&lt;span class=\"int-own-work\" lang=\"en\"&gt;Own work&lt;/span&gt;", "source": "commons-desc-page"}, "Artist": {"value": "&lt;a href=\"//commons.wikimedia.org/wiki/User:Mx._Granger\" title=\"User:Mx. Granger\"&gt;Mx. Granger&lt;/a&gt;",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"https://thumb.wikimedia.org/wikipedia/commons/thumb/f/fd/Casa_de_la_Memoria_de_Al-Andalus.jpg/1280px-Casa_de_la_Memoria_de_Al-Andalus.jpg"}, "retrieved_on": "2026-10-25"}</t>
        </is>
      </c>
    </row>
    <row r="135" ht="54" customHeight="1">
      <c r="A135" s="29" t="inlineStr">
        <is>
          <t>sevilla:evidence:casa-de-la-memoria-al-andalus-02</t>
        </is>
      </c>
      <c r="B135" s="29" t="inlineStr">
        <is>
          <t>sevilla</t>
        </is>
      </c>
      <c r="C135" s="29" t="inlineStr">
        <is>
          <t>sevilla:photo:casa-de-la-memoria-al-andalus-02</t>
        </is>
      </c>
      <c r="D135" s="29" t="inlineStr">
        <is>
          <t>https://commons.wikimedia.org/wiki/File:La_Giralda_-_panoramio_(1).jpg</t>
        </is>
      </c>
      <c r="E135" s="29" t="inlineStr">
        <is>
          <t>File:La Giralda - panoramio (1).jpg</t>
        </is>
      </c>
      <c r="F135" s="29" t="inlineStr">
        <is>
          <t>Mariano Asensio</t>
        </is>
      </c>
      <c r="G135" s="29" t="inlineStr">
        <is>
          <t>CC BY-SA 3.0</t>
        </is>
      </c>
      <c r="H135" s="29" t="inlineStr">
        <is>
          <t>https://creativecommons.org/licenses/by-sa/3.0/</t>
        </is>
      </c>
      <c r="I135" s="29" t="inlineStr">
        <is>
          <t>Creative Commons Attribution-Share Alike 3.0</t>
        </is>
      </c>
      <c r="J135" s="29" t="inlineStr">
        <is>
          <t>Mariano Asensio · CC BY-SA 3.0 · Wikimedia Commons</t>
        </is>
      </c>
      <c r="K135" s="29" t="n"/>
      <c r="L135" s="49" t="n">
        <v>46320</v>
      </c>
      <c r="M135" s="29" t="inlineStr">
        <is>
          <t>Bekliyor</t>
        </is>
      </c>
      <c r="N135" s="29" t="inlineStr">
        <is>
          <t>Bekliyor</t>
        </is>
      </c>
      <c r="O135" s="29" t="inlineStr">
        <is>
          <t>Fotoğraflar/sevilla_casa-de-la-memoria-al-andalus_02.jpg</t>
        </is>
      </c>
      <c r="P135" s="29" t="inlineStr">
        <is>
          <t>Casa de la Memoria'nın gece ışıklı at nalı kemerli penceresinden görünen Giralda.</t>
        </is>
      </c>
      <c r="Q135" s="29" t="inlineStr">
        <is>
          <t>Bekliyor</t>
        </is>
      </c>
      <c r="R135" s="29" t="inlineStr">
        <is>
          <t>Wikimedia Commons dosya sayfasındaki lisans: CC BY-SA 3.0</t>
        </is>
      </c>
      <c r="S135" s="29" t="inlineStr">
        <is>
          <t>Lisans kanıtları/casa-de-la-memoria-al-andalus-02.source-evidence.json</t>
        </is>
      </c>
      <c r="T135" s="29" t="inlineStr">
        <is>
          <t>f824a26aed0d1121023f476d426ac1a8a9b6aca69cc8043a972184405ea73bd9</t>
        </is>
      </c>
      <c r="U135" s="29" t="inlineStr">
        <is>
          <t>Lisans kanıtları/casa-de-la-memoria-al-andalus-02.license-evidence.json</t>
        </is>
      </c>
      <c r="V135" s="29" t="inlineStr">
        <is>
          <t>2de5b526fb715eb92d842b49e5adc4083f8900ec30a54b8b520e5129fdea3853</t>
        </is>
      </c>
      <c r="W135" s="29" t="inlineStr">
        <is>
          <t>{"source_url": "https://commons.wikimedia.org/wiki/File:La_Giralda_-_panoramio_(1).jpg", "author": "Mariano Asensio", "license": "CC BY-SA 3.0", "license_url": "https://creativecommons.org/licenses/by-sa/3.0/", "original_api_record": {"size": 3075821, "width": 2736, "height": 3648, "thumburl": "https://thumb.wikimedia.org/wikipedia/commons/thumb/e/e0/La_Giralda_-_panoramio_%281%29.jpg/1280px-La_Giralda_-_panoramio_%281%29.jpg", "thumbwidth": 1280, "thumbheight": 1707, "responsiveUrls": {"2": "https://thumb.wikimedia.org/wikipedia/commons/thumb/e/e0/La_Giralda_-_panoramio_%281%29.jpg/1920px-La_Giralda_-_panoramio_%281%29.jpg"}, "thumbattribs": {"src": "https://thumb.wikimedia.org/wikipedia/commons/thumb/e/e0/La_Giralda_-_panoramio_%281%29.jpg/1280px-La_Giralda_-_panoramio_%281%29.jpg", "decoding": "async", "loading": "lazy", "width": 1280, "height": 1707, "srcset": "https://thumb.wikimedia.org/wikipedia/commons/thumb/e/e0/La_Giralda_-_panoramio_%281%29.jpg/1920px-La_Giralda_-_panoramio_%281%29.jpg 2x"}, "url": "https://upload.wikimedia.org/wikipedia/commons/e/e0/La_Giralda_-_panoramio_%281%29.jpg", "descriptionurl": "https://commons.wikimedia.org/wiki/File:La_Giralda_-_panoramio_(1).jpg", "descriptionshorturl": "https://commons.wikimedia.org/w/index.php?curid=59459195", "sha1": "2b511f92c3f4a024d2127d6c3b1a8861773e7381", "extmetadata": {"DateTime": {"value": "2017-05-31 22:15:30", "source": "mediawiki-metadata", "hidden": ""}, "ObjectName": {"value": "La Giralda - panoramio (1)", "source": "mediawiki-metadata"}, "CommonsMetadataExtension": {"value": 1.2, "source": "extension", "hidden": ""}, "Categories": {"value": "Panoramio files uploaded by Panoramio upload bot|Panoramio images reviewed by trusted users|Photos from Panoramio|Spain photographs taken on 2015-03-13|Files with coordinates missing SDC location of creation|Windows in Seville|Night in Seville|Cathedral of Seville at night|Mudéjar windows|Views of Giralda in 2015|Photos from Panoramio ID 2416243", "source": "commons-categories", "hidden": ""}, "Assessments": {"value": "", "source": "commons-categories", "hidden": ""}, "GPSLatitude": {"value": "37.392561", "source": "commons-desc-page"}, "GPSLongitude": {"value": "-5.993908", "source": "commons-desc-page"}, "GPSMapDatum": {"value": "WGS-84", "source": "commons-desc-page", "hidden": ""}, "ImageDescription": {"value": "La Giralda", "source": "commons-desc-page"}, "DateTimeOriginal": {"value": "Taken on 13 March 2015", "source": "commons-desc-page"}, "Credit": {"value": "&lt;a rel=\"nofollow\" class=\"external free\" href=\"https://web.archive.org/web/20161031035450/http://www.panoramio.com/photo/117868332\"&gt;https://web.archive.org/web/20161031035450/http://www.panoramio.com/photo/117868332&lt;/a&gt;", "source": "commons-desc-page"}, "Artist": {"value": "&lt;a rel=\"nofollow\" class=\"external text\" href=\"https://web.archive.org/web/20161031035451/http://www.panoramio.com/user/2416243?with_photo_id=117868332\"&gt;Mariano Asensio&lt;/a&gt;", "source": "commons-desc-page"}, "Permission": {"value": "&lt;div class=\"responsive-license-cc layouttemplate licensetpl\" dir=\"ltr\" lang=\"en\"&gt;&lt;div class=\"rlicense-icons\"&gt;&lt;span class=\"skin-invert\" typeof=\"mw:File\"&gt;&lt;span title=\"w:en:Creative Commons\"&gt;&lt;img alt=\"w:en:Creative Commons\" src=\"https://thumb.wikimedia.org/wikipedia/commons/thumb/7/79/CC_some_rights_reserved.svg/120px-CC_some_rights_reserved.svg.png?utm_source=commons.wikimedia.org&amp;amp;utm_campaign=parser&amp;amp;utm_content=thumbnail\" decoding=\"async\" loading=\"lazy\" width=\"90\" height=\"36\" class=\"mw-file-element\" srcset=\"https://thumb.wikimedia.org/wikipedia/commons/thumb/7/79/CC_some_rights_reserved.svg/250px-CC_some_rights_reserved.svg.png?utm_source=commons.wikimedia.org&amp;amp;utm_campaign=parser&amp;amp;utm_content=thumbnail 2x\" data-file-width=\"744\" data-file-height=\"300\"&gt;&lt;/span&gt;&lt;/span&gt;&lt;br&gt;\n&lt;span class=\"skin-invert\" typeof=\"mw:File\"&gt;&lt;span title=\"attribution\"&gt;&lt;img alt=\"attribution\" src=\"https://thumb.wikimedia.org/wikipedia/commons/thumb/1/11/Cc-by_new_white.svg/40px-Cc-by_new_white.svg.png?utm_source=commons.wikimedia.org&amp;amp;utm_campaign=parser&amp;amp;utm_content=thumbnail\" decoding=\"async\" loading=\"lazy\" width=\"24\" height=\"24\" class=\"mw-file-element\" srcset=\"https://thumb.wikimedia.org/wikipedia/commons/thumb/1/11/Cc-by_new_white.svg/60px-Cc-by_new_white.svg.png?utm_source=commons.wikimedia.org&amp;amp;utm_campaign=parser&amp;amp;utm_content=thumbnail 2x\" data-file-width=\"64\" data-file-height=\"64\"&gt;&lt;/span&gt;&lt;/span&gt; &lt;span class=\"skin-invert\" typeof=\"mw:File\"&gt;&lt;span title=\"share alike\"&gt;&lt;img alt=\"share alike\" src=\"https://thumb.wikimedia.org/wikipedia/commons/thumb/d/df/Cc-sa_white.svg/40px-Cc-sa_white.svg.png?utm_source=commons.wikimedia.org&amp;amp;utm_campaign=parser&amp;amp;utm_content=thumbnail\" decoding=\"async\" loading=\"lazy\" width=\"24\" height=\"24\" class=\"mw-file-element\" srcset=\"https://thumb.wikimedia.org/wikipedia/commons/thumb/d/df/Cc-sa_white.svg/60px-Cc-sa_white.svg.png?utm_source=commons.wikimedia.org&amp;amp;utm_campaign=parser&amp;amp;utm_content=thumbnail 2x\" data-file-width=\"64\" data-file-height=\"64\"&gt;&lt;/span&gt;&lt;/span&gt;&lt;/div&gt;&lt;div class=\"rlicense-text\"&gt;&lt;div class=\"rlicense-declaration\"&gt;This file is licensed under the &lt;a href=\"https://en.wikipedia.org/wiki/en:Creative_Commons\" class=\"extiw\" title=\"w:en:Creative Commons\"&gt;Creative Commons&lt;/a&gt; &lt;a href=\"//creativecommons.org/licenses/by-sa/3.0/deed.en\" class=\"extiw\" title=\"creativecommons:by-sa/3.0/deed.en\"&gt;Attribution-Share Alike 3.0 Unported&lt;/a&gt; license.&lt;/div&gt;&lt;div class=\"rlicense-attr\" style=\"font-weight: bold;\"&gt;Attribution: &lt;div style=\"display:inline;font-size:larger;\" class=\"licensetpl_attr\"&gt;Mariano Asensio&lt;/div&gt;&lt;/div&gt;&lt;div class=\"rlicense-desc\" style=\"text-align:start;\" lang=\"en\"&gt;\n&lt;dl&gt;&lt;dd&gt;You are free:\n&lt;ul&gt;&lt;li&gt;&lt;b&gt;to share&lt;/b&gt; – to copy, distribute and transmit the work&lt;/li&gt;\n&lt;li&gt;&lt;b&gt;to remix&lt;/b&gt; – to adapt the work&lt;/li&gt;&lt;/ul&gt;&lt;/dd&gt;\n&lt;dd&gt;Under the following conditions:\n&lt;ul&gt;&lt;li&gt;&lt;b&gt;attribution&lt;/b&gt; – You must give appropriate credit, provide a link to the license, and indicate if changes were made. You may do so in any reasonable manner, but not in any way that suggests the licensor endorses you or your use.&lt;/li&gt;\n&lt;li&gt;&lt;b&gt;share alike&lt;/b&gt; – If you remix, transform, or build upon the material, you must distribute your contributions under the &lt;a href=\"https://creativecommons.org/share-your-work/licensing-considerations/compatible-licenses\" class=\"extiw\" title=\"ccorg:share-your-work/licensing-considerations/compatible-licenses\"&gt;same or compatible license&lt;/a&gt; as the original.&lt;/li&gt;&lt;/ul&gt;&lt;/dd&gt;&lt;/dl&gt;&lt;/div&gt;&lt;span class=\"licensetpl_link\" style=\"display:none;\"&gt;https://creativecommons.org/licenses/by-sa/3.0&lt;/span&gt;&lt;span class=\"licensetpl_short\" style=\"display:none;\"&gt;CC BY-SA 3.0 &lt;/span&gt;&lt;span class=\"licensetpl_long\" style=\"display:none;\"&gt;Creative Commons Attribution-Share Alike 3.0 &lt;/span&gt;&lt;span class=\"licensetpl_link_req\" style=\"display:none;\"&gt;true&lt;/span&gt;&lt;span class=\"licensetpl_attr_req\" style=\"display:none;\"&gt;true&lt;/span&gt;&lt;/div&gt;&lt;/div&gt;\n&lt;style data-mw-deduplicate=\"TemplateStyles:r901585720\"&gt;.mw-parser-output .panoramioreview{width:100%;margin:0.5em 0;background-color:var(--background-color-warning-subtle,#fffff0);padding:5px;border:1px solid var(--border-color-warning,#aa8);color:inherit}.mw-parser-output .panoramioreview-failed{background-color:var(--background-color-error-subtle,#fcc);color:inherit}.mw-parser-output .panoramioreview-passed{background-color:var(--background-color-success-subtle,#efe);color:inherit}&lt;/style&gt;\n&lt;table class=\"panoramioreview panoramioreview-passed\" lang=\"en\" dir=\"ltr\"&gt;\n\n&lt;tbody&gt;&lt;tr&gt;\n&lt;td&gt;&lt;span typeof=\"mw:File\"&gt;&lt;span&gt;&lt;img alt=\"\" src=\"https://thumb.wikimedia.org/wikipedia/commons/thumb/9/95/Checked_copyright_icon.svg/60px-Checked_copyright_icon.svg.png?utm_source=commons.wikimedia.org&amp;amp;utm_campaign=parser&amp;amp;utm_content=thumbnail\" decoding=\"async\" loading=\"lazy\" width=\"50\" height=\"48\" class=\"mw-file-element\" srcset=\"https://thumb.wikimedia.org/wikipedia/commons/thumb/9/95/Checked_copyright_icon.svg/120px-Checked_copyright_icon.svg.png?utm_source=commons.wikimedia.org&amp;amp;utm_campaign=parser&amp;amp;utm_content=thumbnail 2x\" data-file-width=\"160\" data-file-height=\"153\"&gt;&lt;/span&gt;&lt;/span&gt;\n&lt;/td&gt;\n&lt;td&gt;This image, which was originally posted to &lt;b&gt;&lt;span lang=\"en\" dir=\"ltr\"&gt;&lt;a href=\"https://en.wikipedia.org/wiki/Panoramio\" class=\"extiw\" title=\"en:Panoramio\"&gt;Panoramio&lt;/a&gt;&lt;/span&gt;&lt;/b&gt;, was automatically reviewed on 31 May 2017 by &lt;b&gt;&lt;a href=\"//commons.wikimedia.org/wiki/User:Panoramio_upload_bot\" title=\"User:Panoramio upload bot\"&gt;Panoramio upload bot&lt;/a&gt;&lt;/b&gt;, who confirmed that it was available on Panoramio under the above license on that date.\n&lt;/td&gt;\n&lt;td&gt;&lt;span typeof=\"mw:File\"&gt;&lt;a href=\"//commons.wikimedia.org/wiki/File:Star_and_ring.svg\" class=\"mw-file-description\"&gt;&lt;img src=\"https://thumb.wikimedia.org/wikipedia/commons/thumb/9/98/Star_and_ring.svg/60px-Star_and_ring.svg.png?utm_source=commons.wikimedia.org&amp;amp;utm_campaign=parser&amp;amp;utm_content=thumbnail\" decoding=\"async\" loading=\"lazy\" width=\"50\" height=\"50\" class=\"mw-file-element\" srcset=\"https://thumb.wikimedia.org/wikipedia/commons/thumb/9/98/Star_and_ring.svg/120px-Star_and_ring.svg.png?utm_source=commons.wikimedia.org&amp;amp;utm_campaign=parser&amp;amp;utm_content=thumbnail 2x\" data-file-width=\"75\" data-file-height=\"75\"&gt;&lt;/a&gt;&lt;/span&gt;\n&lt;/td&gt;&lt;/tr&gt;&lt;/tbody&gt;&lt;/table&gt;", "source": "commons-desc-page", "hidden": ""}, "LicenseShortName": {"value": "CC BY-SA 3.0", "source": "commons-desc-page", "hidden": ""}, "UsageTerms": {"value": "Creative Commons Attribution-Share Alike 3.0", "source": "commons-desc-page"}, "AttributionRequired": {"value": "true", "source": "commons-desc-page", "hidden": ""}, "Attribution": {"value": "Mariano Asensio",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"https://thumb.wikimedia.org/wikipedia/commons/thumb/e/e0/La_Giralda_-_panoramio_%281%29.jpg/1280px-La_Giralda_-_panoramio_%281%29.jpg"}, "retrieved_on": "2026-10-25"}</t>
        </is>
      </c>
    </row>
    <row r="136" ht="54" customHeight="1">
      <c r="A136" s="29" t="inlineStr">
        <is>
          <t>sevilla:evidence:isla-magica-01</t>
        </is>
      </c>
      <c r="B136" s="29" t="inlineStr">
        <is>
          <t>sevilla</t>
        </is>
      </c>
      <c r="C136" s="29" t="inlineStr">
        <is>
          <t>sevilla:photo:isla-magica-01</t>
        </is>
      </c>
      <c r="D136" s="29" t="inlineStr">
        <is>
          <t>https://commons.wikimedia.org/wiki/File:A_los_Ca%C3%B1ones_-_Isla_M%C3%A1gica.jpg</t>
        </is>
      </c>
      <c r="E136" s="29" t="inlineStr">
        <is>
          <t>File:A los Cañones - Isla Mágica.jpg</t>
        </is>
      </c>
      <c r="F136" s="29" t="inlineStr">
        <is>
          <t>Freddo</t>
        </is>
      </c>
      <c r="G136" s="29" t="inlineStr">
        <is>
          <t>CC BY-SA 4.0</t>
        </is>
      </c>
      <c r="H136" s="29" t="inlineStr">
        <is>
          <t>https://creativecommons.org/licenses/by-sa/4.0/</t>
        </is>
      </c>
      <c r="I136" s="29" t="inlineStr">
        <is>
          <t>Creative Commons Attribution-Share Alike 4.0</t>
        </is>
      </c>
      <c r="J136" s="29" t="inlineStr">
        <is>
          <t>Freddo · CC BY-SA 4.0 · Wikimedia Commons</t>
        </is>
      </c>
      <c r="K136" s="29" t="n"/>
      <c r="L136" s="49" t="n">
        <v>46320</v>
      </c>
      <c r="M136" s="29" t="inlineStr">
        <is>
          <t>Bekliyor</t>
        </is>
      </c>
      <c r="N136" s="29" t="inlineStr">
        <is>
          <t>Bekliyor</t>
        </is>
      </c>
      <c r="O136" s="29" t="inlineStr">
        <is>
          <t>Fotoğraflar/sevilla_isla-magica_01.jpg</t>
        </is>
      </c>
      <c r="P136" s="29" t="inlineStr">
        <is>
          <t>Isla Mágica'da palmiyeler arasında renkli botlu su oyunu.</t>
        </is>
      </c>
      <c r="Q136" s="29" t="inlineStr">
        <is>
          <t>Bekliyor</t>
        </is>
      </c>
      <c r="R136" s="29" t="inlineStr">
        <is>
          <t>Wikimedia Commons dosya sayfasındaki lisans: CC BY-SA 4.0</t>
        </is>
      </c>
      <c r="S136" s="29" t="inlineStr">
        <is>
          <t>Lisans kanıtları/isla-magica-01.source-evidence.json</t>
        </is>
      </c>
      <c r="T136" s="29" t="inlineStr">
        <is>
          <t>4fb36f24d953ea8f42d1c0b3159b96253b0668a330e6a617ce3585c2ed49a590</t>
        </is>
      </c>
      <c r="U136" s="29" t="inlineStr">
        <is>
          <t>Lisans kanıtları/isla-magica-01.license-evidence.json</t>
        </is>
      </c>
      <c r="V136" s="29" t="inlineStr">
        <is>
          <t>ffe490af74ca6145f62e1cb52c933ba8009d884edc4214a6e2a049d637cac27c</t>
        </is>
      </c>
      <c r="W136" s="29" t="inlineStr">
        <is>
          <t>{"source_url": "https://commons.wikimedia.org/wiki/File:A_los_Ca%C3%B1ones_-_Isla_M%C3%A1gica.jpg", "author": "Freddo", "license": "CC BY-SA 4.0", "license_url": "https://creativecommons.org/licenses/by-sa/4.0/", "original_api_record": {"size": 5523180, "width": 3648, "height": 2736, "thumburl": "https://thumb.wikimedia.org/wikipedia/commons/thumb/6/60/A_los_Ca%C3%B1ones_-_Isla_M%C3%A1gica.jpg/1280px-A_los_Ca%C3%B1ones_-_Isla_M%C3%A1gica.jpg", "thumbwidth": 1280, "thumbheight": 960, "responsiveUrls": {"2": "https://upload.wikimedia.org/wikipedia/commons/6/60/A_los_Ca%C3%B1ones_-_Isla_M%C3%A1gica.jpg"}, "thumbattribs": {"src": "https://thumb.wikimedia.org/wikipedia/commons/thumb/6/60/A_los_Ca%C3%B1ones_-_Isla_M%C3%A1gica.jpg/1280px-A_los_Ca%C3%B1ones_-_Isla_M%C3%A1gica.jpg", "decoding": "async", "loading": "lazy", "width": 1280, "height": 960, "srcset": "https://upload.wikimedia.org/wikipedia/commons/6/60/A_los_Ca%C3%B1ones_-_Isla_M%C3%A1gica.jpg 2x"}, "url": "https://upload.wikimedia.org/wikipedia/commons/6/60/A_los_Ca%C3%B1ones_-_Isla_M%C3%A1gica.jpg", "descriptionurl": "https://commons.wikimedia.org/wiki/File:A_los_Ca%C3%B1ones_-_Isla_M%C3%A1gica.jpg", "descriptionshorturl": "https://commons.wikimedia.org/w/index.php?curid=110859222", "sha1": "a89185c4a46c0b5c76a2c8c83c47d4327e7a6452", "extmetadata": {"DateTime": {"value": "2021-10-09 16:19:28", "source": "mediawiki-metadata", "hidden": ""}, "ObjectName": {"value": "A los Cañones - Isla Mágica", "source": "mediawiki-metadata"}, "CommonsMetadataExtension": {"value": 1.2, "source": "extension", "hidden": ""}, "Categories": {"value": "Isla Mágica|Amusement rides manufactured by Zamperla|Self-published work|Amusement parks in 2021", "source": "commons-categories", "hidden": ""}, "Assessments": {"value": "", "source": "commons-categories", "hidden": ""}, "ImageDescription": {"value": "A los Cañones à Isla Mágica", "source": "commons-desc-page"}, "DateTimeOriginal": {"value": "2021-09-19 12:41:32", "source": "commons-desc-page"}, "Credit": {"value": "&lt;span class=\"int-own-work\" lang=\"en\"&gt;Own work&lt;/span&gt;", "source": "commons-desc-page"}, "Artist": {"value": "&lt;a href=\"//commons.wikimedia.org/wiki/User:Freddo\" title=\"User:Freddo\"&gt;Freddo&lt;/a&gt;",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"https://thumb.wikimedia.org/wikipedia/commons/thumb/6/60/A_los_Ca%C3%B1ones_-_Isla_M%C3%A1gica.jpg/1280px-A_los_Ca%C3%B1ones_-_Isla_M%C3%A1gica.jpg"}, "retrieved_on": "2026-10-25"}</t>
        </is>
      </c>
    </row>
    <row r="137" ht="54" customHeight="1">
      <c r="A137" s="29" t="inlineStr">
        <is>
          <t>sevilla:evidence:isla-magica-02</t>
        </is>
      </c>
      <c r="B137" s="29" t="inlineStr">
        <is>
          <t>sevilla</t>
        </is>
      </c>
      <c r="C137" s="29" t="inlineStr">
        <is>
          <t>sevilla:photo:isla-magica-02</t>
        </is>
      </c>
      <c r="D137" s="29" t="inlineStr">
        <is>
          <t>https://commons.wikimedia.org/wiki/File:Agua_M%C3%A1gica.JPG</t>
        </is>
      </c>
      <c r="E137" s="29" t="inlineStr">
        <is>
          <t>File:Agua Mágica.JPG</t>
        </is>
      </c>
      <c r="F137" s="29" t="inlineStr">
        <is>
          <t>CarlosVdeHabsburgo</t>
        </is>
      </c>
      <c r="G137" s="29" t="inlineStr">
        <is>
          <t>CC BY-SA 4.0</t>
        </is>
      </c>
      <c r="H137" s="29" t="inlineStr">
        <is>
          <t>https://creativecommons.org/licenses/by-sa/4.0/</t>
        </is>
      </c>
      <c r="I137" s="29" t="inlineStr">
        <is>
          <t>Creative Commons Attribution-Share Alike 4.0</t>
        </is>
      </c>
      <c r="J137" s="29" t="inlineStr">
        <is>
          <t>CarlosVdeHabsburgo · CC BY-SA 4.0 · Wikimedia Commons</t>
        </is>
      </c>
      <c r="K137" s="29" t="n"/>
      <c r="L137" s="49" t="n">
        <v>46320</v>
      </c>
      <c r="M137" s="29" t="inlineStr">
        <is>
          <t>Bekliyor</t>
        </is>
      </c>
      <c r="N137" s="29" t="inlineStr">
        <is>
          <t>Bekliyor</t>
        </is>
      </c>
      <c r="O137" s="29" t="inlineStr">
        <is>
          <t>Fotoğraflar/sevilla_isla-magica_02.jpg</t>
        </is>
      </c>
      <c r="P137" s="29" t="inlineStr">
        <is>
          <t>Isla Mágica'nın su parkı bölümünde renkli kaydıraklar.</t>
        </is>
      </c>
      <c r="Q137" s="29" t="inlineStr">
        <is>
          <t>Bekliyor</t>
        </is>
      </c>
      <c r="R137" s="29" t="inlineStr">
        <is>
          <t>Wikimedia Commons dosya sayfasındaki lisans: CC BY-SA 4.0</t>
        </is>
      </c>
      <c r="S137" s="29" t="inlineStr">
        <is>
          <t>Lisans kanıtları/isla-magica-02.source-evidence.json</t>
        </is>
      </c>
      <c r="T137" s="29" t="inlineStr">
        <is>
          <t>d1a2fca4ddbbbc52eec2b44b8190dce6a46a633dbacb8641b2ff220bdad3d641</t>
        </is>
      </c>
      <c r="U137" s="29" t="inlineStr">
        <is>
          <t>Lisans kanıtları/isla-magica-02.license-evidence.json</t>
        </is>
      </c>
      <c r="V137" s="29" t="inlineStr">
        <is>
          <t>1a84c8f6014e256372584fc09f99b6714a926102233247ab72e3fd194eb76035</t>
        </is>
      </c>
      <c r="W137" s="29" t="inlineStr">
        <is>
          <t>{"source_url": "https://commons.wikimedia.org/wiki/File:Agua_M%C3%A1gica.JPG", "author": "CarlosVdeHabsburgo", "license": "CC BY-SA 4.0", "license_url": "https://creativecommons.org/licenses/by-sa/4.0/", "original_api_record": {"size": 3533783, "width": 4320, "height": 3240, "thumburl": "https://thumb.wikimedia.org/wikipedia/commons/thumb/4/45/Agua_M%C3%A1gica.JPG/1280px-Agua_M%C3%A1gica.JPG", "thumbwidth": 1280, "thumbheight": 960, "responsiveUrls": {"2": "https://thumb.wikimedia.org/wikipedia/commons/thumb/4/45/Agua_M%C3%A1gica.JPG/3840px-Agua_M%C3%A1gica.JPG"}, "thumbattribs": {"src": "https://thumb.wikimedia.org/wikipedia/commons/thumb/4/45/Agua_M%C3%A1gica.JPG/1280px-Agua_M%C3%A1gica.JPG", "decoding": "async", "loading": "lazy", "width": 1280, "height": 960, "srcset": "https://thumb.wikimedia.org/wikipedia/commons/thumb/4/45/Agua_M%C3%A1gica.JPG/3840px-Agua_M%C3%A1gica.JPG 2x"}, "url": "https://upload.wikimedia.org/wikipedia/commons/4/45/Agua_M%C3%A1gica.JPG", "descriptionurl": "https://commons.wikimedia.org/wiki/File:Agua_M%C3%A1gica.JPG", "descriptionshorturl": "https://commons.wikimedia.org/w/index.php?curid=41490634", "sha1": "12b193ab532aa8864def511bd3221e56cac2d020", "extmetadata": {"DateTime": {"value": "2015-07-10 18:01:35", "source": "mediawiki-metadata", "hidden": ""}, "ObjectName": {"value": "Agua Mágica", "source": "mediawiki-metadata"}, "CommonsMetadataExtension": {"value": 1.2, "source": "extension", "hidden": ""}, "Categories": {"value": "Isla Mágica|Self-published work|Water slides in Spain", "source": "commons-categories", "hidden": ""}, "Assessments": {"value": "", "source": "commons-categories", "hidden": ""}, "ImageDescription": {"value": "Agua Mágica es el nombre de una zona diseñada como parque acuático dentro del parque temático Isla Mágica. Sevilla, Andalucía, España.", "source": "commons-desc-page"}, "DateTimeOriginal": {"value": "2015-07-10 15:12:34",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"https://thumb.wikimedia.org/wikipedia/commons/thumb/4/45/Agua_M%C3%A1gica.JPG/1280px-Agua_M%C3%A1gica.JPG"}, "retrieved_on": "2026-10-25"}</t>
        </is>
      </c>
    </row>
    <row r="138" ht="54" customHeight="1">
      <c r="A138" s="29" t="inlineStr">
        <is>
          <t>sevilla:evidence:isla-magica-03</t>
        </is>
      </c>
      <c r="B138" s="29" t="inlineStr">
        <is>
          <t>sevilla</t>
        </is>
      </c>
      <c r="C138" s="29" t="inlineStr">
        <is>
          <t>sevilla:photo:isla-magica-03</t>
        </is>
      </c>
      <c r="D138" s="29" t="inlineStr">
        <is>
          <t>https://commons.wikimedia.org/wiki/File:Anaconda_-_Isla_M%C3%A1gica.jpg</t>
        </is>
      </c>
      <c r="E138" s="29" t="inlineStr">
        <is>
          <t>File:Anaconda - Isla Mágica.jpg</t>
        </is>
      </c>
      <c r="F138" s="29" t="inlineStr">
        <is>
          <t>Freddo</t>
        </is>
      </c>
      <c r="G138" s="29" t="inlineStr">
        <is>
          <t>CC BY-SA 4.0</t>
        </is>
      </c>
      <c r="H138" s="29" t="inlineStr">
        <is>
          <t>https://creativecommons.org/licenses/by-sa/4.0/</t>
        </is>
      </c>
      <c r="I138" s="29" t="inlineStr">
        <is>
          <t>Creative Commons Attribution-Share Alike 4.0</t>
        </is>
      </c>
      <c r="J138" s="29" t="inlineStr">
        <is>
          <t>Freddo · CC BY-SA 4.0 · Wikimedia Commons</t>
        </is>
      </c>
      <c r="K138" s="29" t="n"/>
      <c r="L138" s="49" t="n">
        <v>46320</v>
      </c>
      <c r="M138" s="29" t="inlineStr">
        <is>
          <t>Bekliyor</t>
        </is>
      </c>
      <c r="N138" s="29" t="inlineStr">
        <is>
          <t>Bekliyor</t>
        </is>
      </c>
      <c r="O138" s="29" t="inlineStr">
        <is>
          <t>Fotoğraflar/sevilla_isla-magica_03.jpg</t>
        </is>
      </c>
      <c r="P138" s="29" t="inlineStr">
        <is>
          <t>Isla Mágica'da suya inen kütük botlu Anaconda kaydırağı.</t>
        </is>
      </c>
      <c r="Q138" s="29" t="inlineStr">
        <is>
          <t>Bekliyor</t>
        </is>
      </c>
      <c r="R138" s="29" t="inlineStr">
        <is>
          <t>Wikimedia Commons dosya sayfasındaki lisans: CC BY-SA 4.0</t>
        </is>
      </c>
      <c r="S138" s="29" t="inlineStr">
        <is>
          <t>Lisans kanıtları/isla-magica-03.source-evidence.json</t>
        </is>
      </c>
      <c r="T138" s="29" t="inlineStr">
        <is>
          <t>278bbca7cca5ea48e54fc2ad6788c09bdc07604295fd09c139c3d759fd384b78</t>
        </is>
      </c>
      <c r="U138" s="29" t="inlineStr">
        <is>
          <t>Lisans kanıtları/isla-magica-03.license-evidence.json</t>
        </is>
      </c>
      <c r="V138" s="29" t="inlineStr">
        <is>
          <t>0ae1c9f3d93e755a2e66055b03bf07436fa563820bd1dc9984ccf1d1e029dfa5</t>
        </is>
      </c>
      <c r="W138" s="29" t="inlineStr">
        <is>
          <t>{"source_url": "https://commons.wikimedia.org/wiki/File:Anaconda_-_Isla_M%C3%A1gica.jpg", "author": "Freddo", "license": "CC BY-SA 4.0", "license_url": "https://creativecommons.org/licenses/by-sa/4.0/", "original_api_record": {"size": 5735689, "width": 3648, "height": 2736, "thumburl": "https://thumb.wikimedia.org/wikipedia/commons/thumb/a/aa/Anaconda_-_Isla_M%C3%A1gica.jpg/1280px-Anaconda_-_Isla_M%C3%A1gica.jpg", "thumbwidth": 1280, "thumbheight": 960, "responsiveUrls": {"2": "https://upload.wikimedia.org/wikipedia/commons/a/aa/Anaconda_-_Isla_M%C3%A1gica.jpg"}, "thumbattribs": {"src": "https://thumb.wikimedia.org/wikipedia/commons/thumb/a/aa/Anaconda_-_Isla_M%C3%A1gica.jpg/1280px-Anaconda_-_Isla_M%C3%A1gica.jpg", "decoding": "async", "loading": "lazy", "width": 1280, "height": 960, "srcset": "https://upload.wikimedia.org/wikipedia/commons/a/aa/Anaconda_-_Isla_M%C3%A1gica.jpg 2x"}, "url": "https://upload.wikimedia.org/wikipedia/commons/a/aa/Anaconda_-_Isla_M%C3%A1gica.jpg", "descriptionurl": "https://commons.wikimedia.org/wiki/File:Anaconda_-_Isla_M%C3%A1gica.jpg", "descriptionshorturl": "https://commons.wikimedia.org/w/index.php?curid=110859235", "sha1": "85e3e08cc6c817cd46d66430d56d1b100fb4c86b", "extmetadata": {"DateTime": {"value": "2021-10-09 16:19:59", "source": "mediawiki-metadata", "hidden": ""}, "ObjectName": {"value": "Anaconda - Isla Mágica", "source": "mediawiki-metadata"}, "CommonsMetadataExtension": {"value": 1.2, "source": "extension", "hidden": ""}, "Categories": {"value": "Log flumes (attraction)|Isla Mágica|Water rides manufactured by Mack Rides|Self-published work|Amusement parks in 2021", "source": "commons-categories", "hidden": ""}, "Assessments": {"value": "", "source": "commons-categories", "hidden": ""}, "ImageDescription": {"value": "Anaconda à Isla Mágica", "source": "commons-desc-page"}, "DateTimeOriginal": {"value": "2021-09-19 15:02:59", "source": "commons-desc-page"}, "Credit": {"value": "&lt;span class=\"int-own-work\" lang=\"en\"&gt;Own work&lt;/span&gt;", "source": "commons-desc-page"}, "Artist": {"value": "&lt;a href=\"//commons.wikimedia.org/wiki/User:Freddo\" title=\"User:Freddo\"&gt;Freddo&lt;/a&gt;",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"https://thumb.wikimedia.org/wikipedia/commons/thumb/a/aa/Anaconda_-_Isla_M%C3%A1gica.jpg/1280px-Anaconda_-_Isla_M%C3%A1gica.jpg"}, "retrieved_on": "2026-10-25"}</t>
        </is>
      </c>
    </row>
    <row r="139" ht="54" customHeight="1">
      <c r="A139" s="29" t="inlineStr">
        <is>
          <t>sevilla:evidence:casa-de-la-ciencia-01</t>
        </is>
      </c>
      <c r="B139" s="29" t="inlineStr">
        <is>
          <t>sevilla</t>
        </is>
      </c>
      <c r="C139" s="29" t="inlineStr">
        <is>
          <t>sevilla:photo:casa-de-la-ciencia-01</t>
        </is>
      </c>
      <c r="D139" s="29" t="inlineStr">
        <is>
          <t>https://commons.wikimedia.org/wiki/File:Balcony_of_Casa_de_la_Ciencia,_Seville,_Spain.jpg</t>
        </is>
      </c>
      <c r="E139" s="29" t="inlineStr">
        <is>
          <t>File:Balcony of Casa de la Ciencia, Seville, Spain.jpg</t>
        </is>
      </c>
      <c r="F139" s="29" t="inlineStr">
        <is>
          <t>Tulumnes</t>
        </is>
      </c>
      <c r="G139" s="29" t="inlineStr">
        <is>
          <t>CC BY-SA 4.0</t>
        </is>
      </c>
      <c r="H139" s="29" t="inlineStr">
        <is>
          <t>https://creativecommons.org/licenses/by-sa/4.0/</t>
        </is>
      </c>
      <c r="I139" s="29" t="inlineStr">
        <is>
          <t>Creative Commons Attribution-Share Alike 4.0</t>
        </is>
      </c>
      <c r="J139" s="29" t="inlineStr">
        <is>
          <t>Tulumnes · CC BY-SA 4.0 · Wikimedia Commons</t>
        </is>
      </c>
      <c r="K139" s="29" t="n"/>
      <c r="L139" s="49" t="n">
        <v>46320</v>
      </c>
      <c r="M139" s="29" t="inlineStr">
        <is>
          <t>Bekliyor</t>
        </is>
      </c>
      <c r="N139" s="29" t="inlineStr">
        <is>
          <t>Bekliyor</t>
        </is>
      </c>
      <c r="O139" s="29" t="inlineStr">
        <is>
          <t>Fotoğraflar/sevilla_casa-de-la-ciencia_01.jpg</t>
        </is>
      </c>
      <c r="P139" s="29" t="inlineStr">
        <is>
          <t>Bilim Evi'nin (eski Peru Pavyonu) oymalı ahşap balkonlu cephesi.</t>
        </is>
      </c>
      <c r="Q139" s="29" t="inlineStr">
        <is>
          <t>Bekliyor</t>
        </is>
      </c>
      <c r="R139" s="29" t="inlineStr">
        <is>
          <t>Wikimedia Commons dosya sayfasındaki lisans: CC BY-SA 4.0</t>
        </is>
      </c>
      <c r="S139" s="29" t="inlineStr">
        <is>
          <t>Lisans kanıtları/casa-de-la-ciencia-01.source-evidence.json</t>
        </is>
      </c>
      <c r="T139" s="29" t="inlineStr">
        <is>
          <t>418a930a201fca3e89b99612ae50eb937900d360ae186128e7591088b862e75b</t>
        </is>
      </c>
      <c r="U139" s="29" t="inlineStr">
        <is>
          <t>Lisans kanıtları/casa-de-la-ciencia-01.license-evidence.json</t>
        </is>
      </c>
      <c r="V139" s="29" t="inlineStr">
        <is>
          <t>beb54895f0de890ac723694f50ee30257daeba848c942825a942789b457ca626</t>
        </is>
      </c>
      <c r="W139" s="29" t="inlineStr">
        <is>
          <t>{"source_url": "https://commons.wikimedia.org/wiki/File:Balcony_of_Casa_de_la_Ciencia,_Seville,_Spain.jpg", "author": "Tulumnes", "license": "CC BY-SA 4.0", "license_url": "https://creativecommons.org/licenses/by-sa/4.0/", "original_api_record": {"size": 9149490, "width": 5184, "height": 3456, "thumburl": "https://thumb.wikimedia.org/wikipedia/commons/thumb/1/1f/Balcony_of_Casa_de_la_Ciencia%2C_Seville%2C_Spain.jpg/1280px-Balcony_of_Casa_de_la_Ciencia%2C_Seville%2C_Spain.jpg", "thumbwidth": 1280, "thumbheight": 853, "responsiveUrls": {"2": "https://thumb.wikimedia.org/wikipedia/commons/thumb/1/1f/Balcony_of_Casa_de_la_Ciencia%2C_Seville%2C_Spain.jpg/3840px-Balcony_of_Casa_de_la_Ciencia%2C_Seville%2C_Spain.jpg"}, "thumbattribs": {"src": "https://thumb.wikimedia.org/wikipedia/commons/thumb/1/1f/Balcony_of_Casa_de_la_Ciencia%2C_Seville%2C_Spain.jpg/1280px-Balcony_of_Casa_de_la_Ciencia%2C_Seville%2C_Spain.jpg", "decoding": "async", "loading": "lazy", "width": 1280, "height": 853, "srcset": "https://thumb.wikimedia.org/wikipedia/commons/thumb/1/1f/Balcony_of_Casa_de_la_Ciencia%2C_Seville%2C_Spain.jpg/3840px-Balcony_of_Casa_de_la_Ciencia%2C_Seville%2C_Spain.jpg 2x"}, "url": "https://upload.wikimedia.org/wikipedia/commons/1/1f/Balcony_of_Casa_de_la_Ciencia%2C_Seville%2C_Spain.jpg", "descriptionurl": "https://commons.wikimedia.org/wiki/File:Balcony_of_Casa_de_la_Ciencia,_Seville,_Spain.jpg", "descriptionshorturl": "https://commons.wikimedia.org/w/index.php?curid=74020717", "sha1": "ee68d588ab72073518c3196682a02b0267797f58", "extmetadata": {"DateTime": {"value": "2018-10-31 21:08:52", "source": "mediawiki-metadata", "hidden": ""}, "ObjectName": {"value": "Balcony of Casa de la Ciencia, Seville, Spain", "source": "mediawiki-metadata"}, "CommonsMetadataExtension": {"value": 1.2, "source": "extension", "hidden": ""}, "Categories": {"value": "Peru Pavilion of Expo 1929|Self-published work|June 2014 in Seville|Buildings in Seville photographed in 2014|Balconies in Seville", "source": "commons-categories", "hidden": ""}, "Assessments": {"value": "", "source": "commons-categories", "hidden": ""}, "ImageDescription": {"value": "Balcony of Casa de la Ciencia, Seville, Spain", "source": "commons-desc-page"}, "DateTimeOriginal": {"value": "2014-06-25 19:30:42", "source": "commons-desc-page"}, "Credit": {"value": "&lt;span class=\"int-own-work\" lang=\"en\"&gt;Own work&lt;/span&gt;", "source": "commons-desc-page"}, "Artist": {"value": "&lt;a href=\"//commons.wikimedia.org/w/index.php?title=User:Tulumnes&amp;amp;action=edit&amp;amp;redlink=1\" class=\"new\" title=\"User:Tulumnes (page does not exist)\"&gt;Tulumnes&lt;/a&gt;",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"https://thumb.wikimedia.org/wikipedia/commons/thumb/1/1f/Balcony_of_Casa_de_la_Ciencia%2C_Seville%2C_Spain.jpg/1280px-Balcony_of_Casa_de_la_Ciencia%2C_Seville%2C_Spain.jpg"}, "retrieved_on": "2026-10-25"}</t>
        </is>
      </c>
    </row>
    <row r="140" ht="54" customHeight="1">
      <c r="A140" s="29" t="inlineStr">
        <is>
          <t>sevilla:evidence:casa-de-la-ciencia-02</t>
        </is>
      </c>
      <c r="B140" s="29" t="inlineStr">
        <is>
          <t>sevilla</t>
        </is>
      </c>
      <c r="C140" s="29" t="inlineStr">
        <is>
          <t>sevilla:photo:casa-de-la-ciencia-02</t>
        </is>
      </c>
      <c r="D140" s="29" t="inlineStr">
        <is>
          <t>https://commons.wikimedia.org/wiki/File:Exteriores_del_Pabell%C3%B3n_de_Per%C3%BA.jpg</t>
        </is>
      </c>
      <c r="E140" s="29" t="inlineStr">
        <is>
          <t>File:Exteriores del Pabellón de Perú.jpg</t>
        </is>
      </c>
      <c r="F140" s="29" t="inlineStr">
        <is>
          <t>CarlosVdeHabsburgo</t>
        </is>
      </c>
      <c r="G140" s="29" t="inlineStr">
        <is>
          <t>CC BY-SA 4.0</t>
        </is>
      </c>
      <c r="H140" s="29" t="inlineStr">
        <is>
          <t>https://creativecommons.org/licenses/by-sa/4.0/</t>
        </is>
      </c>
      <c r="I140" s="29" t="inlineStr">
        <is>
          <t>Creative Commons Attribution-Share Alike 4.0</t>
        </is>
      </c>
      <c r="J140" s="29" t="inlineStr">
        <is>
          <t>CarlosVdeHabsburgo · CC BY-SA 4.0 · Wikimedia Commons</t>
        </is>
      </c>
      <c r="K140" s="29" t="n"/>
      <c r="L140" s="49" t="n">
        <v>46320</v>
      </c>
      <c r="M140" s="29" t="inlineStr">
        <is>
          <t>Bekliyor</t>
        </is>
      </c>
      <c r="N140" s="29" t="inlineStr">
        <is>
          <t>Bekliyor</t>
        </is>
      </c>
      <c r="O140" s="29" t="inlineStr">
        <is>
          <t>Fotoğraflar/sevilla_casa-de-la-ciencia_02.jpg</t>
        </is>
      </c>
      <c r="P140" s="29" t="inlineStr">
        <is>
          <t>Bilim Evi'nin önündeki ağaçlı avlu ve oturma blokları.</t>
        </is>
      </c>
      <c r="Q140" s="29" t="inlineStr">
        <is>
          <t>Bekliyor</t>
        </is>
      </c>
      <c r="R140" s="29" t="inlineStr">
        <is>
          <t>Wikimedia Commons dosya sayfasındaki lisans: CC BY-SA 4.0</t>
        </is>
      </c>
      <c r="S140" s="29" t="inlineStr">
        <is>
          <t>Lisans kanıtları/casa-de-la-ciencia-02.source-evidence.json</t>
        </is>
      </c>
      <c r="T140" s="29" t="inlineStr">
        <is>
          <t>379c30205b1f057b7026b030a816595ee45ab4dcdc5a4ee1a53d7e1463e8cb87</t>
        </is>
      </c>
      <c r="U140" s="29" t="inlineStr">
        <is>
          <t>Lisans kanıtları/casa-de-la-ciencia-02.license-evidence.json</t>
        </is>
      </c>
      <c r="V140" s="29" t="inlineStr">
        <is>
          <t>08399418eb7b73fed757414d1361ef87b9d6798905954eed43026a54ccd5c121</t>
        </is>
      </c>
      <c r="W140" s="29" t="inlineStr">
        <is>
          <t>{"source_url": "https://commons.wikimedia.org/wiki/File:Exteriores_del_Pabell%C3%B3n_de_Per%C3%BA.jpg", "author": "CarlosVdeHabsburgo", "license": "CC BY-SA 4.0", "license_url": "https://creativecommons.org/licenses/by-sa/4.0/", "original_api_record": {"size": 6440960, "width": 4000, "height": 3000, "thumburl": "https://thumb.wikimedia.org/wikipedia/commons/thumb/e/e3/Exteriores_del_Pabell%C3%B3n_de_Per%C3%BA.jpg/1280px-Exteriores_del_Pabell%C3%B3n_de_Per%C3%BA.jpg", "thumbwidth": 1280, "thumbheight": 960, "responsiveUrls": {"2": "https://thumb.wikimedia.org/wikipedia/commons/thumb/e/e3/Exteriores_del_Pabell%C3%B3n_de_Per%C3%BA.jpg/3840px-Exteriores_del_Pabell%C3%B3n_de_Per%C3%BA.jpg"}, "thumbattribs": {"src": "https://thumb.wikimedia.org/wikipedia/commons/thumb/e/e3/Exteriores_del_Pabell%C3%B3n_de_Per%C3%BA.jpg/1280px-Exteriores_del_Pabell%C3%B3n_de_Per%C3%BA.jpg", "decoding": "async", "loading": "lazy", "width": 1280, "height": 960, "srcset": "https://thumb.wikimedia.org/wikipedia/commons/thumb/e/e3/Exteriores_del_Pabell%C3%B3n_de_Per%C3%BA.jpg/3840px-Exteriores_del_Pabell%C3%B3n_de_Per%C3%BA.jpg 2x"}, "url": "https://upload.wikimedia.org/wikipedia/commons/e/e3/Exteriores_del_Pabell%C3%B3n_de_Per%C3%BA.jpg", "descriptionurl": "https://commons.wikimedia.org/wiki/File:Exteriores_del_Pabell%C3%B3n_de_Per%C3%BA.jpg", "descriptionshorturl": "https://commons.wikimedia.org/w/index.php?curid=132563305", "sha1": "d4478b00f228031abb4e9c1586573458e091d000", "extmetadata": {"DateTime": {"value": "2023-06-01 17:45:03", "source": "mediawiki-metadata", "hidden": ""}, "ObjectName": {"value": "Exteriores del Pabellón de Perú", "source": "mediawiki-metadata"}, "CommonsMetadataExtension": {"value": 1.2, "source": "extension", "hidden": ""}, "Categories": {"value": "Peru Pavilion of Expo 1929|Self-published work|Benches in Seville", "source": "commons-categories", "hidden": ""}, "Assessments": {"value": "", "source": "commons-categories", "hidden": ""}, "ImageDescription": {"value": "Exteriores del Pabellón de Perú de la Exposición Iberoamericana de Sevilla de 1929", "source": "commons-desc-page"}, "DateTimeOriginal": {"value": "2023-06-01 10:52:52",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"https://thumb.wikimedia.org/wikipedia/commons/thumb/e/e3/Exteriores_del_Pabell%C3%B3n_de_Per%C3%BA.jpg/1280px-Exteriores_del_Pabell%C3%B3n_de_Per%C3%BA.jpg"}, "retrieved_on": "2026-10-25"}</t>
        </is>
      </c>
    </row>
    <row r="141" ht="54" customHeight="1">
      <c r="A141" s="29" t="inlineStr">
        <is>
          <t>sevilla:evidence:casa-de-la-ciencia-03</t>
        </is>
      </c>
      <c r="B141" s="29" t="inlineStr">
        <is>
          <t>sevilla</t>
        </is>
      </c>
      <c r="C141" s="29" t="inlineStr">
        <is>
          <t>sevilla:photo:casa-de-la-ciencia-03</t>
        </is>
      </c>
      <c r="D141" s="29" t="inlineStr">
        <is>
          <t>https://commons.wikimedia.org/wiki/File:G%C3%A1rgola_(Pabell%C3%B3n_de_Per%C3%BA)_01.jpg</t>
        </is>
      </c>
      <c r="E141" s="29" t="inlineStr">
        <is>
          <t>File:Gárgola (Pabellón de Perú) 01.jpg</t>
        </is>
      </c>
      <c r="F141" s="29" t="inlineStr">
        <is>
          <t>CarlosVdeHabsburgo</t>
        </is>
      </c>
      <c r="G141" s="29" t="inlineStr">
        <is>
          <t>CC BY-SA 4.0</t>
        </is>
      </c>
      <c r="H141" s="29" t="inlineStr">
        <is>
          <t>https://creativecommons.org/licenses/by-sa/4.0/</t>
        </is>
      </c>
      <c r="I141" s="29" t="inlineStr">
        <is>
          <t>Creative Commons Attribution-Share Alike 4.0</t>
        </is>
      </c>
      <c r="J141" s="29" t="inlineStr">
        <is>
          <t>CarlosVdeHabsburgo · CC BY-SA 4.0 · Wikimedia Commons</t>
        </is>
      </c>
      <c r="K141" s="29" t="n"/>
      <c r="L141" s="49" t="n">
        <v>46320</v>
      </c>
      <c r="M141" s="29" t="inlineStr">
        <is>
          <t>Bekliyor</t>
        </is>
      </c>
      <c r="N141" s="29" t="inlineStr">
        <is>
          <t>Bekliyor</t>
        </is>
      </c>
      <c r="O141" s="29" t="inlineStr">
        <is>
          <t>Fotoğraflar/sevilla_casa-de-la-ciencia_03.jpg</t>
        </is>
      </c>
      <c r="P141" s="29" t="inlineStr">
        <is>
          <t>Peru Pavyonu cephesindeki taş çörtenler, Bilim Evi binasında.</t>
        </is>
      </c>
      <c r="Q141" s="29" t="inlineStr">
        <is>
          <t>Bekliyor</t>
        </is>
      </c>
      <c r="R141" s="29" t="inlineStr">
        <is>
          <t>Wikimedia Commons dosya sayfasındaki lisans: CC BY-SA 4.0</t>
        </is>
      </c>
      <c r="S141" s="29" t="inlineStr">
        <is>
          <t>Lisans kanıtları/casa-de-la-ciencia-03.source-evidence.json</t>
        </is>
      </c>
      <c r="T141" s="29" t="inlineStr">
        <is>
          <t>c4c853ed283dffeb47716fc9879bc3e9171f1aebf5522ba941461de139649f64</t>
        </is>
      </c>
      <c r="U141" s="29" t="inlineStr">
        <is>
          <t>Lisans kanıtları/casa-de-la-ciencia-03.license-evidence.json</t>
        </is>
      </c>
      <c r="V141" s="29" t="inlineStr">
        <is>
          <t>cb47f63d29540cd9cb52dfc20b3dc90a686751f0f8c230864aa9e35ea9db42ad</t>
        </is>
      </c>
      <c r="W141" s="29" t="inlineStr">
        <is>
          <t>{"source_url": "https://commons.wikimedia.org/wiki/File:G%C3%A1rgola_(Pabell%C3%B3n_de_Per%C3%BA)_01.jpg", "author": "CarlosVdeHabsburgo", "license": "CC BY-SA 4.0", "license_url": "https://creativecommons.org/licenses/by-sa/4.0/", "original_api_record": {"size": 6636544, "width": 4000, "height": 3000, "thumburl": "https://thumb.wikimedia.org/wikipedia/commons/thumb/a/a2/G%C3%A1rgola_%28Pabell%C3%B3n_de_Per%C3%BA%29_01.jpg/1280px-G%C3%A1rgola_%28Pabell%C3%B3n_de_Per%C3%BA%29_01.jpg", "thumbwidth": 1280, "thumbheight": 960, "responsiveUrls": {"2": "https://thumb.wikimedia.org/wikipedia/commons/thumb/a/a2/G%C3%A1rgola_%28Pabell%C3%B3n_de_Per%C3%BA%29_01.jpg/3840px-G%C3%A1rgola_%28Pabell%C3%B3n_de_Per%C3%BA%29_01.jpg"}, "thumbattribs": {"src": "https://thumb.wikimedia.org/wikipedia/commons/thumb/a/a2/G%C3%A1rgola_%28Pabell%C3%B3n_de_Per%C3%BA%29_01.jpg/1280px-G%C3%A1rgola_%28Pabell%C3%B3n_de_Per%C3%BA%29_01.jpg", "decoding": "async", "loading": "lazy", "width": 1280, "height": 960, "srcset": "https://thumb.wikimedia.org/wikipedia/commons/thumb/a/a2/G%C3%A1rgola_%28Pabell%C3%B3n_de_Per%C3%BA%29_01.jpg/3840px-G%C3%A1rgola_%28Pabell%C3%B3n_de_Per%C3%BA%29_01.jpg 2x"}, "url": "https://upload.wikimedia.org/wikipedia/commons/a/a2/G%C3%A1rgola_%28Pabell%C3%B3n_de_Per%C3%BA%29_01.jpg", "descriptionurl": "https://commons.wikimedia.org/wiki/File:G%C3%A1rgola_(Pabell%C3%B3n_de_Per%C3%BA)_01.jpg", "descriptionshorturl": "https://commons.wikimedia.org/w/index.php?curid=132563541", "sha1": "22138228e05a5057c5f18236e50322fc6f3c59dd", "extmetadata": {"DateTime": {"value": "2023-06-01 17:48:59", "source": "mediawiki-metadata", "hidden": ""}, "ObjectName": {"value": "Gárgola (Pabellón de Perú) 01", "source": "mediawiki-metadata"}, "CommonsMetadataExtension": {"value": 1.2, "source": "extension", "hidden": ""}, "Categories": {"value": "Peru Pavilion of Expo 1929|Self-published work|Gargoyles in Seville", "source": "commons-categories", "hidden": ""}, "Assessments": {"value": "", "source": "commons-categories", "hidden": ""}, "ImageDescription": {"value": "Gárgola. Pabellón de Perú de la Exposición Iberoamericana de Sevilla de 1929.", "source": "commons-desc-page"}, "DateTimeOriginal": {"value": "2023-06-01 10:53:09",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"https://thumb.wikimedia.org/wikipedia/commons/thumb/a/a2/G%C3%A1rgola_%28Pabell%C3%B3n_de_Per%C3%BA%29_01.jpg/1280px-G%C3%A1rgola_%28Pabell%C3%B3n_de_Per%C3%BA%29_01.jpg"}, "retrieved_on": "2026-10-25"}</t>
        </is>
      </c>
    </row>
    <row r="142" ht="54" customHeight="1">
      <c r="A142" s="29" t="inlineStr">
        <is>
          <t>sevilla:evidence:estadio-benito-villamarin-tur-01</t>
        </is>
      </c>
      <c r="B142" s="29" t="inlineStr">
        <is>
          <t>sevilla</t>
        </is>
      </c>
      <c r="C142" s="29" t="inlineStr">
        <is>
          <t>sevilla:photo:estadio-benito-villamarin-tur-01</t>
        </is>
      </c>
      <c r="D142" s="29" t="inlineStr">
        <is>
          <t>https://commons.wikimedia.org/wiki/File:La_Cartuja_(Betis_vs_Sevilla).jpg</t>
        </is>
      </c>
      <c r="E142" s="29" t="inlineStr">
        <is>
          <t>File:La Cartuja (Betis vs Sevilla).jpg</t>
        </is>
      </c>
      <c r="F142" s="29" t="inlineStr">
        <is>
          <t>LuisMora4B</t>
        </is>
      </c>
      <c r="G142" s="29" t="inlineStr">
        <is>
          <t>CC BY-SA 4.0</t>
        </is>
      </c>
      <c r="H142" s="29" t="inlineStr">
        <is>
          <t>https://creativecommons.org/licenses/by-sa/4.0/</t>
        </is>
      </c>
      <c r="I142" s="29" t="inlineStr">
        <is>
          <t>Creative Commons Attribution-Share Alike 4.0</t>
        </is>
      </c>
      <c r="J142" s="29" t="inlineStr">
        <is>
          <t>LuisMora4B · CC BY-SA 4.0 · Wikimedia Commons</t>
        </is>
      </c>
      <c r="K142" s="29" t="n"/>
      <c r="L142" s="49" t="n">
        <v>46320</v>
      </c>
      <c r="M142" s="29" t="inlineStr">
        <is>
          <t>Bekliyor</t>
        </is>
      </c>
      <c r="N142" s="29" t="inlineStr">
        <is>
          <t>Bekliyor</t>
        </is>
      </c>
      <c r="O142" s="29" t="inlineStr">
        <is>
          <t>Fotoğraflar/sevilla_estadio-benito-villamarin-tur_01.jpg</t>
        </is>
      </c>
      <c r="P142" s="29" t="inlineStr">
        <is>
          <t>Gece ışıklandırılmış dolu La Cartuja Stadı'nda Betis maçı.</t>
        </is>
      </c>
      <c r="Q142" s="29" t="inlineStr">
        <is>
          <t>Bekliyor</t>
        </is>
      </c>
      <c r="R142" s="29" t="inlineStr">
        <is>
          <t>Wikimedia Commons dosya sayfasındaki lisans: CC BY-SA 4.0</t>
        </is>
      </c>
      <c r="S142" s="29" t="inlineStr">
        <is>
          <t>Lisans kanıtları/estadio-benito-villamarin-tur-01.source-evidence.json</t>
        </is>
      </c>
      <c r="T142" s="29" t="inlineStr">
        <is>
          <t>fd06dda4545ccc1c2e045b5c3a719f007e86f550f17e867ca0516714b7afe434</t>
        </is>
      </c>
      <c r="U142" s="29" t="inlineStr">
        <is>
          <t>Lisans kanıtları/estadio-benito-villamarin-tur-01.license-evidence.json</t>
        </is>
      </c>
      <c r="V142" s="29" t="inlineStr">
        <is>
          <t>817a449941e4be3b503f9616313f0420944ba0d0c90fa6724d1fb16e8647f32a</t>
        </is>
      </c>
      <c r="W142" s="29" t="inlineStr">
        <is>
          <t>{"source_url": "https://commons.wikimedia.org/wiki/File:La_Cartuja_(Betis_vs_Sevilla).jpg", "author": "LuisMora4B", "license": "CC BY-SA 4.0", "license_url": "https://creativecommons.org/licenses/by-sa/4.0/", "original_api_record": {"size": 3046670, "width": 4032, "height": 3024, "thumburl": "https://thumb.wikimedia.org/wikipedia/commons/thumb/0/06/La_Cartuja_%28Betis_vs_Sevilla%29.jpg/1280px-La_Cartuja_%28Betis_vs_Sevilla%29.jpg", "thumbwidth": 1280, "thumbheight": 960, "responsiveUrls": {"2": "https://thumb.wikimedia.org/wikipedia/commons/thumb/0/06/La_Cartuja_%28Betis_vs_Sevilla%29.jpg/3840px-La_Cartuja_%28Betis_vs_Sevilla%29.jpg"}, "thumbattribs": {"src": "https://thumb.wikimedia.org/wikipedia/commons/thumb/0/06/La_Cartuja_%28Betis_vs_Sevilla%29.jpg/1280px-La_Cartuja_%28Betis_vs_Sevilla%29.jpg", "decoding": "async", "loading": "lazy", "width": 1280, "height": 960, "srcset": "https://thumb.wikimedia.org/wikipedia/commons/thumb/0/06/La_Cartuja_%28Betis_vs_Sevilla%29.jpg/3840px-La_Cartuja_%28Betis_vs_Sevilla%29.jpg 2x"}, "url": "https://upload.wikimedia.org/wikipedia/commons/0/06/La_Cartuja_%28Betis_vs_Sevilla%29.jpg", "descriptionurl": "https://commons.wikimedia.org/wiki/File:La_Cartuja_(Betis_vs_Sevilla).jpg", "descriptionshorturl": "https://commons.wikimedia.org/w/index.php?curid=185543293", "sha1": "f3b080e274b303ff304f11e0d8c5547dfe6473aa", "extmetadata": {"DateTime": {"value": "2026-03-05 18:48:42", "source": "mediawiki-metadata", "hidden": ""}, "ObjectName": {"value": "La Cartuja (Betis vs Sevilla)", "source": "mediawiki-metadata"}, "CommonsMetadataExtension": {"value": 1.2, "source": "extension", "hidden": ""}, "Categories": {"value": "Self-published work|Files with coordinates missing SDC location of creation|All media needing categories as of 2026|Media needing categories as of 5 March 2026", "source": "commons-categories", "hidden": ""}, "Assessments": {"value": "", "source": "commons-categories", "hidden": ""}, "GPSLatitude": {"value": "37.417039", "source": "commons-desc-page"}, "GPSLongitude": {"value": "-6.005086", "source": "commons-desc-page"}, "GPSMapDatum": {"value": "WGS-84", "source": "commons-desc-page", "hidden": ""}, "ImageDescription": {"value": "Estadio La Cartuja en el derbi Betis vs Sevilla", "source": "commons-desc-page"}, "DateTimeOriginal": {"value": "2026-03-01 19:50:02", "source": "commons-desc-page"}, "Credit": {"value": "&lt;span class=\"int-own-work\" lang=\"en\"&gt;Own work&lt;/span&gt;", "source": "commons-desc-page"}, "Artist": {"value": "&lt;a href=\"//commons.wikimedia.org/w/index.php?title=User:LuisMora4B&amp;amp;action=edit&amp;amp;redlink=1\" class=\"new\" title=\"User:LuisMora4B (page does not exist)\"&gt;LuisMora4B&lt;/a&gt;",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"https://thumb.wikimedia.org/wikipedia/commons/thumb/0/06/La_Cartuja_%28Betis_vs_Sevilla%29.jpg/1280px-La_Cartuja_%28Betis_vs_Sevilla%29.jpg"}, "retrieved_on": "2026-10-25"}</t>
        </is>
      </c>
    </row>
    <row r="143" ht="54" customHeight="1">
      <c r="A143" s="29" t="inlineStr">
        <is>
          <t>sevilla:evidence:estadio-benito-villamarin-tur-02</t>
        </is>
      </c>
      <c r="B143" s="29" t="inlineStr">
        <is>
          <t>sevilla</t>
        </is>
      </c>
      <c r="C143" s="29" t="inlineStr">
        <is>
          <t>sevilla:photo:estadio-benito-villamarin-tur-02</t>
        </is>
      </c>
      <c r="D143" s="29" t="inlineStr">
        <is>
          <t>https://commons.wikimedia.org/wiki/File:Stade_Manuel_Ruiz_de_Lopera_S%C3%A9ville.JPG</t>
        </is>
      </c>
      <c r="E143" s="29" t="inlineStr">
        <is>
          <t>File:Stade Manuel Ruiz de Lopera Séville.JPG</t>
        </is>
      </c>
      <c r="F143" s="29" t="inlineStr">
        <is>
          <t>Gregory Zeier</t>
        </is>
      </c>
      <c r="G143" s="29" t="inlineStr">
        <is>
          <t>CC BY 3.0</t>
        </is>
      </c>
      <c r="H143" s="29" t="inlineStr">
        <is>
          <t>https://creativecommons.org/licenses/by/3.0/</t>
        </is>
      </c>
      <c r="I143" s="29" t="inlineStr">
        <is>
          <t>Creative Commons Attribution 3.0</t>
        </is>
      </c>
      <c r="J143" s="29" t="inlineStr">
        <is>
          <t>Gregory Zeier · CC BY 3.0 · Wikimedia Commons</t>
        </is>
      </c>
      <c r="K143" s="29" t="n"/>
      <c r="L143" s="49" t="n">
        <v>46320</v>
      </c>
      <c r="M143" s="29" t="inlineStr">
        <is>
          <t>Bekliyor</t>
        </is>
      </c>
      <c r="N143" s="29" t="inlineStr">
        <is>
          <t>Bekliyor</t>
        </is>
      </c>
      <c r="O143" s="29" t="inlineStr">
        <is>
          <t>Fotoğraflar/sevilla_estadio-benito-villamarin-tur_02.jpg</t>
        </is>
      </c>
      <c r="P143" s="29" t="inlineStr">
        <is>
          <t>Benito Villamarín Stadı'nın yeşil-beyaz Real Betis yazılı dış cephesi.</t>
        </is>
      </c>
      <c r="Q143" s="29" t="inlineStr">
        <is>
          <t>Bekliyor</t>
        </is>
      </c>
      <c r="R143" s="29" t="inlineStr">
        <is>
          <t>Wikimedia Commons dosya sayfasındaki lisans: CC BY 3.0</t>
        </is>
      </c>
      <c r="S143" s="29" t="inlineStr">
        <is>
          <t>Lisans kanıtları/estadio-benito-villamarin-tur-02.source-evidence.json</t>
        </is>
      </c>
      <c r="T143" s="29" t="inlineStr">
        <is>
          <t>89367bbd80df2d511c21f8b5d1f6d498e9682a7afc5092fe019fd54aa146f97b</t>
        </is>
      </c>
      <c r="U143" s="29" t="inlineStr">
        <is>
          <t>Lisans kanıtları/estadio-benito-villamarin-tur-02.license-evidence.json</t>
        </is>
      </c>
      <c r="V143" s="29" t="inlineStr">
        <is>
          <t>8f07ca0886657e1b8e8ea3faaf2e80e1be0071ce375dabc5eca194896d23a65e</t>
        </is>
      </c>
      <c r="W143" s="29" t="inlineStr">
        <is>
          <t>{"source_url": "https://commons.wikimedia.org/wiki/File:Stade_Manuel_Ruiz_de_Lopera_S%C3%A9ville.JPG", "author": "Gregory Zeier", "license": "CC BY 3.0", "license_url": "https://creativecommons.org/licenses/by/3.0/", "original_api_record": {"size": 1395308, "width": 2288, "height": 1712, "thumburl": "https://thumb.wikimedia.org/wikipedia/commons/thumb/a/a9/Stade_Manuel_Ruiz_de_Lopera_S%C3%A9ville.JPG/1280px-Stade_Manuel_Ruiz_de_Lopera_S%C3%A9ville.JPG", "thumbwidth": 1280, "thumbheight": 958, "responsiveUrls": {"2": "https://upload.wikimedia.org/wikipedia/commons/a/a9/Stade_Manuel_Ruiz_de_Lopera_S%C3%A9ville.JPG"}, "thumbattribs": {"src": "https://thumb.wikimedia.org/wikipedia/commons/thumb/a/a9/Stade_Manuel_Ruiz_de_Lopera_S%C3%A9ville.JPG/1280px-Stade_Manuel_Ruiz_de_Lopera_S%C3%A9ville.JPG", "decoding": "async", "loading": "lazy", "width": 1280, "height": 958, "srcset": "https://upload.wikimedia.org/wikipedia/commons/a/a9/Stade_Manuel_Ruiz_de_Lopera_S%C3%A9ville.JPG 2x"}, "url": "https://upload.wikimedia.org/wikipedia/commons/a/a9/Stade_Manuel_Ruiz_de_Lopera_S%C3%A9ville.JPG", "descriptionurl": "https://commons.wikimedia.org/wiki/File:Stade_Manuel_Ruiz_de_Lopera_S%C3%A9ville.JPG", "descriptionshorturl": "https://commons.wikimedia.org/w/index.php?curid=3146709", "sha1": "d17e25635502deef30fd6c58c46fc9480da7ccaa", "extmetadata": {"DateTime": {"value": "2007-11-25 22:01:14", "source": "mediawiki-metadata", "hidden": ""}, "ObjectName": {"value": "Stade Manuel Ruiz de Lopera Séville", "source": "mediawiki-metadata"}, "CommonsMetadataExtension": {"value": 1.2, "source": "extension", "hidden": ""}, "Categories": {"value": "GFDL|Taken with Nikon Coolpix 4100|Exterior of Estadio Benito Villamarín|License migration redundant|Self-published work", "source": "commons-categories", "hidden": ""}, "Assessments": {"value": "", "source": "commons-categories", "hidden": ""}, "ImageDescription": {"value": "Stade Manuel Ruiz de Lopera (Séville)", "source": "commons-desc-page"}, "DateTimeOriginal": {"value": "2007-11-11", "source": "commons-desc-page"}, "Credit": {"value": "&lt;span class=\"int-own-work\" lang=\"en\"&gt;Own work&lt;/span&gt;", "source": "commons-desc-page"}, "Artist": {"value": "Gregory Zeier",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"https://thumb.wikimedia.org/wikipedia/commons/thumb/a/a9/Stade_Manuel_Ruiz_de_Lopera_S%C3%A9ville.JPG/1280px-Stade_Manuel_Ruiz_de_Lopera_S%C3%A9ville.JPG"}, "retrieved_on": "2026-10-25"}</t>
        </is>
      </c>
    </row>
    <row r="144" ht="54" customHeight="1">
      <c r="A144" s="29" t="inlineStr">
        <is>
          <t>sevilla:evidence:estadio-benito-villamarin-tur-03</t>
        </is>
      </c>
      <c r="B144" s="29" t="inlineStr">
        <is>
          <t>sevilla</t>
        </is>
      </c>
      <c r="C144" s="29" t="inlineStr">
        <is>
          <t>sevilla:photo:estadio-benito-villamarin-tur-03</t>
        </is>
      </c>
      <c r="D144" s="29" t="inlineStr">
        <is>
          <t>https://commons.wikimedia.org/wiki/File:Benito_villamarin_4_de_junio_de_2023.jpg</t>
        </is>
      </c>
      <c r="E144" s="29" t="inlineStr">
        <is>
          <t>File:Benito villamarin 4 de junio de 2023.jpg</t>
        </is>
      </c>
      <c r="F144" s="29" t="inlineStr">
        <is>
          <t>Anual</t>
        </is>
      </c>
      <c r="G144" s="29" t="inlineStr">
        <is>
          <t>CC BY-SA 4.0</t>
        </is>
      </c>
      <c r="H144" s="29" t="inlineStr">
        <is>
          <t>https://creativecommons.org/licenses/by-sa/4.0/</t>
        </is>
      </c>
      <c r="I144" s="29" t="inlineStr">
        <is>
          <t>Creative Commons Attribution-Share Alike 4.0</t>
        </is>
      </c>
      <c r="J144" s="29" t="inlineStr">
        <is>
          <t>Anual · CC BY-SA 4.0 · Wikimedia Commons</t>
        </is>
      </c>
      <c r="K144" s="29" t="n"/>
      <c r="L144" s="49" t="n">
        <v>46320</v>
      </c>
      <c r="M144" s="29" t="inlineStr">
        <is>
          <t>Bekliyor</t>
        </is>
      </c>
      <c r="N144" s="29" t="inlineStr">
        <is>
          <t>Bekliyor</t>
        </is>
      </c>
      <c r="O144" s="29" t="inlineStr">
        <is>
          <t>Fotoğraflar/sevilla_estadio-benito-villamarin-tur_03.jpg</t>
        </is>
      </c>
      <c r="P144" s="29" t="inlineStr">
        <is>
          <t>Benito Villamarín Stadı'nın tribünleri ve sahası.</t>
        </is>
      </c>
      <c r="Q144" s="29" t="inlineStr">
        <is>
          <t>Bekliyor</t>
        </is>
      </c>
      <c r="R144" s="29" t="inlineStr">
        <is>
          <t>Wikimedia Commons dosya sayfasındaki lisans: CC BY-SA 4.0</t>
        </is>
      </c>
      <c r="S144" s="29" t="inlineStr">
        <is>
          <t>Lisans kanıtları/estadio-benito-villamarin-tur-03.source-evidence.json</t>
        </is>
      </c>
      <c r="T144" s="29" t="inlineStr">
        <is>
          <t>3be497a57bc611ab0d4710e9dbc6d60cf125b51646987e11941e267f32e80bb6</t>
        </is>
      </c>
      <c r="U144" s="29" t="inlineStr">
        <is>
          <t>Lisans kanıtları/estadio-benito-villamarin-tur-03.license-evidence.json</t>
        </is>
      </c>
      <c r="V144" s="29" t="inlineStr">
        <is>
          <t>216f1e8b0ff9130aef3dd593326888c1a60ec6cad8d7a8ef806e741475c63b37</t>
        </is>
      </c>
      <c r="W144" s="29" t="inlineStr">
        <is>
          <t>{"source_url": "https://commons.wikimedia.org/wiki/File:Benito_villamarin_4_de_junio_de_2023.jpg", "author": "Anual", "license": "CC BY-SA 4.0", "license_url": "https://creativecommons.org/licenses/by-sa/4.0/", "original_api_record": {"size": 162631, "width": 1440, "height": 648, "thumburl": "https://thumb.wikimedia.org/wikipedia/commons/thumb/1/16/Benito_villamarin_4_de_junio_de_2023.jpg/1280px-Benito_villamarin_4_de_junio_de_2023.jpg", "thumbwidth": 1280, "thumbheight": 576, "responsiveUrls": {"2": "https://upload.wikimedia.org/wikipedia/commons/1/16/Benito_villamarin_4_de_junio_de_2023.jpg"}, "thumbattribs": {"src": "https://thumb.wikimedia.org/wikipedia/commons/thumb/1/16/Benito_villamarin_4_de_junio_de_2023.jpg/1280px-Benito_villamarin_4_de_junio_de_2023.jpg", "decoding": "async", "loading": "lazy", "width": 1280, "height": 576, "srcset": "https://upload.wikimedia.org/wikipedia/commons/1/16/Benito_villamarin_4_de_junio_de_2023.jpg 2x"}, "url": "https://upload.wikimedia.org/wikipedia/commons/1/16/Benito_villamarin_4_de_junio_de_2023.jpg", "descriptionurl": "https://commons.wikimedia.org/wiki/File:Benito_villamarin_4_de_junio_de_2023.jpg", "descriptionshorturl": "https://commons.wikimedia.org/w/index.php?curid=132664265", "sha1": "56011a262785a938110eb8e1d637b5ef2905a185", "extmetadata": {"DateTime": {"value": "2023-06-04 20:54:29", "source": "mediawiki-metadata", "hidden": ""}, "ObjectName": {"value": "Benito villamarin 4 de junio de 2023", "source": "mediawiki-metadata"}, "CommonsMetadataExtension": {"value": 1.2, "source": "extension", "hidden": ""}, "Categories": {"value": "Valencia CF matches|Estadio Benito Villamarín|Joaquín Sánchez|Self-published work|June 2023 in Andalusia|Matches of Real Betis", "source": "commons-categories", "hidden": ""}, "Assessments": {"value": "", "source": "commons-categories", "hidden": ""}, "ImageDescription": {"value": "Partido Real Betis - Valencia en el Benito Villamarín. Despedida de Joaquín Sánchez", "source": "commons-desc-page"}, "DateTimeOriginal": {"value": "2023-06-04", "source": "commons-desc-page"}, "Credit": {"value": "&lt;span class=\"int-own-work\" lang=\"en\"&gt;Own work&lt;/span&gt;", "source": "commons-desc-page"}, "Artist": {"value": "&lt;a href=\"//commons.wikimedia.org/wiki/User:Anual\" title=\"User:Anual\"&gt;Anual&lt;/a&gt;",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"https://thumb.wikimedia.org/wikipedia/commons/thumb/1/16/Benito_villamarin_4_de_junio_de_2023.jpg/1280px-Benito_villamarin_4_de_junio_de_2023.jpg"}, "retrieved_on": "2026-10-25"}</t>
        </is>
      </c>
    </row>
    <row r="145" ht="54" customHeight="1">
      <c r="A145" s="29" t="inlineStr">
        <is>
          <t>sevilla:evidence:tablao-el-arenal-01</t>
        </is>
      </c>
      <c r="B145" s="29" t="inlineStr">
        <is>
          <t>sevilla</t>
        </is>
      </c>
      <c r="C145" s="29" t="inlineStr">
        <is>
          <t>sevilla:photo:tablao-el-arenal-01</t>
        </is>
      </c>
      <c r="D145" s="29" t="inlineStr">
        <is>
          <t>https://commons.wikimedia.org/wiki/File:Espect%C3%A1culo_flamenco_en_Tablao_Flamenco_El_Arenal.jpg</t>
        </is>
      </c>
      <c r="E145" s="29" t="inlineStr">
        <is>
          <t>File:Espectáculo flamenco en Tablao Flamenco El Arenal.jpg</t>
        </is>
      </c>
      <c r="F145" s="29" t="inlineStr">
        <is>
          <t>Noeliv</t>
        </is>
      </c>
      <c r="G145" s="29" t="inlineStr">
        <is>
          <t>CC BY-SA 4.0</t>
        </is>
      </c>
      <c r="H145" s="29" t="inlineStr">
        <is>
          <t>https://creativecommons.org/licenses/by-sa/4.0/</t>
        </is>
      </c>
      <c r="I145" s="29" t="inlineStr">
        <is>
          <t>Creative Commons Attribution-Share Alike 4.0</t>
        </is>
      </c>
      <c r="J145" s="29" t="inlineStr">
        <is>
          <t>Noeliv · CC BY-SA 4.0 · Wikimedia Commons</t>
        </is>
      </c>
      <c r="K145" s="29" t="n"/>
      <c r="L145" s="49" t="n">
        <v>46320</v>
      </c>
      <c r="M145" s="29" t="inlineStr">
        <is>
          <t>Bekliyor</t>
        </is>
      </c>
      <c r="N145" s="29" t="inlineStr">
        <is>
          <t>Bekliyor</t>
        </is>
      </c>
      <c r="O145" s="29" t="inlineStr">
        <is>
          <t>Fotoğraflar/sevilla_tablao-el-arenal_01.jpg</t>
        </is>
      </c>
      <c r="P145" s="29" t="inlineStr">
        <is>
          <t>Tablao El Arenal'de sahnede şallı flamenko dansçısı ve müzisyenler.</t>
        </is>
      </c>
      <c r="Q145" s="29" t="inlineStr">
        <is>
          <t>Bekliyor</t>
        </is>
      </c>
      <c r="R145" s="29" t="inlineStr">
        <is>
          <t>Wikimedia Commons dosya sayfasındaki lisans: CC BY-SA 4.0</t>
        </is>
      </c>
      <c r="S145" s="29" t="inlineStr">
        <is>
          <t>Lisans kanıtları/tablao-el-arenal-01.source-evidence.json</t>
        </is>
      </c>
      <c r="T145" s="29" t="inlineStr">
        <is>
          <t>f1d67a178dc5373b38bca1767bad330e35a88b946390fa99664a86c3a891b179</t>
        </is>
      </c>
      <c r="U145" s="29" t="inlineStr">
        <is>
          <t>Lisans kanıtları/tablao-el-arenal-01.license-evidence.json</t>
        </is>
      </c>
      <c r="V145" s="29" t="inlineStr">
        <is>
          <t>7f95047684ff58553fc84ff568cd77228ddf8af35fd1c77144df08757c2b7c35</t>
        </is>
      </c>
      <c r="W145" s="29" t="inlineStr">
        <is>
          <t>{"source_url": "https://commons.wikimedia.org/wiki/File:Espect%C3%A1culo_flamenco_en_Tablao_Flamenco_El_Arenal.jpg", "author": "Noeliv", "license": "CC BY-SA 4.0", "license_url": "https://creativecommons.org/licenses/by-sa/4.0/", "original_api_record": {"size": 4190834, "width": 5472, "height": 3648, "thumburl": "https://thumb.wikimedia.org/wikipedia/commons/thumb/d/d4/Espect%C3%A1culo_flamenco_en_Tablao_Flamenco_El_Arenal.jpg/1280px-Espect%C3%A1culo_flamenco_en_Tablao_Flamenco_El_Arenal.jpg", "thumbwidth": 1280, "thumbheight": 853, "responsiveUrls": {"2": "https://thumb.wikimedia.org/wikipedia/commons/thumb/d/d4/Espect%C3%A1culo_flamenco_en_Tablao_Flamenco_El_Arenal.jpg/3840px-Espect%C3%A1culo_flamenco_en_Tablao_Flamenco_El_Arenal.jpg"}, "thumbattribs": {"src": "https://thumb.wikimedia.org/wikipedia/commons/thumb/d/d4/Espect%C3%A1culo_flamenco_en_Tablao_Flamenco_El_Arenal.jpg/1280px-Espect%C3%A1culo_flamenco_en_Tablao_Flamenco_El_Arenal.jpg", "decoding": "async", "loading": "lazy", "width": 1280, "height": 853, "srcset": "https://thumb.wikimedia.org/wikipedia/commons/thumb/d/d4/Espect%C3%A1culo_flamenco_en_Tablao_Flamenco_El_Arenal.jpg/3840px-Espect%C3%A1culo_flamenco_en_Tablao_Flamenco_El_Arenal.jpg 2x"}, "url": "https://upload.wikimedia.org/wikipedia/commons/d/d4/Espect%C3%A1culo_flamenco_en_Tablao_Flamenco_El_Arenal.jpg", "descriptionurl": "https://commons.wikimedia.org/wiki/File:Espect%C3%A1culo_flamenco_en_Tablao_Flamenco_El_Arenal.jpg", "descriptionshorturl": "https://commons.wikimedia.org/w/index.php?curid=78335221", "sha1": "32d942da7c7c34c4100199731830609930af5d61", "extmetadata": {"DateTime": {"value": "2019-04-25 11:22:58", "source": "mediawiki-metadata", "hidden": ""}, "ObjectName": {"value": "Espectáculo flamenco en Tablao Flamenco El Arenal", "source": "mediawiki-metadata"}, "CommonsMetadataExtension": {"value": 1.2, "source": "extension", "hidden": ""}, "Categories": {"value": "Flamenco|Self-published work|Tablao", "source": "commons-categories", "hidden": ""}, "Assessments": {"value": "", "source": "commons-categories", "hidden": ""}, "ImageDescription": {"value": "Espectáculo de puro arte flamenco en Sevilla", "source": "commons-desc-page"}, "DateTimeOriginal": {"value": "2018-10-19", "source": "commons-desc-page"}, "Credit": {"value": "&lt;span class=\"int-own-work\" lang=\"en\"&gt;Own work&lt;/span&gt;", "source": "commons-desc-page"}, "Artist": {"value": "&lt;a href=\"//commons.wikimedia.org/w/index.php?title=User:Noeliv&amp;amp;action=edit&amp;amp;redlink=1\" class=\"new\" title=\"User:Noeliv (page does not exist)\"&gt;Noeliv&lt;/a&gt;",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"https://thumb.wikimedia.org/wikipedia/commons/thumb/d/d4/Espect%C3%A1culo_flamenco_en_Tablao_Flamenco_El_Arenal.jpg/1280px-Espect%C3%A1culo_flamenco_en_Tablao_Flamenco_El_Arenal.jpg"}, "retrieved_on": "2026-10-25"}</t>
        </is>
      </c>
    </row>
    <row r="146" ht="54" customHeight="1">
      <c r="A146" s="29" t="inlineStr">
        <is>
          <t>sevilla:evidence:confiteria-la-campana-01</t>
        </is>
      </c>
      <c r="B146" s="29" t="inlineStr">
        <is>
          <t>sevilla</t>
        </is>
      </c>
      <c r="C146" s="29" t="inlineStr">
        <is>
          <t>sevilla:photo:confiteria-la-campana-01</t>
        </is>
      </c>
      <c r="D146" s="29" t="inlineStr">
        <is>
          <t>https://commons.wikimedia.org/wiki/File:Calle_Sierpes_1,_Sevilla,_Spain.jpg</t>
        </is>
      </c>
      <c r="E146" s="29" t="inlineStr">
        <is>
          <t>File:Calle Sierpes 1, Sevilla, Spain.jpg</t>
        </is>
      </c>
      <c r="F146" s="29" t="inlineStr">
        <is>
          <t>Michel wal</t>
        </is>
      </c>
      <c r="G146" s="29" t="inlineStr">
        <is>
          <t>CC BY-SA 3.0</t>
        </is>
      </c>
      <c r="H146" s="29" t="inlineStr">
        <is>
          <t>https://creativecommons.org/licenses/by-sa/3.0/</t>
        </is>
      </c>
      <c r="I146" s="29" t="inlineStr">
        <is>
          <t>Creative Commons Attribution-Share Alike 3.0</t>
        </is>
      </c>
      <c r="J146" s="29" t="inlineStr">
        <is>
          <t>Michel wal · CC BY-SA 3.0 · Wikimedia Commons</t>
        </is>
      </c>
      <c r="K146" s="29" t="n"/>
      <c r="L146" s="49" t="n">
        <v>46320</v>
      </c>
      <c r="M146" s="29" t="inlineStr">
        <is>
          <t>Bekliyor</t>
        </is>
      </c>
      <c r="N146" s="29" t="inlineStr">
        <is>
          <t>Bekliyor</t>
        </is>
      </c>
      <c r="O146" s="29" t="inlineStr">
        <is>
          <t>Fotoğraflar/sevilla_confiteria-la-campana_01.jpg</t>
        </is>
      </c>
      <c r="P146" s="29" t="inlineStr">
        <is>
          <t>La Campana Pastanesi'nin süslü cephesi ve önündeki masalar.</t>
        </is>
      </c>
      <c r="Q146" s="29" t="inlineStr">
        <is>
          <t>Bekliyor</t>
        </is>
      </c>
      <c r="R146" s="29" t="inlineStr">
        <is>
          <t>Wikimedia Commons dosya sayfasındaki lisans: CC BY-SA 3.0</t>
        </is>
      </c>
      <c r="S146" s="29" t="inlineStr">
        <is>
          <t>Lisans kanıtları/confiteria-la-campana-01.source-evidence.json</t>
        </is>
      </c>
      <c r="T146" s="29" t="inlineStr">
        <is>
          <t>ec751a98d21ec1854bbaea33cbc6386009ea4110674ca53b6634de81307f4320</t>
        </is>
      </c>
      <c r="U146" s="29" t="inlineStr">
        <is>
          <t>Lisans kanıtları/confiteria-la-campana-01.license-evidence.json</t>
        </is>
      </c>
      <c r="V146" s="29" t="inlineStr">
        <is>
          <t>b14d589019eca31fddd821e6fd98c97ca768ab651004dc108fdfa98d40d73273</t>
        </is>
      </c>
      <c r="W146" s="29" t="inlineStr">
        <is>
          <t>{"source_url": "https://commons.wikimedia.org/wiki/File:Calle_Sierpes_1,_Sevilla,_Spain.jpg", "author": "Michel wal", "license": "CC BY-SA 3.0", "license_url": "https://creativecommons.org/licenses/by-sa/3.0/", "original_api_record": {"size": 1329416, "width": 3699, "height": 2449, "thumburl": "https://thumb.wikimedia.org/wikipedia/commons/thumb/a/a7/Calle_Sierpes_1%2C_Sevilla%2C_Spain.jpg/1280px-Calle_Sierpes_1%2C_Sevilla%2C_Spain.jpg", "thumbwidth": 1280, "thumbheight": 847, "responsiveUrls": {"2": "https://upload.wikimedia.org/wikipedia/commons/a/a7/Calle_Sierpes_1%2C_Sevilla%2C_Spain.jpg"}, "thumbattribs": {"src": "https://thumb.wikimedia.org/wikipedia/commons/thumb/a/a7/Calle_Sierpes_1%2C_Sevilla%2C_Spain.jpg/1280px-Calle_Sierpes_1%2C_Sevilla%2C_Spain.jpg", "decoding": "async", "loading": "lazy", "width": 1280, "height": 847, "srcset": "https://upload.wikimedia.org/wikipedia/commons/a/a7/Calle_Sierpes_1%2C_Sevilla%2C_Spain.jpg 2x"}, "url": "https://upload.wikimedia.org/wikipedia/commons/a/a7/Calle_Sierpes_1%2C_Sevilla%2C_Spain.jpg", "descriptionurl": "https://commons.wikimedia.org/wiki/File:Calle_Sierpes_1,_Sevilla,_Spain.jpg", "descriptionshorturl": "https://commons.wikimedia.org/w/index.php?curid=15575947", "sha1": "4623fd2ba5f9acf02edcb9d3f6c8316d8dc772bb", "extmetadata": {"DateTime": {"value": "2011-06-21 16:53:43", "source": "mediawiki-metadata", "hidden": ""}, "ObjectName": {"value": "Calle Sierpes 1, Sevilla, Spain", "source": "mediawiki-metadata"}, "CommonsMetadataExtension": {"value": 1.2, "source": "extension", "hidden": ""}, "Categories": {"value": "Self-published work|19th-century buildings in Seville|2011 in Seville|June 2011 in Andalusia|Confitería La Campana", "source": "commons-categories", "hidden": ""}, "Assessments": {"value": "", "source": "commons-categories", "hidden": ""}, "ImageDescription": {"value": "Confiteria La Campana, Calle Sierpes 1, Séville, Espagne", "source": "commons-desc-page"}, "DateTimeOriginal": {"value": "2011-06-21", "source": "commons-desc-page"}, "Credit": {"value": "&lt;span class=\"int-own-work\" lang=\"en\"&gt;Own work&lt;/span&gt;", "source": "commons-desc-page"}, "Artist": {"value": "&lt;a href=\"//commons.wikimedia.org/w/index.php?title=User:Michel_wal&amp;amp;action=edit&amp;amp;redlink=1\" class=\"new\" title=\"User:Michel wal (page does not exist)\"&gt;Michel wal&lt;/a&gt;",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"https://thumb.wikimedia.org/wikipedia/commons/thumb/a/a7/Calle_Sierpes_1%2C_Sevilla%2C_Spain.jpg/1280px-Calle_Sierpes_1%2C_Sevilla%2C_Spain.jpg"}, "retrieved_on": "2026-10-25"}</t>
        </is>
      </c>
    </row>
    <row r="147" ht="54" customHeight="1">
      <c r="A147" s="29" t="inlineStr">
        <is>
          <t>sevilla:evidence:confiteria-la-campana-02</t>
        </is>
      </c>
      <c r="B147" s="29" t="inlineStr">
        <is>
          <t>sevilla</t>
        </is>
      </c>
      <c r="C147" s="29" t="inlineStr">
        <is>
          <t>sevilla:photo:confiteria-la-campana-02</t>
        </is>
      </c>
      <c r="D147" s="29" t="inlineStr">
        <is>
          <t>https://commons.wikimedia.org/wiki/File:Campana2018002.jpg</t>
        </is>
      </c>
      <c r="E147" s="29" t="inlineStr">
        <is>
          <t>File:Campana2018002.jpg</t>
        </is>
      </c>
      <c r="F147" s="29" t="inlineStr">
        <is>
          <t>Anual</t>
        </is>
      </c>
      <c r="G147" s="29" t="inlineStr">
        <is>
          <t>CC BY-SA 4.0</t>
        </is>
      </c>
      <c r="H147" s="29" t="inlineStr">
        <is>
          <t>https://creativecommons.org/licenses/by-sa/4.0/</t>
        </is>
      </c>
      <c r="I147" s="29" t="inlineStr">
        <is>
          <t>Creative Commons Attribution-Share Alike 4.0</t>
        </is>
      </c>
      <c r="J147" s="29" t="inlineStr">
        <is>
          <t>Anual · CC BY-SA 4.0 · Wikimedia Commons</t>
        </is>
      </c>
      <c r="K147" s="29" t="n"/>
      <c r="L147" s="49" t="n">
        <v>46320</v>
      </c>
      <c r="M147" s="29" t="inlineStr">
        <is>
          <t>Bekliyor</t>
        </is>
      </c>
      <c r="N147" s="29" t="inlineStr">
        <is>
          <t>Bekliyor</t>
        </is>
      </c>
      <c r="O147" s="29" t="inlineStr">
        <is>
          <t>Fotoğraflar/sevilla_confiteria-la-campana_02.jpg</t>
        </is>
      </c>
      <c r="P147" s="29" t="inlineStr">
        <is>
          <t>La Campana Pastanesi'nin vitrinli köşe dükkânı.</t>
        </is>
      </c>
      <c r="Q147" s="29" t="inlineStr">
        <is>
          <t>Bekliyor</t>
        </is>
      </c>
      <c r="R147" s="29" t="inlineStr">
        <is>
          <t>Wikimedia Commons dosya sayfasındaki lisans: CC BY-SA 4.0</t>
        </is>
      </c>
      <c r="S147" s="29" t="inlineStr">
        <is>
          <t>Lisans kanıtları/confiteria-la-campana-02.source-evidence.json</t>
        </is>
      </c>
      <c r="T147" s="29" t="inlineStr">
        <is>
          <t>483bbf5c917f806de108902d67110cc93e0dd791a7a8ff881af205a157479134</t>
        </is>
      </c>
      <c r="U147" s="29" t="inlineStr">
        <is>
          <t>Lisans kanıtları/confiteria-la-campana-02.license-evidence.json</t>
        </is>
      </c>
      <c r="V147" s="29" t="inlineStr">
        <is>
          <t>1de9ad30596b8238aae273d85b20c1d3841b3872b12a28e01395ea99565a3511</t>
        </is>
      </c>
      <c r="W147" s="29" t="inlineStr">
        <is>
          <t>{"source_url": "https://commons.wikimedia.org/wiki/File:Campana2018002.jpg", "author": "Anual", "license": "CC BY-SA 4.0", "license_url": "https://creativecommons.org/licenses/by-sa/4.0/", "original_api_record": {"size": 6503569, "width": 6000, "height": 4000, "thumburl": "https://thumb.wikimedia.org/wikipedia/commons/thumb/3/30/Campana2018002.jpg/1280px-Campana2018002.jpg", "thumbwidth": 1280, "thumbheight": 853, "responsiveUrls": {"2": "https://thumb.wikimedia.org/wikipedia/commons/thumb/3/30/Campana2018002.jpg/3840px-Campana2018002.jpg"}, "thumbattribs": {"src": "https://thumb.wikimedia.org/wikipedia/commons/thumb/3/30/Campana2018002.jpg/1280px-Campana2018002.jpg", "decoding": "async", "loading": "lazy", "width": 1280, "height": 853, "srcset": "https://thumb.wikimedia.org/wikipedia/commons/thumb/3/30/Campana2018002.jpg/3840px-Campana2018002.jpg 2x"}, "url": "https://upload.wikimedia.org/wikipedia/commons/3/30/Campana2018002.jpg", "descriptionurl": "https://commons.wikimedia.org/wiki/File:Campana2018002.jpg", "descriptionshorturl": "https://commons.wikimedia.org/w/index.php?curid=71055458", "sha1": "045c4c11f271b2ac6799155ae87e47079bf7ab09", "extmetadata": {"DateTime": {"value": "2018-07-22 18:19:03", "source": "mediawiki-metadata", "hidden": ""}, "ObjectName": {"value": "Campana2018002", "source": "mediawiki-metadata"}, "CommonsMetadataExtension": {"value": 1.2, "source": "extension", "hidden": ""}, "Categories": {"value": "Self-published work|July 2018 in Seville|Confitería La Campana", "source": "commons-categories", "hidden": ""}, "Assessments": {"value": "", "source": "commons-categories", "hidden": ""}, "ImageDescription": {"value": "Confitería La Campana, en la calle del mismo nombre, en Sevilla.", "source": "commons-desc-page"}, "DateTimeOriginal": {"value": "2018-07-22", "source": "commons-desc-page"}, "Credit": {"value": "&lt;span class=\"int-own-work\" lang=\"en\"&gt;Own work&lt;/span&gt;", "source": "commons-desc-page"}, "Artist": {"value": "&lt;a href=\"//commons.wikimedia.org/wiki/User:Anual\" title=\"User:Anual\"&gt;Anual&lt;/a&gt;",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"https://thumb.wikimedia.org/wikipedia/commons/thumb/3/30/Campana2018002.jpg/1280px-Campana2018002.jpg"}, "retrieved_on": "2026-10-25"}</t>
        </is>
      </c>
    </row>
    <row r="148" ht="54" customHeight="1">
      <c r="A148" s="29" t="inlineStr">
        <is>
          <t>sevilla:evidence:confiteria-la-campana-03</t>
        </is>
      </c>
      <c r="B148" s="29" t="inlineStr">
        <is>
          <t>sevilla</t>
        </is>
      </c>
      <c r="C148" s="29" t="inlineStr">
        <is>
          <t>sevilla:photo:confiteria-la-campana-03</t>
        </is>
      </c>
      <c r="D148" s="29" t="inlineStr">
        <is>
          <t>https://commons.wikimedia.org/wiki/File:Confiter%C3%ADa_La_Campana_(29735832038).jpg</t>
        </is>
      </c>
      <c r="E148" s="29" t="inlineStr">
        <is>
          <t>File:Confitería La Campana (29735832038).jpg</t>
        </is>
      </c>
      <c r="F148" s="29" t="inlineStr">
        <is>
          <t>Charlie Marchant from UK</t>
        </is>
      </c>
      <c r="G148" s="29" t="inlineStr">
        <is>
          <t>CC BY 2.0</t>
        </is>
      </c>
      <c r="H148" s="29" t="inlineStr">
        <is>
          <t>https://creativecommons.org/licenses/by/2.0/</t>
        </is>
      </c>
      <c r="I148" s="29" t="inlineStr">
        <is>
          <t>Creative Commons Attribution 2.0</t>
        </is>
      </c>
      <c r="J148" s="29" t="inlineStr">
        <is>
          <t>Charlie Marchant from UK · CC BY 2.0 · Wikimedia Commons</t>
        </is>
      </c>
      <c r="K148" s="29" t="n"/>
      <c r="L148" s="49" t="n">
        <v>46320</v>
      </c>
      <c r="M148" s="29" t="inlineStr">
        <is>
          <t>Bekliyor</t>
        </is>
      </c>
      <c r="N148" s="29" t="inlineStr">
        <is>
          <t>Bekliyor</t>
        </is>
      </c>
      <c r="O148" s="29" t="inlineStr">
        <is>
          <t>Fotoğraflar/sevilla_confiteria-la-campana_03.jpg</t>
        </is>
      </c>
      <c r="P148" s="29" t="inlineStr">
        <is>
          <t>La Campana Pastanesi'nin vitrininde tartlar ve tatlılar.</t>
        </is>
      </c>
      <c r="Q148" s="29" t="inlineStr">
        <is>
          <t>Bekliyor</t>
        </is>
      </c>
      <c r="R148" s="29" t="inlineStr">
        <is>
          <t>Wikimedia Commons dosya sayfasındaki lisans: CC BY 2.0</t>
        </is>
      </c>
      <c r="S148" s="29" t="inlineStr">
        <is>
          <t>Lisans kanıtları/confiteria-la-campana-03.source-evidence.json</t>
        </is>
      </c>
      <c r="T148" s="29" t="inlineStr">
        <is>
          <t>067b9e00a941c24aa217e8c979139eea50a0399cd89abbab5c0e622d24962eb5</t>
        </is>
      </c>
      <c r="U148" s="29" t="inlineStr">
        <is>
          <t>Lisans kanıtları/confiteria-la-campana-03.license-evidence.json</t>
        </is>
      </c>
      <c r="V148" s="29" t="inlineStr">
        <is>
          <t>3921085d5dd08636d3b258a91bdd958eaacd0f95baf47d22f2ad28f3a438acf4</t>
        </is>
      </c>
      <c r="W148" s="29" t="inlineStr">
        <is>
          <t>{"source_url": "https://commons.wikimedia.org/wiki/File:Confiter%C3%ADa_La_Campana_(29735832038).jpg", "author": "Charlie Marchant from UK", "license": "CC BY 2.0", "license_url": "https://creativecommons.org/licenses/by/2.0/", "original_api_record": {"size": 2437363, "width": 5184, "height": 3456, "thumburl": "https://thumb.wikimedia.org/wikipedia/commons/thumb/3/38/Confiter%C3%ADa_La_Campana_%2829735832038%29.jpg/1280px-Confiter%C3%ADa_La_Campana_%2829735832038%29.jpg", "thumbwidth": 1280, "thumbheight": 853, "responsiveUrls": {"2": "https://thumb.wikimedia.org/wikipedia/commons/thumb/3/38/Confiter%C3%ADa_La_Campana_%2829735832038%29.jpg/3840px-Confiter%C3%ADa_La_Campana_%2829735832038%29.jpg"}, "thumbattribs": {"src": "https://thumb.wikimedia.org/wikipedia/commons/thumb/3/38/Confiter%C3%ADa_La_Campana_%2829735832038%29.jpg/1280px-Confiter%C3%ADa_La_Campana_%2829735832038%29.jpg", "decoding": "async", "loading": "lazy", "width": 1280, "height": 853, "srcset": "https://thumb.wikimedia.org/wikipedia/commons/thumb/3/38/Confiter%C3%ADa_La_Campana_%2829735832038%29.jpg/3840px-Confiter%C3%ADa_La_Campana_%2829735832038%29.jpg 2x"}, "url": "https://upload.wikimedia.org/wikipedia/commons/3/38/Confiter%C3%ADa_La_Campana_%2829735832038%29.jpg", "descriptionurl": "https://commons.wikimedia.org/wiki/File:Confiter%C3%ADa_La_Campana_(29735832038).jpg", "descriptionshorturl": "https://commons.wikimedia.org/w/index.php?curid=79418033", "sha1": "3c0c208680f50faaa1bfaee508cc839abdc9c586", "extmetadata": {"DateTime": {"value": "2019-06-02 12:15:38", "source": "mediawiki-metadata", "hidden": ""}, "ObjectName": {"value": "Confitería La Campana (29735832038)", "source": "mediawiki-metadata"}, "CommonsMetadataExtension": {"value": 1.2, "source": "extension", "hidden": ""}, "Categories": {"value": "Flickr images reviewed by FlickreviewR 2|Confitería La Campana", "source": "commons-categories", "hidden": ""}, "Assessments": {"value": "", "source": "commons-categories", "hidden": ""}, "ImageDescription": {"value": "&lt;p&gt;Seville, Spain.\n&lt;/p&gt;\nAttribute to charlieontravel.com", "source": "commons-desc-page"}, "DateTimeOriginal": {"value": "2015-11-15 17:05", "source": "commons-desc-page"}, "Credit": {"value": "&lt;a rel=\"nofollow\" class=\"external text\" href=\"https://www.flickr.com/photos/charlieontravel/29735832038/\"&gt;Seville, Spain&lt;/a&gt;", "source": "commons-desc-page"}, "Artist": {"value": "&lt;a rel=\"nofollow\" class=\"external text\" href=\"https://www.flickr.com/people/143738113@N06\"&gt;Charlie Marchant&lt;/a&gt; from UK",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 "delivered_file": {"url": "https://thumb.wikimedia.org/wikipedia/commons/thumb/3/38/Confiter%C3%ADa_La_Campana_%2829735832038%29.jpg/1280px-Confiter%C3%ADa_La_Campana_%2829735832038%29.jpg"}, "retrieved_on": "2026-10-25"}</t>
        </is>
      </c>
    </row>
    <row r="149" ht="54" customHeight="1">
      <c r="A149" s="29" t="inlineStr">
        <is>
          <t>sevilla:evidence:casa-roman-sevilla-01</t>
        </is>
      </c>
      <c r="B149" s="29" t="inlineStr">
        <is>
          <t>sevilla</t>
        </is>
      </c>
      <c r="C149" s="29" t="inlineStr">
        <is>
          <t>sevilla:photo:casa-roman-sevilla-01</t>
        </is>
      </c>
      <c r="D149" s="29" t="inlineStr">
        <is>
          <t>https://commons.wikimedia.org/wiki/File:Casa_Rom%C3%A1n_(17216322978).jpg</t>
        </is>
      </c>
      <c r="E149" s="29" t="inlineStr">
        <is>
          <t>File:Casa Román (17216322978).jpg</t>
        </is>
      </c>
      <c r="F149" s="29" t="inlineStr">
        <is>
          <t>Sandra Vallaure from Seville, Spain</t>
        </is>
      </c>
      <c r="G149" s="29" t="inlineStr">
        <is>
          <t>CC BY 2.0</t>
        </is>
      </c>
      <c r="H149" s="29" t="inlineStr">
        <is>
          <t>https://creativecommons.org/licenses/by/2.0/</t>
        </is>
      </c>
      <c r="I149" s="29" t="inlineStr">
        <is>
          <t>Creative Commons Attribution 2.0</t>
        </is>
      </c>
      <c r="J149" s="29" t="inlineStr">
        <is>
          <t>Sandra Vallaure from Seville, Spain · CC BY 2.0 · Wikimedia Commons</t>
        </is>
      </c>
      <c r="K149" s="29" t="n"/>
      <c r="L149" s="49" t="n">
        <v>46320</v>
      </c>
      <c r="M149" s="29" t="inlineStr">
        <is>
          <t>Bekliyor</t>
        </is>
      </c>
      <c r="N149" s="29" t="inlineStr">
        <is>
          <t>Bekliyor</t>
        </is>
      </c>
      <c r="O149" s="29" t="inlineStr">
        <is>
          <t>Fotoğraflar/sevilla_casa-roman-sevilla_01.jpg</t>
        </is>
      </c>
      <c r="P149" s="29" t="inlineStr">
        <is>
          <t>Casa Román'ın bordo kapılı cephesi ve önündeki masalar.</t>
        </is>
      </c>
      <c r="Q149" s="29" t="inlineStr">
        <is>
          <t>Bekliyor</t>
        </is>
      </c>
      <c r="R149" s="29" t="inlineStr">
        <is>
          <t>Wikimedia Commons dosya sayfasındaki lisans: CC BY 2.0</t>
        </is>
      </c>
      <c r="S149" s="29" t="inlineStr">
        <is>
          <t>Lisans kanıtları/casa-roman-sevilla-01.source-evidence.json</t>
        </is>
      </c>
      <c r="T149" s="29" t="inlineStr">
        <is>
          <t>44de054f47affdd247247cc0f53088e0304248346049e39776b80e1e59ad83ea</t>
        </is>
      </c>
      <c r="U149" s="29" t="inlineStr">
        <is>
          <t>Lisans kanıtları/casa-roman-sevilla-01.license-evidence.json</t>
        </is>
      </c>
      <c r="V149" s="29" t="inlineStr">
        <is>
          <t>d5c0586703c6f77d399877bad108c8a11d8e7a67548170c3811a2b97499f8fb2</t>
        </is>
      </c>
      <c r="W149" s="29" t="inlineStr">
        <is>
          <t>{"source_url": "https://commons.wikimedia.org/wiki/File:Casa_Rom%C3%A1n_(17216322978).jpg", "author": "Sandra Vallaure from Seville, Spain", "license": "CC BY 2.0", "license_url": "https://creativecommons.org/licenses/by/2.0/", "original_api_record": {"size": 5254060, "width": 4000, "height": 3000, "thumburl": "https://thumb.wikimedia.org/wikipedia/commons/thumb/6/61/Casa_Rom%C3%A1n_%2817216322978%29.jpg/1280px-Casa_Rom%C3%A1n_%2817216322978%29.jpg", "thumbwidth": 1280, "thumbheight": 960, "responsiveUrls": {"2": "https://thumb.wikimedia.org/wikipedia/commons/thumb/6/61/Casa_Rom%C3%A1n_%2817216322978%29.jpg/3840px-Casa_Rom%C3%A1n_%2817216322978%29.jpg"}, "thumbattribs": {"src": "https://thumb.wikimedia.org/wikipedia/commons/thumb/6/61/Casa_Rom%C3%A1n_%2817216322978%29.jpg/1280px-Casa_Rom%C3%A1n_%2817216322978%29.jpg", "decoding": "async", "loading": "lazy", "width": 1280, "height": 960, "srcset": "https://thumb.wikimedia.org/wikipedia/commons/thumb/6/61/Casa_Rom%C3%A1n_%2817216322978%29.jpg/3840px-Casa_Rom%C3%A1n_%2817216322978%29.jpg 2x"}, "url": "https://upload.wikimedia.org/wikipedia/commons/6/61/Casa_Rom%C3%A1n_%2817216322978%29.jpg", "descriptionurl": "https://commons.wikimedia.org/wiki/File:Casa_Rom%C3%A1n_(17216322978).jpg", "descriptionshorturl": "https://commons.wikimedia.org/w/index.php?curid=79416923", "sha1": "f42e7daa5ef861a8c27557f5cc2625aa56dd5523", "extmetadata": {"DateTime": {"value": "2019-06-02 11:10:02", "source": "mediawiki-metadata", "hidden": ""}, "ObjectName": {"value": "Casa Román (17216322978)", "source": "mediawiki-metadata"}, "CommonsMetadataExtension": {"value": 1.2, "source": "extension", "hidden": ""}, "Categories": {"value": "Flickr images reviewed by FlickreviewR 2|Casa Román", "source": "commons-categories", "hidden": ""}, "Assessments": {"value": "", "source": "commons-categories", "hidden": ""}, "ImageDescription": {"value": "Seville, Spain.", "source": "commons-desc-page"}, "DateTimeOriginal": {"value": "2012-02-04 15:49", "source": "commons-desc-page"}, "Credit": {"value": "&lt;a rel=\"nofollow\" class=\"external text\" href=\"https://www.flickr.com/photos/vallausa/17216322978/\"&gt;Casa Román 001&lt;/a&gt;", "source": "commons-desc-page"}, "Artist": {"value": "&lt;a rel=\"nofollow\" class=\"external text\" href=\"https://www.flickr.com/people/56946749@N00\"&gt;Sandra Vallaure&lt;/a&gt; from Seville, Spain",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 "delivered_file": {"url": "https://thumb.wikimedia.org/wikipedia/commons/thumb/6/61/Casa_Rom%C3%A1n_%2817216322978%29.jpg/1280px-Casa_Rom%C3%A1n_%2817216322978%29.jpg"}, "retrieved_on": "2026-10-25"}</t>
        </is>
      </c>
    </row>
    <row r="150" ht="54" customHeight="1">
      <c r="A150" s="29" t="inlineStr">
        <is>
          <t>sevilla:evidence:casa-roman-sevilla-02</t>
        </is>
      </c>
      <c r="B150" s="29" t="inlineStr">
        <is>
          <t>sevilla</t>
        </is>
      </c>
      <c r="C150" s="29" t="inlineStr">
        <is>
          <t>sevilla:photo:casa-roman-sevilla-02</t>
        </is>
      </c>
      <c r="D150" s="29" t="inlineStr">
        <is>
          <t>https://commons.wikimedia.org/wiki/File:Casa_Rom%C3%A1n_(17156620538).jpg</t>
        </is>
      </c>
      <c r="E150" s="29" t="inlineStr">
        <is>
          <t>File:Casa Román (17156620538).jpg</t>
        </is>
      </c>
      <c r="F150" s="29" t="inlineStr">
        <is>
          <t>Sandra Vallaure from Seville, Spain</t>
        </is>
      </c>
      <c r="G150" s="29" t="inlineStr">
        <is>
          <t>CC BY 2.0</t>
        </is>
      </c>
      <c r="H150" s="29" t="inlineStr">
        <is>
          <t>https://creativecommons.org/licenses/by/2.0/</t>
        </is>
      </c>
      <c r="I150" s="29" t="inlineStr">
        <is>
          <t>Creative Commons Attribution 2.0</t>
        </is>
      </c>
      <c r="J150" s="29" t="inlineStr">
        <is>
          <t>Sandra Vallaure from Seville, Spain · CC BY 2.0 · Wikimedia Commons</t>
        </is>
      </c>
      <c r="K150" s="29" t="n"/>
      <c r="L150" s="49" t="n">
        <v>46320</v>
      </c>
      <c r="M150" s="29" t="inlineStr">
        <is>
          <t>Bekliyor</t>
        </is>
      </c>
      <c r="N150" s="29" t="inlineStr">
        <is>
          <t>Bekliyor</t>
        </is>
      </c>
      <c r="O150" s="29" t="inlineStr">
        <is>
          <t>Fotoğraflar/sevilla_casa-roman-sevilla_02.jpg</t>
        </is>
      </c>
      <c r="P150" s="29" t="inlineStr">
        <is>
          <t>Casa Román'ın meydana bakan cephesi ve tabelası.</t>
        </is>
      </c>
      <c r="Q150" s="29" t="inlineStr">
        <is>
          <t>Bekliyor</t>
        </is>
      </c>
      <c r="R150" s="29" t="inlineStr">
        <is>
          <t>Wikimedia Commons dosya sayfasındaki lisans: CC BY 2.0</t>
        </is>
      </c>
      <c r="S150" s="29" t="inlineStr">
        <is>
          <t>Lisans kanıtları/casa-roman-sevilla-02.source-evidence.json</t>
        </is>
      </c>
      <c r="T150" s="29" t="inlineStr">
        <is>
          <t>e8ab27a678a4fe36f84a35c3294693e9388430f123fddb06d1c486ace24a18e3</t>
        </is>
      </c>
      <c r="U150" s="29" t="inlineStr">
        <is>
          <t>Lisans kanıtları/casa-roman-sevilla-02.license-evidence.json</t>
        </is>
      </c>
      <c r="V150" s="29" t="inlineStr">
        <is>
          <t>bbcf8e7651ca07e0c955835e85bf18d42313c72c35fc4c66ac3e669077138eb4</t>
        </is>
      </c>
      <c r="W150" s="29" t="inlineStr">
        <is>
          <t>{"source_url": "https://commons.wikimedia.org/wiki/File:Casa_Rom%C3%A1n_(17156620538).jpg", "author": "Sandra Vallaure from Seville, Spain", "license": "CC BY 2.0", "license_url": "https://creativecommons.org/licenses/by/2.0/", "original_api_record": {"size": 967378, "width": 1200, "height": 795, "thumburl": "https://upload.wikimedia.org/wikipedia/commons/8/85/Casa_Rom%C3%A1n_%2817156620538%29.jpg", "thumbwidth": 1280, "thumbheight": 848, "thumbattribs": {"src": "https://upload.wikimedia.org/wikipedia/commons/8/85/Casa_Rom%C3%A1n_%2817156620538%29.jpg", "decoding": "async", "loading": "lazy", "width": 1280, "height": 848}, "url": "https://upload.wikimedia.org/wikipedia/commons/8/85/Casa_Rom%C3%A1n_%2817156620538%29.jpg", "descriptionurl": "https://commons.wikimedia.org/wiki/File:Casa_Rom%C3%A1n_(17156620538).jpg", "descriptionshorturl": "https://commons.wikimedia.org/w/index.php?curid=79417568", "sha1": "a30738a1b7fb75c4c111b8cba7f0c442fe02a019", "extmetadata": {"DateTime": {"value": "2019-06-02 11:39:28", "source": "mediawiki-metadata", "hidden": ""}, "ObjectName": {"value": "Casa Román (17156620538)", "source": "mediawiki-metadata"}, "CommonsMetadataExtension": {"value": 1.2, "source": "extension", "hidden": ""}, "Categories": {"value": "Flickr images reviewed by FlickreviewR 2|Casa Román|Flickr images missing SDC published in", "source": "commons-categories", "hidden": ""}, "Assessments": {"value": "", "source": "commons-categories", "hidden": ""}, "ImageDescription": {"value": "Barrio de Santa Cruz, Sevilla.", "source": "commons-desc-page"}, "DateTimeOriginal": {"value": "2014-01-30 12:00", "source": "commons-desc-page"}, "Credit": {"value": "&lt;a rel=\"nofollow\" class=\"external text\" href=\"https://www.flickr.com/photos/vallausa/17156620538/\"&gt;Barrio de Santa Cruz 002&lt;/a&gt;", "source": "commons-desc-page"}, "Artist": {"value": "&lt;a rel=\"nofollow\" class=\"external text\" href=\"https://www.flickr.com/people/56946749@N00\"&gt;Sandra Vallaure&lt;/a&gt; from Seville, Spain",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 "delivered_file": {"url": "https://upload.wikimedia.org/wikipedia/commons/8/85/Casa_Rom%C3%A1n_%2817156620538%29.jpg"}, "retrieved_on": "2026-10-25"}</t>
        </is>
      </c>
    </row>
    <row r="151" ht="54" customHeight="1">
      <c r="A151" s="29" t="inlineStr">
        <is>
          <t>sevilla:evidence:huevo-de-colon-01</t>
        </is>
      </c>
      <c r="B151" s="29" t="inlineStr">
        <is>
          <t>sevilla</t>
        </is>
      </c>
      <c r="C151" s="29" t="inlineStr">
        <is>
          <t>sevilla:photo:huevo-de-colon-01</t>
        </is>
      </c>
      <c r="D151" s="29" t="inlineStr">
        <is>
          <t>https://commons.wikimedia.org/wiki/File:El_huevo_de_Col%C3%B3n.jpg</t>
        </is>
      </c>
      <c r="E151" s="29" t="inlineStr">
        <is>
          <t>File:El huevo de Colón.jpg</t>
        </is>
      </c>
      <c r="F151" s="29" t="inlineStr">
        <is>
          <t>Paco Abato Helguera</t>
        </is>
      </c>
      <c r="G151" s="29" t="inlineStr">
        <is>
          <t>CC BY-SA 2.0</t>
        </is>
      </c>
      <c r="H151" s="29" t="inlineStr">
        <is>
          <t>https://creativecommons.org/licenses/by-sa/2.0/</t>
        </is>
      </c>
      <c r="I151" s="29" t="inlineStr">
        <is>
          <t>Creative Commons Attribution-Share Alike 2.0</t>
        </is>
      </c>
      <c r="J151" s="29" t="inlineStr">
        <is>
          <t>Paco Abato Helguera · CC BY-SA 2.0 · Wikimedia Commons</t>
        </is>
      </c>
      <c r="K151" s="29" t="n"/>
      <c r="L151" s="49" t="n">
        <v>46320</v>
      </c>
      <c r="M151" s="29" t="inlineStr">
        <is>
          <t>Bekliyor</t>
        </is>
      </c>
      <c r="N151" s="29" t="inlineStr">
        <is>
          <t>Bekliyor</t>
        </is>
      </c>
      <c r="O151" s="29" t="inlineStr">
        <is>
          <t>Fotoğraflar/sevilla_huevo-de-colon_01.jpg</t>
        </is>
      </c>
      <c r="P151" s="29" t="inlineStr">
        <is>
          <t>Kolomb'un Yumurtası (Huevo de Colón) heykelinin içten ışıklı bronz kabuğu.</t>
        </is>
      </c>
      <c r="Q151" s="29" t="inlineStr">
        <is>
          <t>Bekliyor</t>
        </is>
      </c>
      <c r="R151" s="29" t="inlineStr">
        <is>
          <t>Wikimedia Commons dosya sayfasındaki lisans: CC BY-SA 2.0</t>
        </is>
      </c>
      <c r="S151" s="29" t="inlineStr">
        <is>
          <t>Lisans kanıtları/huevo-de-colon-01.source-evidence.json</t>
        </is>
      </c>
      <c r="T151" s="29" t="inlineStr">
        <is>
          <t>a1fe7fe1257ffdff02f4eb752d8bc377cef4b5da5c560a87bbbfaffc3812898b</t>
        </is>
      </c>
      <c r="U151" s="29" t="inlineStr">
        <is>
          <t>Lisans kanıtları/huevo-de-colon-01.license-evidence.json</t>
        </is>
      </c>
      <c r="V151" s="29" t="inlineStr">
        <is>
          <t>5674c4aa37175fd509bf288f61435c4348804686774218eb51f72102040689c1</t>
        </is>
      </c>
      <c r="W151" s="29" t="inlineStr">
        <is>
          <t>{"source_url": "https://commons.wikimedia.org/wiki/File:El_huevo_de_Col%C3%B3n.jpg", "author": "Paco Abato Helguera", "license": "CC BY-SA 2.0", "license_url": "https://creativecommons.org/licenses/by-sa/2.0/", "original_api_record": {"size": 3999900, "width": 3888, "height": 2592, "thumburl": "https://thumb.wikimedia.org/wikipedia/commons/thumb/d/db/El_huevo_de_Col%C3%B3n.jpg/1280px-El_huevo_de_Col%C3%B3n.jpg", "thumbwidth": 1280, "thumbheight": 853, "responsiveUrls": {"2": "https://thumb.wikimedia.org/wikipedia/commons/thumb/d/db/El_huevo_de_Col%C3%B3n.jpg/3840px-El_huevo_de_Col%C3%B3n.jpg"}, "thumbattribs": {"src": "https://thumb.wikimedia.org/wikipedia/commons/thumb/d/db/El_huevo_de_Col%C3%B3n.jpg/1280px-El_huevo_de_Col%C3%B3n.jpg", "decoding": "async", "loading": "lazy", "width": 1280, "height": 853, "srcset": "https://thumb.wikimedia.org/wikipedia/commons/thumb/d/db/El_huevo_de_Col%C3%B3n.jpg/3840px-El_huevo_de_Col%C3%B3n.jpg 2x"}, "url": "https://upload.wikimedia.org/wikipedia/commons/d/db/El_huevo_de_Col%C3%B3n.jpg", "descriptionurl": "https://commons.wikimedia.org/wiki/File:El_huevo_de_Col%C3%B3n.jpg", "descriptionshorturl": "https://commons.wikimedia.org/w/index.php?curid=6622586", "sha1": "4b60e62ace68f1938281fd4f2340bf70553afc5e", "extmetadata": {"DateTime": {"value": "2017-10-17 16:22:43", "source": "mediawiki-metadata", "hidden": ""}, "ObjectName": {"value": "El huevo de Colón", "source": "mediawiki-metadata"}, "CommonsMetadataExtension": {"value": 1.2, "source": "extension", "hidden": ""}, "Categories": {"value": "Statue of Christopher Columbus by Zurab Tsereteli, Seville|Flickr images uploaded by Flickr upload bot|Illuminated statues", "source": "commons-categories", "hidden": ""}, "Assessments": {"value": "", "source": "commons-categories", "hidden": ""}, "ImageDescription": {"value": "Statue of Christopher Columbus in Sevilla", "source": "commons-desc-page"}, "DateTimeOriginal": {"value": "2008-11-09 19:41:19", "source": "commons-desc-page"}, "Credit": {"value": "originally posted to &lt;b&gt;&lt;a href=\"//commons.wikimedia.org/wiki/Flickr\" class=\"mw-redirect\" title=\"Flickr\"&gt;Flickr&lt;/a&gt;&lt;/b&gt; as &lt;a rel=\"nofollow\" class=\"external text\" href=\"https://www.flickr.com/photos/67928981@N00/3015870323\"&gt;El huevo de Colón&lt;/a&gt;", "source": "commons-desc-page"}, "Artist": {"value": "&lt;a rel=\"nofollow\" class=\"external text\" href=\"https://www.flickr.com/photos/67928981@N00\"&gt;Paco Abato Helguera&lt;/a&gt;", "source": "commons-desc-page"}, "Permission": {"value": "&lt;table id=\"FlickrReview\" style=\"width:100%; margin:0.3em auto; text-align:start; background-color:var(--background-color-success-subtle,#d5fdf4); padding: 3px; border:1px solid var(--border-color-base,#a2a9b1); color:inherit;\" dir=\"ltr\" lang=\"en\"&gt;\n\n&lt;tbody&gt;&lt;tr&gt;\n&lt;td&gt;&lt;span typeof=\"mw:File\"&gt;&lt;span&gt;&lt;img src=\"https://thumb.wikimedia.org/wikipedia/commons/thumb/9/95/Checked_copyright_icon.svg/60px-Checked_copyright_icon.svg.png?utm_source=commons.wikimedia.org&amp;amp;utm_campaign=parser&amp;amp;utm_content=thumbnail\" decoding=\"async\" loading=\"lazy\" width=\"50\" height=\"48\" class=\"mw-file-element\" srcset=\"https://thumb.wikimedia.org/wikipedia/commons/thumb/9/95/Checked_copyright_icon.svg/120px-Checked_copyright_icon.svg.png?utm_source=commons.wikimedia.org&amp;amp;utm_campaign=parser&amp;amp;utm_content=thumbnail 2x\" data-file-width=\"160\" data-file-height=\"153\"&gt;&lt;/span&gt;&lt;/span&gt;\n&lt;/td&gt;\n&lt;td&gt;This image, which was originally posted to &lt;b&gt;&lt;a href=\"https://en.wikipedia.org/wiki/Flickr\" class=\"extiw\" title=\"en:Flickr\"&gt;Flickr&lt;/a&gt;&lt;/b&gt;, was uploaded to Commons using &lt;b&gt;&lt;a href=\"//commons.wikimedia.org/wiki/User:Flickr_upload_bot\" title=\"User:Flickr upload bot\"&gt;Flickr upload bot&lt;/a&gt;&lt;/b&gt; on 25 April 2009, 05:55 by &lt;span id=\"flickr_upload_bot_reviewer\"&gt;&lt;b&gt;&lt;a href=\"//commons.wikimedia.org/wiki/User:Royut\" title=\"User:Royut\"&gt;Royut&lt;/a&gt;&lt;/b&gt;&lt;/span&gt;. On that date, it was confirmed to be licensed under the terms of the license indicated.\n&lt;/td&gt;\n&lt;td&gt;&lt;span typeof=\"mw:File\"&gt;&lt;span&gt;&lt;img src=\"https://thumb.wikimedia.org/wikipedia/commons/thumb/c/c8/Flickr_dots.svg/60px-Flickr_dots.svg.png?utm_source=commons.wikimedia.org&amp;amp;utm_campaign=parser&amp;amp;utm_content=thumbnail\" decoding=\"async\" loading=\"lazy\" width=\"50\" height=\"50\" class=\"mw-file-element\" srcset=\"https://thumb.wikimedia.org/wikipedia/commons/thumb/c/c8/Flickr_dots.svg/120px-Flickr_dots.svg.png?utm_source=commons.wikimedia.org&amp;amp;utm_campaign=parser&amp;amp;utm_content=thumbnail 2x\" data-file-width=\"512\" data-file-height=\"512\"&gt;&lt;/span&gt;&lt;/span&gt;\n&lt;/td&gt;&lt;/tr&gt;&lt;/tbody&gt;&lt;/table&gt;\n&lt;div class=\"responsive-license-cc layouttemplate licensetpl\" dir=\"ltr\" lang=\"en\"&gt;&lt;div class=\"rlicense-icons\"&gt;&lt;span class=\"skin-invert\" typeof=\"mw:File\"&gt;&lt;span title=\"w:en:Creative Commons\"&gt;&lt;img alt=\"w:en:Creative Commons\" src=\"https://thumb.wikimedia.org/wikipedia/commons/thumb/7/79/CC_some_rights_reserved.svg/120px-CC_some_rights_reserved.svg.png?utm_source=commons.wikimedia.org&amp;amp;utm_campaign=parser&amp;amp;utm_content=thumbnail\" decoding=\"async\" loading=\"lazy\" width=\"90\" height=\"36\" class=\"mw-file-element\" srcset=\"https://thumb.wikimedia.org/wikipedia/commons/thumb/7/79/CC_some_rights_reserved.svg/250px-CC_some_rights_reserved.svg.png?utm_source=commons.wikimedia.org&amp;amp;utm_campaign=parser&amp;amp;utm_content=thumbnail 2x\" data-file-width=\"744\" data-file-height=\"300\"&gt;&lt;/span&gt;&lt;/span&gt;&lt;br&gt;\n&lt;span class=\"skin-invert\" typeof=\"mw:File\"&gt;&lt;span title=\"attribution\"&gt;&lt;img alt=\"attribution\" src=\"https://thumb.wikimedia.org/wikipedia/commons/thumb/1/11/Cc-by_new_white.svg/40px-Cc-by_new_white.svg.png?utm_source=commons.wikimedia.org&amp;amp;utm_campaign=parser&amp;amp;utm_content=thumbnail\" decoding=\"async\" loading=\"lazy\" width=\"24\" height=\"24\" class=\"mw-file-element\" srcset=\"https://thumb.wikimedia.org/wikipedia/commons/thumb/1/11/Cc-by_new_white.svg/60px-Cc-by_new_white.svg.png?utm_source=commons.wikimedia.org&amp;amp;utm_campaign=parser&amp;amp;utm_content=thumbnail 2x\" data-file-width=\"64\" data-file-height=\"64\"&gt;&lt;/span&gt;&lt;/span&gt; &lt;span class=\"skin-invert\" typeof=\"mw:File\"&gt;&lt;span title=\"share alike\"&gt;&lt;img alt=\"share alike\" src=\"https://thumb.wikimedia.org/wikipedia/commons/thumb/d/df/Cc-sa_white.svg/40px-Cc-sa_white.svg.png?utm_source=commons.wikimedia.org&amp;amp;utm_campaign=parser&amp;amp;utm_content=thumbnail\" decoding=\"async\" loading=\"lazy\" width=\"24\" height=\"24\" class=\"mw-file-element\" srcset=\"https://thumb.wikimedia.org/wikipedia/commons/thumb/d/df/Cc-sa_white.svg/60px-Cc-sa_white.svg.png?utm_source=commons.wikimedia.org&amp;amp;utm_campaign=parser&amp;amp;utm_content=thumbnail 2x\" data-file-width=\"64\" data-file-height=\"64\"&gt;&lt;/span&gt;&lt;/span&gt;&lt;/div&gt;&lt;div class=\"rlicense-text\"&gt;&lt;div class=\"rlicense-declaration\"&gt;This file is licensed under the &lt;a href=\"https://en.wikipedia.org/wiki/en:Creative_Commons\" class=\"extiw\" title=\"w:en:Creative Commons\"&gt;Creative Commons&lt;/a&gt; &lt;a href=\"//creativecommons.org/licenses/by-sa/2.0/deed.en\" class=\"extiw\" title=\"creativecommons:by-sa/2.0/deed.en\"&gt;Attribution-Share Alike 2.0 Generic&lt;/a&gt; license.&lt;/div&gt;&lt;div class=\"rlicense-desc\" style=\"text-align:start;\" lang=\"en\"&gt;\n&lt;dl&gt;&lt;dd&gt;You are free:\n&lt;ul&gt;&lt;li&gt;&lt;b&gt;to share&lt;/b&gt; – to copy, distribute and transmit the work&lt;/li&gt;\n&lt;li&gt;&lt;b&gt;to remix&lt;/b&gt; – to adapt the work&lt;/li&gt;&lt;/ul&gt;&lt;/dd&gt;\n&lt;dd&gt;Under the following conditions:\n&lt;ul&gt;&lt;li&gt;&lt;b&gt;attribution&lt;/b&gt; – You must give appropriate credit, provide a link to the license, and indicate if changes were made. You may do so in any reasonable manner, but not in any way that suggests the licensor endorses you or your use.&lt;/li&gt;\n&lt;li&gt;&lt;b&gt;share alike&lt;/b&gt; – If you remix, transform, or build upon the material, you must distribute your contributions under the &lt;a href=\"https://creativecommons.org/share-your-work/licensing-considerations/compatible-licenses\" class=\"extiw\" title=\"ccorg:share-your-work/licensing-considerations/compatible-licenses\"&gt;same or compatible license&lt;/a&gt; as the original.&lt;/li&gt;&lt;/ul&gt;&lt;/dd&gt;&lt;/dl&gt;&lt;/div&gt;&lt;span class=\"licensetpl_link\" style=\"display:none;\"&gt;https://creativecommons.org/licenses/by-sa/2.0&lt;/span&gt;&lt;span class=\"licensetpl_short\" style=\"display:none;\"&gt;CC BY-SA 2.0 &lt;/span&gt;&lt;span class=\"licensetpl_long\" style=\"display:none;\"&gt;Creative Commons Attribution-Share Alike 2.0 &lt;/span&gt;&lt;span class=\"licensetpl_link_req\" style=\"display:none;\"&gt;true&lt;/span&gt;&lt;span class=\"licensetpl_attr_req\" style=\"display:none;\"&gt;true&lt;/span&gt;&lt;/div&gt;&lt;/div&gt;", "source": "commons-desc-page", "hidden": ""}, "LicenseShortName": {"value": "CC BY-SA 2.0", "source": "commons-desc-page", "hidden": ""}, "UsageTerms": {"value": "Creative Commons Attribution-Share Alike 2.0", "source": "commons-desc-page"}, "AttributionRequired": {"value": "true", "source": "commons-desc-page", "hidden": ""}, "LicenseUrl": {"value": "https://creativecommons.org/licenses/by-sa/2.0", "source": "commons-desc-page"}, "Copyrighted": {"value": "True", "source": "commons-desc-page", "hidden": ""}, "Restrictions": {"value": "", "source": "commons-desc-page", "hidden": ""}, "License": {"value": "cc-by-sa-2.0", "source": "commons-templates", "hidden": ""}}, "mime": "image/jpeg"}, "delivered_file": {"url": "https://thumb.wikimedia.org/wikipedia/commons/thumb/d/db/El_huevo_de_Col%C3%B3n.jpg/1280px-El_huevo_de_Col%C3%B3n.jpg"}, "retrieved_on": "2026-10-25"}</t>
        </is>
      </c>
    </row>
    <row r="152" ht="54" customHeight="1">
      <c r="A152" s="29" t="inlineStr">
        <is>
          <t>sevilla:evidence:huevo-de-colon-02</t>
        </is>
      </c>
      <c r="B152" s="29" t="inlineStr">
        <is>
          <t>sevilla</t>
        </is>
      </c>
      <c r="C152" s="29" t="inlineStr">
        <is>
          <t>sevilla:photo:huevo-de-colon-02</t>
        </is>
      </c>
      <c r="D152" s="29" t="inlineStr">
        <is>
          <t>https://commons.wikimedia.org/wiki/File:Huevo_de_Colon_-_Sevilla_-_Parque_de_San_Jeronimo_-_panoramio.jpg</t>
        </is>
      </c>
      <c r="E152" s="29" t="inlineStr">
        <is>
          <t>File:Huevo de Colon - Sevilla - Parque de San Jeronimo - panoramio.jpg</t>
        </is>
      </c>
      <c r="F152" s="29" t="inlineStr">
        <is>
          <t>alfonsocg1983</t>
        </is>
      </c>
      <c r="G152" s="29" t="inlineStr">
        <is>
          <t>CC BY 3.0</t>
        </is>
      </c>
      <c r="H152" s="29" t="inlineStr">
        <is>
          <t>https://creativecommons.org/licenses/by/3.0/</t>
        </is>
      </c>
      <c r="I152" s="29" t="inlineStr">
        <is>
          <t>Creative Commons Attribution 3.0</t>
        </is>
      </c>
      <c r="J152" s="29" t="inlineStr">
        <is>
          <t>alfonsocg1983 · CC BY 3.0 · Wikimedia Commons</t>
        </is>
      </c>
      <c r="K152" s="29" t="n"/>
      <c r="L152" s="49" t="n">
        <v>46320</v>
      </c>
      <c r="M152" s="29" t="inlineStr">
        <is>
          <t>Bekliyor</t>
        </is>
      </c>
      <c r="N152" s="29" t="inlineStr">
        <is>
          <t>Bekliyor</t>
        </is>
      </c>
      <c r="O152" s="29" t="inlineStr">
        <is>
          <t>Fotoğraflar/sevilla_huevo-de-colon_02.jpg</t>
        </is>
      </c>
      <c r="P152" s="29" t="inlineStr">
        <is>
          <t>Parktaki Kolomb'un Yumurtası heykelinin dış kabuğu ve içindeki figür.</t>
        </is>
      </c>
      <c r="Q152" s="29" t="inlineStr">
        <is>
          <t>Bekliyor</t>
        </is>
      </c>
      <c r="R152" s="29" t="inlineStr">
        <is>
          <t>Wikimedia Commons dosya sayfasındaki lisans: CC BY 3.0</t>
        </is>
      </c>
      <c r="S152" s="29" t="inlineStr">
        <is>
          <t>Lisans kanıtları/huevo-de-colon-02.source-evidence.json</t>
        </is>
      </c>
      <c r="T152" s="29" t="inlineStr">
        <is>
          <t>fd9cc13534275e6513dbb42bb24e90cfa241db831a0de028feb331facb8346a2</t>
        </is>
      </c>
      <c r="U152" s="29" t="inlineStr">
        <is>
          <t>Lisans kanıtları/huevo-de-colon-02.license-evidence.json</t>
        </is>
      </c>
      <c r="V152" s="29" t="inlineStr">
        <is>
          <t>6ba8c9df3174df9cac5ee05d19085e89e6ce5b553bb6a18b70464eec2a79da77</t>
        </is>
      </c>
      <c r="W152" s="29" t="inlineStr">
        <is>
          <t>{"source_url": "https://commons.wikimedia.org/wiki/File:Huevo_de_Colon_-_Sevilla_-_Parque_de_San_Jeronimo_-_panoramio.jpg", "author": "alfonsocg1983", "license": "CC BY 3.0", "license_url": "https://creativecommons.org/licenses/by/3.0/", "original_api_record": {"size": 815958, "width": 2592, "height": 1944, "thumburl": "https://thumb.wikimedia.org/wikipedia/commons/thumb/f/fe/Huevo_de_Colon_-_Sevilla_-_Parque_de_San_Jeronimo_-_panoramio.jpg/1280px-Huevo_de_Colon_-_Sevilla_-_Parque_de_San_Jeronimo_-_panoramio.jpg", "thumbwidth": 1280, "thumbheight": 960, "responsiveUrls": {"2": "https://upload.wikimedia.org/wikipedia/commons/f/fe/Huevo_de_Colon_-_Sevilla_-_Parque_de_San_Jeronimo_-_panoramio.jpg"}, "thumbattribs": {"src": "https://thumb.wikimedia.org/wikipedia/commons/thumb/f/fe/Huevo_de_Colon_-_Sevilla_-_Parque_de_San_Jeronimo_-_panoramio.jpg/1280px-Huevo_de_Colon_-_Sevilla_-_Parque_de_San_Jeronimo_-_panoramio.jpg", "decoding": "async", "loading": "lazy", "width": 1280, "height": 960, "srcset": "https://upload.wikimedia.org/wikipedia/commons/f/fe/Huevo_de_Colon_-_Sevilla_-_Parque_de_San_Jeronimo_-_panoramio.jpg 2x"}, "url": "https://upload.wikimedia.org/wikipedia/commons/f/fe/Huevo_de_Colon_-_Sevilla_-_Parque_de_San_Jeronimo_-_panoramio.jpg", "descriptionurl": "https://commons.wikimedia.org/wiki/File:Huevo_de_Colon_-_Sevilla_-_Parque_de_San_Jeronimo_-_panoramio.jpg", "descriptionshorturl": "https://commons.wikimedia.org/w/index.php?curid=53785825", "sha1": "6ca6ede2b708ea9b283db2771a5458719fa76965", "extmetadata": {"DateTime": {"value": "2016-12-05 01:22:32", "source": "mediawiki-metadata", "hidden": ""}, "ObjectName": {"value": "Huevo de Colon - Sevilla - Parque de San Jeronimo - panoramio", "source": "mediawiki-metadata"}, "CommonsMetadataExtension": {"value": 1.2, "source": "extension", "hidden": ""}, "Categories": {"value": "Statue of Christopher Columbus by Zurab Tsereteli, Seville|Panoramio files uploaded by Panoramio upload bot|Panoramio images reviewed by trusted users|Photos from Panoramio|Files with coordinates missing SDC location of creation|Spain photographs taken on 2009-10-08", "source": "commons-categories", "hidden": ""}, "Assessments": {"value": "", "source": "commons-categories", "hidden": ""}, "GPSLatitude": {"value": "37.427544", "source": "commons-desc-page"}, "GPSLongitude": {"value": "-5.992242", "source": "commons-desc-page"}, "GPSMapDatum": {"value": "WGS-84", "source": "commons-desc-page", "hidden": ""}, "ImageDescription": {"value": "Huevo de Colon - Sevilla - Parque de San Jeronimo", "source": "commons-desc-page"}, "DateTimeOriginal": {"value": "Taken on 8 October 2009", "source": "commons-desc-page"}, "Credit": {"value": "&lt;a rel=\"nofollow\" class=\"external free\" href=\"https://web.archive.org/web/20161014032850/http://www.panoramio.com/photo/27820846\"&gt;https://web.archive.org/web/20161014032850/http://www.panoramio.com/photo/27820846&lt;/a&gt;", "source": "commons-desc-page"}, "Artist": {"value": "&lt;a rel=\"nofollow\" class=\"external text\" href=\"https://web.archive.org/web/20161014032851/http://www.panoramio.com/user/2338466?with_photo_id=27820846\"&gt;alfonsocg1983&lt;/a&gt;", "source": "commons-desc-page"}, "Permission": {"value": "&lt;div class=\"responsive-license-cc layouttemplate licensetpl\" dir=\"ltr\" lang=\"en\"&gt;&lt;div class=\"rlicense-icons\"&gt;&lt;span class=\"skin-invert\" typeof=\"mw:File\"&gt;&lt;span title=\"w:en:Creative Commons\"&gt;&lt;img alt=\"w:en:Creative Commons\" src=\"https://thumb.wikimedia.org/wikipedia/commons/thumb/7/79/CC_some_rights_reserved.svg/120px-CC_some_rights_reserved.svg.png?utm_source=commons.wikimedia.org&amp;amp;utm_campaign=parser&amp;amp;utm_content=thumbnail\" decoding=\"async\" loading=\"lazy\" width=\"90\" height=\"36\" class=\"mw-file-element\" srcset=\"https://thumb.wikimedia.org/wikipedia/commons/thumb/7/79/CC_some_rights_reserved.svg/250px-CC_some_rights_reserved.svg.png?utm_source=commons.wikimedia.org&amp;amp;utm_campaign=parser&amp;amp;utm_content=thumbnail 2x\" data-file-width=\"744\" data-file-height=\"300\"&gt;&lt;/span&gt;&lt;/span&gt;&lt;br&gt;\n&lt;span class=\"skin-invert\" typeof=\"mw:File\"&gt;&lt;span title=\"attribution\"&gt;&lt;img alt=\"attribution\" src=\"https://thumb.wikimedia.org/wikipedia/commons/thumb/1/11/Cc-by_new_white.svg/40px-Cc-by_new_white.svg.png?utm_source=commons.wikimedia.org&amp;amp;utm_campaign=parser&amp;amp;utm_content=thumbnail\" decoding=\"async\" loading=\"lazy\" width=\"24\" height=\"24\" class=\"mw-file-element\" srcset=\"https://thumb.wikimedia.org/wikipedia/commons/thumb/1/11/Cc-by_new_white.svg/60px-Cc-by_new_white.svg.png?utm_source=commons.wikimedia.org&amp;amp;utm_campaign=parser&amp;amp;utm_content=thumbnail 2x\" data-file-width=\"64\" data-file-height=\"64\"&gt;&lt;/span&gt;&lt;/span&gt;&lt;/div&gt;&lt;div class=\"rlicense-text\"&gt;&lt;div class=\"rlicense-declaration\"&gt;This file is licensed under the &lt;a href=\"https://en.wikipedia.org/wiki/en:Creative_Commons\" class=\"extiw\" title=\"w:en:Creative Commons\"&gt;Creative Commons&lt;/a&gt; &lt;a href=\"//creativecommons.org/licenses/by/3.0/deed.en\" class=\"extiw\" title=\"creativecommons:by/3.0/deed.en\"&gt;Attribution 3.0 Unported&lt;/a&gt; license.&lt;/div&gt;&lt;div class=\"rlicense-attr\" style=\"font-weight: bold;\"&gt;Attribution: &lt;div style=\"display:inline;font-size:larger;\" class=\"licensetpl_attr\"&gt;alfonsocg1983&lt;/div&gt;&lt;/div&gt;&lt;div class=\"rlicense-desc\" style=\"text-align:start;\" dir=\"ltr\" lang=\"en\"&gt;\n&lt;dl&gt;&lt;dd&gt;You are free:\n&lt;ul&gt;&lt;li&gt;&lt;b&gt;to share&lt;/b&gt; – to copy, distribute and transmit the work&lt;/li&gt;\n&lt;li&gt;&lt;b&gt;to remix&lt;/b&gt; – to adapt the work&lt;/li&gt;&lt;/ul&gt;&lt;/dd&gt;\n&lt;dd&gt;Under the following conditions:\n&lt;ul&gt;&lt;li&gt;&lt;b&gt;attribution&lt;/b&gt; – You must give appropriate credit, provide a link to the license, and indicate if changes were made. You may do so in any reasonable manner, but not in any way that suggests the licensor endorses you or your use.&lt;/li&gt;&lt;/ul&gt;&lt;/dd&gt;&lt;/dl&gt;\n&lt;/div&gt;&lt;span class=\"licensetpl_link\" style=\"display:none;\"&gt;https://creativecommons.org/licenses/by/3.0&lt;/span&gt;&lt;span class=\"licensetpl_short\" style=\"display:none;\"&gt;CC BY 3.0 &lt;/span&gt;&lt;span class=\"licensetpl_long\" style=\"display:none;\"&gt;Creative Commons Attribution 3.0 &lt;/span&gt;&lt;span class=\"licensetpl_link_req\" style=\"display:none;\"&gt;true&lt;/span&gt;&lt;span class=\"licensetpl_attr_req\" style=\"display:none;\"&gt;true&lt;/span&gt;&lt;/div&gt;&lt;/div&gt;\n&lt;style data-mw-deduplicate=\"TemplateStyles:r901585720\"&gt;.mw-parser-output .panoramioreview{width:100%;margin:0.5em 0;background-color:var(--background-color-warning-subtle,#fffff0);padding:5px;border:1px solid var(--border-color-warning,#aa8);color:inherit}.mw-parser-output .panoramioreview-failed{background-color:var(--background-color-error-subtle,#fcc);color:inherit}.mw-parser-output .panoramioreview-passed{background-color:var(--background-color-success-subtle,#efe);color:inherit}&lt;/style&gt;\n&lt;table class=\"panoramioreview panoramioreview-passed\" lang=\"en\" dir=\"ltr\"&gt;\n\n&lt;tbody&gt;&lt;tr&gt;\n&lt;td&gt;&lt;span typeof=\"mw:File\"&gt;&lt;span&gt;&lt;img alt=\"\" src=\"https://thumb.wikimedia.org/wikipedia/commons/thumb/9/95/Checked_copyright_icon.svg/60px-Checked_copyright_icon.svg.png?utm_source=commons.wikimedia.org&amp;amp;utm_campaign=parser&amp;amp;utm_content=thumbnail\" decoding=\"async\" loading=\"lazy\" width=\"50\" height=\"48\" class=\"mw-file-element\" srcset=\"https://thumb.wikimedia.org/wikipedia/commons/thumb/9/95/Checked_copyright_icon.svg/120px-Checked_copyright_icon.svg.png?utm_source=commons.wikimedia.org&amp;amp;utm_campaign=parser&amp;amp;utm_content=thumbnail 2x\" data-file-width=\"160\" data-file-height=\"153\"&gt;&lt;/span&gt;&lt;/span&gt;\n&lt;/td&gt;\n&lt;td&gt;This image, which was originally posted to &lt;b&gt;&lt;span lang=\"en\" dir=\"ltr\"&gt;&lt;a href=\"https://en.wikipedia.org/wiki/Panoramio\" class=\"extiw\" title=\"en:Panoramio\"&gt;Panoramio&lt;/a&gt;&lt;/span&gt;&lt;/b&gt;, was automatically reviewed on 5 December 2016 by &lt;b&gt;&lt;a href=\"//commons.wikimedia.org/wiki/User:Panoramio_upload_bot\" title=\"User:Panoramio upload bot\"&gt;Panoramio upload bot&lt;/a&gt;&lt;/b&gt;, who confirmed that it was available on Panoramio under the above license on that date.\n&lt;/td&gt;\n&lt;td&gt;&lt;span typeof=\"mw:File\"&gt;&lt;a href=\"//commons.wikimedia.org/wiki/File:Star_and_ring.svg\" class=\"mw-file-description\"&gt;&lt;img src=\"https://thumb.wikimedia.org/wikipedia/commons/thumb/9/98/Star_and_ring.svg/60px-Star_and_ring.svg.png?utm_source=commons.wikimedia.org&amp;amp;utm_campaign=parser&amp;amp;utm_content=thumbnail\" decoding=\"async\" loading=\"lazy\" width=\"50\" height=\"50\" class=\"mw-file-element\" srcset=\"https://thumb.wikimedia.org/wikipedia/commons/thumb/9/98/Star_and_ring.svg/120px-Star_and_ring.svg.png?utm_source=commons.wikimedia.org&amp;amp;utm_campaign=parser&amp;amp;utm_content=thumbnail 2x\" data-file-width=\"75\" data-file-height=\"75\"&gt;&lt;/a&gt;&lt;/span&gt;\n&lt;/td&gt;&lt;/tr&gt;&lt;/tbody&gt;&lt;/table&gt;", "source": "commons-desc-page", "hidden": ""}, "LicenseShortName": {"value": "CC BY 3.0", "source": "commons-desc-page", "hidden": ""}, "UsageTerms": {"value": "Creative Commons Attribution 3.0", "source": "commons-desc-page"}, "AttributionRequired": {"value": "true", "source": "commons-desc-page", "hidden": ""}, "Attribution": {"value": "alfonsocg1983",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"https://thumb.wikimedia.org/wikipedia/commons/thumb/f/fe/Huevo_de_Colon_-_Sevilla_-_Parque_de_San_Jeronimo_-_panoramio.jpg/1280px-Huevo_de_Colon_-_Sevilla_-_Parque_de_San_Jeronimo_-_panoramio.jpg"}, "retrieved_on": "2026-10-25"}</t>
        </is>
      </c>
    </row>
    <row r="153" ht="54" customHeight="1">
      <c r="A153" s="29" t="inlineStr">
        <is>
          <t>sevilla:evidence:real-fabrica-de-artilleria-01</t>
        </is>
      </c>
      <c r="B153" s="29" t="inlineStr">
        <is>
          <t>sevilla</t>
        </is>
      </c>
      <c r="C153" s="29" t="inlineStr">
        <is>
          <t>sevilla:photo:real-fabrica-de-artilleria-01</t>
        </is>
      </c>
      <c r="D153" s="29" t="inlineStr">
        <is>
          <t>https://commons.wikimedia.org/wiki/File:F%C3%A1brica_de_artiller%C3%ADa_2024An773.jpg</t>
        </is>
      </c>
      <c r="E153" s="29" t="inlineStr">
        <is>
          <t>File:Fábrica de artillería 2024An773.jpg</t>
        </is>
      </c>
      <c r="F153" s="29" t="inlineStr">
        <is>
          <t>Anual</t>
        </is>
      </c>
      <c r="G153" s="29" t="inlineStr">
        <is>
          <t>CC BY-SA 4.0</t>
        </is>
      </c>
      <c r="H153" s="29" t="inlineStr">
        <is>
          <t>https://creativecommons.org/licenses/by-sa/4.0/</t>
        </is>
      </c>
      <c r="I153" s="29" t="inlineStr">
        <is>
          <t>Creative Commons Attribution-Share Alike 4.0</t>
        </is>
      </c>
      <c r="J153" s="29" t="inlineStr">
        <is>
          <t>Anual · CC BY-SA 4.0 · Wikimedia Commons</t>
        </is>
      </c>
      <c r="K153" s="29" t="n"/>
      <c r="L153" s="49" t="n">
        <v>46320</v>
      </c>
      <c r="M153" s="29" t="inlineStr">
        <is>
          <t>Bekliyor</t>
        </is>
      </c>
      <c r="N153" s="29" t="inlineStr">
        <is>
          <t>Bekliyor</t>
        </is>
      </c>
      <c r="O153" s="29" t="inlineStr">
        <is>
          <t>Fotoğraflar/sevilla_real-fabrica-de-artilleria_01.jpg</t>
        </is>
      </c>
      <c r="P153" s="29" t="inlineStr">
        <is>
          <t>Real Fábrica de Artillería'nın saat kuleli tarihî giriş kapısı.</t>
        </is>
      </c>
      <c r="Q153" s="29" t="inlineStr">
        <is>
          <t>Bekliyor</t>
        </is>
      </c>
      <c r="R153" s="29" t="inlineStr">
        <is>
          <t>Wikimedia Commons dosya sayfasındaki lisans: CC BY-SA 4.0</t>
        </is>
      </c>
      <c r="S153" s="29" t="inlineStr">
        <is>
          <t>Lisans kanıtları/real-fabrica-de-artilleria-01.source-evidence.json</t>
        </is>
      </c>
      <c r="T153" s="29" t="inlineStr">
        <is>
          <t>e583e5cd30a7d7301b4bd164fd64c98aa3fbd92c326b7b94168dbf9f18aa1208</t>
        </is>
      </c>
      <c r="U153" s="29" t="inlineStr">
        <is>
          <t>Lisans kanıtları/real-fabrica-de-artilleria-01.license-evidence.json</t>
        </is>
      </c>
      <c r="V153" s="29" t="inlineStr">
        <is>
          <t>dc4415f828996a5054d24a33f765dc6d7f514cd14f1590a215725dd463428a24</t>
        </is>
      </c>
      <c r="W153" s="29" t="inlineStr">
        <is>
          <t>{"source_url": "https://commons.wikimedia.org/wiki/File:F%C3%A1brica_de_artiller%C3%ADa_2024An773.jpg", "author": "Anual", "license": "CC BY-SA 4.0", "license_url": "https://creativecommons.org/licenses/by-sa/4.0/", "original_api_record": {"size": 10338517, "width": 6000, "height": 4000, "thumburl": "https://thumb.wikimedia.org/wikipedia/commons/thumb/5/54/F%C3%A1brica_de_artiller%C3%ADa_2024An773.jpg/1280px-F%C3%A1brica_de_artiller%C3%ADa_2024An773.jpg", "thumbwidth": 1280, "thumbheight": 853, "responsiveUrls": {"2": "https://thumb.wikimedia.org/wikipedia/commons/thumb/5/54/F%C3%A1brica_de_artiller%C3%ADa_2024An773.jpg/3840px-F%C3%A1brica_de_artiller%C3%ADa_2024An773.jpg"}, "thumbattribs": {"src": "https://thumb.wikimedia.org/wikipedia/commons/thumb/5/54/F%C3%A1brica_de_artiller%C3%ADa_2024An773.jpg/1280px-F%C3%A1brica_de_artiller%C3%ADa_2024An773.jpg", "decoding": "async", "loading": "lazy", "width": 1280, "height": 853, "srcset": "https://thumb.wikimedia.org/wikipedia/commons/thumb/5/54/F%C3%A1brica_de_artiller%C3%ADa_2024An773.jpg/3840px-F%C3%A1brica_de_artiller%C3%ADa_2024An773.jpg 2x"}, "url": "https://upload.wikimedia.org/wikipedia/commons/5/54/F%C3%A1brica_de_artiller%C3%ADa_2024An773.jpg", "descriptionurl": "https://commons.wikimedia.org/wiki/File:F%C3%A1brica_de_artiller%C3%ADa_2024An773.jpg", "descriptionshorturl": "https://commons.wikimedia.org/w/index.php?curid=157256025", "sha1": "f6ee63889a6fa6e39ec093f2694ae0c5fef0105c", "extmetadata": {"DateTime": {"value": "2024-12-29 11:49:57", "source": "mediawiki-metadata", "hidden": ""}, "ObjectName": {"value": "Fábrica de artillería 2024An773", "source": "mediawiki-metadata"}, "CommonsMetadataExtension": {"value": 1.2, "source": "extension", "hidden": ""}, "Categories": {"value": "Real Fábrica de Artillería, Seville|Self-published work|December 2024 in Seville", "source": "commons-categories", "hidden": ""}, "Assessments": {"value": "", "source": "commons-categories", "hidden": ""}, "ImageDescription": {"value": "Fachada principal de la antigua fábrica de artillería de Sevilla. Centro Magallanes", "source": "commons-desc-page"}, "DateTimeOriginal": {"value": "2024-12-14", "source": "commons-desc-page"}, "Credit": {"value": "&lt;span class=\"int-own-work\" lang=\"en\"&gt;Own work&lt;/span&gt;", "source": "commons-desc-page"}, "Artist": {"value": "&lt;a href=\"//commons.wikimedia.org/wiki/User:Anual\" title=\"User:Anual\"&gt;Anual&lt;/a&gt;",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"https://thumb.wikimedia.org/wikipedia/commons/thumb/5/54/F%C3%A1brica_de_artiller%C3%ADa_2024An773.jpg/1280px-F%C3%A1brica_de_artiller%C3%ADa_2024An773.jpg"}, "retrieved_on": "2026-10-25"}</t>
        </is>
      </c>
    </row>
    <row r="154" ht="54" customHeight="1">
      <c r="A154" s="29" t="inlineStr">
        <is>
          <t>sevilla:evidence:iglesia-de-san-luis-de-los-franceses-01</t>
        </is>
      </c>
      <c r="B154" s="29" t="inlineStr">
        <is>
          <t>sevilla</t>
        </is>
      </c>
      <c r="C154" s="29" t="inlineStr">
        <is>
          <t>sevilla:photo:iglesia-de-san-luis-de-los-franceses-01</t>
        </is>
      </c>
      <c r="D154" s="29" t="inlineStr">
        <is>
          <t>https://commons.wikimedia.org/wiki/File:B%C3%B3veda_de_la_Iglesia_de_San_Luis_de_los_Franceses_(Sevilla).jpg</t>
        </is>
      </c>
      <c r="E154" s="29" t="inlineStr">
        <is>
          <t>File:Bóveda de la Iglesia de San Luis de los Franceses (Sevilla).jpg</t>
        </is>
      </c>
      <c r="F154" s="29" t="inlineStr">
        <is>
          <t>José Luis Filpo Cabana</t>
        </is>
      </c>
      <c r="G154" s="29" t="inlineStr">
        <is>
          <t>CC BY 4.0</t>
        </is>
      </c>
      <c r="H154" s="29" t="inlineStr">
        <is>
          <t>https://creativecommons.org/licenses/by/4.0/</t>
        </is>
      </c>
      <c r="I154" s="29" t="inlineStr">
        <is>
          <t>Creative Commons Attribution 4.0</t>
        </is>
      </c>
      <c r="J154" s="29" t="inlineStr">
        <is>
          <t>José Luis Filpo Cabana · CC BY 4.0 · Wikimedia Commons</t>
        </is>
      </c>
      <c r="K154" s="29" t="n"/>
      <c r="L154" s="49" t="n">
        <v>46320</v>
      </c>
      <c r="M154" s="29" t="inlineStr">
        <is>
          <t>Bekliyor</t>
        </is>
      </c>
      <c r="N154" s="29" t="inlineStr">
        <is>
          <t>Bekliyor</t>
        </is>
      </c>
      <c r="O154" s="29" t="inlineStr">
        <is>
          <t>Fotoğraflar/sevilla_iglesia-de-san-luis-de-los-franceses_01.jpg</t>
        </is>
      </c>
      <c r="P154" s="29" t="inlineStr">
        <is>
          <t>San Luis de los Franceses Kilisesi'nin fresklerle süslü kubbesi içten.</t>
        </is>
      </c>
      <c r="Q154" s="29" t="inlineStr">
        <is>
          <t>Bekliyor</t>
        </is>
      </c>
      <c r="R154" s="29" t="inlineStr">
        <is>
          <t>Wikimedia Commons dosya sayfasındaki lisans: CC BY 4.0</t>
        </is>
      </c>
      <c r="S154" s="29" t="inlineStr">
        <is>
          <t>Lisans kanıtları/iglesia-de-san-luis-de-los-franceses-01.source-evidence.json</t>
        </is>
      </c>
      <c r="T154" s="29" t="inlineStr">
        <is>
          <t>ad2cca3c41b1811f2d3e65d634c17914ccb56925cef35f6029a3055f7fa29422</t>
        </is>
      </c>
      <c r="U154" s="29" t="inlineStr">
        <is>
          <t>Lisans kanıtları/iglesia-de-san-luis-de-los-franceses-01.license-evidence.json</t>
        </is>
      </c>
      <c r="V154" s="29" t="inlineStr">
        <is>
          <t>4ad392835c7ea48a4ac7d5c7211b166ada3bd3a3c04a7a0b1ce534a3aa28a50b</t>
        </is>
      </c>
      <c r="W154" s="29" t="inlineStr">
        <is>
          <t>{"source_url": "https://commons.wikimedia.org/wiki/File:B%C3%B3veda_de_la_Iglesia_de_San_Luis_de_los_Franceses_(Sevilla).jpg", "author": "José Luis Filpo Cabana", "license": "CC BY 4.0", "license_url": "https://creativecommons.org/licenses/by/4.0/", "original_api_record": {"size": 6701509, "width": 3648, "height": 2736, "thumburl": "https://thumb.wikimedia.org/wikipedia/commons/thumb/4/40/B%C3%B3veda_de_la_Iglesia_de_San_Luis_de_los_Franceses_%28Sevilla%29.jpg/1280px-B%C3%B3veda_de_la_Iglesia_de_San_Luis_de_los_Franceses_%28Sevilla%29.jpg", "thumbwidth": 1280, "thumbheight": 960, "responsiveUrls": {"2": "https://upload.wikimedia.org/wikipedia/commons/4/40/B%C3%B3veda_de_la_Iglesia_de_San_Luis_de_los_Franceses_%28Sevilla%29.jpg"}, "thumbattribs": {"src": "https://thumb.wikimedia.org/wikipedia/commons/thumb/4/40/B%C3%B3veda_de_la_Iglesia_de_San_Luis_de_los_Franceses_%28Sevilla%29.jpg/1280px-B%C3%B3veda_de_la_Iglesia_de_San_Luis_de_los_Franceses_%28Sevilla%29.jpg", "decoding": "async", "loading": "lazy", "width": 1280, "height": 960, "srcset": "https://upload.wikimedia.org/wikipedia/commons/4/40/B%C3%B3veda_de_la_Iglesia_de_San_Luis_de_los_Franceses_%28Sevilla%29.jpg 2x"}, "url": "https://upload.wikimedia.org/wikipedia/commons/4/40/B%C3%B3veda_de_la_Iglesia_de_San_Luis_de_los_Franceses_%28Sevilla%29.jpg", "descriptionurl": "https://commons.wikimedia.org/wiki/File:B%C3%B3veda_de_la_Iglesia_de_San_Luis_de_los_Franceses_(Sevilla).jpg", "descriptionshorturl": "https://commons.wikimedia.org/w/index.php?curid=63248756", "sha1": "5cf955a884bc7338263261e6224e805d27c34333", "extmetadata": {"DateTime": {"value": "2021-04-18 12:02:34", "source": "mediawiki-metadata", "hidden": ""}, "ObjectName": {"value": "Bóveda de la Iglesia de San Luis de los Franceses (Sevilla)", "source": "mediawiki-metadata"}, "CommonsMetadataExtension": {"value": 1.2, "source": "extension", "hidden": ""}, "Categories": {"value": "GFDL|Images with annotations|License migration redundant|September 2017|Self-published work|Files with coordinates missing SDC location of creation|Dome of Church of San Luis de los Franceses, Sevilla", "source": "commons-categories", "hidden": ""}, "Assessments": {"value": "", "source": "commons-categories", "hidden": ""}, "GPSLatitude": {"value": "37.398408", "source": "commons-desc-page"}, "GPSLongitude": {"value": "-5.988283", "source": "commons-desc-page"}, "GPSMapDatum": {"value": "WGS-84", "source": "commons-desc-page", "hidden": ""}, "ImageDescription": {"value": "Noviciado de la Compañía de Jesús. Crucero de la &lt;a href=\"https://es.wikipedia.org/wiki/Iglesia_de_San_Luis_de_los_Franceses_(Sevilla)\" class=\"extiw\" title=\"es:Iglesia de San Luis de los Franceses (Sevilla)\"&gt;Iglesia de San Luis de los Franceses, Sevilla&lt;/a&gt;. Extraordinaria bóveda del barroco universal (1719) por su arquitectura, decoración y simbolismo. &lt;a href=\"https://es.wikipedia.org/wiki/Lucas_Vald%C3%A9s\" class=\"extiw\" title=\"es:Lucas Valdés\"&gt;Lucas Valdés&lt;/a&gt; desarrolla un programa pictórico en perspectiva siguiendo las directrices impuestas por el &lt;a href=\"https://es.wikipedia.org/wiki/Concilio_de_Trento\" class=\"extiw\" title=\"es:Concilio de Trento\"&gt;Concilio de Trento&lt;/a&gt;.\n&lt;ul&gt;&lt;li&gt;&lt;a href=\"//commons.wikimedia.org/wiki/File:Dome_of_Santa_Maria_in_Vallicella_(Rome).jpg\" title=\"File:Dome of Santa Maria in Vallicella (Rome).jpg\"&gt;Bóveda de Santa María en Vallicella (Roma)&lt;/a&gt;&lt;/li&gt;\n&lt;li&gt;&lt;a href=\"//commons.wikimedia.org/wiki/File:Sant%27Agnese_in_Agone_(Rome)_-_Dome_interior_(Wide_view).jpg\" title=\"File:Sant'Agnese in Agone (Rome) - Dome interior (Wide view).jpg\"&gt;Bóveda de la Iglesia de Santa Agnese (Roma)&lt;/a&gt;&lt;/li&gt;&lt;/ul&gt;", "source": "commons-desc-page"}, "DateTimeOriginal": {"value": "2017-09", "source": "commons-desc-page"}, "Credit": {"value": "&lt;span class=\"int-own-work\" lang=\"en\"&gt;Own work&lt;/span&gt;", "source": "commons-desc-page"}, "Artist": {"value": "José Luis Filpo Cabana", "source": "commons-desc-page"}, "LicenseShortName": {"value": "CC BY 4.0", "source": "commons-desc-page", "hidden": ""}, "UsageTerms": {"value": "Creative Commons Attribution 4.0", "source": "commons-desc-page"}, "AttributionRequired": {"value": "true", "source": "commons-desc-page", "hidden": ""}, "LicenseUrl": {"value": "https://creativecommons.org/licenses/by/4.0", "source": "commons-desc-page"}, "Copyrighted": {"value": "True", "source": "commons-desc-page", "hidden": ""}, "Restrictions": {"value": "", "source": "commons-desc-page", "hidden": ""}, "License": {"value": "cc-by-4.0", "source": "commons-templates", "hidden": ""}}, "mime": "image/jpeg"}, "delivered_file": {"url": "https://thumb.wikimedia.org/wikipedia/commons/thumb/4/40/B%C3%B3veda_de_la_Iglesia_de_San_Luis_de_los_Franceses_%28Sevilla%29.jpg/1280px-B%C3%B3veda_de_la_Iglesia_de_San_Luis_de_los_Franceses_%28Sevilla%29.jpg"}, "retrieved_on": "2026-10-25"}</t>
        </is>
      </c>
    </row>
    <row r="155" ht="54" customHeight="1">
      <c r="A155" s="29" t="inlineStr">
        <is>
          <t>sevilla:evidence:iglesia-de-san-luis-de-los-franceses-02</t>
        </is>
      </c>
      <c r="B155" s="29" t="inlineStr">
        <is>
          <t>sevilla</t>
        </is>
      </c>
      <c r="C155" s="29" t="inlineStr">
        <is>
          <t>sevilla:photo:iglesia-de-san-luis-de-los-franceses-02</t>
        </is>
      </c>
      <c r="D155" s="29" t="inlineStr">
        <is>
          <t>https://commons.wikimedia.org/wiki/File:Exterior_of_the_Iglesia_de_San_Luis_de_los_Franceses_(Sevilla)_seen_from_the_top_of_Metropol_Parasol.jpg</t>
        </is>
      </c>
      <c r="E155" s="29" t="inlineStr">
        <is>
          <t>File:Exterior of the Iglesia de San Luis de los Franceses (Sevilla) seen from the top of Metropol Parasol.jpg</t>
        </is>
      </c>
      <c r="F155" s="29" t="inlineStr">
        <is>
          <t>Thomas Dahlstrøm Nielsen</t>
        </is>
      </c>
      <c r="G155" s="29" t="inlineStr">
        <is>
          <t>CC BY-SA 4.0</t>
        </is>
      </c>
      <c r="H155" s="29" t="inlineStr">
        <is>
          <t>https://creativecommons.org/licenses/by-sa/4.0/</t>
        </is>
      </c>
      <c r="I155" s="29" t="inlineStr">
        <is>
          <t>Creative Commons Attribution-Share Alike 4.0</t>
        </is>
      </c>
      <c r="J155" s="29" t="inlineStr">
        <is>
          <t>Thomas Dahlstrøm Nielsen · CC BY-SA 4.0 · Wikimedia Commons</t>
        </is>
      </c>
      <c r="K155" s="29" t="n"/>
      <c r="L155" s="49" t="n">
        <v>46320</v>
      </c>
      <c r="M155" s="29" t="inlineStr">
        <is>
          <t>Bekliyor</t>
        </is>
      </c>
      <c r="N155" s="29" t="inlineStr">
        <is>
          <t>Bekliyor</t>
        </is>
      </c>
      <c r="O155" s="29" t="inlineStr">
        <is>
          <t>Fotoğraflar/sevilla_iglesia-de-san-luis-de-los-franceses_02.jpg</t>
        </is>
      </c>
      <c r="P155" s="29" t="inlineStr">
        <is>
          <t>San Luis de los Franceses Kilisesi'nin kubbesi, çatılar arasından.</t>
        </is>
      </c>
      <c r="Q155" s="29" t="inlineStr">
        <is>
          <t>Bekliyor</t>
        </is>
      </c>
      <c r="R155" s="29" t="inlineStr">
        <is>
          <t>Wikimedia Commons dosya sayfasındaki lisans: CC BY-SA 4.0</t>
        </is>
      </c>
      <c r="S155" s="29" t="inlineStr">
        <is>
          <t>Lisans kanıtları/iglesia-de-san-luis-de-los-franceses-02.source-evidence.json</t>
        </is>
      </c>
      <c r="T155" s="29" t="inlineStr">
        <is>
          <t>9f8b16b39d62ea321340d18044065ce071e3b8ae122462d8d2b80fe89409f33f</t>
        </is>
      </c>
      <c r="U155" s="29" t="inlineStr">
        <is>
          <t>Lisans kanıtları/iglesia-de-san-luis-de-los-franceses-02.license-evidence.json</t>
        </is>
      </c>
      <c r="V155" s="29" t="inlineStr">
        <is>
          <t>938858ce65d57cfbff14637bd01e7a63d63afbc20f772e4ede18cca27e2c53d1</t>
        </is>
      </c>
      <c r="W155" s="29" t="inlineStr">
        <is>
          <t>{"source_url": "https://commons.wikimedia.org/wiki/File:Exterior_of_the_Iglesia_de_San_Luis_de_los_Franceses_(Sevilla)_seen_from_the_top_of_Metropol_Parasol.jpg", "author": "Thomas Dahlstrøm Nielsen", "license": "CC BY-SA 4.0", "license_url": "https://creativecommons.org/licenses/by-sa/4.0/", "original_api_record": {"size": 19695101, "width": 6000, "height": 4000, "thumburl": "https://thumb.wikimedia.org/wikipedia/commons/thumb/7/75/Exterior_of_the_Iglesia_de_San_Luis_de_los_Franceses_%28Sevilla%29_seen_from_the_top_of_Metropol_Parasol.jpg/1280px-Exterior_of_the_Iglesia_de_San_Luis_de_los_Franceses_%28Sevilla%29_seen_from_the_top_of_Metropol_Parasol.jpg", "thumbwidth": 1280, "thumbheight": 853, "responsiveUrls": {"2": "https://thumb.wikimedia.org/wikipedia/commons/thumb/7/75/Exterior_of_the_Iglesia_de_San_Luis_de_los_Franceses_%28Sevilla%29_seen_from_the_top_of_Metropol_Parasol.jpg/3840px-Exterior_of_the_Iglesia_de_San_Luis_de_los_Franceses_%28Sevilla%29_seen_from_the_top_of_Metropol_Parasol.jpg"}, "thumbattribs": {"src": "https://thumb.wikimedia.org/wikipedia/commons/thumb/7/75/Exterior_of_the_Iglesia_de_San_Luis_de_los_Franceses_%28Sevilla%29_seen_from_the_top_of_Metropol_Parasol.jpg/1280px-Exterior_of_the_Iglesia_de_San_Luis_de_los_Franceses_%28Sevilla%29_seen_from_the_top_of_Metropol_Parasol.jpg", "decoding": "async", "loading": "lazy", "width": 1280, "height": 853, "srcset": "https://thumb.wikimedia.org/wikipedia/commons/thumb/7/75/Exterior_of_the_Iglesia_de_San_Luis_de_los_Franceses_%28Sevilla%29_seen_from_the_top_of_Metropol_Parasol.jpg/3840px-Exterior_of_the_Iglesia_de_San_Luis_de_los_Franceses_%28Sevilla%29_seen_from_the_top_of_Metropol_Parasol.jpg 2x"}, "url": "https://upload.wikimedia.org/wikipedia/commons/7/75/Exterior_of_the_Iglesia_de_San_Luis_de_los_Franceses_%28Sevilla%29_seen_from_the_top_of_Metropol_Parasol.jpg", "descriptionurl": "https://commons.wikimedia.org/wiki/File:Exterior_of_the_Iglesia_de_San_Luis_de_los_Franceses_(Sevilla)_seen_from_the_top_of_Metropol_Parasol.jpg", "descriptionshorturl": "https://commons.wikimedia.org/w/index.php?curid=124640614", "sha1": "30c69a32f7ccc652dfd17124cc22aaaed22933b0", "extmetadata": {"DateTime": {"value": "2022-10-27 15:39:12", "source": "mediawiki-metadata", "hidden": ""}, "ObjectName": {"value": "Exterior of the Iglesia de San Luis de los Franceses (Sevilla) seen from the top of Metropol Parasol", "source": "mediawiki-metadata"}, "CommonsMetadataExtension": {"value": 1.2, "source": "extension", "hidden": ""}, "Categories": {"value": "Exterior of the Iglesia de San Luis de los Franceses (Sevilla)|Views from the top of Metropol Parasol|Self-published work", "source": "commons-categories", "hidden": ""}, "Assessments": {"value": "", "source": "commons-categories", "hidden": ""}, "ImageDescription": {"value": "Exterior of the Iglesia de San Luis de los Franceses (Sevilla) seen from the top of Metropol Parasol", "source": "commons-desc-page"}, "DateTimeOriginal": {"value": "2022-10-23 18:39:04", "source": "commons-desc-page"}, "Credit": {"value": "&lt;span class=\"int-own-work\" lang=\"en\"&gt;Own work&lt;/span&gt;", "source": "commons-desc-page"}, "Artist": {"value": "&lt;a href=\"//commons.wikimedia.org/wiki/User:Tdn70\" title=\"User:Tdn70\"&gt;Thomas Dahlstrøm Nielsen&lt;/a&gt;",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7/75/Exterior_of_the_Iglesia_de_San_Luis_de_los_Franceses_%28Sevilla%29_seen_from_the_top_of_Metropol_Parasol.jpg/1280px-Exterior_of_the_Iglesia_de_San_Luis_de_los_Franceses_%28Sevilla%29_seen_from_the_top_of_Metropol_Parasol.jpg"}, "retrieved_on": "2026-10-25"}</t>
        </is>
      </c>
    </row>
    <row r="156" ht="54" customHeight="1">
      <c r="A156" s="29" t="inlineStr">
        <is>
          <t>sevilla:evidence:iglesia-de-san-luis-de-los-franceses-03</t>
        </is>
      </c>
      <c r="B156" s="29" t="inlineStr">
        <is>
          <t>sevilla</t>
        </is>
      </c>
      <c r="C156" s="29" t="inlineStr">
        <is>
          <t>sevilla:photo:iglesia-de-san-luis-de-los-franceses-03</t>
        </is>
      </c>
      <c r="D156" s="29" t="inlineStr">
        <is>
          <t>https://commons.wikimedia.org/wiki/File:Retablo_de_San_Estanislao_de_Kostka,_Pedro_Duque_Cornejo.jpg</t>
        </is>
      </c>
      <c r="E156" s="29" t="inlineStr">
        <is>
          <t>File:Retablo de San Estanislao de Kostka, Pedro Duque Cornejo.jpg</t>
        </is>
      </c>
      <c r="F156" s="29" t="inlineStr">
        <is>
          <t>Jl FilpoC</t>
        </is>
      </c>
      <c r="G156" s="29" t="inlineStr">
        <is>
          <t>CC BY-SA 4.0</t>
        </is>
      </c>
      <c r="H156" s="29" t="inlineStr">
        <is>
          <t>https://creativecommons.org/licenses/by-sa/4.0/</t>
        </is>
      </c>
      <c r="I156" s="29" t="inlineStr">
        <is>
          <t>Creative Commons Attribution-Share Alike 4.0</t>
        </is>
      </c>
      <c r="J156" s="29" t="inlineStr">
        <is>
          <t>Jl FilpoC · CC BY-SA 4.0 · Wikimedia Commons</t>
        </is>
      </c>
      <c r="K156" s="29" t="n"/>
      <c r="L156" s="49" t="n">
        <v>46320</v>
      </c>
      <c r="M156" s="29" t="inlineStr">
        <is>
          <t>Bekliyor</t>
        </is>
      </c>
      <c r="N156" s="29" t="inlineStr">
        <is>
          <t>Bekliyor</t>
        </is>
      </c>
      <c r="O156" s="29" t="inlineStr">
        <is>
          <t>Fotoğraflar/sevilla_iglesia-de-san-luis-de-los-franceses_03.jpg</t>
        </is>
      </c>
      <c r="P156" s="29" t="inlineStr">
        <is>
          <t>San Luis de los Franceses Kilisesi'nde damalı zemin ve altın yaldızlı sunak.</t>
        </is>
      </c>
      <c r="Q156" s="29" t="inlineStr">
        <is>
          <t>Bekliyor</t>
        </is>
      </c>
      <c r="R156" s="29" t="inlineStr">
        <is>
          <t>Wikimedia Commons dosya sayfasındaki lisans: CC BY-SA 4.0</t>
        </is>
      </c>
      <c r="S156" s="29" t="inlineStr">
        <is>
          <t>Lisans kanıtları/iglesia-de-san-luis-de-los-franceses-03.source-evidence.json</t>
        </is>
      </c>
      <c r="T156" s="29" t="inlineStr">
        <is>
          <t>c1097916b7a1d6dec74e0694e4390fb0247429337af0aac3ad64ad2e770e8ebf</t>
        </is>
      </c>
      <c r="U156" s="29" t="inlineStr">
        <is>
          <t>Lisans kanıtları/iglesia-de-san-luis-de-los-franceses-03.license-evidence.json</t>
        </is>
      </c>
      <c r="V156" s="29" t="inlineStr">
        <is>
          <t>4cfa041411f63362380e179a504f13f73195a7bb1e574a3bf0ffbd7ef7c3c094</t>
        </is>
      </c>
      <c r="W156" s="29" t="inlineStr">
        <is>
          <t>{"source_url": "https://commons.wikimedia.org/wiki/File:Retablo_de_San_Estanislao_de_Kostka,_Pedro_Duque_Cornejo.jpg", "author": "Jl FilpoC", "license": "CC BY-SA 4.0", "license_url": "https://creativecommons.org/licenses/by-sa/4.0/", "original_api_record": {"size": 6049440, "width": 2459, "height": 3277, "thumburl": "https://thumb.wikimedia.org/wikipedia/commons/thumb/2/22/Retablo_de_San_Estanislao_de_Kostka%2C_Pedro_Duque_Cornejo.jpg/1280px-Retablo_de_San_Estanislao_de_Kostka%2C_Pedro_Duque_Cornejo.jpg", "thumbwidth": 1280, "thumbheight": 1706, "responsiveUrls": {"2": "https://upload.wikimedia.org/wikipedia/commons/2/22/Retablo_de_San_Estanislao_de_Kostka%2C_Pedro_Duque_Cornejo.jpg"}, "thumbattribs": {"src": "https://thumb.wikimedia.org/wikipedia/commons/thumb/2/22/Retablo_de_San_Estanislao_de_Kostka%2C_Pedro_Duque_Cornejo.jpg/1280px-Retablo_de_San_Estanislao_de_Kostka%2C_Pedro_Duque_Cornejo.jpg", "decoding": "async", "loading": "lazy", "width": 1280, "height": 1706, "srcset": "https://upload.wikimedia.org/wikipedia/commons/2/22/Retablo_de_San_Estanislao_de_Kostka%2C_Pedro_Duque_Cornejo.jpg 2x"}, "url": "https://upload.wikimedia.org/wikipedia/commons/2/22/Retablo_de_San_Estanislao_de_Kostka%2C_Pedro_Duque_Cornejo.jpg", "descriptionurl": "https://commons.wikimedia.org/wiki/File:Retablo_de_San_Estanislao_de_Kostka,_Pedro_Duque_Cornejo.jpg", "descriptionshorturl": "https://commons.wikimedia.org/w/index.php?curid=91770207", "sha1": "77ba8fbe307e1a943b2d67e915e10d5233ed00d8", "extmetadata": {"DateTime": {"value": "2020-07-01 05:00:15", "source": "mediawiki-metadata", "hidden": ""}, "ObjectName": {"value": "Retablo de San Estanislao de Kostka, Pedro Duque Cornejo", "source": "mediawiki-metadata"}, "CommonsMetadataExtension": {"value": 1.2, "source": "extension", "hidden": ""}, "Categories": {"value": "Self-published work|Altarpiece of San Estanislao de Kostka (Sevilla)", "source": "commons-categories", "hidden": ""}, "Assessments": {"value": "", "source": "commons-categories", "hidden": ""}, "ImageDescription": {"value": "&lt;a href=\"https://es.wikipedia.org/wiki/Iglesia_de_San_Luis_de_los_Franceses_(Sevilla)\" class=\"extiw\" title=\"es:Iglesia de San Luis de los Franceses (Sevilla)\"&gt;Iglesia de San Luis de los Franceses (Sevilla)&lt;/a&gt;. Primer cuerpo del retablo de &lt;a href=\"https://es.wikipedia.org/wiki/Pedro_Duque_Cornejo\" class=\"extiw\" title=\"es:Pedro Duque Cornejo\"&gt;Pedro Duque Cornejo&lt;/a&gt; (1731).", "source": "commons-desc-page"}, "DateTimeOriginal": {"value": "2017-10-07", "source": "commons-desc-page"}, "Credit": {"value": "&lt;span class=\"int-own-work\" lang=\"en\"&gt;Own work&lt;/span&gt;", "source": "commons-desc-page"}, "Artist": {"value": "&lt;a href=\"//commons.wikimedia.org/wiki/User:Jl_FilpoC\" title=\"User:Jl FilpoC\"&gt;Jl FilpoC&lt;/a&gt;",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"https://thumb.wikimedia.org/wikipedia/commons/thumb/2/22/Retablo_de_San_Estanislao_de_Kostka%2C_Pedro_Duque_Cornejo.jpg/1280px-Retablo_de_San_Estanislao_de_Kostka%2C_Pedro_Duque_Cornejo.jpg"}, "retrieved_on": "2026-10-25"}</t>
        </is>
      </c>
    </row>
    <row r="157" ht="54" customHeight="1">
      <c r="A157" s="29" t="inlineStr">
        <is>
          <t>sevilla:evidence:ceramica-santa-ana-01</t>
        </is>
      </c>
      <c r="B157" s="29" t="inlineStr">
        <is>
          <t>sevilla</t>
        </is>
      </c>
      <c r="C157" s="29" t="inlineStr">
        <is>
          <t>sevilla:photo:ceramica-santa-ana-01</t>
        </is>
      </c>
      <c r="D157" s="29" t="inlineStr">
        <is>
          <t>https://commons.wikimedia.org/wiki/File:Cer%C3%A1micas_Santa_Ana_004.jpg</t>
        </is>
      </c>
      <c r="E157" s="29" t="inlineStr">
        <is>
          <t>File:Cerámicas Santa Ana 004.jpg</t>
        </is>
      </c>
      <c r="F157" s="29" t="inlineStr">
        <is>
          <t>Anual</t>
        </is>
      </c>
      <c r="G157" s="29" t="inlineStr">
        <is>
          <t>CC BY 3.0</t>
        </is>
      </c>
      <c r="H157" s="29" t="inlineStr">
        <is>
          <t>https://creativecommons.org/licenses/by/3.0/</t>
        </is>
      </c>
      <c r="I157" s="29" t="inlineStr">
        <is>
          <t>Creative Commons Attribution 3.0</t>
        </is>
      </c>
      <c r="J157" s="29" t="inlineStr">
        <is>
          <t>Anual · CC BY 3.0 · Wikimedia Commons</t>
        </is>
      </c>
      <c r="K157" s="29" t="n"/>
      <c r="L157" s="49" t="n">
        <v>46320</v>
      </c>
      <c r="M157" s="29" t="inlineStr">
        <is>
          <t>Bekliyor</t>
        </is>
      </c>
      <c r="N157" s="29" t="inlineStr">
        <is>
          <t>Bekliyor</t>
        </is>
      </c>
      <c r="O157" s="29" t="inlineStr">
        <is>
          <t>Fotoğraflar/sevilla_ceramica-santa-ana_01.jpg</t>
        </is>
      </c>
      <c r="P157" s="29" t="inlineStr">
        <is>
          <t>Cerámica Santa Ana'nın çinilerle kaplı dükkân cephesi.</t>
        </is>
      </c>
      <c r="Q157" s="29" t="inlineStr">
        <is>
          <t>Bekliyor</t>
        </is>
      </c>
      <c r="R157" s="29" t="inlineStr">
        <is>
          <t>Wikimedia Commons dosya sayfasındaki lisans: CC BY 3.0</t>
        </is>
      </c>
      <c r="S157" s="29" t="inlineStr">
        <is>
          <t>Lisans kanıtları/ceramica-santa-ana-01.source-evidence.json</t>
        </is>
      </c>
      <c r="T157" s="29" t="inlineStr">
        <is>
          <t>25a54ca762630d4f33d01881833fe4efa300749723ef95cba0312bfd9342342c</t>
        </is>
      </c>
      <c r="U157" s="29" t="inlineStr">
        <is>
          <t>Lisans kanıtları/ceramica-santa-ana-01.license-evidence.json</t>
        </is>
      </c>
      <c r="V157" s="29" t="inlineStr">
        <is>
          <t>921c5382f49e39d7f5e5cb55b7ba02de2d022a80ff29186d92cfbe943f00d060</t>
        </is>
      </c>
      <c r="W157" s="29" t="inlineStr">
        <is>
          <t>{"source_url": "https://commons.wikimedia.org/wiki/File:Cer%C3%A1micas_Santa_Ana_004.jpg", "author": "Anual", "license": "CC BY 3.0", "license_url": "https://creativecommons.org/licenses/by/3.0/", "original_api_record": {"size": 3777115, "width": 2592, "height": 3322, "thumburl": "https://thumb.wikimedia.org/wikipedia/commons/thumb/a/a0/Cer%C3%A1micas_Santa_Ana_004.jpg/1280px-Cer%C3%A1micas_Santa_Ana_004.jpg", "thumbwidth": 1280, "thumbheight": 1640, "responsiveUrls": {"2": "https://upload.wikimedia.org/wikipedia/commons/a/a0/Cer%C3%A1micas_Santa_Ana_004.jpg"}, "thumbattribs": {"src": "https://thumb.wikimedia.org/wikipedia/commons/thumb/a/a0/Cer%C3%A1micas_Santa_Ana_004.jpg/1280px-Cer%C3%A1micas_Santa_Ana_004.jpg", "decoding": "async", "loading": "lazy", "width": 1280, "height": 1640, "srcset": "https://upload.wikimedia.org/wikipedia/commons/a/a0/Cer%C3%A1micas_Santa_Ana_004.jpg 2x"}, "url": "https://upload.wikimedia.org/wikipedia/commons/a/a0/Cer%C3%A1micas_Santa_Ana_004.jpg", "descriptionurl": "https://commons.wikimedia.org/wiki/File:Cer%C3%A1micas_Santa_Ana_004.jpg", "descriptionshorturl": "https://commons.wikimedia.org/w/index.php?curid=5287885", "sha1": "29af095bd0ae5e3068b83f997aa7739ccc44e6ea", "extmetadata": {"DateTime": {"value": "2008-11-26 18:48:00", "source": "mediawiki-metadata", "hidden": ""}, "ObjectName": {"value": "Cerámicas Santa Ana 004", "source": "mediawiki-metadata"}, "CommonsMetadataExtension": {"value": 1.2, "source": "extension", "hidden": ""}, "Categories": {"value": "GFDL|License migration redundant|Self-published work|Cerámica Santa Ana", "source": "commons-categories", "hidden": ""}, "Assessments": {"value": "", "source": "commons-categories", "hidden": ""}, "ImageDescription": {"value": "Cerámicas Santa Ana, barrio de Triana, Sevilla", "source": "commons-desc-page"}, "DateTimeOriginal": {"value": "2008-10-26", "source": "commons-desc-page"}, "Credit": {"value": "&lt;span class=\"int-own-work\" lang=\"en\"&gt;Own work&lt;/span&gt;", "source": "commons-desc-page"}, "Artist": {"value": "&lt;a href=\"//commons.wikimedia.org/wiki/User:Anual\" title=\"User:Anual\"&gt;Anual&lt;/a&gt;",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"https://thumb.wikimedia.org/wikipedia/commons/thumb/a/a0/Cer%C3%A1micas_Santa_Ana_004.jpg/1280px-Cer%C3%A1micas_Santa_Ana_004.jpg"}, "retrieved_on": "2026-10-25"}</t>
        </is>
      </c>
    </row>
    <row r="158" ht="54" customHeight="1">
      <c r="A158" s="29" t="inlineStr">
        <is>
          <t>sevilla:evidence:casa-de-la-guitarra-01</t>
        </is>
      </c>
      <c r="B158" s="29" t="inlineStr">
        <is>
          <t>sevilla</t>
        </is>
      </c>
      <c r="C158" s="29" t="inlineStr">
        <is>
          <t>sevilla:photo:casa-de-la-guitarra-01</t>
        </is>
      </c>
      <c r="D158" s="29" t="inlineStr">
        <is>
          <t>https://commons.wikimedia.org/wiki/File:Centro_Cultural_Flamenco.jpg</t>
        </is>
      </c>
      <c r="E158" s="29" t="inlineStr">
        <is>
          <t>File:Centro Cultural Flamenco.jpg</t>
        </is>
      </c>
      <c r="F158" s="29" t="inlineStr">
        <is>
          <t>CarlosVdeHabsburgo</t>
        </is>
      </c>
      <c r="G158" s="29" t="inlineStr">
        <is>
          <t>CC BY-SA 4.0</t>
        </is>
      </c>
      <c r="H158" s="29" t="inlineStr">
        <is>
          <t>https://creativecommons.org/licenses/by-sa/4.0/</t>
        </is>
      </c>
      <c r="I158" s="29" t="inlineStr">
        <is>
          <t>Creative Commons Attribution-Share Alike 4.0</t>
        </is>
      </c>
      <c r="J158" s="29" t="inlineStr">
        <is>
          <t>CarlosVdeHabsburgo · CC BY-SA 4.0 · Wikimedia Commons</t>
        </is>
      </c>
      <c r="K158" s="29" t="n"/>
      <c r="L158" s="49" t="n">
        <v>46320</v>
      </c>
      <c r="M158" s="29" t="inlineStr">
        <is>
          <t>Bekliyor</t>
        </is>
      </c>
      <c r="N158" s="29" t="inlineStr">
        <is>
          <t>Bekliyor</t>
        </is>
      </c>
      <c r="O158" s="29" t="inlineStr">
        <is>
          <t>Fotoğraflar/sevilla_casa-de-la-guitarra_01.jpg</t>
        </is>
      </c>
      <c r="P158" s="29" t="inlineStr">
        <is>
          <t>Casa de la Guitarra'nın bulunduğu Santa Cruz'daki beyaz badanalı dar sokak.</t>
        </is>
      </c>
      <c r="Q158" s="29" t="inlineStr">
        <is>
          <t>Bekliyor</t>
        </is>
      </c>
      <c r="R158" s="29" t="inlineStr">
        <is>
          <t>Wikimedia Commons dosya sayfasındaki lisans: CC BY-SA 4.0</t>
        </is>
      </c>
      <c r="S158" s="29" t="inlineStr">
        <is>
          <t>Lisans kanıtları/casa-de-la-guitarra-01.source-evidence.json</t>
        </is>
      </c>
      <c r="T158" s="29" t="inlineStr">
        <is>
          <t>539e94eb8d9fd9db610a0151b85436f588899028b9226a9c601fee518679294b</t>
        </is>
      </c>
      <c r="U158" s="29" t="inlineStr">
        <is>
          <t>Lisans kanıtları/casa-de-la-guitarra-01.license-evidence.json</t>
        </is>
      </c>
      <c r="V158" s="29" t="inlineStr">
        <is>
          <t>a71683db1450a10bd65b4e67dac6905777e19fc79a4125ed37effb28ce58e29b</t>
        </is>
      </c>
      <c r="W158" s="29" t="inlineStr">
        <is>
          <t>{"source_url": "https://commons.wikimedia.org/wiki/File:Centro_Cultural_Flamenco.jpg", "author": "CarlosVdeHabsburgo", "license": "CC BY-SA 4.0", "license_url": "https://creativecommons.org/licenses/by-sa/4.0/", "original_api_record": {"size": 5493760, "width": 3000, "height": 4000, "thumburl": "https://thumb.wikimedia.org/wikipedia/commons/thumb/3/34/Centro_Cultural_Flamenco.jpg/1280px-Centro_Cultural_Flamenco.jpg", "thumbwidth": 1280, "thumbheight": 1707, "responsiveUrls": {"2": "https://thumb.wikimedia.org/wikipedia/commons/thumb/3/34/Centro_Cultural_Flamenco.jpg/1920px-Centro_Cultural_Flamenco.jpg"}, "thumbattribs": {"src": "https://thumb.wikimedia.org/wikipedia/commons/thumb/3/34/Centro_Cultural_Flamenco.jpg/1280px-Centro_Cultural_Flamenco.jpg", "decoding": "async", "loading": "lazy", "width": 1280, "height": 1707, "srcset": "https://thumb.wikimedia.org/wikipedia/commons/thumb/3/34/Centro_Cultural_Flamenco.jpg/1920px-Centro_Cultural_Flamenco.jpg 2x"}, "url": "https://upload.wikimedia.org/wikipedia/commons/3/34/Centro_Cultural_Flamenco.jpg", "descriptionurl": "https://commons.wikimedia.org/wiki/File:Centro_Cultural_Flamenco.jpg", "descriptionshorturl": "https://commons.wikimedia.org/w/index.php?curid=152708858", "sha1": "5ffd7ef0a51abf78fcc68cf75b53337ab1b175dd", "extmetadata": {"DateTime": {"value": "2024-09-16 09:57:18", "source": "mediawiki-metadata", "hidden": ""}, "ObjectName": {"value": "Centro Cultural Flamenco", "source": "mediawiki-metadata"}, "CommonsMetadataExtension": {"value": 1.2, "source": "extension", "hidden": ""}, "Categories": {"value": "Silverio Franconetti|Self-published work|September 2024 in Seville|Buildings in Santa Cruz, Seville|Flamenco in Seville", "source": "commons-categories", "hidden": ""}, "Assessments": {"value": "", "source": "commons-categories", "hidden": ""}, "ImageDescription": {"value": "Centro Cultural Flamenco Casa de la Guitarra. En este inmueble vivió Silverio Franconetti en el siglo XIX. Calle Mesón del Moro, número 12. Sevilla, Andalucía, España.", "source": "commons-desc-page"}, "DateTimeOriginal": {"value": "2024-09-15 15:57:06",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"https://thumb.wikimedia.org/wikipedia/commons/thumb/3/34/Centro_Cultural_Flamenco.jpg/1280px-Centro_Cultural_Flamenco.jpg"}, "retrieved_on": "2026-10-25"}</t>
        </is>
      </c>
    </row>
    <row r="159" ht="54" customHeight="1">
      <c r="A159" s="29" t="inlineStr">
        <is>
          <t>sevilla:evidence:convento-de-santa-paula-01</t>
        </is>
      </c>
      <c r="B159" s="29" t="inlineStr">
        <is>
          <t>sevilla</t>
        </is>
      </c>
      <c r="C159" s="29" t="inlineStr">
        <is>
          <t>sevilla:photo:convento-de-santa-paula-01</t>
        </is>
      </c>
      <c r="D159" s="29" t="inlineStr">
        <is>
          <t>https://commons.wikimedia.org/wiki/File:Comp%C3%A1s_del_Convento_de_Santa_Paula,_Sevilla.jpg</t>
        </is>
      </c>
      <c r="E159" s="29" t="inlineStr">
        <is>
          <t>File:Compás del Convento de Santa Paula, Sevilla.jpg</t>
        </is>
      </c>
      <c r="F159" s="29" t="inlineStr">
        <is>
          <t>Jl FilpoC</t>
        </is>
      </c>
      <c r="G159" s="29" t="inlineStr">
        <is>
          <t>CC BY 3.0</t>
        </is>
      </c>
      <c r="H159" s="29" t="inlineStr">
        <is>
          <t>https://creativecommons.org/licenses/by/3.0/</t>
        </is>
      </c>
      <c r="I159" s="29" t="inlineStr">
        <is>
          <t>Creative Commons Attribution 3.0</t>
        </is>
      </c>
      <c r="J159" s="29" t="inlineStr">
        <is>
          <t>Jl FilpoC · CC BY 3.0 · Wikimedia Commons</t>
        </is>
      </c>
      <c r="K159" s="29" t="n"/>
      <c r="L159" s="49" t="n">
        <v>46320</v>
      </c>
      <c r="M159" s="29" t="inlineStr">
        <is>
          <t>Bekliyor</t>
        </is>
      </c>
      <c r="N159" s="29" t="inlineStr">
        <is>
          <t>Bekliyor</t>
        </is>
      </c>
      <c r="O159" s="29" t="inlineStr">
        <is>
          <t>Fotoğraflar/sevilla_convento-de-santa-paula_01.jpg</t>
        </is>
      </c>
      <c r="P159" s="29" t="inlineStr">
        <is>
          <t>Santa Paula Manastırı'nın portakal ağaçlı avlusu (compás) ve girişi.</t>
        </is>
      </c>
      <c r="Q159" s="29" t="inlineStr">
        <is>
          <t>Bekliyor</t>
        </is>
      </c>
      <c r="R159" s="29" t="inlineStr">
        <is>
          <t>Wikimedia Commons dosya sayfasındaki lisans: CC BY 3.0</t>
        </is>
      </c>
      <c r="S159" s="29" t="inlineStr">
        <is>
          <t>Lisans kanıtları/convento-de-santa-paula-01.source-evidence.json</t>
        </is>
      </c>
      <c r="T159" s="29" t="inlineStr">
        <is>
          <t>f9fbc5597f41dcf48f8b308e095eef9d9933ca3bcd625fc264804a6c19b6ce21</t>
        </is>
      </c>
      <c r="U159" s="29" t="inlineStr">
        <is>
          <t>Lisans kanıtları/convento-de-santa-paula-01.license-evidence.json</t>
        </is>
      </c>
      <c r="V159" s="29" t="inlineStr">
        <is>
          <t>28708941f6d4a0ccac445fc17177a2c565f9de758fdc9a547dd89bb42b1eaa4c</t>
        </is>
      </c>
      <c r="W159" s="29" t="inlineStr">
        <is>
          <t>{"source_url": "https://commons.wikimedia.org/wiki/File:Comp%C3%A1s_del_Convento_de_Santa_Paula,_Sevilla.jpg", "author": "Jl FilpoC", "license": "CC BY 3.0", "license_url": "https://creativecommons.org/licenses/by/3.0/", "original_api_record": {"size": 10602229, "width": 3776, "height": 2520, "thumburl": "https://thumb.wikimedia.org/wikipedia/commons/thumb/d/d1/Comp%C3%A1s_del_Convento_de_Santa_Paula%2C_Sevilla.jpg/1280px-Comp%C3%A1s_del_Convento_de_Santa_Paula%2C_Sevilla.jpg", "thumbwidth": 1280, "thumbheight": 854, "responsiveUrls": {"2": "https://upload.wikimedia.org/wikipedia/commons/d/d1/Comp%C3%A1s_del_Convento_de_Santa_Paula%2C_Sevilla.jpg"}, "thumbattribs": {"src": "https://thumb.wikimedia.org/wikipedia/commons/thumb/d/d1/Comp%C3%A1s_del_Convento_de_Santa_Paula%2C_Sevilla.jpg/1280px-Comp%C3%A1s_del_Convento_de_Santa_Paula%2C_Sevilla.jpg", "decoding": "async", "loading": "lazy", "width": 1280, "height": 854, "srcset": "https://upload.wikimedia.org/wikipedia/commons/d/d1/Comp%C3%A1s_del_Convento_de_Santa_Paula%2C_Sevilla.jpg 2x"}, "url": "https://upload.wikimedia.org/wikipedia/commons/d/d1/Comp%C3%A1s_del_Convento_de_Santa_Paula%2C_Sevilla.jpg", "descriptionurl": "https://commons.wikimedia.org/wiki/File:Comp%C3%A1s_del_Convento_de_Santa_Paula,_Sevilla.jpg", "descriptionshorturl": "https://commons.wikimedia.org/w/index.php?curid=16038766", "sha1": "c2e6e95949cc6854adf7f683a3692b14773f28aa", "extmetadata": {"DateTime": {"value": "2023-03-31 07:56:01", "source": "mediawiki-metadata", "hidden": ""}, "ObjectName": {"value": "Compás del Convento de Santa Paula, Sevilla", "source": "mediawiki-metadata"}, "CommonsMetadataExtension": {"value": 1.2, "source": "extension", "hidden": ""}, "Categories": {"value": "GFDL|Exterior of the Convento de Santa Paula, Sevilla|License migration redundant|Self-published work|Narthexes in Spain", "source": "commons-categories", "hidden": ""}, "Assessments": {"value": "", "source": "commons-categories", "hidden": ""}, "ImageDescription": {"value": "Aspecto del compás del convento.", "source": "commons-desc-page"}, "DateTimeOriginal": {"value": "2011-07", "source": "commons-desc-page"}, "Credit": {"value": "&lt;span class=\"int-own-work\" lang=\"en\"&gt;Own work&lt;/span&gt;", "source": "commons-desc-page"}, "Artist": {"value": "&lt;a href=\"//commons.wikimedia.org/wiki/User:Jl_FilpoC\" title=\"User:Jl FilpoC\"&gt;Jl FilpoC&lt;/a&gt;",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"https://thumb.wikimedia.org/wikipedia/commons/thumb/d/d1/Comp%C3%A1s_del_Convento_de_Santa_Paula%2C_Sevilla.jpg/1280px-Comp%C3%A1s_del_Convento_de_Santa_Paula%2C_Sevilla.jpg"}, "retrieved_on": "2026-10-25"}</t>
        </is>
      </c>
    </row>
    <row r="160" ht="54" customHeight="1">
      <c r="A160" s="29" t="inlineStr">
        <is>
          <t>sevilla:evidence:convento-de-santa-paula-02</t>
        </is>
      </c>
      <c r="B160" s="29" t="inlineStr">
        <is>
          <t>sevilla</t>
        </is>
      </c>
      <c r="C160" s="29" t="inlineStr">
        <is>
          <t>sevilla:photo:convento-de-santa-paula-02</t>
        </is>
      </c>
      <c r="D160" s="29" t="inlineStr">
        <is>
          <t>https://commons.wikimedia.org/wiki/File:Convento_de_Santa_Paula_(Sevilla)._B%C3%B3veda.jpg</t>
        </is>
      </c>
      <c r="E160" s="29" t="inlineStr">
        <is>
          <t>File:Convento de Santa Paula (Sevilla). Bóveda.jpg</t>
        </is>
      </c>
      <c r="F160" s="29" t="inlineStr">
        <is>
          <t>Jose Luis Filpo Cabana</t>
        </is>
      </c>
      <c r="G160" s="29" t="inlineStr">
        <is>
          <t>CC BY 3.0</t>
        </is>
      </c>
      <c r="H160" s="29" t="inlineStr">
        <is>
          <t>https://creativecommons.org/licenses/by/3.0/</t>
        </is>
      </c>
      <c r="I160" s="29" t="inlineStr">
        <is>
          <t>Creative Commons Attribution 3.0</t>
        </is>
      </c>
      <c r="J160" s="29" t="inlineStr">
        <is>
          <t>Jose Luis Filpo Cabana · CC BY 3.0 · Wikimedia Commons</t>
        </is>
      </c>
      <c r="K160" s="29" t="n"/>
      <c r="L160" s="49" t="n">
        <v>46320</v>
      </c>
      <c r="M160" s="29" t="inlineStr">
        <is>
          <t>Bekliyor</t>
        </is>
      </c>
      <c r="N160" s="29" t="inlineStr">
        <is>
          <t>Bekliyor</t>
        </is>
      </c>
      <c r="O160" s="29" t="inlineStr">
        <is>
          <t>Fotoğraflar/sevilla_convento-de-santa-paula_02.jpg</t>
        </is>
      </c>
      <c r="P160" s="29" t="inlineStr">
        <is>
          <t>Santa Paula Manastırı'nda yaldızlı kaburgalı tonoz tavan.</t>
        </is>
      </c>
      <c r="Q160" s="29" t="inlineStr">
        <is>
          <t>Bekliyor</t>
        </is>
      </c>
      <c r="R160" s="29" t="inlineStr">
        <is>
          <t>Wikimedia Commons dosya sayfasındaki lisans: CC BY 3.0</t>
        </is>
      </c>
      <c r="S160" s="29" t="inlineStr">
        <is>
          <t>Lisans kanıtları/convento-de-santa-paula-02.source-evidence.json</t>
        </is>
      </c>
      <c r="T160" s="29" t="inlineStr">
        <is>
          <t>806ffe5b7865adc56547abca166436285a37da79af7dfae2e2c6b091af80caa9</t>
        </is>
      </c>
      <c r="U160" s="29" t="inlineStr">
        <is>
          <t>Lisans kanıtları/convento-de-santa-paula-02.license-evidence.json</t>
        </is>
      </c>
      <c r="V160" s="29" t="inlineStr">
        <is>
          <t>8375cc47c652af493b49167e47641a7172bf428267babe9d00dbf0aac1f0b5a8</t>
        </is>
      </c>
      <c r="W160" s="29" t="inlineStr">
        <is>
          <t>{"source_url": "https://commons.wikimedia.org/wiki/File:Convento_de_Santa_Paula_(Sevilla)._B%C3%B3veda.jpg", "author": "Jose Luis Filpo Cabana", "license": "CC BY 3.0", "license_url": "https://creativecommons.org/licenses/by/3.0/", "original_api_record": {"size": 6329980, "width": 2733, "height": 2575, "thumburl": "https://thumb.wikimedia.org/wikipedia/commons/thumb/6/69/Convento_de_Santa_Paula_%28Sevilla%29._B%C3%B3veda.jpg/1280px-Convento_de_Santa_Paula_%28Sevilla%29._B%C3%B3veda.jpg", "thumbwidth": 1280, "thumbheight": 1206, "responsiveUrls": {"2": "https://upload.wikimedia.org/wikipedia/commons/6/69/Convento_de_Santa_Paula_%28Sevilla%29._B%C3%B3veda.jpg"}, "thumbattribs": {"src": "https://thumb.wikimedia.org/wikipedia/commons/thumb/6/69/Convento_de_Santa_Paula_%28Sevilla%29._B%C3%B3veda.jpg/1280px-Convento_de_Santa_Paula_%28Sevilla%29._B%C3%B3veda.jpg", "decoding": "async", "loading": "lazy", "width": 1280, "height": 1206, "srcset": "https://upload.wikimedia.org/wikipedia/commons/6/69/Convento_de_Santa_Paula_%28Sevilla%29._B%C3%B3veda.jpg 2x"}, "url": "https://upload.wikimedia.org/wikipedia/commons/6/69/Convento_de_Santa_Paula_%28Sevilla%29._B%C3%B3veda.jpg", "descriptionurl": "https://commons.wikimedia.org/wiki/File:Convento_de_Santa_Paula_(Sevilla)._B%C3%B3veda.jpg", "descriptionshorturl": "https://commons.wikimedia.org/w/index.php?curid=35457139", "sha1": "7d141bd8562679fd39737978ac818398bc06caea", "extmetadata": {"DateTime": {"value": "2014-09-18 09:30:33", "source": "mediawiki-metadata", "hidden": ""}, "ObjectName": {"value": "Convento de Santa Paula (Sevilla). Bóveda", "source": "mediawiki-metadata"}, "CommonsMetadataExtension": {"value": 1.2, "source": "extension", "hidden": ""}, "Categories": {"value": "GFDL|License migration redundant|Self-published work|April 2014 in Seville|Church of the Convento de Santa Paula, Seville", "source": "commons-categories", "hidden": ""}, "Assessments": {"value": "", "source": "commons-categories", "hidden": ""}, "ImageDescription": {"value": "Bóvedas del presbiterio (1483-1489). Bóvedas de diseño gótico con decoraciones barrocas.", "source": "commons-desc-page"}, "DateTimeOriginal": {"value": "2014-04", "source": "commons-desc-page"}, "Credit": {"value": "&lt;span class=\"int-own-work\" lang=\"en\"&gt;Own work&lt;/span&gt;", "source": "commons-desc-page"}, "Artist": {"value": "Jose Luis Filpo Cabana",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"https://thumb.wikimedia.org/wikipedia/commons/thumb/6/69/Convento_de_Santa_Paula_%28Sevilla%29._B%C3%B3veda.jpg/1280px-Convento_de_Santa_Paula_%28Sevilla%29._B%C3%B3veda.jpg"}, "retrieved_on": "2026-10-25"}</t>
        </is>
      </c>
    </row>
    <row r="161" ht="54" customHeight="1">
      <c r="A161" s="29" t="inlineStr">
        <is>
          <t>sevilla:evidence:parque-de-miraflores-01</t>
        </is>
      </c>
      <c r="B161" s="29" t="inlineStr">
        <is>
          <t>sevilla</t>
        </is>
      </c>
      <c r="C161" s="29" t="inlineStr">
        <is>
          <t>sevilla:photo:parque-de-miraflores-01</t>
        </is>
      </c>
      <c r="D161" s="29" t="inlineStr">
        <is>
          <t>https://commons.wikimedia.org/wiki/File:Huertas_en_el_Parque_miraflores_2024an003.jpg</t>
        </is>
      </c>
      <c r="E161" s="29" t="inlineStr">
        <is>
          <t>File:Huertas en el Parque miraflores 2024an003.jpg</t>
        </is>
      </c>
      <c r="F161" s="29" t="inlineStr">
        <is>
          <t>Anual</t>
        </is>
      </c>
      <c r="G161" s="29" t="inlineStr">
        <is>
          <t>CC BY-SA 4.0</t>
        </is>
      </c>
      <c r="H161" s="29" t="inlineStr">
        <is>
          <t>https://creativecommons.org/licenses/by-sa/4.0/</t>
        </is>
      </c>
      <c r="I161" s="29" t="inlineStr">
        <is>
          <t>Creative Commons Attribution-Share Alike 4.0</t>
        </is>
      </c>
      <c r="J161" s="29" t="inlineStr">
        <is>
          <t>Anual · CC BY-SA 4.0 · Wikimedia Commons</t>
        </is>
      </c>
      <c r="K161" s="29" t="n"/>
      <c r="L161" s="49" t="n">
        <v>46320</v>
      </c>
      <c r="M161" s="29" t="inlineStr">
        <is>
          <t>Bekliyor</t>
        </is>
      </c>
      <c r="N161" s="29" t="inlineStr">
        <is>
          <t>Bekliyor</t>
        </is>
      </c>
      <c r="O161" s="29" t="inlineStr">
        <is>
          <t>Fotoğraflar/sevilla_parque-de-miraflores_01.jpg</t>
        </is>
      </c>
      <c r="P161" s="29" t="inlineStr">
        <is>
          <t>Miraflores Parkı'ndaki kent bostanları.</t>
        </is>
      </c>
      <c r="Q161" s="29" t="inlineStr">
        <is>
          <t>Bekliyor</t>
        </is>
      </c>
      <c r="R161" s="29" t="inlineStr">
        <is>
          <t>Wikimedia Commons dosya sayfasındaki lisans: CC BY-SA 4.0</t>
        </is>
      </c>
      <c r="S161" s="29" t="inlineStr">
        <is>
          <t>Lisans kanıtları/parque-de-miraflores-01.source-evidence.json</t>
        </is>
      </c>
      <c r="T161" s="29" t="inlineStr">
        <is>
          <t>721227f897c0fd8a281845f252057f7fcfaca82c31965af2c110052273cba34b</t>
        </is>
      </c>
      <c r="U161" s="29" t="inlineStr">
        <is>
          <t>Lisans kanıtları/parque-de-miraflores-01.license-evidence.json</t>
        </is>
      </c>
      <c r="V161" s="29" t="inlineStr">
        <is>
          <t>e061ec968242c90dcd356e42f29deea5d412357dcce8842c199e1dadba013387</t>
        </is>
      </c>
      <c r="W161" s="29" t="inlineStr">
        <is>
          <t>{"source_url": "https://commons.wikimedia.org/wiki/File:Huertas_en_el_Parque_miraflores_2024an003.jpg", "author": "Anual", "license": "CC BY-SA 4.0", "license_url": "https://creativecommons.org/licenses/by-sa/4.0/", "original_api_record": {"size": 11234231, "width": 6000, "height": 4000, "thumburl": "https://thumb.wikimedia.org/wikipedia/commons/thumb/7/78/Huertas_en_el_Parque_miraflores_2024an003.jpg/1280px-Huertas_en_el_Parque_miraflores_2024an003.jpg", "thumbwidth": 1280, "thumbheight": 853, "responsiveUrls": {"2": "https://thumb.wikimedia.org/wikipedia/commons/thumb/7/78/Huertas_en_el_Parque_miraflores_2024an003.jpg/3840px-Huertas_en_el_Parque_miraflores_2024an003.jpg"}, "thumbattribs": {"src": "https://thumb.wikimedia.org/wikipedia/commons/thumb/7/78/Huertas_en_el_Parque_miraflores_2024an003.jpg/1280px-Huertas_en_el_Parque_miraflores_2024an003.jpg", "decoding": "async", "loading": "lazy", "width": 1280, "height": 853, "srcset": "https://thumb.wikimedia.org/wikipedia/commons/thumb/7/78/Huertas_en_el_Parque_miraflores_2024an003.jpg/3840px-Huertas_en_el_Parque_miraflores_2024an003.jpg 2x"}, "url": "https://upload.wikimedia.org/wikipedia/commons/7/78/Huertas_en_el_Parque_miraflores_2024an003.jpg", "descriptionurl": "https://commons.wikimedia.org/wiki/File:Huertas_en_el_Parque_miraflores_2024an003.jpg", "descriptionshorturl": "https://commons.wikimedia.org/w/index.php?curid=156445939", "sha1": "abc49b6ce407add487a38300e3c3ed558cd1038a", "extmetadata": {"DateTime": {"value": "2024-12-08 19:54:58", "source": "mediawiki-metadata", "hidden": ""}, "ObjectName": {"value": "Huertas en el Parque miraflores 2024an003", "source": "mediawiki-metadata"}, "CommonsMetadataExtension": {"value": 1.2, "source": "extension", "hidden": ""}, "Categories": {"value": "Miraflores Park, Seville|Self-published work|December 2024 in Seville", "source": "commons-categories", "hidden": ""}, "Assessments": {"value": "", "source": "commons-categories", "hidden": ""}, "ImageDescription": {"value": "Parque de Miraflores, Sevilla.", "source": "commons-desc-page"}, "DateTimeOriginal": {"value": "2024-12-08", "source": "commons-desc-page"}, "Credit": {"value": "&lt;span class=\"int-own-work\" lang=\"en\"&gt;Own work&lt;/span&gt;", "source": "commons-desc-page"}, "Artist": {"value": "&lt;a href=\"//commons.wikimedia.org/wiki/User:Anual\" title=\"User:Anual\"&gt;Anual&lt;/a&gt;",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"https://thumb.wikimedia.org/wikipedia/commons/thumb/7/78/Huertas_en_el_Parque_miraflores_2024an003.jpg/1280px-Huertas_en_el_Parque_miraflores_2024an003.jpg"}, "retrieved_on": "2026-10-25"}</t>
        </is>
      </c>
    </row>
    <row r="162" ht="54" customHeight="1">
      <c r="A162" s="29" t="inlineStr">
        <is>
          <t>sevilla:evidence:parque-de-miraflores-02</t>
        </is>
      </c>
      <c r="B162" s="29" t="inlineStr">
        <is>
          <t>sevilla</t>
        </is>
      </c>
      <c r="C162" s="29" t="inlineStr">
        <is>
          <t>sevilla:photo:parque-de-miraflores-02</t>
        </is>
      </c>
      <c r="D162" s="29" t="inlineStr">
        <is>
          <t>https://commons.wikimedia.org/wiki/File:Parque_de_Miraflores_(Sevilla).jpg</t>
        </is>
      </c>
      <c r="E162" s="29" t="inlineStr">
        <is>
          <t>File:Parque de Miraflores (Sevilla).jpg</t>
        </is>
      </c>
      <c r="F162" s="29" t="inlineStr">
        <is>
          <t>CarlosVdeHabsburgo</t>
        </is>
      </c>
      <c r="G162" s="29" t="inlineStr">
        <is>
          <t>CC BY-SA 4.0</t>
        </is>
      </c>
      <c r="H162" s="29" t="inlineStr">
        <is>
          <t>https://creativecommons.org/licenses/by-sa/4.0/</t>
        </is>
      </c>
      <c r="I162" s="29" t="inlineStr">
        <is>
          <t>Creative Commons Attribution-Share Alike 4.0</t>
        </is>
      </c>
      <c r="J162" s="29" t="inlineStr">
        <is>
          <t>CarlosVdeHabsburgo · CC BY-SA 4.0 · Wikimedia Commons</t>
        </is>
      </c>
      <c r="K162" s="29" t="n"/>
      <c r="L162" s="49" t="n">
        <v>46320</v>
      </c>
      <c r="M162" s="29" t="inlineStr">
        <is>
          <t>Bekliyor</t>
        </is>
      </c>
      <c r="N162" s="29" t="inlineStr">
        <is>
          <t>Bekliyor</t>
        </is>
      </c>
      <c r="O162" s="29" t="inlineStr">
        <is>
          <t>Fotoğraflar/sevilla_parque-de-miraflores_02.jpg</t>
        </is>
      </c>
      <c r="P162" s="29" t="inlineStr">
        <is>
          <t>Miraflores Parkı'nda eski taş köprü ve gölet.</t>
        </is>
      </c>
      <c r="Q162" s="29" t="inlineStr">
        <is>
          <t>Bekliyor</t>
        </is>
      </c>
      <c r="R162" s="29" t="inlineStr">
        <is>
          <t>Wikimedia Commons dosya sayfasındaki lisans: CC BY-SA 4.0</t>
        </is>
      </c>
      <c r="S162" s="29" t="inlineStr">
        <is>
          <t>Lisans kanıtları/parque-de-miraflores-02.source-evidence.json</t>
        </is>
      </c>
      <c r="T162" s="29" t="inlineStr">
        <is>
          <t>c6fe51701121243cfbbd57a57fe053f9d4a6c78076dd11291f18097fefac7458</t>
        </is>
      </c>
      <c r="U162" s="29" t="inlineStr">
        <is>
          <t>Lisans kanıtları/parque-de-miraflores-02.license-evidence.json</t>
        </is>
      </c>
      <c r="V162" s="29" t="inlineStr">
        <is>
          <t>abdcae6d26b4f967fb08c0e1a7b2ae7599664101fcf26d9738e7a54f2468147d</t>
        </is>
      </c>
      <c r="W162" s="29" t="inlineStr">
        <is>
          <t>{"source_url": "https://commons.wikimedia.org/wiki/File:Parque_de_Miraflores_(Sevilla).jpg", "author": "CarlosVdeHabsburgo", "license": "CC BY-SA 4.0", "license_url": "https://creativecommons.org/licenses/by-sa/4.0/", "original_api_record": {"size": 6675445, "width": 4320, "height": 3240, "thumburl": "https://thumb.wikimedia.org/wikipedia/commons/thumb/c/c4/Parque_de_Miraflores_%28Sevilla%29.jpg/1280px-Parque_de_Miraflores_%28Sevilla%29.jpg", "thumbwidth": 1280, "thumbheight": 960, "responsiveUrls": {"2": "https://thumb.wikimedia.org/wikipedia/commons/thumb/c/c4/Parque_de_Miraflores_%28Sevilla%29.jpg/3840px-Parque_de_Miraflores_%28Sevilla%29.jpg"}, "thumbattribs": {"src": "https://thumb.wikimedia.org/wikipedia/commons/thumb/c/c4/Parque_de_Miraflores_%28Sevilla%29.jpg/1280px-Parque_de_Miraflores_%28Sevilla%29.jpg", "decoding": "async", "loading": "lazy", "width": 1280, "height": 960, "srcset": "https://thumb.wikimedia.org/wikipedia/commons/thumb/c/c4/Parque_de_Miraflores_%28Sevilla%29.jpg/3840px-Parque_de_Miraflores_%28Sevilla%29.jpg 2x"}, "url": "https://upload.wikimedia.org/wikipedia/commons/c/c4/Parque_de_Miraflores_%28Sevilla%29.jpg", "descriptionurl": "https://commons.wikimedia.org/wiki/File:Parque_de_Miraflores_(Sevilla).jpg", "descriptionshorturl": "https://commons.wikimedia.org/w/index.php?curid=69405763", "sha1": "066a91b535dc5f2f428e5c939ca2e8bdcebba907", "extmetadata": {"DateTime": {"value": "2018-05-23 21:27:02", "source": "mediawiki-metadata", "hidden": ""}, "ObjectName": {"value": "Parque de Miraflores (Sevilla)", "source": "mediawiki-metadata"}, "CommonsMetadataExtension": {"value": 1.2, "source": "extension", "hidden": ""}, "Categories": {"value": "Bridges in Seville|Miraflores Park, Seville|Self-published work|Cultural heritage monuments in Seville", "source": "commons-categories", "hidden": ""}, "Assessments": {"value": "", "source": "commons-categories", "hidden": ""}, "ImageDescription": {"value": "Puente en el parque de Miraflores de Sevilla. Andalucía, España.", "source": "commons-desc-page"}, "DateTimeOriginal": {"value": "2018-05-23 19:41:28",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"https://thumb.wikimedia.org/wikipedia/commons/thumb/c/c4/Parque_de_Miraflores_%28Sevilla%29.jpg/1280px-Parque_de_Miraflores_%28Sevilla%29.jpg"}, "retrieved_on": "2026-10-25"}</t>
        </is>
      </c>
    </row>
    <row r="163" ht="54" customHeight="1">
      <c r="A163" s="29" t="inlineStr">
        <is>
          <t>sevilla:evidence:parque-de-miraflores-03</t>
        </is>
      </c>
      <c r="B163" s="29" t="inlineStr">
        <is>
          <t>sevilla</t>
        </is>
      </c>
      <c r="C163" s="29" t="inlineStr">
        <is>
          <t>sevilla:photo:parque-de-miraflores-03</t>
        </is>
      </c>
      <c r="D163" s="29" t="inlineStr">
        <is>
          <t>https://commons.wikimedia.org/wiki/File:Parque_de_Miraflores_-_Sevilla_001.jpg</t>
        </is>
      </c>
      <c r="E163" s="29" t="inlineStr">
        <is>
          <t>File:Parque de Miraflores - Sevilla 001.jpg</t>
        </is>
      </c>
      <c r="F163" s="29" t="inlineStr">
        <is>
          <t>Américo Toledano</t>
        </is>
      </c>
      <c r="G163" s="29" t="inlineStr">
        <is>
          <t>CC BY-SA 4.0</t>
        </is>
      </c>
      <c r="H163" s="29" t="inlineStr">
        <is>
          <t>https://creativecommons.org/licenses/by-sa/4.0/</t>
        </is>
      </c>
      <c r="I163" s="29" t="inlineStr">
        <is>
          <t>Creative Commons Attribution-Share Alike 4.0</t>
        </is>
      </c>
      <c r="J163" s="29" t="inlineStr">
        <is>
          <t>Américo Toledano · CC BY-SA 4.0 · Wikimedia Commons</t>
        </is>
      </c>
      <c r="K163" s="29" t="n"/>
      <c r="L163" s="49" t="n">
        <v>46320</v>
      </c>
      <c r="M163" s="29" t="inlineStr">
        <is>
          <t>Bekliyor</t>
        </is>
      </c>
      <c r="N163" s="29" t="inlineStr">
        <is>
          <t>Bekliyor</t>
        </is>
      </c>
      <c r="O163" s="29" t="inlineStr">
        <is>
          <t>Fotoğraflar/sevilla_parque-de-miraflores_03.jpg</t>
        </is>
      </c>
      <c r="P163" s="29" t="inlineStr">
        <is>
          <t>Miraflores Parkı'nda kemerli eski köprü ve suda yansıması.</t>
        </is>
      </c>
      <c r="Q163" s="29" t="inlineStr">
        <is>
          <t>Bekliyor</t>
        </is>
      </c>
      <c r="R163" s="29" t="inlineStr">
        <is>
          <t>Wikimedia Commons dosya sayfasındaki lisans: CC BY-SA 4.0</t>
        </is>
      </c>
      <c r="S163" s="29" t="inlineStr">
        <is>
          <t>Lisans kanıtları/parque-de-miraflores-03.source-evidence.json</t>
        </is>
      </c>
      <c r="T163" s="29" t="inlineStr">
        <is>
          <t>982a50b2d3c3d67f5fa019b6eb28d8c69ae86af46d0fd7b0d06204271497e62b</t>
        </is>
      </c>
      <c r="U163" s="29" t="inlineStr">
        <is>
          <t>Lisans kanıtları/parque-de-miraflores-03.license-evidence.json</t>
        </is>
      </c>
      <c r="V163" s="29" t="inlineStr">
        <is>
          <t>bfbe338d57eac19320057d7ec493101a71d8febbd0163b4dbccf994408531846</t>
        </is>
      </c>
      <c r="W163" s="29" t="inlineStr">
        <is>
          <t>{"source_url": "https://commons.wikimedia.org/wiki/File:Parque_de_Miraflores_-_Sevilla_001.jpg", "author": "Américo Toledano", "license": "CC BY-SA 4.0", "license_url": "https://creativecommons.org/licenses/by-sa/4.0/", "original_api_record": {"size": 4222774, "width": 3801, "height": 2851, "thumburl": "https://thumb.wikimedia.org/wikipedia/commons/thumb/8/83/Parque_de_Miraflores_-_Sevilla_001.jpg/1280px-Parque_de_Miraflores_-_Sevilla_001.jpg", "thumbwidth": 1280, "thumbheight": 960, "responsiveUrls": {"2": "https://upload.wikimedia.org/wikipedia/commons/8/83/Parque_de_Miraflores_-_Sevilla_001.jpg"}, "thumbattribs": {"src": "https://thumb.wikimedia.org/wikipedia/commons/thumb/8/83/Parque_de_Miraflores_-_Sevilla_001.jpg/1280px-Parque_de_Miraflores_-_Sevilla_001.jpg", "decoding": "async", "loading": "lazy", "width": 1280, "height": 960, "srcset": "https://upload.wikimedia.org/wikipedia/commons/8/83/Parque_de_Miraflores_-_Sevilla_001.jpg 2x"}, "url": "https://upload.wikimedia.org/wikipedia/commons/8/83/Parque_de_Miraflores_-_Sevilla_001.jpg", "descriptionurl": "https://commons.wikimedia.org/wiki/File:Parque_de_Miraflores_-_Sevilla_001.jpg", "descriptionshorturl": "https://commons.wikimedia.org/w/index.php?curid=145961837", "sha1": "c75a0ffbd8db0aa559deba2781fce6be9f76557b", "extmetadata": {"DateTime": {"value": "2024-02-29 21:05:05", "source": "mediawiki-metadata", "hidden": ""}, "ObjectName": {"value": "Parque de Miraflores - Sevilla 001", "source": "mediawiki-metadata"}, "CommonsMetadataExtension": {"value": 1.2, "source": "extension", "hidden": ""}, "Categories": {"value": "Bridges in Seville|Miraflores Park, Seville|Self-published work|Files by User:Hameryko|Photographs by Américo Toledano taken in 2016|Photographs by Américo Toledano taken with bq Aquaris E5 FHD|Photographs of Seville by Américo Toledano|Photographs of bridges by Américo Toledano|August 2016 in Seville|Files with coordinates missing SDC location of creation", "source": "commons-categories", "hidden": ""}, "Assessments": {"value": "", "source": "commons-categories", "hidden": ""}, "GPSLatitude": {"value": "37.414307", "source": "commons-desc-page"}, "GPSLongitude": {"value": "-5.962975", "source": "commons-desc-page"}, "GPSMapDatum": {"value": "WGS-84", "source": "commons-desc-page", "hidden": ""}, "ImageDescription": {"value": "Parque de Miraflores, en Sevilla (España).", "source": "commons-desc-page"}, "DateTimeOriginal": {"value": "2016-08-03 20:02:58", "source": "commons-desc-page"}, "Credit": {"value": "&lt;span class=\"int-own-work\" lang=\"en\"&gt;Own work&lt;/span&gt;", "source": "commons-desc-page"}, "Artist": {"value": "&lt;a href=\"//commons.wikimedia.org/wiki/User:Hameryko\" title=\"User:Hameryko\"&gt;Américo Toledano&lt;/a&gt;",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"https://thumb.wikimedia.org/wikipedia/commons/thumb/8/83/Parque_de_Miraflores_-_Sevilla_001.jpg/1280px-Parque_de_Miraflores_-_Sevilla_001.jpg"}, "retrieved_on": "2026-10-25"}</t>
        </is>
      </c>
    </row>
    <row r="164" ht="54" customHeight="1">
      <c r="A164" s="29" t="inlineStr">
        <is>
          <t>sevilla:evidence:parque-de-san-jeronimo-01</t>
        </is>
      </c>
      <c r="B164" s="29" t="inlineStr">
        <is>
          <t>sevilla</t>
        </is>
      </c>
      <c r="C164" s="29" t="inlineStr">
        <is>
          <t>sevilla:photo:parque-de-san-jeronimo-01</t>
        </is>
      </c>
      <c r="D164" s="29" t="inlineStr">
        <is>
          <t>https://commons.wikimedia.org/wiki/File:D%C3%A1rsena_del_Guadalquivir_en_el_Parque_de_San_Jer%C3%B3nimo.JPG</t>
        </is>
      </c>
      <c r="E164" s="29" t="inlineStr">
        <is>
          <t>File:Dársena del Guadalquivir en el Parque de San Jerónimo.JPG</t>
        </is>
      </c>
      <c r="F164" s="29" t="inlineStr">
        <is>
          <t>CarlosVdeHabsburgo</t>
        </is>
      </c>
      <c r="G164" s="29" t="inlineStr">
        <is>
          <t>CC BY-SA 3.0</t>
        </is>
      </c>
      <c r="H164" s="29" t="inlineStr">
        <is>
          <t>https://creativecommons.org/licenses/by-sa/3.0/</t>
        </is>
      </c>
      <c r="I164" s="29" t="inlineStr">
        <is>
          <t>Creative Commons Attribution-Share Alike 3.0</t>
        </is>
      </c>
      <c r="J164" s="29" t="inlineStr">
        <is>
          <t>CarlosVdeHabsburgo · CC BY-SA 3.0 · Wikimedia Commons</t>
        </is>
      </c>
      <c r="K164" s="29" t="n"/>
      <c r="L164" s="49" t="n">
        <v>46320</v>
      </c>
      <c r="M164" s="29" t="inlineStr">
        <is>
          <t>Bekliyor</t>
        </is>
      </c>
      <c r="N164" s="29" t="inlineStr">
        <is>
          <t>Bekliyor</t>
        </is>
      </c>
      <c r="O164" s="29" t="inlineStr">
        <is>
          <t>Fotoğraflar/sevilla_parque-de-san-jeronimo_01.jpg</t>
        </is>
      </c>
      <c r="P164" s="29" t="inlineStr">
        <is>
          <t>San Jerónimo Parkı'nın önündeki Guadalquivir koyu ve kürek çeken bir sporcu.</t>
        </is>
      </c>
      <c r="Q164" s="29" t="inlineStr">
        <is>
          <t>Bekliyor</t>
        </is>
      </c>
      <c r="R164" s="29" t="inlineStr">
        <is>
          <t>Wikimedia Commons dosya sayfasındaki lisans: CC BY-SA 3.0</t>
        </is>
      </c>
      <c r="S164" s="29" t="inlineStr">
        <is>
          <t>Lisans kanıtları/parque-de-san-jeronimo-01.source-evidence.json</t>
        </is>
      </c>
      <c r="T164" s="29" t="inlineStr">
        <is>
          <t>ca4e724fa210a2946d4656867c3311c3ef3eef5242a3f7b62a6f865bb8d954e8</t>
        </is>
      </c>
      <c r="U164" s="29" t="inlineStr">
        <is>
          <t>Lisans kanıtları/parque-de-san-jeronimo-01.license-evidence.json</t>
        </is>
      </c>
      <c r="V164" s="29" t="inlineStr">
        <is>
          <t>115429d96edf1bf937ef47baed659ed46f9afba1d852ceb89b3b2f7abbaf5366</t>
        </is>
      </c>
      <c r="W164" s="29" t="inlineStr">
        <is>
          <t>{"source_url": "https://commons.wikimedia.org/wiki/File:D%C3%A1rsena_del_Guadalquivir_en_el_Parque_de_San_Jer%C3%B3nimo.JPG", "author": "CarlosVdeHabsburgo", "license": "CC BY-SA 3.0", "license_url": "https://creativecommons.org/licenses/by-sa/3.0/", "original_api_record": {"size": 1720941, "width": 3072, "height": 2304, "thumburl": "https://thumb.wikimedia.org/wikipedia/commons/thumb/4/46/D%C3%A1rsena_del_Guadalquivir_en_el_Parque_de_San_Jer%C3%B3nimo.JPG/1280px-D%C3%A1rsena_del_Guadalquivir_en_el_Parque_de_San_Jer%C3%B3nimo.JPG", "thumbwidth": 1280, "thumbheight": 960, "responsiveUrls": {"2": "https://upload.wikimedia.org/wikipedia/commons/4/46/D%C3%A1rsena_del_Guadalquivir_en_el_Parque_de_San_Jer%C3%B3nimo.JPG"}, "thumbattribs": {"src": "https://thumb.wikimedia.org/wikipedia/commons/thumb/4/46/D%C3%A1rsena_del_Guadalquivir_en_el_Parque_de_San_Jer%C3%B3nimo.JPG/1280px-D%C3%A1rsena_del_Guadalquivir_en_el_Parque_de_San_Jer%C3%B3nimo.JPG", "decoding": "async", "loading": "lazy", "width": 1280, "height": 960, "srcset": "https://upload.wikimedia.org/wikipedia/commons/4/46/D%C3%A1rsena_del_Guadalquivir_en_el_Parque_de_San_Jer%C3%B3nimo.JPG 2x"}, "url": "https://upload.wikimedia.org/wikipedia/commons/4/46/D%C3%A1rsena_del_Guadalquivir_en_el_Parque_de_San_Jer%C3%B3nimo.JPG", "descriptionurl": "https://commons.wikimedia.org/wiki/File:D%C3%A1rsena_del_Guadalquivir_en_el_Parque_de_San_Jer%C3%B3nimo.JPG", "descriptionshorturl": "https://commons.wikimedia.org/w/index.php?curid=26157397", "sha1": "c4245cca24edcee987875f237ed36aab456a3061", "extmetadata": {"DateTime": {"value": "2013-05-18 16:01:31", "source": "mediawiki-metadata", "hidden": ""}, "ObjectName": {"value": "Dársena del Guadalquivir en el Parque de San Jerónimo", "source": "mediawiki-metadata"}, "CommonsMetadataExtension": {"value": 1.2, "source": "extension", "hidden": ""}, "Categories": {"value": "San Jerónimo Park|Self-published work", "source": "commons-categories", "hidden": ""}, "Assessments": {"value": "", "source": "commons-categories", "hidden": ""}, "ImageDescription": {"value": "Dársena del Guadalquivir en el Parque de san Jerónimo de Sevilla y al fondo el final de dicha dársena.", "source": "commons-desc-page"}, "DateTimeOriginal": {"value": "2013",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"https://thumb.wikimedia.org/wikipedia/commons/thumb/4/46/D%C3%A1rsena_del_Guadalquivir_en_el_Parque_de_San_Jer%C3%B3nimo.JPG/1280px-D%C3%A1rsena_del_Guadalquivir_en_el_Parque_de_San_Jer%C3%B3nimo.JPG"}, "retrieved_on": "2026-10-25"}</t>
        </is>
      </c>
    </row>
    <row r="165" ht="54" customHeight="1">
      <c r="A165" s="29" t="inlineStr">
        <is>
          <t>sevilla:evidence:parque-de-san-jeronimo-02</t>
        </is>
      </c>
      <c r="B165" s="29" t="inlineStr">
        <is>
          <t>sevilla</t>
        </is>
      </c>
      <c r="C165" s="29" t="inlineStr">
        <is>
          <t>sevilla:photo:parque-de-san-jeronimo-02</t>
        </is>
      </c>
      <c r="D165" s="29" t="inlineStr">
        <is>
          <t>https://commons.wikimedia.org/wiki/File:Parque_de_San_Jer%C3%B3nimo_1.jpg</t>
        </is>
      </c>
      <c r="E165" s="29" t="inlineStr">
        <is>
          <t>File:Parque de San Jerónimo 1.jpg</t>
        </is>
      </c>
      <c r="F165" s="29" t="inlineStr">
        <is>
          <t>Gzzz</t>
        </is>
      </c>
      <c r="G165" s="29" t="inlineStr">
        <is>
          <t>CC BY-SA 4.0</t>
        </is>
      </c>
      <c r="H165" s="29" t="inlineStr">
        <is>
          <t>https://creativecommons.org/licenses/by-sa/4.0/</t>
        </is>
      </c>
      <c r="I165" s="29" t="inlineStr">
        <is>
          <t>Creative Commons Attribution-Share Alike 4.0</t>
        </is>
      </c>
      <c r="J165" s="29" t="inlineStr">
        <is>
          <t>Gzzz · CC BY-SA 4.0 · Wikimedia Commons</t>
        </is>
      </c>
      <c r="K165" s="29" t="n"/>
      <c r="L165" s="49" t="n">
        <v>46320</v>
      </c>
      <c r="M165" s="29" t="inlineStr">
        <is>
          <t>Bekliyor</t>
        </is>
      </c>
      <c r="N165" s="29" t="inlineStr">
        <is>
          <t>Bekliyor</t>
        </is>
      </c>
      <c r="O165" s="29" t="inlineStr">
        <is>
          <t>Fotoğraflar/sevilla_parque-de-san-jeronimo_02.jpg</t>
        </is>
      </c>
      <c r="P165" s="29" t="inlineStr">
        <is>
          <t>San Jerónimo Parkı'nın çimenli alanı ve yürüyüş yolu.</t>
        </is>
      </c>
      <c r="Q165" s="29" t="inlineStr">
        <is>
          <t>Bekliyor</t>
        </is>
      </c>
      <c r="R165" s="29" t="inlineStr">
        <is>
          <t>Wikimedia Commons dosya sayfasındaki lisans: CC BY-SA 4.0</t>
        </is>
      </c>
      <c r="S165" s="29" t="inlineStr">
        <is>
          <t>Lisans kanıtları/parque-de-san-jeronimo-02.source-evidence.json</t>
        </is>
      </c>
      <c r="T165" s="29" t="inlineStr">
        <is>
          <t>01133fd25d5b04329227bc515596d2f445653a8ba0ea182f56975a8c006a1b91</t>
        </is>
      </c>
      <c r="U165" s="29" t="inlineStr">
        <is>
          <t>Lisans kanıtları/parque-de-san-jeronimo-02.license-evidence.json</t>
        </is>
      </c>
      <c r="V165" s="29" t="inlineStr">
        <is>
          <t>662eee667174913e903bf61492ecb36b2f0fd29c98f57494678e51e8f6a7b231</t>
        </is>
      </c>
      <c r="W165" s="29" t="inlineStr">
        <is>
          <t>{"source_url": "https://commons.wikimedia.org/wiki/File:Parque_de_San_Jer%C3%B3nimo_1.jpg", "author": "Gzzz", "license": "CC BY-SA 4.0", "license_url": "https://creativecommons.org/licenses/by-sa/4.0/", "original_api_record": {"size": 6214876, "width": 4756, "height": 3110, "thumburl": "https://thumb.wikimedia.org/wikipedia/commons/thumb/b/b0/Parque_de_San_Jer%C3%B3nimo_1.jpg/1280px-Parque_de_San_Jer%C3%B3nimo_1.jpg", "thumbwidth": 1280, "thumbheight": 837, "responsiveUrls": {"2": "https://thumb.wikimedia.org/wikipedia/commons/thumb/b/b0/Parque_de_San_Jer%C3%B3nimo_1.jpg/3840px-Parque_de_San_Jer%C3%B3nimo_1.jpg"}, "thumbattribs": {"src": "https://thumb.wikimedia.org/wikipedia/commons/thumb/b/b0/Parque_de_San_Jer%C3%B3nimo_1.jpg/1280px-Parque_de_San_Jer%C3%B3nimo_1.jpg", "decoding": "async", "loading": "lazy", "width": 1280, "height": 837, "srcset": "https://thumb.wikimedia.org/wikipedia/commons/thumb/b/b0/Parque_de_San_Jer%C3%B3nimo_1.jpg/3840px-Parque_de_San_Jer%C3%B3nimo_1.jpg 2x"}, "url": "https://upload.wikimedia.org/wikipedia/commons/b/b0/Parque_de_San_Jer%C3%B3nimo_1.jpg", "descriptionurl": "https://commons.wikimedia.org/wiki/File:Parque_de_San_Jer%C3%B3nimo_1.jpg", "descriptionshorturl": "https://commons.wikimedia.org/w/index.php?curid=68449682", "sha1": "c7e3e69b33ec803c3175b1a087b5d3a44527c78f", "extmetadata": {"DateTime": {"value": "2018-04-20 21:55:03", "source": "mediawiki-metadata", "hidden": ""}, "ObjectName": {"value": "Parque de San Jerónimo 1", "source": "mediawiki-metadata"}, "CommonsMetadataExtension": {"value": 1.2, "source": "extension", "hidden": ""}, "Categories": {"value": "San Jerónimo Park|Self-published work|Files with coordinates missing SDC location of creation|Spain photographs taken on 2017-04-19", "source": "commons-categories", "hidden": ""}, "Assessments": {"value": "", "source": "commons-categories", "hidden": ""}, "GPSLatitude": {"value": "37.424700", "source": "commons-desc-page"}, "GPSLongitude": {"value": "-5.989092", "source": "commons-desc-page"}, "GPSMapDatum": {"value": "WGS-84", "source": "commons-desc-page", "hidden": ""}, "ImageDescription": {"value": "San Jerónimo Park (Seville, Spain).", "source": "commons-desc-page"}, "DateTimeOriginal": {"value": "2017-04-19 08:10:58", "source": "commons-desc-page"}, "Credit": {"value": "&lt;span class=\"int-own-work\" lang=\"en\"&gt;Own work&lt;/span&gt;", "source": "commons-desc-page"}, "Artist": {"value": "&lt;a href=\"//commons.wikimedia.org/wiki/User:Gzzz\" title=\"User:Gzzz\"&gt;Gzzz&lt;/a&gt;",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"https://thumb.wikimedia.org/wikipedia/commons/thumb/b/b0/Parque_de_San_Jer%C3%B3nimo_1.jpg/1280px-Parque_de_San_Jer%C3%B3nimo_1.jpg"}, "retrieved_on": "2026-10-25"}</t>
        </is>
      </c>
    </row>
    <row r="166" ht="54" customHeight="1">
      <c r="A166" s="29" t="inlineStr">
        <is>
          <t>sevilla:evidence:parque-de-san-jeronimo-03</t>
        </is>
      </c>
      <c r="B166" s="29" t="inlineStr">
        <is>
          <t>sevilla</t>
        </is>
      </c>
      <c r="C166" s="29" t="inlineStr">
        <is>
          <t>sevilla:photo:parque-de-san-jeronimo-03</t>
        </is>
      </c>
      <c r="D166" s="29" t="inlineStr">
        <is>
          <t>https://commons.wikimedia.org/wiki/File:Parque_de_San_Jer%C3%B3nimo_2.jpg</t>
        </is>
      </c>
      <c r="E166" s="29" t="inlineStr">
        <is>
          <t>File:Parque de San Jerónimo 2.jpg</t>
        </is>
      </c>
      <c r="F166" s="29" t="inlineStr">
        <is>
          <t>Gzzz</t>
        </is>
      </c>
      <c r="G166" s="29" t="inlineStr">
        <is>
          <t>CC BY-SA 4.0</t>
        </is>
      </c>
      <c r="H166" s="29" t="inlineStr">
        <is>
          <t>https://creativecommons.org/licenses/by-sa/4.0/</t>
        </is>
      </c>
      <c r="I166" s="29" t="inlineStr">
        <is>
          <t>Creative Commons Attribution-Share Alike 4.0</t>
        </is>
      </c>
      <c r="J166" s="29" t="inlineStr">
        <is>
          <t>Gzzz · CC BY-SA 4.0 · Wikimedia Commons</t>
        </is>
      </c>
      <c r="K166" s="29" t="n"/>
      <c r="L166" s="49" t="n">
        <v>46320</v>
      </c>
      <c r="M166" s="29" t="inlineStr">
        <is>
          <t>Bekliyor</t>
        </is>
      </c>
      <c r="N166" s="29" t="inlineStr">
        <is>
          <t>Bekliyor</t>
        </is>
      </c>
      <c r="O166" s="29" t="inlineStr">
        <is>
          <t>Fotoğraflar/sevilla_parque-de-san-jeronimo_03.jpg</t>
        </is>
      </c>
      <c r="P166" s="29" t="inlineStr">
        <is>
          <t>San Jerónimo Parkı'nda uzun bir yürüyüş yolu ve fenerler.</t>
        </is>
      </c>
      <c r="Q166" s="29" t="inlineStr">
        <is>
          <t>Bekliyor</t>
        </is>
      </c>
      <c r="R166" s="29" t="inlineStr">
        <is>
          <t>Wikimedia Commons dosya sayfasındaki lisans: CC BY-SA 4.0</t>
        </is>
      </c>
      <c r="S166" s="29" t="inlineStr">
        <is>
          <t>Lisans kanıtları/parque-de-san-jeronimo-03.source-evidence.json</t>
        </is>
      </c>
      <c r="T166" s="29" t="inlineStr">
        <is>
          <t>22d6d13920612fad5f4d0650ac310ba2e1c8097695bae926dc34556daae37cb1</t>
        </is>
      </c>
      <c r="U166" s="29" t="inlineStr">
        <is>
          <t>Lisans kanıtları/parque-de-san-jeronimo-03.license-evidence.json</t>
        </is>
      </c>
      <c r="V166" s="29" t="inlineStr">
        <is>
          <t>a56a08b9780974f47c923a86dd899a5c25cf92aecca2d2bdce70cd00e4f6f23e</t>
        </is>
      </c>
      <c r="W166" s="29" t="inlineStr">
        <is>
          <t>{"source_url": "https://commons.wikimedia.org/wiki/File:Parque_de_San_Jer%C3%B3nimo_2.jpg", "author": "Gzzz", "license": "CC BY-SA 4.0", "license_url": "https://creativecommons.org/licenses/by-sa/4.0/", "original_api_record": {"size": 6455839, "width": 4732, "height": 3041, "thumburl": "https://thumb.wikimedia.org/wikipedia/commons/thumb/9/9f/Parque_de_San_Jer%C3%B3nimo_2.jpg/1280px-Parque_de_San_Jer%C3%B3nimo_2.jpg", "thumbwidth": 1280, "thumbheight": 823, "responsiveUrls": {"2": "https://thumb.wikimedia.org/wikipedia/commons/thumb/9/9f/Parque_de_San_Jer%C3%B3nimo_2.jpg/3840px-Parque_de_San_Jer%C3%B3nimo_2.jpg"}, "thumbattribs": {"src": "https://thumb.wikimedia.org/wikipedia/commons/thumb/9/9f/Parque_de_San_Jer%C3%B3nimo_2.jpg/1280px-Parque_de_San_Jer%C3%B3nimo_2.jpg", "decoding": "async", "loading": "lazy", "width": 1280, "height": 823, "srcset": "https://thumb.wikimedia.org/wikipedia/commons/thumb/9/9f/Parque_de_San_Jer%C3%B3nimo_2.jpg/3840px-Parque_de_San_Jer%C3%B3nimo_2.jpg 2x"}, "url": "https://upload.wikimedia.org/wikipedia/commons/9/9f/Parque_de_San_Jer%C3%B3nimo_2.jpg", "descriptionurl": "https://commons.wikimedia.org/wiki/File:Parque_de_San_Jer%C3%B3nimo_2.jpg", "descriptionshorturl": "https://commons.wikimedia.org/w/index.php?curid=68449681", "sha1": "de59d04b06205c594b7b95ebe25b855c61fa1938", "extmetadata": {"DateTime": {"value": "2018-04-20 21:55:03", "source": "mediawiki-metadata", "hidden": ""}, "ObjectName": {"value": "Parque de San Jerónimo 2", "source": "mediawiki-metadata"}, "CommonsMetadataExtension": {"value": 1.2, "source": "extension", "hidden": ""}, "Categories": {"value": "San Jerónimo Park|Self-published work|Files with coordinates missing SDC location of creation|Spain photographs taken on 2017-04-19", "source": "commons-categories", "hidden": ""}, "Assessments": {"value": "", "source": "commons-categories", "hidden": ""}, "GPSLatitude": {"value": "37.424806", "source": "commons-desc-page"}, "GPSLongitude": {"value": "-5.989728", "source": "commons-desc-page"}, "GPSMapDatum": {"value": "WGS-84", "source": "commons-desc-page", "hidden": ""}, "ImageDescription": {"value": "San Jerónimo Park (Seville, Spain).", "source": "commons-desc-page"}, "DateTimeOriginal": {"value": "2017-04-19 08:12:38", "source": "commons-desc-page"}, "Credit": {"value": "&lt;span class=\"int-own-work\" lang=\"en\"&gt;Own work&lt;/span&gt;", "source": "commons-desc-page"}, "Artist": {"value": "&lt;a href=\"//commons.wikimedia.org/wiki/User:Gzzz\" title=\"User:Gzzz\"&gt;Gzzz&lt;/a&gt;",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"https://thumb.wikimedia.org/wikipedia/commons/thumb/9/9f/Parque_de_San_Jer%C3%B3nimo_2.jpg/1280px-Parque_de_San_Jer%C3%B3nimo_2.jpg"}, "retrieved_on": "2026-10-25"}</t>
        </is>
      </c>
    </row>
    <row r="167" ht="54" customHeight="1">
      <c r="A167" s="29" t="inlineStr">
        <is>
          <t>sevilla:evidence:jardines-torre-de-los-perdigones-01</t>
        </is>
      </c>
      <c r="B167" s="29" t="inlineStr">
        <is>
          <t>sevilla</t>
        </is>
      </c>
      <c r="C167" s="29" t="inlineStr">
        <is>
          <t>sevilla:photo:jardines-torre-de-los-perdigones-01</t>
        </is>
      </c>
      <c r="D167" s="29" t="inlineStr">
        <is>
          <t>https://commons.wikimedia.org/wiki/File:Sevilla_historic_monuments_wall_6.jpg</t>
        </is>
      </c>
      <c r="E167" s="29" t="inlineStr">
        <is>
          <t>File:Sevilla historic monuments wall 6.jpg</t>
        </is>
      </c>
      <c r="F167" s="29" t="inlineStr">
        <is>
          <t>JakobHosp</t>
        </is>
      </c>
      <c r="G167" s="29" t="inlineStr">
        <is>
          <t>CC0 1.0</t>
        </is>
      </c>
      <c r="H167" s="29" t="inlineStr">
        <is>
          <t>https://creativecommons.org/publicdomain/zero/1.0/</t>
        </is>
      </c>
      <c r="I167" s="29" t="inlineStr">
        <is>
          <t>Creative Commons Zero, Public Domain Dedication</t>
        </is>
      </c>
      <c r="J167" s="29" t="inlineStr">
        <is>
          <t>JakobHosp · CC0 1.0 · Wikimedia Commons</t>
        </is>
      </c>
      <c r="K167" s="29" t="n"/>
      <c r="L167" s="49" t="n">
        <v>46320</v>
      </c>
      <c r="M167" s="29" t="inlineStr">
        <is>
          <t>Bekliyor</t>
        </is>
      </c>
      <c r="N167" s="29" t="inlineStr">
        <is>
          <t>Bekliyor</t>
        </is>
      </c>
      <c r="O167" s="29" t="inlineStr">
        <is>
          <t>Fotoğraflar/sevilla_jardines-torre-de-los-perdigones_01.jpg</t>
        </is>
      </c>
      <c r="P167" s="29" t="inlineStr">
        <is>
          <t>Perdigones Kulesi'nin tuğla gövdesi, bahçenin ağaçları arasında.</t>
        </is>
      </c>
      <c r="Q167" s="29" t="inlineStr">
        <is>
          <t>Bekliyor</t>
        </is>
      </c>
      <c r="R167" s="29" t="inlineStr">
        <is>
          <t>Wikimedia Commons dosya sayfasındaki lisans: CC0 1.0</t>
        </is>
      </c>
      <c r="S167" s="29" t="inlineStr">
        <is>
          <t>Lisans kanıtları/jardines-torre-de-los-perdigones-01.source-evidence.json</t>
        </is>
      </c>
      <c r="T167" s="29" t="inlineStr">
        <is>
          <t>6bae6e86ef193211384ac57644a003db428bb3dc6cb57944007b1f1d03338d9c</t>
        </is>
      </c>
      <c r="U167" s="29" t="inlineStr">
        <is>
          <t>Lisans kanıtları/jardines-torre-de-los-perdigones-01.license-evidence.json</t>
        </is>
      </c>
      <c r="V167" s="29" t="inlineStr">
        <is>
          <t>f33021870f90bcad0b5243dbf6e38e6c7bda7d09ce9baa44576fe296a34550e7</t>
        </is>
      </c>
      <c r="W167" s="29" t="inlineStr">
        <is>
          <t>{"source_url": "https://commons.wikimedia.org/wiki/File:Sevilla_historic_monuments_wall_6.jpg", "author": "JakobHosp", "license": "CC0 1.0", "license_url": "https://creativecommons.org/publicdomain/zero/1.0/", "original_api_record": {"size": 3228321, "width": 3024, "height": 4032, "thumburl": "https://thumb.wikimedia.org/wikipedia/commons/thumb/e/ea/Sevilla_historic_monuments_wall_6.jpg/1280px-Sevilla_historic_monuments_wall_6.jpg", "thumbwidth": 1280, "thumbheight": 1707, "responsiveUrls": {"2": "https://thumb.wikimedia.org/wikipedia/commons/thumb/e/ea/Sevilla_historic_monuments_wall_6.jpg/1920px-Sevilla_historic_monuments_wall_6.jpg"}, "thumbattribs": {"src": "https://thumb.wikimedia.org/wikipedia/commons/thumb/e/ea/Sevilla_historic_monuments_wall_6.jpg/1280px-Sevilla_historic_monuments_wall_6.jpg", "decoding": "async", "loading": "lazy", "width": 1280, "height": 1707, "srcset": "https://thumb.wikimedia.org/wikipedia/commons/thumb/e/ea/Sevilla_historic_monuments_wall_6.jpg/1920px-Sevilla_historic_monuments_wall_6.jpg 2x"}, "url": "https://upload.wikimedia.org/wikipedia/commons/e/ea/Sevilla_historic_monuments_wall_6.jpg", "descriptionurl": "https://commons.wikimedia.org/wiki/File:Sevilla_historic_monuments_wall_6.jpg", "descriptionshorturl": "https://commons.wikimedia.org/w/index.php?curid=127066202", "sha1": "d5b142bf0e43196aa90f587159a807132e4557c4", "extmetadata": {"DateTime": {"value": "2022-12-27 13:12:26", "source": "mediawiki-metadata", "hidden": ""}, "ObjectName": {"value": "Sevilla historic monuments wall 6", "source": "mediawiki-metadata"}, "CommonsMetadataExtension": {"value": 1.2, "source": "extension", "hidden": ""}, "Categories": {"value": "CC-Zero|Torre de los Perdigones, Sevilla|Files with coordinates missing SDC location of creation|Images uploaded by Commons Uploader for Mobile|Uploads by JakobHosp", "source": "commons-categories", "hidden": ""}, "Assessments": {"value": "", "source": "commons-categories", "hidden": ""}, "GPSLatitude": {"value": "37.403447", "source": "commons-desc-page"}, "GPSLongitude": {"value": "-5.993047", "source": "commons-desc-page"}, "GPSMapDatum": {"value": "WGS-84", "source": "commons-desc-page", "hidden": ""}, "ImageDescription": {"value": "sevilla historic monuments wall", "source": "commons-desc-page"}, "DateTimeOriginal": {"value": "2022-12-07", "source": "commons-desc-page"}, "Credit": {"value": "&lt;span class=\"int-own-work\" lang=\"en\"&gt;Own work&lt;/span&gt;", "source": "commons-desc-page"}, "Artist": {"value": "&lt;a href=\"//commons.wikimedia.org/w/index.php?title=User:JakobHosp&amp;amp;action=edit&amp;amp;redlink=1\" class=\"new\" title=\"User:JakobHosp (page does not exist)\"&gt;JakobHosp&lt;/a&gt;",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"https://thumb.wikimedia.org/wikipedia/commons/thumb/e/ea/Sevilla_historic_monuments_wall_6.jpg/1280px-Sevilla_historic_monuments_wall_6.jpg"}, "retrieved_on": "2026-10-25"}</t>
        </is>
      </c>
    </row>
    <row r="168" ht="54" customHeight="1">
      <c r="A168" s="29" t="inlineStr">
        <is>
          <t>sevilla:evidence:jardines-torre-de-los-perdigones-02</t>
        </is>
      </c>
      <c r="B168" s="29" t="inlineStr">
        <is>
          <t>sevilla</t>
        </is>
      </c>
      <c r="C168" s="29" t="inlineStr">
        <is>
          <t>sevilla:photo:jardines-torre-de-los-perdigones-02</t>
        </is>
      </c>
      <c r="D168" s="29" t="inlineStr">
        <is>
          <t>https://commons.wikimedia.org/wiki/File:SevillaTorreDeLosPerdigones01.JPG</t>
        </is>
      </c>
      <c r="E168" s="29" t="inlineStr">
        <is>
          <t>File:SevillaTorreDeLosPerdigones01.JPG</t>
        </is>
      </c>
      <c r="F168" s="29" t="inlineStr">
        <is>
          <t>No machine-readable author provided. Lobillo assumed (based on copyright claims).</t>
        </is>
      </c>
      <c r="G168" s="29" t="inlineStr">
        <is>
          <t>Public domain</t>
        </is>
      </c>
      <c r="H168" s="29" t="inlineStr">
        <is>
          <t>https://commons.wikimedia.org/wiki/File:SevillaTorreDeLosPerdigones01.JPG</t>
        </is>
      </c>
      <c r="I168" s="29" t="inlineStr">
        <is>
          <t>Public domain</t>
        </is>
      </c>
      <c r="J168" s="29" t="inlineStr">
        <is>
          <t>No machine-readable author provided. Lobillo assumed (based on copyright claims). · Public domain · Wikimedia Commons</t>
        </is>
      </c>
      <c r="K168" s="29" t="n"/>
      <c r="L168" s="49" t="n">
        <v>46320</v>
      </c>
      <c r="M168" s="29" t="inlineStr">
        <is>
          <t>Bekliyor</t>
        </is>
      </c>
      <c r="N168" s="29" t="inlineStr">
        <is>
          <t>Bekliyor</t>
        </is>
      </c>
      <c r="O168" s="29" t="inlineStr">
        <is>
          <t>Fotoğraflar/sevilla_jardines-torre-de-los-perdigones_02.jpg</t>
        </is>
      </c>
      <c r="P168" s="29" t="inlineStr">
        <is>
          <t>Perdigones Kulesi ve dibindeki bahçe.</t>
        </is>
      </c>
      <c r="Q168" s="29" t="inlineStr">
        <is>
          <t>Bekliyor</t>
        </is>
      </c>
      <c r="R168" s="29" t="inlineStr">
        <is>
          <t>Wikimedia Commons dosya sayfasındaki lisans: Public domain</t>
        </is>
      </c>
      <c r="S168" s="29" t="inlineStr">
        <is>
          <t>Lisans kanıtları/jardines-torre-de-los-perdigones-02.source-evidence.json</t>
        </is>
      </c>
      <c r="T168" s="29" t="inlineStr">
        <is>
          <t>4082d494a8221c18cf6d9e2a5e6f364d69c91b0289e80efc242b31e99dc43956</t>
        </is>
      </c>
      <c r="U168" s="29" t="inlineStr">
        <is>
          <t>Lisans kanıtları/jardines-torre-de-los-perdigones-02.license-evidence.json</t>
        </is>
      </c>
      <c r="V168" s="29" t="inlineStr">
        <is>
          <t>a98dd6dfe8bbdb865fc6e5aa4691d6c622f5c440ebaeddf560360dc00d81db65</t>
        </is>
      </c>
      <c r="W168" s="29" t="inlineStr">
        <is>
          <t>{"source_url": "https://commons.wikimedia.org/wiki/File:SevillaTorreDeLosPerdigones01.JPG", "author": "No machine-readable author provided. Lobillo assumed (based on copyright claims).", "license": "Public domain", "license_url": "https://commons.wikimedia.org/wiki/File:SevillaTorreDeLosPerdigones01.JPG", "original_api_record": {"size": 1864995, "width": 1728, "height": 2304, "thumburl": "https://thumb.wikimedia.org/wikipedia/commons/thumb/0/0f/SevillaTorreDeLosPerdigones01.JPG/1280px-SevillaTorreDeLosPerdigones01.JPG", "thumbwidth": 1280, "thumbheight": 1707, "responsiveUrls": {"2": "https://upload.wikimedia.org/wikipedia/commons/0/0f/SevillaTorreDeLosPerdigones01.JPG"}, "thumbattribs": {"src": "https://thumb.wikimedia.org/wikipedia/commons/thumb/0/0f/SevillaTorreDeLosPerdigones01.JPG/1280px-SevillaTorreDeLosPerdigones01.JPG", "decoding": "async", "loading": "lazy", "width": 1280, "height": 1707, "srcset": "https://upload.wikimedia.org/wikipedia/commons/0/0f/SevillaTorreDeLosPerdigones01.JPG 2x"}, "url": "https://upload.wikimedia.org/wikipedia/commons/0/0f/SevillaTorreDeLosPerdigones01.JPG", "descriptionurl": "https://commons.wikimedia.org/wiki/File:SevillaTorreDeLosPerdigones01.JPG", "descriptionshorturl": "https://commons.wikimedia.org/w/index.php?curid=1869866", "sha1": "fbe9586ef7ea24e2d2c46aa0d30ca77bd3f2aa39", "extmetadata": {"DateTime": {"value": "2007-03-31 16:07:10", "source": "mediawiki-metadata", "hidden": ""}, "ObjectName": {"value": "SevillaTorreDeLosPerdigones01", "source": "mediawiki-metadata"}, "CommonsMetadataExtension": {"value": 1.2, "source": "extension", "hidden": ""}, "Categories": {"value": "Taken with Sony DSC-P73|Files with no machine-readable source|Torre de los Perdigones, Sevilla|Self-published work|PD-self|Assumed own work|Photographs taken on 2007-03-11", "source": "commons-categories", "hidden": ""}, "Assessments": {"value": "", "source": "commons-categories", "hidden": ""}, "ImageDescription": {"value": "Torre de los Perdigones (Sevilla).", "source": "commons-desc-page"}, "DateTimeOriginal": {"value": "11 March 2007 (according to &lt;span lang=\"en\" dir=\"ltr\"&gt;&lt;a href=\"https://en.wikipedia.org/wiki/Exif\" class=\"extiw\" title=\"en:Exif\"&gt;Exif&lt;/a&gt;&lt;/span&gt; data)", "source": "commons-desc-page"}, "Credit": {"value": "No machine-readable source provided. Own work assumed (based on copyright claims).", "source": "commons-desc-page"}, "Artist": {"value": "No machine-readable author provided. &lt;a href=\"//commons.wikimedia.org/wiki/User:Lobillo\" title=\"User:Lobillo\"&gt;Lobillo&lt;/a&gt; assumed (based on copyright claims).", "source": "commons-desc-page"}, "LicenseShortName": {"value": "Public domain", "source": "commons-desc-page", "hidden": ""}, "UsageTerms": {"value": "Public domain", "source": "commons-desc-page"}, "AttributionRequired": {"value": "false", "source": "commons-desc-page", "hidden": ""}, "Copyrighted": {"value": "False", "source": "commons-desc-page", "hidden": ""}, "Restrictions": {"value": "", "source": "commons-desc-page", "hidden": ""}, "License": {"value": "pd", "source": "commons-templates", "hidden": ""}}, "mime": "image/jpeg"}, "delivered_file": {"url": "https://thumb.wikimedia.org/wikipedia/commons/thumb/0/0f/SevillaTorreDeLosPerdigones01.JPG/1280px-SevillaTorreDeLosPerdigones01.JPG"}, "retrieved_on": "2026-10-25"}</t>
        </is>
      </c>
    </row>
    <row r="169" ht="54" customHeight="1">
      <c r="A169" s="29" t="inlineStr">
        <is>
          <t>sevilla:evidence:jardines-torre-de-los-perdigones-03</t>
        </is>
      </c>
      <c r="B169" s="29" t="inlineStr">
        <is>
          <t>sevilla</t>
        </is>
      </c>
      <c r="C169" s="29" t="inlineStr">
        <is>
          <t>sevilla:photo:jardines-torre-de-los-perdigones-03</t>
        </is>
      </c>
      <c r="D169" s="29" t="inlineStr">
        <is>
          <t>https://commons.wikimedia.org/wiki/File:Seville,_Sevilla,_Spain_-_panoramio_(23).jpg</t>
        </is>
      </c>
      <c r="E169" s="29" t="inlineStr">
        <is>
          <t>File:Seville, Sevilla, Spain - panoramio (23).jpg</t>
        </is>
      </c>
      <c r="F169" s="29" t="inlineStr">
        <is>
          <t>alfonsocg1983</t>
        </is>
      </c>
      <c r="G169" s="29" t="inlineStr">
        <is>
          <t>CC BY 3.0</t>
        </is>
      </c>
      <c r="H169" s="29" t="inlineStr">
        <is>
          <t>https://creativecommons.org/licenses/by/3.0/</t>
        </is>
      </c>
      <c r="I169" s="29" t="inlineStr">
        <is>
          <t>Creative Commons Attribution 3.0</t>
        </is>
      </c>
      <c r="J169" s="29" t="inlineStr">
        <is>
          <t>alfonsocg1983 · CC BY 3.0 · Wikimedia Commons</t>
        </is>
      </c>
      <c r="K169" s="29" t="n"/>
      <c r="L169" s="49" t="n">
        <v>46320</v>
      </c>
      <c r="M169" s="29" t="inlineStr">
        <is>
          <t>Bekliyor</t>
        </is>
      </c>
      <c r="N169" s="29" t="inlineStr">
        <is>
          <t>Bekliyor</t>
        </is>
      </c>
      <c r="O169" s="29" t="inlineStr">
        <is>
          <t>Fotoğraflar/sevilla_jardines-torre-de-los-perdigones_03.jpg</t>
        </is>
      </c>
      <c r="P169" s="29" t="inlineStr">
        <is>
          <t>Perdigones Bahçeleri'nde fıskiyeli havuz ve arkada kule.</t>
        </is>
      </c>
      <c r="Q169" s="29" t="inlineStr">
        <is>
          <t>Bekliyor</t>
        </is>
      </c>
      <c r="R169" s="29" t="inlineStr">
        <is>
          <t>Wikimedia Commons dosya sayfasındaki lisans: CC BY 3.0</t>
        </is>
      </c>
      <c r="S169" s="29" t="inlineStr">
        <is>
          <t>Lisans kanıtları/jardines-torre-de-los-perdigones-03.source-evidence.json</t>
        </is>
      </c>
      <c r="T169" s="29" t="inlineStr">
        <is>
          <t>337a3fe5640757cdd198f0c0b5c889b981e093548b2000610f7d245782d023ae</t>
        </is>
      </c>
      <c r="U169" s="29" t="inlineStr">
        <is>
          <t>Lisans kanıtları/jardines-torre-de-los-perdigones-03.license-evidence.json</t>
        </is>
      </c>
      <c r="V169" s="29" t="inlineStr">
        <is>
          <t>613849b159eb86054ea3854074100c23acec65adfe5d09579793187f21a04e4a</t>
        </is>
      </c>
      <c r="W169" s="29" t="inlineStr">
        <is>
          <t>{"source_url": "https://commons.wikimedia.org/wiki/File:Seville,_Sevilla,_Spain_-_panoramio_(23).jpg", "author": "alfonsocg1983", "license": "CC BY 3.0", "license_url": "https://creativecommons.org/licenses/by/3.0/", "original_api_record": {"size": 1181432, "width": 2592, "height": 1944, "thumburl": "https://thumb.wikimedia.org/wikipedia/commons/thumb/a/a1/Seville%2C_Sevilla%2C_Spain_-_panoramio_%2823%29.jpg/1280px-Seville%2C_Sevilla%2C_Spain_-_panoramio_%2823%29.jpg", "thumbwidth": 1280, "thumbheight": 960, "responsiveUrls": {"2": "https://upload.wikimedia.org/wikipedia/commons/a/a1/Seville%2C_Sevilla%2C_Spain_-_panoramio_%2823%29.jpg"}, "thumbattribs": {"src": "https://thumb.wikimedia.org/wikipedia/commons/thumb/a/a1/Seville%2C_Sevilla%2C_Spain_-_panoramio_%2823%29.jpg/1280px-Seville%2C_Sevilla%2C_Spain_-_panoramio_%2823%29.jpg", "decoding": "async", "loading": "lazy", "width": 1280, "height": 960, "srcset": "https://upload.wikimedia.org/wikipedia/commons/a/a1/Seville%2C_Sevilla%2C_Spain_-_panoramio_%2823%29.jpg 2x"}, "url": "https://upload.wikimedia.org/wikipedia/commons/a/a1/Seville%2C_Sevilla%2C_Spain_-_panoramio_%2823%29.jpg", "descriptionurl": "https://commons.wikimedia.org/wiki/File:Seville,_Sevilla,_Spain_-_panoramio_(23).jpg", "descriptionshorturl": "https://commons.wikimedia.org/w/index.php?curid=53679287", "sha1": "bb1f0cf1034a416b62a0a6a48ffa44ab30d49217", "extmetadata": {"DateTime": {"value": "2016-12-01 06:33:50", "source": "mediawiki-metadata", "hidden": ""}, "ObjectName": {"value": "Seville, Sevilla, Spain - panoramio (23)", "source": "mediawiki-metadata"}, "CommonsMetadataExtension": {"value": 1.2, "source": "extension", "hidden": ""}, "Categories": {"value": "Torre de los Perdigones, Sevilla|Panoramio files uploaded by Panoramio upload bot|Panoramio images reviewed by trusted users|Photos from Panoramio|Files with coordinates missing SDC location of creation|Fountains in Seville|Spain photographs taken on 2011-06-30|Jardines Torre de los Perdigones", "source": "commons-categories", "hidden": ""}, "Assessments": {"value": "", "source": "commons-categories", "hidden": ""}, "GPSLatitude": {"value": "37.404371", "source": "commons-desc-page"}, "GPSLongitude": {"value": "-5.993581", "source": "commons-desc-page"}, "GPSMapDatum": {"value": "WGS-84", "source": "commons-desc-page", "hidden": ""}, "ImageDescription": {"value": "Seville, Sevilla, Spain", "source": "commons-desc-page"}, "DateTimeOriginal": {"value": "Taken on 30 June 2011", "source": "commons-desc-page"}, "Credit": {"value": "&lt;a rel=\"nofollow\" class=\"external free\" href=\"https://web.archive.org/web/20161023202819/http://www.panoramio.com/photo/55407650\"&gt;https://web.archive.org/web/20161023202819/http://www.panoramio.com/photo/55407650&lt;/a&gt;", "source": "commons-desc-page"}, "Artist": {"value": "&lt;a rel=\"nofollow\" class=\"external text\" href=\"https://web.archive.org/web/20161023202822/http://www.panoramio.com/user/2338466?with_photo_id=55407650\"&gt;alfonsocg1983&lt;/a&gt;", "source": "commons-desc-page"}, "Permission": {"value": "&lt;div class=\"responsive-license-cc layouttemplate licensetpl\" dir=\"ltr\" lang=\"en\"&gt;&lt;div class=\"rlicense-icons\"&gt;&lt;span class=\"skin-invert\" typeof=\"mw:File\"&gt;&lt;span title=\"w:en:Creative Commons\"&gt;&lt;img alt=\"w:en:Creative Commons\" src=\"https://thumb.wikimedia.org/wikipedia/commons/thumb/7/79/CC_some_rights_reserved.svg/120px-CC_some_rights_reserved.svg.png?utm_source=commons.wikimedia.org&amp;amp;utm_campaign=parser&amp;amp;utm_content=thumbnail\" decoding=\"async\" loading=\"lazy\" width=\"90\" height=\"36\" class=\"mw-file-element\" srcset=\"https://thumb.wikimedia.org/wikipedia/commons/thumb/7/79/CC_some_rights_reserved.svg/250px-CC_some_rights_reserved.svg.png?utm_source=commons.wikimedia.org&amp;amp;utm_campaign=parser&amp;amp;utm_content=thumbnail 2x\" data-file-width=\"744\" data-file-height=\"300\"&gt;&lt;/span&gt;&lt;/span&gt;&lt;br&gt;\n&lt;span class=\"skin-invert\" typeof=\"mw:File\"&gt;&lt;span title=\"attribution\"&gt;&lt;img alt=\"attribution\" src=\"https://thumb.wikimedia.org/wikipedia/commons/thumb/1/11/Cc-by_new_white.svg/40px-Cc-by_new_white.svg.png?utm_source=commons.wikimedia.org&amp;amp;utm_campaign=parser&amp;amp;utm_content=thumbnail\" decoding=\"async\" loading=\"lazy\" width=\"24\" height=\"24\" class=\"mw-file-element\" srcset=\"https://thumb.wikimedia.org/wikipedia/commons/thumb/1/11/Cc-by_new_white.svg/60px-Cc-by_new_white.svg.png?utm_source=commons.wikimedia.org&amp;amp;utm_campaign=parser&amp;amp;utm_content=thumbnail 2x\" data-file-width=\"64\" data-file-height=\"64\"&gt;&lt;/span&gt;&lt;/span&gt;&lt;/div&gt;&lt;div class=\"rlicense-text\"&gt;&lt;div class=\"rlicense-declaration\"&gt;This file is licensed under the &lt;a href=\"https://en.wikipedia.org/wiki/en:Creative_Commons\" class=\"extiw\" title=\"w:en:Creative Commons\"&gt;Creative Commons&lt;/a&gt; &lt;a href=\"//creativecommons.org/licenses/by/3.0/deed.en\" class=\"extiw\" title=\"creativecommons:by/3.0/deed.en\"&gt;Attribution 3.0 Unported&lt;/a&gt; license.&lt;/div&gt;&lt;div class=\"rlicense-attr\" style=\"font-weight: bold;\"&gt;Attribution: &lt;div style=\"display:inline;font-size:larger;\" class=\"licensetpl_attr\"&gt;alfonsocg1983&lt;/div&gt;&lt;/div&gt;&lt;div class=\"rlicense-desc\" style=\"text-align:start;\" dir=\"ltr\" lang=\"en\"&gt;\n&lt;dl&gt;&lt;dd&gt;You are free:\n&lt;ul&gt;&lt;li&gt;&lt;b&gt;to share&lt;/b&gt; – to copy, distribute and transmit the work&lt;/li&gt;\n&lt;li&gt;&lt;b&gt;to remix&lt;/b&gt; – to adapt the work&lt;/li&gt;&lt;/ul&gt;&lt;/dd&gt;\n&lt;dd&gt;Under the following conditions:\n&lt;ul&gt;&lt;li&gt;&lt;b&gt;attribution&lt;/b&gt; – You must give appropriate credit, provide a link to the license, and indicate if changes were made. You may do so in any reasonable manner, but not in any way that suggests the licensor endorses you or your use.&lt;/li&gt;&lt;/ul&gt;&lt;/dd&gt;&lt;/dl&gt;\n&lt;/div&gt;&lt;span class=\"licensetpl_link\" style=\"display:none;\"&gt;https://creativecommons.org/licenses/by/3.0&lt;/span&gt;&lt;span class=\"licensetpl_short\" style=\"display:none;\"&gt;CC BY 3.0 &lt;/span&gt;&lt;span class=\"licensetpl_long\" style=\"display:none;\"&gt;Creative Commons Attribution 3.0 &lt;/span&gt;&lt;span class=\"licensetpl_link_req\" style=\"display:none;\"&gt;true&lt;/span&gt;&lt;span class=\"licensetpl_attr_req\" style=\"display:none;\"&gt;true&lt;/span&gt;&lt;/div&gt;&lt;/div&gt;\n&lt;style data-mw-deduplicate=\"TemplateStyles:r901585720\"&gt;.mw-parser-output .panoramioreview{width:100%;margin:0.5em 0;background-color:var(--background-color-warning-subtle,#fffff0);padding:5px;border:1px solid var(--border-color-warning,#aa8);color:inherit}.mw-parser-output .panoramioreview-failed{background-color:var(--background-color-error-subtle,#fcc);color:inherit}.mw-parser-output .panoramioreview-passed{background-color:var(--background-color-success-subtle,#efe);color:inherit}&lt;/style&gt;\n&lt;table class=\"panoramioreview panoramioreview-passed\" lang=\"en\" dir=\"ltr\"&gt;\n\n&lt;tbody&gt;&lt;tr&gt;\n&lt;td&gt;&lt;span typeof=\"mw:File\"&gt;&lt;span&gt;&lt;img alt=\"\" src=\"https://thumb.wikimedia.org/wikipedia/commons/thumb/9/95/Checked_copyright_icon.svg/60px-Checked_copyright_icon.svg.png?utm_source=commons.wikimedia.org&amp;amp;utm_campaign=parser&amp;amp;utm_content=thumbnail\" decoding=\"async\" loading=\"lazy\" width=\"50\" height=\"48\" class=\"mw-file-element\" srcset=\"https://thumb.wikimedia.org/wikipedia/commons/thumb/9/95/Checked_copyright_icon.svg/120px-Checked_copyright_icon.svg.png?utm_source=commons.wikimedia.org&amp;amp;utm_campaign=parser&amp;amp;utm_content=thumbnail 2x\" data-file-width=\"160\" data-file-height=\"153\"&gt;&lt;/span&gt;&lt;/span&gt;\n&lt;/td&gt;\n&lt;td&gt;This image, which was originally posted to &lt;b&gt;&lt;span lang=\"en\" dir=\"ltr\"&gt;&lt;a href=\"https://en.wikipedia.org/wiki/Panoramio\" class=\"extiw\" title=\"en:Panoramio\"&gt;Panoramio&lt;/a&gt;&lt;/span&gt;&lt;/b&gt;, was automatically reviewed on 1 December 2016 by &lt;b&gt;&lt;a href=\"//commons.wikimedia.org/wiki/User:Panoramio_upload_bot\" title=\"User:Panoramio upload bot\"&gt;Panoramio upload bot&lt;/a&gt;&lt;/b&gt;, who confirmed that it was available on Panoramio under the above license on that date.\n&lt;/td&gt;\n&lt;td&gt;&lt;span typeof=\"mw:File\"&gt;&lt;a href=\"//commons.wikimedia.org/wiki/File:Star_and_ring.svg\" class=\"mw-file-description\"&gt;&lt;img src=\"https://thumb.wikimedia.org/wikipedia/commons/thumb/9/98/Star_and_ring.svg/60px-Star_and_ring.svg.png?utm_source=commons.wikimedia.org&amp;amp;utm_campaign=parser&amp;amp;utm_content=thumbnail\" decoding=\"async\" loading=\"lazy\" width=\"50\" height=\"50\" class=\"mw-file-element\" srcset=\"https://thumb.wikimedia.org/wikipedia/commons/thumb/9/98/Star_and_ring.svg/120px-Star_and_ring.svg.png?utm_source=commons.wikimedia.org&amp;amp;utm_campaign=parser&amp;amp;utm_content=thumbnail 2x\" data-file-width=\"75\" data-file-height=\"75\"&gt;&lt;/a&gt;&lt;/span&gt;\n&lt;/td&gt;&lt;/tr&gt;&lt;/tbody&gt;&lt;/table&gt;", "source": "commons-desc-page", "hidden": ""}, "LicenseShortName": {"value": "CC BY 3.0", "source": "commons-desc-page", "hidden": ""}, "UsageTerms": {"value": "Creative Commons Attribution 3.0", "source": "commons-desc-page"}, "AttributionRequired": {"value": "true", "source": "commons-desc-page", "hidden": ""}, "Attribution": {"value": "alfonsocg1983",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"https://thumb.wikimedia.org/wikipedia/commons/thumb/a/a1/Seville%2C_Sevilla%2C_Spain_-_panoramio_%2823%29.jpg/1280px-Seville%2C_Sevilla%2C_Spain_-_panoramio_%2823%29.jpg"}, "retrieved_on": "2026-10-25"}</t>
        </is>
      </c>
    </row>
    <row r="170" ht="54" customHeight="1">
      <c r="A170" s="29" t="inlineStr">
        <is>
          <t>sevilla:evidence:parque-de-los-principes-01</t>
        </is>
      </c>
      <c r="B170" s="29" t="inlineStr">
        <is>
          <t>sevilla</t>
        </is>
      </c>
      <c r="C170" s="29" t="inlineStr">
        <is>
          <t>sevilla:photo:parque-de-los-principes-01</t>
        </is>
      </c>
      <c r="D170" s="29" t="inlineStr">
        <is>
          <t>https://commons.wikimedia.org/wiki/File:Glorieta_de_Viena.jpg</t>
        </is>
      </c>
      <c r="E170" s="29" t="inlineStr">
        <is>
          <t>File:Glorieta de Viena.jpg</t>
        </is>
      </c>
      <c r="F170" s="29" t="inlineStr">
        <is>
          <t>CarlosVdeHabsburgo</t>
        </is>
      </c>
      <c r="G170" s="29" t="inlineStr">
        <is>
          <t>CC BY-SA 4.0</t>
        </is>
      </c>
      <c r="H170" s="29" t="inlineStr">
        <is>
          <t>https://creativecommons.org/licenses/by-sa/4.0/</t>
        </is>
      </c>
      <c r="I170" s="29" t="inlineStr">
        <is>
          <t>Creative Commons Attribution-Share Alike 4.0</t>
        </is>
      </c>
      <c r="J170" s="29" t="inlineStr">
        <is>
          <t>CarlosVdeHabsburgo · CC BY-SA 4.0 · Wikimedia Commons</t>
        </is>
      </c>
      <c r="K170" s="29" t="n"/>
      <c r="L170" s="49" t="n">
        <v>46320</v>
      </c>
      <c r="M170" s="29" t="inlineStr">
        <is>
          <t>Bekliyor</t>
        </is>
      </c>
      <c r="N170" s="29" t="inlineStr">
        <is>
          <t>Bekliyor</t>
        </is>
      </c>
      <c r="O170" s="29" t="inlineStr">
        <is>
          <t>Fotoğraflar/sevilla_parque-de-los-principes_01.jpg</t>
        </is>
      </c>
      <c r="P170" s="29" t="inlineStr">
        <is>
          <t>Príncipes Parkı'nda banklı oyun alanı ve çevresindeki apartmanlar.</t>
        </is>
      </c>
      <c r="Q170" s="29" t="inlineStr">
        <is>
          <t>Bekliyor</t>
        </is>
      </c>
      <c r="R170" s="29" t="inlineStr">
        <is>
          <t>Wikimedia Commons dosya sayfasındaki lisans: CC BY-SA 4.0</t>
        </is>
      </c>
      <c r="S170" s="29" t="inlineStr">
        <is>
          <t>Lisans kanıtları/parque-de-los-principes-01.source-evidence.json</t>
        </is>
      </c>
      <c r="T170" s="29" t="inlineStr">
        <is>
          <t>07860928aeaa1e3f2b75255799d9f00f1f1c98ddcf88d96497d3c9eec9ec5465</t>
        </is>
      </c>
      <c r="U170" s="29" t="inlineStr">
        <is>
          <t>Lisans kanıtları/parque-de-los-principes-01.license-evidence.json</t>
        </is>
      </c>
      <c r="V170" s="29" t="inlineStr">
        <is>
          <t>f1e1c1a7dda7f1b678c0bd1211866814a342207585a65098bfc31f15f0661562</t>
        </is>
      </c>
      <c r="W170" s="29" t="inlineStr">
        <is>
          <t>{"source_url": "https://commons.wikimedia.org/wiki/File:Glorieta_de_Viena.jpg", "author": "CarlosVdeHabsburgo", "license": "CC BY-SA 4.0", "license_url": "https://creativecommons.org/licenses/by-sa/4.0/", "original_api_record": {"size": 8116984, "width": 4320, "height": 3240, "thumburl": "https://thumb.wikimedia.org/wikipedia/commons/thumb/4/4d/Glorieta_de_Viena.jpg/1280px-Glorieta_de_Viena.jpg", "thumbwidth": 1280, "thumbheight": 960, "responsiveUrls": {"2": "https://thumb.wikimedia.org/wikipedia/commons/thumb/4/4d/Glorieta_de_Viena.jpg/3840px-Glorieta_de_Viena.jpg"}, "thumbattribs": {"src": "https://thumb.wikimedia.org/wikipedia/commons/thumb/4/4d/Glorieta_de_Viena.jpg/1280px-Glorieta_de_Viena.jpg", "decoding": "async", "loading": "lazy", "width": 1280, "height": 960, "srcset": "https://thumb.wikimedia.org/wikipedia/commons/thumb/4/4d/Glorieta_de_Viena.jpg/3840px-Glorieta_de_Viena.jpg 2x"}, "url": "https://upload.wikimedia.org/wikipedia/commons/4/4d/Glorieta_de_Viena.jpg", "descriptionurl": "https://commons.wikimedia.org/wiki/File:Glorieta_de_Viena.jpg", "descriptionshorturl": "https://commons.wikimedia.org/w/index.php?curid=70961455", "sha1": "2dd7781e2553068799889310b095a4cf4d6b5bfe", "extmetadata": {"DateTime": {"value": "2018-07-18 22:07:06", "source": "mediawiki-metadata", "hidden": ""}, "ObjectName": {"value": "Glorieta de Viena", "source": "mediawiki-metadata"}, "CommonsMetadataExtension": {"value": 1.2, "source": "extension", "hidden": ""}, "Categories": {"value": "Things named after Vienna|Park of the Princes|Self-published work", "source": "commons-categories", "hidden": ""}, "Assessments": {"value": "", "source": "commons-categories", "hidden": ""}, "ImageDescription": {"value": "Glorieta de Viena. Parque de los Príncipes. Sevilla, Andalucía, España.", "source": "commons-desc-page"}, "DateTimeOriginal": {"value": "2018-07-18 18:31:38",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"https://thumb.wikimedia.org/wikipedia/commons/thumb/4/4d/Glorieta_de_Viena.jpg/1280px-Glorieta_de_Viena.jpg"}, "retrieved_on": "2026-10-25"}</t>
        </is>
      </c>
    </row>
    <row r="171" ht="54" customHeight="1">
      <c r="A171" s="29" t="inlineStr">
        <is>
          <t>sevilla:evidence:parque-de-los-principes-02</t>
        </is>
      </c>
      <c r="B171" s="29" t="inlineStr">
        <is>
          <t>sevilla</t>
        </is>
      </c>
      <c r="C171" s="29" t="inlineStr">
        <is>
          <t>sevilla:photo:parque-de-los-principes-02</t>
        </is>
      </c>
      <c r="D171" s="29" t="inlineStr">
        <is>
          <t>https://commons.wikimedia.org/wiki/File:Isla_artificial_en_el_parque_de_los_Pr%C3%ADncipes.JPG</t>
        </is>
      </c>
      <c r="E171" s="29" t="inlineStr">
        <is>
          <t>File:Isla artificial en el parque de los Príncipes.JPG</t>
        </is>
      </c>
      <c r="F171" s="29" t="inlineStr">
        <is>
          <t>CarlosVdeHabsburgo</t>
        </is>
      </c>
      <c r="G171" s="29" t="inlineStr">
        <is>
          <t>CC BY-SA 4.0</t>
        </is>
      </c>
      <c r="H171" s="29" t="inlineStr">
        <is>
          <t>https://creativecommons.org/licenses/by-sa/4.0/</t>
        </is>
      </c>
      <c r="I171" s="29" t="inlineStr">
        <is>
          <t>Creative Commons Attribution-Share Alike 4.0</t>
        </is>
      </c>
      <c r="J171" s="29" t="inlineStr">
        <is>
          <t>CarlosVdeHabsburgo · CC BY-SA 4.0 · Wikimedia Commons</t>
        </is>
      </c>
      <c r="K171" s="29" t="n"/>
      <c r="L171" s="49" t="n">
        <v>46320</v>
      </c>
      <c r="M171" s="29" t="inlineStr">
        <is>
          <t>Bekliyor</t>
        </is>
      </c>
      <c r="N171" s="29" t="inlineStr">
        <is>
          <t>Bekliyor</t>
        </is>
      </c>
      <c r="O171" s="29" t="inlineStr">
        <is>
          <t>Fotoğraflar/sevilla_parque-de-los-principes_02.jpg</t>
        </is>
      </c>
      <c r="P171" s="29" t="inlineStr">
        <is>
          <t>Príncipes Parkı'nda yapay gölet ve adacık.</t>
        </is>
      </c>
      <c r="Q171" s="29" t="inlineStr">
        <is>
          <t>Bekliyor</t>
        </is>
      </c>
      <c r="R171" s="29" t="inlineStr">
        <is>
          <t>Wikimedia Commons dosya sayfasındaki lisans: CC BY-SA 4.0</t>
        </is>
      </c>
      <c r="S171" s="29" t="inlineStr">
        <is>
          <t>Lisans kanıtları/parque-de-los-principes-02.source-evidence.json</t>
        </is>
      </c>
      <c r="T171" s="29" t="inlineStr">
        <is>
          <t>54808d8e543dd984d68ca544d7bd5f4c64b0cbfd9986408ffd5f8bf08efb104b</t>
        </is>
      </c>
      <c r="U171" s="29" t="inlineStr">
        <is>
          <t>Lisans kanıtları/parque-de-los-principes-02.license-evidence.json</t>
        </is>
      </c>
      <c r="V171" s="29" t="inlineStr">
        <is>
          <t>a14ab90a4bb8a62b6c06f9d9cbe12b59f8ec8512ae270daec8a7d022db022182</t>
        </is>
      </c>
      <c r="W171" s="29" t="inlineStr">
        <is>
          <t>{"source_url": "https://commons.wikimedia.org/wiki/File:Isla_artificial_en_el_parque_de_los_Pr%C3%ADncipes.JPG", "author": "CarlosVdeHabsburgo", "license": "CC BY-SA 4.0", "license_url": "https://creativecommons.org/licenses/by-sa/4.0/", "original_api_record": {"size": 3359302, "width": 4320, "height": 3240, "thumburl": "https://thumb.wikimedia.org/wikipedia/commons/thumb/b/b5/Isla_artificial_en_el_parque_de_los_Pr%C3%ADncipes.JPG/1280px-Isla_artificial_en_el_parque_de_los_Pr%C3%ADncipes.JPG", "thumbwidth": 1280, "thumbheight": 960, "responsiveUrls": {"2": "https://thumb.wikimedia.org/wikipedia/commons/thumb/b/b5/Isla_artificial_en_el_parque_de_los_Pr%C3%ADncipes.JPG/3840px-Isla_artificial_en_el_parque_de_los_Pr%C3%ADncipes.JPG"}, "thumbattribs": {"src": "https://thumb.wikimedia.org/wikipedia/commons/thumb/b/b5/Isla_artificial_en_el_parque_de_los_Pr%C3%ADncipes.JPG/1280px-Isla_artificial_en_el_parque_de_los_Pr%C3%ADncipes.JPG", "decoding": "async", "loading": "lazy", "width": 1280, "height": 960, "srcset": "https://thumb.wikimedia.org/wikipedia/commons/thumb/b/b5/Isla_artificial_en_el_parque_de_los_Pr%C3%ADncipes.JPG/3840px-Isla_artificial_en_el_parque_de_los_Pr%C3%ADncipes.JPG 2x"}, "url": "https://upload.wikimedia.org/wikipedia/commons/b/b5/Isla_artificial_en_el_parque_de_los_Pr%C3%ADncipes.JPG", "descriptionurl": "https://commons.wikimedia.org/wiki/File:Isla_artificial_en_el_parque_de_los_Pr%C3%ADncipes.JPG", "descriptionshorturl": "https://commons.wikimedia.org/w/index.php?curid=39656103", "sha1": "545d7dfc93771f6416291df48908cb17494ddf80", "extmetadata": {"DateTime": {"value": "2015-04-18 20:48:58", "source": "mediawiki-metadata", "hidden": ""}, "ObjectName": {"value": "Isla artificial en el parque de los Príncipes", "source": "mediawiki-metadata"}, "CommonsMetadataExtension": {"value": 1.2, "source": "extension", "hidden": ""}, "Categories": {"value": "Artificial islands|Park of the Princes|Self-published work|Garden ponds in Andalusia", "source": "commons-categories", "hidden": ""}, "Assessments": {"value": "", "source": "commons-categories", "hidden": ""}, "ImageDescription": {"value": "Isla artificial frecuentada por patos y otras aves en el parque de los Príncipes de Sevilla", "source": "commons-desc-page"}, "DateTimeOriginal": {"value": "2015-04-18",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"https://thumb.wikimedia.org/wikipedia/commons/thumb/b/b5/Isla_artificial_en_el_parque_de_los_Pr%C3%ADncipes.JPG/1280px-Isla_artificial_en_el_parque_de_los_Pr%C3%ADncipes.JPG"}, "retrieved_on": "2026-10-25"}</t>
        </is>
      </c>
    </row>
    <row r="172" ht="54" customHeight="1">
      <c r="A172" s="29" t="inlineStr">
        <is>
          <t>sevilla:evidence:parque-de-los-principes-03</t>
        </is>
      </c>
      <c r="B172" s="29" t="inlineStr">
        <is>
          <t>sevilla</t>
        </is>
      </c>
      <c r="C172" s="29" t="inlineStr">
        <is>
          <t>sevilla:photo:parque-de-los-principes-03</t>
        </is>
      </c>
      <c r="D172" s="29" t="inlineStr">
        <is>
          <t>https://commons.wikimedia.org/wiki/File:Jacarandas_en_Sevilla_1.JPG</t>
        </is>
      </c>
      <c r="E172" s="29" t="inlineStr">
        <is>
          <t>File:Jacarandas en Sevilla 1.JPG</t>
        </is>
      </c>
      <c r="F172" s="29" t="inlineStr">
        <is>
          <t>CarlosVdeHabsburgo</t>
        </is>
      </c>
      <c r="G172" s="29" t="inlineStr">
        <is>
          <t>CC BY-SA 4.0</t>
        </is>
      </c>
      <c r="H172" s="29" t="inlineStr">
        <is>
          <t>https://creativecommons.org/licenses/by-sa/4.0/</t>
        </is>
      </c>
      <c r="I172" s="29" t="inlineStr">
        <is>
          <t>Creative Commons Attribution-Share Alike 4.0</t>
        </is>
      </c>
      <c r="J172" s="29" t="inlineStr">
        <is>
          <t>CarlosVdeHabsburgo · CC BY-SA 4.0 · Wikimedia Commons</t>
        </is>
      </c>
      <c r="K172" s="29" t="n"/>
      <c r="L172" s="49" t="n">
        <v>46320</v>
      </c>
      <c r="M172" s="29" t="inlineStr">
        <is>
          <t>Bekliyor</t>
        </is>
      </c>
      <c r="N172" s="29" t="inlineStr">
        <is>
          <t>Bekliyor</t>
        </is>
      </c>
      <c r="O172" s="29" t="inlineStr">
        <is>
          <t>Fotoğraflar/sevilla_parque-de-los-principes_03.jpg</t>
        </is>
      </c>
      <c r="P172" s="29" t="inlineStr">
        <is>
          <t>Príncipes Parkı'nda mor çiçekli jakaranda ağaçları.</t>
        </is>
      </c>
      <c r="Q172" s="29" t="inlineStr">
        <is>
          <t>Bekliyor</t>
        </is>
      </c>
      <c r="R172" s="29" t="inlineStr">
        <is>
          <t>Wikimedia Commons dosya sayfasındaki lisans: CC BY-SA 4.0</t>
        </is>
      </c>
      <c r="S172" s="29" t="inlineStr">
        <is>
          <t>Lisans kanıtları/parque-de-los-principes-03.source-evidence.json</t>
        </is>
      </c>
      <c r="T172" s="29" t="inlineStr">
        <is>
          <t>e9fb72b8facda56029fe9f5344e9e7988147a1cb591833350573799faeff20b1</t>
        </is>
      </c>
      <c r="U172" s="29" t="inlineStr">
        <is>
          <t>Lisans kanıtları/parque-de-los-principes-03.license-evidence.json</t>
        </is>
      </c>
      <c r="V172" s="29" t="inlineStr">
        <is>
          <t>7d824836374bda714b18bfbe829de23094982a194044cdd6fa86f268a6fa7bf8</t>
        </is>
      </c>
      <c r="W172" s="29" t="inlineStr">
        <is>
          <t>{"source_url": "https://commons.wikimedia.org/wiki/File:Jacarandas_en_Sevilla_1.JPG", "author": "CarlosVdeHabsburgo", "license": "CC BY-SA 4.0", "license_url": "https://creativecommons.org/licenses/by-sa/4.0/", "original_api_record": {"size": 3551857, "width": 4320, "height": 3240, "thumburl": "https://thumb.wikimedia.org/wikipedia/commons/thumb/e/ec/Jacarandas_en_Sevilla_1.JPG/1280px-Jacarandas_en_Sevilla_1.JPG", "thumbwidth": 1280, "thumbheight": 960, "responsiveUrls": {"2": "https://thumb.wikimedia.org/wikipedia/commons/thumb/e/ec/Jacarandas_en_Sevilla_1.JPG/3840px-Jacarandas_en_Sevilla_1.JPG"}, "thumbattribs": {"src": "https://thumb.wikimedia.org/wikipedia/commons/thumb/e/ec/Jacarandas_en_Sevilla_1.JPG/1280px-Jacarandas_en_Sevilla_1.JPG", "decoding": "async", "loading": "lazy", "width": 1280, "height": 960, "srcset": "https://thumb.wikimedia.org/wikipedia/commons/thumb/e/ec/Jacarandas_en_Sevilla_1.JPG/3840px-Jacarandas_en_Sevilla_1.JPG 2x"}, "url": "https://upload.wikimedia.org/wikipedia/commons/e/ec/Jacarandas_en_Sevilla_1.JPG", "descriptionurl": "https://commons.wikimedia.org/wiki/File:Jacarandas_en_Sevilla_1.JPG", "descriptionshorturl": "https://commons.wikimedia.org/w/index.php?curid=40242886", "sha1": "cd6532550facf9cd6982fa930e3c76f74ad54500", "extmetadata": {"DateTime": {"value": "2015-05-16 12:26:18", "source": "mediawiki-metadata", "hidden": ""}, "ObjectName": {"value": "Jacarandas en Sevilla 1", "source": "mediawiki-metadata"}, "CommonsMetadataExtension": {"value": 1.2, "source": "extension", "hidden": ""}, "Categories": {"value": "Park of the Princes|Self-published work|Unidentified Jacaranda|Trees in Andalusia", "source": "commons-categories", "hidden": ""}, "Assessments": {"value": "", "source": "commons-categories", "hidden": ""}, "ImageDescription": {"value": "Jacarandas en el flor en el parque de los Príncipes de Sevilla", "source": "commons-desc-page"}, "DateTimeOriginal": {"value": "2015-05-15",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"https://thumb.wikimedia.org/wikipedia/commons/thumb/e/ec/Jacarandas_en_Sevilla_1.JPG/1280px-Jacarandas_en_Sevilla_1.JPG"}, "retrieved_on": "2026-10-25"}</t>
        </is>
      </c>
    </row>
    <row r="173" ht="54" customHeight="1">
      <c r="A173" s="29" t="inlineStr">
        <is>
          <t>sevilla:evidence:iglesia-de-santa-catalina-01</t>
        </is>
      </c>
      <c r="B173" s="29" t="inlineStr">
        <is>
          <t>sevilla</t>
        </is>
      </c>
      <c r="C173" s="29" t="inlineStr">
        <is>
          <t>sevilla:photo:iglesia-de-santa-catalina-01</t>
        </is>
      </c>
      <c r="D173" s="29" t="inlineStr">
        <is>
          <t>https://commons.wikimedia.org/wiki/File:Capilla_sacramental_de_la_Iglesia_de_Santa_Catalina,_Sevilla.jpg</t>
        </is>
      </c>
      <c r="E173" s="29" t="inlineStr">
        <is>
          <t>File:Capilla sacramental de la Iglesia de Santa Catalina, Sevilla.jpg</t>
        </is>
      </c>
      <c r="F173" s="29" t="inlineStr">
        <is>
          <t>Jl FilpoC</t>
        </is>
      </c>
      <c r="G173" s="29" t="inlineStr">
        <is>
          <t>CC BY-SA 4.0</t>
        </is>
      </c>
      <c r="H173" s="29" t="inlineStr">
        <is>
          <t>https://creativecommons.org/licenses/by-sa/4.0/</t>
        </is>
      </c>
      <c r="I173" s="29" t="inlineStr">
        <is>
          <t>Creative Commons Attribution-Share Alike 4.0</t>
        </is>
      </c>
      <c r="J173" s="29" t="inlineStr">
        <is>
          <t>Jl FilpoC · CC BY-SA 4.0 · Wikimedia Commons</t>
        </is>
      </c>
      <c r="K173" s="29" t="n"/>
      <c r="L173" s="49" t="n">
        <v>46320</v>
      </c>
      <c r="M173" s="29" t="inlineStr">
        <is>
          <t>Bekliyor</t>
        </is>
      </c>
      <c r="N173" s="29" t="inlineStr">
        <is>
          <t>Bekliyor</t>
        </is>
      </c>
      <c r="O173" s="29" t="inlineStr">
        <is>
          <t>Fotoğraflar/sevilla_iglesia-de-santa-catalina_01.jpg</t>
        </is>
      </c>
      <c r="P173" s="29" t="inlineStr">
        <is>
          <t>Santa Catalina Kilisesi'nde altın yaldızlı oymalı sunak ve sıralar.</t>
        </is>
      </c>
      <c r="Q173" s="29" t="inlineStr">
        <is>
          <t>Bekliyor</t>
        </is>
      </c>
      <c r="R173" s="29" t="inlineStr">
        <is>
          <t>Wikimedia Commons dosya sayfasındaki lisans: CC BY-SA 4.0</t>
        </is>
      </c>
      <c r="S173" s="29" t="inlineStr">
        <is>
          <t>Lisans kanıtları/iglesia-de-santa-catalina-01.source-evidence.json</t>
        </is>
      </c>
      <c r="T173" s="29" t="inlineStr">
        <is>
          <t>7b30d2cb393ffd945db8297f2f0255080143b6332d4901ea5998ddc8365a2446</t>
        </is>
      </c>
      <c r="U173" s="29" t="inlineStr">
        <is>
          <t>Lisans kanıtları/iglesia-de-santa-catalina-01.license-evidence.json</t>
        </is>
      </c>
      <c r="V173" s="29" t="inlineStr">
        <is>
          <t>1523c09f3b4ff3bfcce005a12ea1b76beaf0b49ce6995553d235cbe9b9b5ec05</t>
        </is>
      </c>
      <c r="W173" s="29" t="inlineStr">
        <is>
          <t>{"source_url": "https://commons.wikimedia.org/wiki/File:Capilla_sacramental_de_la_Iglesia_de_Santa_Catalina,_Sevilla.jpg", "author": "Jl FilpoC", "license": "CC BY-SA 4.0", "license_url": "https://creativecommons.org/licenses/by-sa/4.0/", "original_api_record": {"size": 8835753, "width": 2958, "height": 3944, "thumburl": "https://thumb.wikimedia.org/wikipedia/commons/thumb/9/91/Capilla_sacramental_de_la_Iglesia_de_Santa_Catalina%2C_Sevilla.jpg/1280px-Capilla_sacramental_de_la_Iglesia_de_Santa_Catalina%2C_Sevilla.jpg", "thumbwidth": 1280, "thumbheight": 1707, "responsiveUrls": {"2": "https://upload.wikimedia.org/wikipedia/commons/9/91/Capilla_sacramental_de_la_Iglesia_de_Santa_Catalina%2C_Sevilla.jpg"}, "thumbattribs": {"src": "https://thumb.wikimedia.org/wikipedia/commons/thumb/9/91/Capilla_sacramental_de_la_Iglesia_de_Santa_Catalina%2C_Sevilla.jpg/1280px-Capilla_sacramental_de_la_Iglesia_de_Santa_Catalina%2C_Sevilla.jpg", "decoding": "async", "loading": "lazy", "width": 1280, "height": 1707, "srcset": "https://upload.wikimedia.org/wikipedia/commons/9/91/Capilla_sacramental_de_la_Iglesia_de_Santa_Catalina%2C_Sevilla.jpg 2x"}, "url": "https://upload.wikimedia.org/wikipedia/commons/9/91/Capilla_sacramental_de_la_Iglesia_de_Santa_Catalina%2C_Sevilla.jpg", "descriptionurl": "https://commons.wikimedia.org/wiki/File:Capilla_sacramental_de_la_Iglesia_de_Santa_Catalina,_Sevilla.jpg", "descriptionshorturl": "https://commons.wikimedia.org/w/index.php?curid=100271493", "sha1": "fc9191d2039d5ffdd9b32808247680c8d3919323", "extmetadata": {"DateTime": {"value": "2021-02-24 07:50:40", "source": "mediawiki-metadata", "hidden": ""}, "ObjectName": {"value": "Capilla sacramental de la Iglesia de Santa Catalina, Sevilla", "source": "mediawiki-metadata"}, "CommonsMetadataExtension": {"value": 1.2, "source": "extension", "hidden": ""}, "Categories": {"value": "Self-published work|Files with coordinates missing SDC location of creation|Baroque altarpieces in Sevilla|Sacramental chapel, Church of Santa Catalina, Seville", "source": "commons-categories", "hidden": ""}, "Assessments": {"value": "", "source": "commons-categories", "hidden": ""}, "GPSLatitude": {"value": "37.393210", "source": "commons-desc-page"}, "GPSLongitude": {"value": "-5.988140", "source": "commons-desc-page"}, "GPSMapDatum": {"value": "WGS-84", "source": "commons-desc-page", "hidden": ""}, "ImageDescription": {"value": "Capilla proyectada por &lt;a href=\"https://es.wikipedia.org/wiki/Leonardo_de_Figueroa\" class=\"extiw\" title=\"es:Leonardo de Figueroa\"&gt;Leonardo de Figueroa&lt;/a&gt; (1721). Su retablo es la mejor obra de Felipe Fernández del Castillo, contratado por &lt;a href=\"https://es.wikipedia.org/wiki/Condado_de_Mejorada\" class=\"extiw\" title=\"es:Condado de Mejorada\"&gt;Jerónimo Ortiz de Sandoval y Ortiz de Sandoval&lt;/a&gt; (1748), en cuya arquitectura y escultura interviene &lt;a href=\"https://es.wikipedia.org/wiki/Benito_de_Hita_y_Castillo\" class=\"extiw\" title=\"es:Benito de Hita y Castillo\"&gt;Benito de Hita y Castillo&lt;/a&gt; que lo termina en 1753.", "source": "commons-desc-page"}, "DateTimeOriginal": {"value": "2021-02-11", "source": "commons-desc-page"}, "Credit": {"value": "&lt;span class=\"int-own-work\" lang=\"en\"&gt;Own work&lt;/span&gt;", "source": "commons-desc-page"}, "Artist": {"value": "&lt;a href=\"//commons.wikimedia.org/wiki/User:Jl_FilpoC\" title=\"User:Jl FilpoC\"&gt;Jl FilpoC&lt;/a&gt;",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"https://thumb.wikimedia.org/wikipedia/commons/thumb/9/91/Capilla_sacramental_de_la_Iglesia_de_Santa_Catalina%2C_Sevilla.jpg/1280px-Capilla_sacramental_de_la_Iglesia_de_Santa_Catalina%2C_Sevilla.jpg"}, "retrieved_on": "2026-10-25"}</t>
        </is>
      </c>
    </row>
    <row r="174" ht="54" customHeight="1">
      <c r="A174" s="29" t="inlineStr">
        <is>
          <t>sevilla:evidence:iglesia-de-santa-catalina-02</t>
        </is>
      </c>
      <c r="B174" s="29" t="inlineStr">
        <is>
          <t>sevilla</t>
        </is>
      </c>
      <c r="C174" s="29" t="inlineStr">
        <is>
          <t>sevilla:photo:iglesia-de-santa-catalina-02</t>
        </is>
      </c>
      <c r="D174" s="29" t="inlineStr">
        <is>
          <t>https://commons.wikimedia.org/wiki/File:Iglesia_de_Santa_Catalina_001.jpg</t>
        </is>
      </c>
      <c r="E174" s="29" t="inlineStr">
        <is>
          <t>File:Iglesia de Santa Catalina 001.jpg</t>
        </is>
      </c>
      <c r="F174" s="29" t="inlineStr">
        <is>
          <t>Anual</t>
        </is>
      </c>
      <c r="G174" s="29" t="inlineStr">
        <is>
          <t>CC BY 3.0</t>
        </is>
      </c>
      <c r="H174" s="29" t="inlineStr">
        <is>
          <t>https://creativecommons.org/licenses/by/3.0/</t>
        </is>
      </c>
      <c r="I174" s="29" t="inlineStr">
        <is>
          <t>Creative Commons Attribution 3.0</t>
        </is>
      </c>
      <c r="J174" s="29" t="inlineStr">
        <is>
          <t>Anual · CC BY 3.0 · Wikimedia Commons</t>
        </is>
      </c>
      <c r="K174" s="29" t="n"/>
      <c r="L174" s="49" t="n">
        <v>46320</v>
      </c>
      <c r="M174" s="29" t="inlineStr">
        <is>
          <t>Bekliyor</t>
        </is>
      </c>
      <c r="N174" s="29" t="inlineStr">
        <is>
          <t>Bekliyor</t>
        </is>
      </c>
      <c r="O174" s="29" t="inlineStr">
        <is>
          <t>Fotoğraflar/sevilla_iglesia-de-santa-catalina_02.jpg</t>
        </is>
      </c>
      <c r="P174" s="29" t="inlineStr">
        <is>
          <t>Santa Catalina Kilisesi'nin gotik kemerli taş portali ve gül penceresi.</t>
        </is>
      </c>
      <c r="Q174" s="29" t="inlineStr">
        <is>
          <t>Bekliyor</t>
        </is>
      </c>
      <c r="R174" s="29" t="inlineStr">
        <is>
          <t>Wikimedia Commons dosya sayfasındaki lisans: CC BY 3.0</t>
        </is>
      </c>
      <c r="S174" s="29" t="inlineStr">
        <is>
          <t>Lisans kanıtları/iglesia-de-santa-catalina-02.source-evidence.json</t>
        </is>
      </c>
      <c r="T174" s="29" t="inlineStr">
        <is>
          <t>6209ca232f36a1245bc457182fecc1b3ae8d413e040f1e2f6968eea16ae666a4</t>
        </is>
      </c>
      <c r="U174" s="29" t="inlineStr">
        <is>
          <t>Lisans kanıtları/iglesia-de-santa-catalina-02.license-evidence.json</t>
        </is>
      </c>
      <c r="V174" s="29" t="inlineStr">
        <is>
          <t>43a07b6bdcd551240090e59264d13917e9446c04bf0759af0412c5277c69a4a3</t>
        </is>
      </c>
      <c r="W174" s="29" t="inlineStr">
        <is>
          <t>{"source_url": "https://commons.wikimedia.org/wiki/File:Iglesia_de_Santa_Catalina_001.jpg", "author": "Anual", "license": "CC BY 3.0", "license_url": "https://creativecommons.org/licenses/by/3.0/", "original_api_record": {"size": 1113840, "width": 3052, "height": 2584, "thumburl": "https://thumb.wikimedia.org/wikipedia/commons/thumb/d/da/Iglesia_de_Santa_Catalina_001.jpg/1280px-Iglesia_de_Santa_Catalina_001.jpg", "thumbwidth": 1280, "thumbheight": 1084, "responsiveUrls": {"2": "https://upload.wikimedia.org/wikipedia/commons/d/da/Iglesia_de_Santa_Catalina_001.jpg"}, "thumbattribs": {"src": "https://thumb.wikimedia.org/wikipedia/commons/thumb/d/da/Iglesia_de_Santa_Catalina_001.jpg/1280px-Iglesia_de_Santa_Catalina_001.jpg", "decoding": "async", "loading": "lazy", "width": 1280, "height": 1084, "srcset": "https://upload.wikimedia.org/wikipedia/commons/d/da/Iglesia_de_Santa_Catalina_001.jpg 2x"}, "url": "https://upload.wikimedia.org/wikipedia/commons/d/da/Iglesia_de_Santa_Catalina_001.jpg", "descriptionurl": "https://commons.wikimedia.org/wiki/File:Iglesia_de_Santa_Catalina_001.jpg", "descriptionshorturl": "https://commons.wikimedia.org/w/index.php?curid=4931643", "sha1": "4ebccf5fca59f762df2b3a720e9dc4f11cd30060", "extmetadata": {"DateTime": {"value": "2008-10-05 17:24:44", "source": "mediawiki-metadata", "hidden": ""}, "ObjectName": {"value": "Iglesia de Santa Catalina 001", "source": "mediawiki-metadata"}, "CommonsMetadataExtension": {"value": 1.2, "source": "extension", "hidden": ""}, "Categories": {"value": "GFDL|License migration redundant|Self-published work|Cultural heritage monuments in Spain with known IDs|2008 in Seville|Churches in Andalusia photographed in 2008|Cultural heritage monuments in Spain missing SDC location of creation|Cultural heritage monuments in Spain missing SDC depicts|Gothic portal of the Church of Santa Catalina, Sevilla", "source": "commons-categories", "hidden": ""}, "Assessments": {"value": "", "source": "commons-categories", "hidden": ""}, "ImageDescription": {"value": "Church of Santa Catalina in &lt;a href=\"//commons.wikimedia.org/wiki/Seville\" class=\"mw-redirect\" title=\"Seville\"&gt;Seville&lt;/a&gt;.", "source": "commons-desc-page"}, "DateTimeOriginal": {"value": "2008-10-05", "source": "commons-desc-page"}, "Credit": {"value": "&lt;span class=\"int-own-work\" lang=\"en\"&gt;Own work&lt;/span&gt;", "source": "commons-desc-page"}, "Artist": {"value": "&lt;a href=\"//commons.wikimedia.org/wiki/User:Anual\" title=\"User:Anual\"&gt;Anual&lt;/a&gt;",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"https://thumb.wikimedia.org/wikipedia/commons/thumb/d/da/Iglesia_de_Santa_Catalina_001.jpg/1280px-Iglesia_de_Santa_Catalina_001.jpg"}, "retrieved_on": "2026-10-25"}</t>
        </is>
      </c>
    </row>
    <row r="175" ht="54" customHeight="1">
      <c r="A175" s="29" t="inlineStr">
        <is>
          <t>sevilla:evidence:iglesia-de-santa-catalina-03</t>
        </is>
      </c>
      <c r="B175" s="29" t="inlineStr">
        <is>
          <t>sevilla</t>
        </is>
      </c>
      <c r="C175" s="29" t="inlineStr">
        <is>
          <t>sevilla:photo:iglesia-de-santa-catalina-03</t>
        </is>
      </c>
      <c r="D175" s="29" t="inlineStr">
        <is>
          <t>https://commons.wikimedia.org/wiki/File:Iglesia_de_Santa_Catalina_003.jpg</t>
        </is>
      </c>
      <c r="E175" s="29" t="inlineStr">
        <is>
          <t>File:Iglesia de Santa Catalina 003.jpg</t>
        </is>
      </c>
      <c r="F175" s="29" t="inlineStr">
        <is>
          <t>Anual</t>
        </is>
      </c>
      <c r="G175" s="29" t="inlineStr">
        <is>
          <t>CC BY 3.0</t>
        </is>
      </c>
      <c r="H175" s="29" t="inlineStr">
        <is>
          <t>https://creativecommons.org/licenses/by/3.0/</t>
        </is>
      </c>
      <c r="I175" s="29" t="inlineStr">
        <is>
          <t>Creative Commons Attribution 3.0</t>
        </is>
      </c>
      <c r="J175" s="29" t="inlineStr">
        <is>
          <t>Anual · CC BY 3.0 · Wikimedia Commons</t>
        </is>
      </c>
      <c r="K175" s="29" t="n"/>
      <c r="L175" s="49" t="n">
        <v>46320</v>
      </c>
      <c r="M175" s="29" t="inlineStr">
        <is>
          <t>Bekliyor</t>
        </is>
      </c>
      <c r="N175" s="29" t="inlineStr">
        <is>
          <t>Bekliyor</t>
        </is>
      </c>
      <c r="O175" s="29" t="inlineStr">
        <is>
          <t>Fotoğraflar/sevilla_iglesia-de-santa-catalina_03.jpg</t>
        </is>
      </c>
      <c r="P175" s="29" t="inlineStr">
        <is>
          <t>Santa Catalina Kilisesi'nin kare planlı taş çan kulesi.</t>
        </is>
      </c>
      <c r="Q175" s="29" t="inlineStr">
        <is>
          <t>Bekliyor</t>
        </is>
      </c>
      <c r="R175" s="29" t="inlineStr">
        <is>
          <t>Wikimedia Commons dosya sayfasındaki lisans: CC BY 3.0</t>
        </is>
      </c>
      <c r="S175" s="29" t="inlineStr">
        <is>
          <t>Lisans kanıtları/iglesia-de-santa-catalina-03.source-evidence.json</t>
        </is>
      </c>
      <c r="T175" s="29" t="inlineStr">
        <is>
          <t>483f178f910897825d2073d85fad4eef5919ccdd5685302cdc13a33621677cb2</t>
        </is>
      </c>
      <c r="U175" s="29" t="inlineStr">
        <is>
          <t>Lisans kanıtları/iglesia-de-santa-catalina-03.license-evidence.json</t>
        </is>
      </c>
      <c r="V175" s="29" t="inlineStr">
        <is>
          <t>b517aabf8949cbf5db048887e1169b127203435a59d56d732f3a23d1692487f2</t>
        </is>
      </c>
      <c r="W175" s="29" t="inlineStr">
        <is>
          <t>{"source_url": "https://commons.wikimedia.org/wiki/File:Iglesia_de_Santa_Catalina_003.jpg", "author": "Anual", "license": "CC BY 3.0", "license_url": "https://creativecommons.org/licenses/by/3.0/", "original_api_record": {"size": 1578035, "width": 2592, "height": 3872, "thumburl": "https://thumb.wikimedia.org/wikipedia/commons/thumb/c/c4/Iglesia_de_Santa_Catalina_003.jpg/1280px-Iglesia_de_Santa_Catalina_003.jpg", "thumbwidth": 1280, "thumbheight": 1912, "responsiveUrls": {"2": "https://upload.wikimedia.org/wikipedia/commons/c/c4/Iglesia_de_Santa_Catalina_003.jpg"}, "thumbattribs": {"src": "https://thumb.wikimedia.org/wikipedia/commons/thumb/c/c4/Iglesia_de_Santa_Catalina_003.jpg/1280px-Iglesia_de_Santa_Catalina_003.jpg", "decoding": "async", "loading": "lazy", "width": 1280, "height": 1912, "srcset": "https://upload.wikimedia.org/wikipedia/commons/c/c4/Iglesia_de_Santa_Catalina_003.jpg 2x"}, "url": "https://upload.wikimedia.org/wikipedia/commons/c/c4/Iglesia_de_Santa_Catalina_003.jpg", "descriptionurl": "https://commons.wikimedia.org/wiki/File:Iglesia_de_Santa_Catalina_003.jpg", "descriptionshorturl": "https://commons.wikimedia.org/w/index.php?curid=4931849", "sha1": "2c35f98c44e222041bfab779e02c817cda84f8bb", "extmetadata": {"DateTime": {"value": "2008-10-05 17:54:44", "source": "mediawiki-metadata", "hidden": ""}, "ObjectName": {"value": "Iglesia de Santa Catalina 003", "source": "mediawiki-metadata"}, "CommonsMetadataExtension": {"value": 1.2, "source": "extension", "hidden": ""}, "Categories": {"value": "GFDL|Taken with Nikon D80|License migration redundant|Self-published work|Tower of the Church of Santa Catalina, Sevilla", "source": "commons-categories", "hidden": ""}, "Assessments": {"value": "", "source": "commons-categories", "hidden": ""}, "ImageDescription": {"value": "Church of Santa Catalina, Seville", "source": "commons-desc-page"}, "DateTimeOriginal": {"value": "2008-10-05", "source": "commons-desc-page"}, "Credit": {"value": "&lt;span class=\"int-own-work\" lang=\"en\"&gt;Own work&lt;/span&gt;", "source": "commons-desc-page"}, "Artist": {"value": "&lt;a href=\"//commons.wikimedia.org/wiki/User:Anual\" title=\"User:Anual\"&gt;Anual&lt;/a&gt;",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"https://thumb.wikimedia.org/wikipedia/commons/thumb/c/c4/Iglesia_de_Santa_Catalina_003.jpg/1280px-Iglesia_de_Santa_Catalina_003.jpg"}, "retrieved_on": "2026-10-25"}</t>
        </is>
      </c>
    </row>
    <row r="176" ht="54" customHeight="1">
      <c r="A176" s="29" t="inlineStr">
        <is>
          <t>sevilla:evidence:iglesia-de-san-marcos-01</t>
        </is>
      </c>
      <c r="B176" s="29" t="inlineStr">
        <is>
          <t>sevilla</t>
        </is>
      </c>
      <c r="C176" s="29" t="inlineStr">
        <is>
          <t>sevilla:photo:iglesia-de-san-marcos-01</t>
        </is>
      </c>
      <c r="D176" s="29" t="inlineStr">
        <is>
          <t>https://commons.wikimedia.org/wiki/File:Iglesia_de_San_Marcos_(Sevilla)_01.jpg</t>
        </is>
      </c>
      <c r="E176" s="29" t="inlineStr">
        <is>
          <t>File:Iglesia de San Marcos (Sevilla) 01.jpg</t>
        </is>
      </c>
      <c r="F176" s="29" t="inlineStr">
        <is>
          <t>CarlosVdeHabsburgo</t>
        </is>
      </c>
      <c r="G176" s="29" t="inlineStr">
        <is>
          <t>CC BY-SA 4.0</t>
        </is>
      </c>
      <c r="H176" s="29" t="inlineStr">
        <is>
          <t>https://creativecommons.org/licenses/by-sa/4.0/</t>
        </is>
      </c>
      <c r="I176" s="29" t="inlineStr">
        <is>
          <t>Creative Commons Attribution-Share Alike 4.0</t>
        </is>
      </c>
      <c r="J176" s="29" t="inlineStr">
        <is>
          <t>CarlosVdeHabsburgo · CC BY-SA 4.0 · Wikimedia Commons</t>
        </is>
      </c>
      <c r="K176" s="29" t="n"/>
      <c r="L176" s="49" t="n">
        <v>46320</v>
      </c>
      <c r="M176" s="29" t="inlineStr">
        <is>
          <t>Bekliyor</t>
        </is>
      </c>
      <c r="N176" s="29" t="inlineStr">
        <is>
          <t>Bekliyor</t>
        </is>
      </c>
      <c r="O176" s="29" t="inlineStr">
        <is>
          <t>Fotoğraflar/sevilla_iglesia-de-san-marcos_01.jpg</t>
        </is>
      </c>
      <c r="P176" s="29" t="inlineStr">
        <is>
          <t>San Marcos Kilisesi'nin kiremit çatılı yan cephesi ve önündeki bisikletler.</t>
        </is>
      </c>
      <c r="Q176" s="29" t="inlineStr">
        <is>
          <t>Bekliyor</t>
        </is>
      </c>
      <c r="R176" s="29" t="inlineStr">
        <is>
          <t>Wikimedia Commons dosya sayfasındaki lisans: CC BY-SA 4.0</t>
        </is>
      </c>
      <c r="S176" s="29" t="inlineStr">
        <is>
          <t>Lisans kanıtları/iglesia-de-san-marcos-01.source-evidence.json</t>
        </is>
      </c>
      <c r="T176" s="29" t="inlineStr">
        <is>
          <t>c7e2200080090bebd23a04a109fc2bd0e3d9aa2b2b3c59c1cc8fd37441a49d10</t>
        </is>
      </c>
      <c r="U176" s="29" t="inlineStr">
        <is>
          <t>Lisans kanıtları/iglesia-de-san-marcos-01.license-evidence.json</t>
        </is>
      </c>
      <c r="V176" s="29" t="inlineStr">
        <is>
          <t>c77c001b9b7b19d44106c6e414d7093581c355d3020635bd45c7460dacbcb8f8</t>
        </is>
      </c>
      <c r="W176" s="29" t="inlineStr">
        <is>
          <t>{"source_url": "https://commons.wikimedia.org/wiki/File:Iglesia_de_San_Marcos_(Sevilla)_01.jpg", "author": "CarlosVdeHabsburgo", "license": "CC BY-SA 4.0", "license_url": "https://creativecommons.org/licenses/by-sa/4.0/", "original_api_record": {"size": 7004654, "width": 4320, "height": 3240, "thumburl": "https://thumb.wikimedia.org/wikipedia/commons/thumb/e/ee/Iglesia_de_San_Marcos_%28Sevilla%29_01.jpg/1280px-Iglesia_de_San_Marcos_%28Sevilla%29_01.jpg", "thumbwidth": 1280, "thumbheight": 960, "responsiveUrls": {"2": "https://thumb.wikimedia.org/wikipedia/commons/thumb/e/ee/Iglesia_de_San_Marcos_%28Sevilla%29_01.jpg/3840px-Iglesia_de_San_Marcos_%28Sevilla%29_01.jpg"}, "thumbattribs": {"src": "https://thumb.wikimedia.org/wikipedia/commons/thumb/e/ee/Iglesia_de_San_Marcos_%28Sevilla%29_01.jpg/1280px-Iglesia_de_San_Marcos_%28Sevilla%29_01.jpg", "decoding": "async", "loading": "lazy", "width": 1280, "height": 960, "srcset": "https://thumb.wikimedia.org/wikipedia/commons/thumb/e/ee/Iglesia_de_San_Marcos_%28Sevilla%29_01.jpg/3840px-Iglesia_de_San_Marcos_%28Sevilla%29_01.jpg 2x"}, "url": "https://upload.wikimedia.org/wikipedia/commons/e/ee/Iglesia_de_San_Marcos_%28Sevilla%29_01.jpg", "descriptionurl": "https://commons.wikimedia.org/wiki/File:Iglesia_de_San_Marcos_(Sevilla)_01.jpg", "descriptionshorturl": "https://commons.wikimedia.org/w/index.php?curid=68476051", "sha1": "23e652ef3b5ba3136aeda189eed5d42d74cfe242", "extmetadata": {"DateTime": {"value": "2018-04-22 00:39:03", "source": "mediawiki-metadata", "hidden": ""}, "ObjectName": {"value": "Iglesia de San Marcos (Sevilla) 01", "source": "mediawiki-metadata"}, "CommonsMetadataExtension": {"value": 1.2, "source": "extension", "hidden": ""}, "Categories": {"value": "Exterior of the Church of San Marcos, Seville|Self-published work", "source": "commons-categories", "hidden": ""}, "Assessments": {"value": "", "source": "commons-categories", "hidden": ""}, "ImageDescription": {"value": "Iglesia de San Marcos. Sevilla, Andalucía, España.", "source": "commons-desc-page"}, "DateTimeOriginal": {"value": "2018-04-21 18:42:44",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"https://thumb.wikimedia.org/wikipedia/commons/thumb/e/ee/Iglesia_de_San_Marcos_%28Sevilla%29_01.jpg/1280px-Iglesia_de_San_Marcos_%28Sevilla%29_01.jpg"}, "retrieved_on": "2026-10-25"}</t>
        </is>
      </c>
    </row>
    <row r="177" ht="54" customHeight="1">
      <c r="A177" s="29" t="inlineStr">
        <is>
          <t>sevilla:evidence:iglesia-de-san-marcos-02</t>
        </is>
      </c>
      <c r="B177" s="29" t="inlineStr">
        <is>
          <t>sevilla</t>
        </is>
      </c>
      <c r="C177" s="29" t="inlineStr">
        <is>
          <t>sevilla:photo:iglesia-de-san-marcos-02</t>
        </is>
      </c>
      <c r="D177" s="29" t="inlineStr">
        <is>
          <t>https://commons.wikimedia.org/wiki/File:Iglesia_de_San_Marcos_-_Sevilla_001.jpg</t>
        </is>
      </c>
      <c r="E177" s="29" t="inlineStr">
        <is>
          <t>File:Iglesia de San Marcos - Sevilla 001.jpg</t>
        </is>
      </c>
      <c r="F177" s="29" t="inlineStr">
        <is>
          <t>Emilio J. Rodríguez Posada</t>
        </is>
      </c>
      <c r="G177" s="29" t="inlineStr">
        <is>
          <t>CC BY-SA 3.0 es</t>
        </is>
      </c>
      <c r="H177" s="29" t="inlineStr">
        <is>
          <t>https://creativecommons.org/licenses/by-sa/3.0/es/deed.en/</t>
        </is>
      </c>
      <c r="I177" s="29" t="inlineStr">
        <is>
          <t>Creative Commons Attribution-Share Alike 3.0 es</t>
        </is>
      </c>
      <c r="J177" s="29" t="inlineStr">
        <is>
          <t>Emilio J. Rodríguez Posada · CC BY-SA 3.0 es · Wikimedia Commons</t>
        </is>
      </c>
      <c r="K177" s="29" t="n"/>
      <c r="L177" s="49" t="n">
        <v>46320</v>
      </c>
      <c r="M177" s="29" t="inlineStr">
        <is>
          <t>Bekliyor</t>
        </is>
      </c>
      <c r="N177" s="29" t="inlineStr">
        <is>
          <t>Bekliyor</t>
        </is>
      </c>
      <c r="O177" s="29" t="inlineStr">
        <is>
          <t>Fotoğraflar/sevilla_iglesia-de-san-marcos_02.jpg</t>
        </is>
      </c>
      <c r="P177" s="29" t="inlineStr">
        <is>
          <t>San Marcos Kilisesi'nin Mudéjar çan kulesi ve taş gövdesi.</t>
        </is>
      </c>
      <c r="Q177" s="29" t="inlineStr">
        <is>
          <t>Bekliyor</t>
        </is>
      </c>
      <c r="R177" s="29" t="inlineStr">
        <is>
          <t>Wikimedia Commons dosya sayfasındaki lisans: CC BY-SA 3.0 es</t>
        </is>
      </c>
      <c r="S177" s="29" t="inlineStr">
        <is>
          <t>Lisans kanıtları/iglesia-de-san-marcos-02.source-evidence.json</t>
        </is>
      </c>
      <c r="T177" s="29" t="inlineStr">
        <is>
          <t>10daeebc92111fe09a008039a6f7ccd862ed44457da61245db91b0753e4c6bc6</t>
        </is>
      </c>
      <c r="U177" s="29" t="inlineStr">
        <is>
          <t>Lisans kanıtları/iglesia-de-san-marcos-02.license-evidence.json</t>
        </is>
      </c>
      <c r="V177" s="29" t="inlineStr">
        <is>
          <t>e2d817ff1558c33ab353d405ef8090fa5f63554c0c5c4c8f32b443a5b2a2aa4b</t>
        </is>
      </c>
      <c r="W177" s="29" t="inlineStr">
        <is>
          <t>{"source_url": "https://commons.wikimedia.org/wiki/File:Iglesia_de_San_Marcos_-_Sevilla_001.jpg", "author": "Emilio J. Rodríguez Posada", "license": "CC BY-SA 3.0 es", "license_url": "https://creativecommons.org/licenses/by-sa/3.0/es/deed.en/", "original_api_record": {"size": 1926254, "width": 1920, "height": 2560, "thumburl": "https://thumb.wikimedia.org/wikipedia/commons/thumb/2/25/Iglesia_de_San_Marcos_-_Sevilla_001.jpg/1280px-Iglesia_de_San_Marcos_-_Sevilla_001.jpg", "thumbwidth": 1280, "thumbheight": 1707, "responsiveUrls": {"2": "https://upload.wikimedia.org/wikipedia/commons/2/25/Iglesia_de_San_Marcos_-_Sevilla_001.jpg"}, "thumbattribs": {"src": "https://thumb.wikimedia.org/wikipedia/commons/thumb/2/25/Iglesia_de_San_Marcos_-_Sevilla_001.jpg/1280px-Iglesia_de_San_Marcos_-_Sevilla_001.jpg", "decoding": "async", "loading": "lazy", "width": 1280, "height": 1707, "srcset": "https://upload.wikimedia.org/wikipedia/commons/2/25/Iglesia_de_San_Marcos_-_Sevilla_001.jpg 2x"}, "url": "https://upload.wikimedia.org/wikipedia/commons/2/25/Iglesia_de_San_Marcos_-_Sevilla_001.jpg", "descriptionurl": "https://commons.wikimedia.org/wiki/File:Iglesia_de_San_Marcos_-_Sevilla_001.jpg", "descriptionshorturl": "https://commons.wikimedia.org/w/index.php?curid=16696969", "sha1": "8c6c96bd6ea73995746ceaf9e78ff24db36571f3", "extmetadata": {"DateTime": {"value": "2011-09-25 21:25:15", "source": "mediawiki-metadata", "hidden": ""}, "ObjectName": {"value": "Iglesia de San Marcos - Sevilla 001", "source": "mediawiki-metadata"}, "CommonsMetadataExtension": {"value": 1.2, "source": "extension", "hidden": ""}, "Categories": {"value": "Taken with Olympus u5000|Exterior of the Church of San Marcos, Seville|Self-published work|F-number f/5.6|ISO speed rating 64|Images by User:Emijrp taken in the 21st century|Images by User:Emijrp by topic|Images by User:Emijrp taken in 2011|Images by User:Emijrp taken in September|Images by User:Emijrp taken in the 2010s|Images by User:Emijrp taken with Olympus u5000|Images of buildings by User:Emijrp|Exposure time 1/320 sec|Images from Wiki Loves Monuments 2011|Cultural heritage monuments in Spain with known IDs|Images from Wiki Loves Monuments 2011 in Spain|Lens focal length 6.3 mm|Spain photographs taken on 2011-09-25|All media supported by Wikimedia España in 2011|Tower of the Church of San Marcos, Seville|Images from Wiki Loves Monuments missing SDC creator|Images from Wiki Loves Monuments missing SDC location of creation|Cultural heritage monuments in Spain missing SDC location of creation|Images by User:Emijrp without coordinates|Images by User:Emijrp with P180|Images by User:Emijrp|Images by User:Emijrp with P180 (1)|Images of religious buildings by User:Emijrp|Images of towers by User:Emijrp", "source": "commons-categories", "hidden": ""}, "Assessments": {"value": "", "source": "commons-categories", "hidden": ""}, "ImageDescription": {"value": "Church of San Marcos, Seville, Spain.", "source": "commons-desc-page"}, "DateTimeOriginal": {"value": "2011-09-25", "source": "commons-desc-page"}, "Credit": {"value": "&lt;span class=\"int-own-work\" lang=\"en\"&gt;Own work&lt;/span&gt;", "source": "commons-desc-page"}, "Artist": {"value": "&lt;bdi&gt;&lt;a href=\"https://meta.wikimedia.org/wiki/User:Emijrp\" class=\"extiw\" title=\"meta:User:Emijrp\"&gt;Emilio J. Rodríguez Posada&lt;/a&gt;&lt;/bdi&gt;", "source": "commons-desc-page"}, "LicenseShortName": {"value": "CC BY-SA 3.0 es", "source": "commons-desc-page", "hidden": ""}, "UsageTerms": {"value": "Creative Commons Attribution-Share Alike 3.0 es", "source": "commons-desc-page"}, "AttributionRequired": {"value": "true", "source": "commons-desc-page", "hidden": ""}, "LicenseUrl": {"value": "https://creativecommons.org/licenses/by-sa/3.0/es/deed.en", "source": "commons-desc-page"}, "Copyrighted": {"value": "True", "source": "commons-desc-page", "hidden": ""}, "Restrictions": {"value": "", "source": "commons-desc-page", "hidden": ""}, "License": {"value": "cc-by-sa-3.0-es", "source": "commons-templates", "hidden": ""}}, "mime": "image/jpeg"}, "delivered_file": {"url": "https://thumb.wikimedia.org/wikipedia/commons/thumb/2/25/Iglesia_de_San_Marcos_-_Sevilla_001.jpg/1280px-Iglesia_de_San_Marcos_-_Sevilla_001.jpg"}, "retrieved_on": "2026-10-25"}</t>
        </is>
      </c>
    </row>
    <row r="178" ht="54" customHeight="1">
      <c r="A178" s="29" t="inlineStr">
        <is>
          <t>sevilla:evidence:iglesia-de-san-marcos-03</t>
        </is>
      </c>
      <c r="B178" s="29" t="inlineStr">
        <is>
          <t>sevilla</t>
        </is>
      </c>
      <c r="C178" s="29" t="inlineStr">
        <is>
          <t>sevilla:photo:iglesia-de-san-marcos-03</t>
        </is>
      </c>
      <c r="D178" s="29" t="inlineStr">
        <is>
          <t>https://commons.wikimedia.org/wiki/File:Iglesia_de_San_Marcos_-_Sevilla_002.jpg</t>
        </is>
      </c>
      <c r="E178" s="29" t="inlineStr">
        <is>
          <t>File:Iglesia de San Marcos - Sevilla 002.jpg</t>
        </is>
      </c>
      <c r="F178" s="29" t="inlineStr">
        <is>
          <t>Emilio J. Rodríguez Posada</t>
        </is>
      </c>
      <c r="G178" s="29" t="inlineStr">
        <is>
          <t>CC BY-SA 3.0 es</t>
        </is>
      </c>
      <c r="H178" s="29" t="inlineStr">
        <is>
          <t>https://creativecommons.org/licenses/by-sa/3.0/es/deed.en/</t>
        </is>
      </c>
      <c r="I178" s="29" t="inlineStr">
        <is>
          <t>Creative Commons Attribution-Share Alike 3.0 es</t>
        </is>
      </c>
      <c r="J178" s="29" t="inlineStr">
        <is>
          <t>Emilio J. Rodríguez Posada · CC BY-SA 3.0 es · Wikimedia Commons</t>
        </is>
      </c>
      <c r="K178" s="29" t="n"/>
      <c r="L178" s="49" t="n">
        <v>46320</v>
      </c>
      <c r="M178" s="29" t="inlineStr">
        <is>
          <t>Bekliyor</t>
        </is>
      </c>
      <c r="N178" s="29" t="inlineStr">
        <is>
          <t>Bekliyor</t>
        </is>
      </c>
      <c r="O178" s="29" t="inlineStr">
        <is>
          <t>Fotoğraflar/sevilla_iglesia-de-san-marcos_03.jpg</t>
        </is>
      </c>
      <c r="P178" s="29" t="inlineStr">
        <is>
          <t>San Marcos Kilisesi ve kulesi, mavi gökyüzü altında.</t>
        </is>
      </c>
      <c r="Q178" s="29" t="inlineStr">
        <is>
          <t>Bekliyor</t>
        </is>
      </c>
      <c r="R178" s="29" t="inlineStr">
        <is>
          <t>Wikimedia Commons dosya sayfasındaki lisans: CC BY-SA 3.0 es</t>
        </is>
      </c>
      <c r="S178" s="29" t="inlineStr">
        <is>
          <t>Lisans kanıtları/iglesia-de-san-marcos-03.source-evidence.json</t>
        </is>
      </c>
      <c r="T178" s="29" t="inlineStr">
        <is>
          <t>c7bd6ff2c3300c29d202ff3bf132c45394f8d4cedde161b3381fcf0a4c2a7d53</t>
        </is>
      </c>
      <c r="U178" s="29" t="inlineStr">
        <is>
          <t>Lisans kanıtları/iglesia-de-san-marcos-03.license-evidence.json</t>
        </is>
      </c>
      <c r="V178" s="29" t="inlineStr">
        <is>
          <t>c4673338a1149cc638e81348bb15c12f3ee86a1950fffeb021f2c8f21c98b1f7</t>
        </is>
      </c>
      <c r="W178" s="29" t="inlineStr">
        <is>
          <t>{"source_url": "https://commons.wikimedia.org/wiki/File:Iglesia_de_San_Marcos_-_Sevilla_002.jpg", "author": "Emilio J. Rodríguez Posada", "license": "CC BY-SA 3.0 es", "license_url": "https://creativecommons.org/licenses/by-sa/3.0/es/deed.en/", "original_api_record": {"size": 1856138, "width": 2560, "height": 1920, "thumburl": "https://thumb.wikimedia.org/wikipedia/commons/thumb/1/11/Iglesia_de_San_Marcos_-_Sevilla_002.jpg/1280px-Iglesia_de_San_Marcos_-_Sevilla_002.jpg", "thumbwidth": 1280, "thumbheight": 960, "responsiveUrls": {"2": "https://upload.wikimedia.org/wikipedia/commons/1/11/Iglesia_de_San_Marcos_-_Sevilla_002.jpg"}, "thumbattribs": {"src": "https://thumb.wikimedia.org/wikipedia/commons/thumb/1/11/Iglesia_de_San_Marcos_-_Sevilla_002.jpg/1280px-Iglesia_de_San_Marcos_-_Sevilla_002.jpg", "decoding": "async", "loading": "lazy", "width": 1280, "height": 960, "srcset": "https://upload.wikimedia.org/wikipedia/commons/1/11/Iglesia_de_San_Marcos_-_Sevilla_002.jpg 2x"}, "url": "https://upload.wikimedia.org/wikipedia/commons/1/11/Iglesia_de_San_Marcos_-_Sevilla_002.jpg", "descriptionurl": "https://commons.wikimedia.org/wiki/File:Iglesia_de_San_Marcos_-_Sevilla_002.jpg", "descriptionshorturl": "https://commons.wikimedia.org/w/index.php?curid=16696968", "sha1": "5c9db0e88760f17c7abd93d7b39b8cd39aa79665", "extmetadata": {"DateTime": {"value": "2011-09-25 21:25:14", "source": "mediawiki-metadata", "hidden": ""}, "ObjectName": {"value": "Iglesia de San Marcos - Sevilla 002", "source": "mediawiki-metadata"}, "CommonsMetadataExtension": {"value": 1.2, "source": "extension", "hidden": ""}, "Categories": {"value": "Taken with Olympus u5000|Exterior of the Church of San Marcos, Seville|Self-published work|F-number f/5.6|ISO speed rating 64|Images by User:Emijrp taken in the 21st century|Images by User:Emijrp by topic|Images by User:Emijrp taken in 2011|Images by User:Emijrp taken in September|Images by User:Emijrp taken in the 2010s|Images by User:Emijrp taken with Olympus u5000|Images of buildings by User:Emijrp|Exposure time 1/320 sec|Images from Wiki Loves Monuments 2011|Cultural heritage monuments in Spain with known IDs|Images from Wiki Loves Monuments 2011 in Spain|Lens focal length 6.3 mm|Spain photographs taken on 2011-09-25|All media supported by Wikimedia España in 2011|Tower of the Church of San Marcos, Seville|Images from Wiki Loves Monuments missing SDC creator|Images from Wiki Loves Monuments missing SDC location of creation|Cultural heritage monuments in Spain missing SDC location of creation|Images by User:Emijrp without coordinates|Images by User:Emijrp with P180|Images by User:Emijrp|Images by User:Emijrp with P180 (1)|Images of religious buildings by User:Emijrp|Images of towers by User:Emijrp", "source": "commons-categories", "hidden": ""}, "Assessments": {"value": "", "source": "commons-categories", "hidden": ""}, "ImageDescription": {"value": "Church of San Marcos, Seville, Spain.", "source": "commons-desc-page"}, "DateTimeOriginal": {"value": "2011-09-25", "source": "commons-desc-page"}, "Credit": {"value": "&lt;span class=\"int-own-work\" lang=\"en\"&gt;Own work&lt;/span&gt;", "source": "commons-desc-page"}, "Artist": {"value": "&lt;bdi&gt;&lt;a href=\"https://meta.wikimedia.org/wiki/User:Emijrp\" class=\"extiw\" title=\"meta:User:Emijrp\"&gt;Emilio J. Rodríguez Posada&lt;/a&gt;&lt;/bdi&gt;", "source": "commons-desc-page"}, "LicenseShortName": {"value": "CC BY-SA 3.0 es", "source": "commons-desc-page", "hidden": ""}, "UsageTerms": {"value": "Creative Commons Attribution-Share Alike 3.0 es", "source": "commons-desc-page"}, "AttributionRequired": {"value": "true", "source": "commons-desc-page", "hidden": ""}, "LicenseUrl": {"value": "https://creativecommons.org/licenses/by-sa/3.0/es/deed.en", "source": "commons-desc-page"}, "Copyrighted": {"value": "True", "source": "commons-desc-page", "hidden": ""}, "Restrictions": {"value": "", "source": "commons-desc-page", "hidden": ""}, "License": {"value": "cc-by-sa-3.0-es", "source": "commons-templates", "hidden": ""}}, "mime": "image/jpeg"}, "delivered_file": {"url": "https://thumb.wikimedia.org/wikipedia/commons/thumb/1/11/Iglesia_de_San_Marcos_-_Sevilla_002.jpg/1280px-Iglesia_de_San_Marcos_-_Sevilla_002.jpg"}, "retrieved_on": "2026-10-25"}</t>
        </is>
      </c>
    </row>
    <row r="179" ht="54" customHeight="1">
      <c r="A179" s="29" t="inlineStr">
        <is>
          <t>sevilla:evidence:iglesia-de-san-roman-01</t>
        </is>
      </c>
      <c r="B179" s="29" t="inlineStr">
        <is>
          <t>sevilla</t>
        </is>
      </c>
      <c r="C179" s="29" t="inlineStr">
        <is>
          <t>sevilla:photo:iglesia-de-san-roman-01</t>
        </is>
      </c>
      <c r="D179" s="29" t="inlineStr">
        <is>
          <t>https://commons.wikimedia.org/wiki/File:Iglesia_de_San_Rom%C3%A1n_001_-_Sevilla.jpg</t>
        </is>
      </c>
      <c r="E179" s="29" t="inlineStr">
        <is>
          <t>File:Iglesia de San Román 001 - Sevilla.jpg</t>
        </is>
      </c>
      <c r="F179" s="29" t="inlineStr">
        <is>
          <t>Emilio J. Rodríguez Posada</t>
        </is>
      </c>
      <c r="G179" s="29" t="inlineStr">
        <is>
          <t>CC BY-SA 3.0</t>
        </is>
      </c>
      <c r="H179" s="29" t="inlineStr">
        <is>
          <t>https://creativecommons.org/licenses/by-sa/3.0/</t>
        </is>
      </c>
      <c r="I179" s="29" t="inlineStr">
        <is>
          <t>Creative Commons Attribution-Share Alike 3.0</t>
        </is>
      </c>
      <c r="J179" s="29" t="inlineStr">
        <is>
          <t>Emilio J. Rodríguez Posada · CC BY-SA 3.0 · Wikimedia Commons</t>
        </is>
      </c>
      <c r="K179" s="29" t="n"/>
      <c r="L179" s="49" t="n">
        <v>46320</v>
      </c>
      <c r="M179" s="29" t="inlineStr">
        <is>
          <t>Bekliyor</t>
        </is>
      </c>
      <c r="N179" s="29" t="inlineStr">
        <is>
          <t>Bekliyor</t>
        </is>
      </c>
      <c r="O179" s="29" t="inlineStr">
        <is>
          <t>Fotoğraflar/sevilla_iglesia-de-san-roman_01.jpg</t>
        </is>
      </c>
      <c r="P179" s="29" t="inlineStr">
        <is>
          <t>San Román Kilisesi'nin beyaz cephesi, gotik portali ve çini süslü kulesi.</t>
        </is>
      </c>
      <c r="Q179" s="29" t="inlineStr">
        <is>
          <t>Bekliyor</t>
        </is>
      </c>
      <c r="R179" s="29" t="inlineStr">
        <is>
          <t>Wikimedia Commons dosya sayfasındaki lisans: CC BY-SA 3.0</t>
        </is>
      </c>
      <c r="S179" s="29" t="inlineStr">
        <is>
          <t>Lisans kanıtları/iglesia-de-san-roman-01.source-evidence.json</t>
        </is>
      </c>
      <c r="T179" s="29" t="inlineStr">
        <is>
          <t>5d573735ac07a047416e7a371cea3ba3e29b68ea86c9176bf9ac5ba02ef50f14</t>
        </is>
      </c>
      <c r="U179" s="29" t="inlineStr">
        <is>
          <t>Lisans kanıtları/iglesia-de-san-roman-01.license-evidence.json</t>
        </is>
      </c>
      <c r="V179" s="29" t="inlineStr">
        <is>
          <t>b3b3b837423343605684bd0f559b1f38081d402e8f22f0c55192eebbb26f8c67</t>
        </is>
      </c>
      <c r="W179" s="29" t="inlineStr">
        <is>
          <t>{"source_url": "https://commons.wikimedia.org/wiki/File:Iglesia_de_San_Rom%C3%A1n_001_-_Sevilla.jpg", "author": "Emilio J. Rodríguez Posada", "license": "CC BY-SA 3.0", "license_url": "https://creativecommons.org/licenses/by-sa/3.0/", "original_api_record": {"size": 1743473, "width": 2560, "height": 1920, "thumburl": "https://thumb.wikimedia.org/wikipedia/commons/thumb/6/6f/Iglesia_de_San_Rom%C3%A1n_001_-_Sevilla.jpg/1280px-Iglesia_de_San_Rom%C3%A1n_001_-_Sevilla.jpg", "thumbwidth": 1280, "thumbheight": 960, "responsiveUrls": {"2": "https://upload.wikimedia.org/wikipedia/commons/6/6f/Iglesia_de_San_Rom%C3%A1n_001_-_Sevilla.jpg"}, "thumbattribs": {"src": "https://thumb.wikimedia.org/wikipedia/commons/thumb/6/6f/Iglesia_de_San_Rom%C3%A1n_001_-_Sevilla.jpg/1280px-Iglesia_de_San_Rom%C3%A1n_001_-_Sevilla.jpg", "decoding": "async", "loading": "lazy", "width": 1280, "height": 960, "srcset": "https://upload.wikimedia.org/wikipedia/commons/6/6f/Iglesia_de_San_Rom%C3%A1n_001_-_Sevilla.jpg 2x"}, "url": "https://upload.wikimedia.org/wikipedia/commons/6/6f/Iglesia_de_San_Rom%C3%A1n_001_-_Sevilla.jpg", "descriptionurl": "https://commons.wikimedia.org/wiki/File:Iglesia_de_San_Rom%C3%A1n_001_-_Sevilla.jpg", "descriptionshorturl": "https://commons.wikimedia.org/w/index.php?curid=16775365", "sha1": "5501bd52f7e6967eb0004d101e906b6cc8474c49", "extmetadata": {"DateTime": {"value": "2011-09-29 18:24:04", "source": "mediawiki-metadata", "hidden": ""}, "ObjectName": {"value": "Iglesia de San Román 001 - Sevilla", "source": "mediawiki-metadata"}, "CommonsMetadataExtension": {"value": 1.2, "source": "extension", "hidden": ""}, "Categories": {"value": "Taken with Olympus u5000|Self-published work|F-number f/5.6|ISO speed rating 64|Images by User:Emijrp taken in the 21st century|Images by User:Emijrp by topic|Images by User:Emijrp taken in 2011|Images by User:Emijrp taken in September|Images by User:Emijrp taken in the 2010s|Images by User:Emijrp taken with Olympus u5000|Images of buildings by User:Emijrp|Exposure time 1/400 sec|Church facades in the province of Seville|Lens focal length 6.3 mm|Images by User:Emijrp without coordinates|Images by User:Emijrp without P180|Images by User:Emijrp|Images of religious buildings by User:Emijrp|Exterior of the Iglesia de San Román (Sevilla)", "source": "commons-categories", "hidden": ""}, "Assessments": {"value": "", "source": "commons-categories", "hidden": ""}, "ImageDescription": {"value": "Iglesia de San Román, Sevilla, España.", "source": "commons-desc-page"}, "DateTimeOriginal": {"value": "2011-09-25", "source": "commons-desc-page"}, "Credit": {"value": "&lt;span class=\"int-own-work\" lang=\"en\"&gt;Own work&lt;/span&gt;", "source": "commons-desc-page"}, "Artist": {"value": "&lt;bdi&gt;&lt;a href=\"https://meta.wikimedia.org/wiki/User:Emijrp\" class=\"extiw\" title=\"meta:User:Emijrp\"&gt;Emilio J. Rodríguez Posada&lt;/a&gt;&lt;/bdi&gt;",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"https://thumb.wikimedia.org/wikipedia/commons/thumb/6/6f/Iglesia_de_San_Rom%C3%A1n_001_-_Sevilla.jpg/1280px-Iglesia_de_San_Rom%C3%A1n_001_-_Sevilla.jpg"}, "retrieved_on": "2026-10-25"}</t>
        </is>
      </c>
    </row>
    <row r="180" ht="54" customHeight="1">
      <c r="A180" s="29" t="inlineStr">
        <is>
          <t>sevilla:evidence:iglesia-de-san-roman-02</t>
        </is>
      </c>
      <c r="B180" s="29" t="inlineStr">
        <is>
          <t>sevilla</t>
        </is>
      </c>
      <c r="C180" s="29" t="inlineStr">
        <is>
          <t>sevilla:photo:iglesia-de-san-roman-02</t>
        </is>
      </c>
      <c r="D180" s="29" t="inlineStr">
        <is>
          <t>https://commons.wikimedia.org/wiki/File:Iglesia_de_San_Rom%C3%A1n,_Sevilla,_exterior.jpg</t>
        </is>
      </c>
      <c r="E180" s="29" t="inlineStr">
        <is>
          <t>File:Iglesia de San Román, Sevilla, exterior.jpg</t>
        </is>
      </c>
      <c r="F180" s="29" t="inlineStr">
        <is>
          <t>Mx. Granger</t>
        </is>
      </c>
      <c r="G180" s="29" t="inlineStr">
        <is>
          <t>CC0 1.0</t>
        </is>
      </c>
      <c r="H180" s="29" t="inlineStr">
        <is>
          <t>https://creativecommons.org/publicdomain/zero/1.0/</t>
        </is>
      </c>
      <c r="I180" s="29" t="inlineStr">
        <is>
          <t>Creative Commons Zero, Public Domain Dedication</t>
        </is>
      </c>
      <c r="J180" s="29" t="inlineStr">
        <is>
          <t>Mx. Granger · CC0 1.0 · Wikimedia Commons</t>
        </is>
      </c>
      <c r="K180" s="29" t="n"/>
      <c r="L180" s="49" t="n">
        <v>46320</v>
      </c>
      <c r="M180" s="29" t="inlineStr">
        <is>
          <t>Bekliyor</t>
        </is>
      </c>
      <c r="N180" s="29" t="inlineStr">
        <is>
          <t>Bekliyor</t>
        </is>
      </c>
      <c r="O180" s="29" t="inlineStr">
        <is>
          <t>Fotoğraflar/sevilla_iglesia-de-san-roman_02.jpg</t>
        </is>
      </c>
      <c r="P180" s="29" t="inlineStr">
        <is>
          <t>San Román Kilisesi'nin cephesi ve kulesi, akşam ışığında.</t>
        </is>
      </c>
      <c r="Q180" s="29" t="inlineStr">
        <is>
          <t>Bekliyor</t>
        </is>
      </c>
      <c r="R180" s="29" t="inlineStr">
        <is>
          <t>Wikimedia Commons dosya sayfasındaki lisans: CC0 1.0</t>
        </is>
      </c>
      <c r="S180" s="29" t="inlineStr">
        <is>
          <t>Lisans kanıtları/iglesia-de-san-roman-02.source-evidence.json</t>
        </is>
      </c>
      <c r="T180" s="29" t="inlineStr">
        <is>
          <t>9159c400402deef72056b0b40915e8812f412faa92eeaaaeb65f68f4656ed4ef</t>
        </is>
      </c>
      <c r="U180" s="29" t="inlineStr">
        <is>
          <t>Lisans kanıtları/iglesia-de-san-roman-02.license-evidence.json</t>
        </is>
      </c>
      <c r="V180" s="29" t="inlineStr">
        <is>
          <t>4915834fb7dd4c06b42fc508aa5b91ac6075ad5deb1be55c5c05f567a7f2f816</t>
        </is>
      </c>
      <c r="W180" s="29" t="inlineStr">
        <is>
          <t>{"source_url": "https://commons.wikimedia.org/wiki/File:Iglesia_de_San_Rom%C3%A1n,_Sevilla,_exterior.jpg", "author": "Mx. Granger", "license": "CC0 1.0", "license_url": "https://creativecommons.org/publicdomain/zero/1.0/", "original_api_record": {"size": 1556265, "width": 2592, "height": 1944, "thumburl": "https://thumb.wikimedia.org/wikipedia/commons/thumb/3/33/Iglesia_de_San_Rom%C3%A1n%2C_Sevilla%2C_exterior.jpg/1280px-Iglesia_de_San_Rom%C3%A1n%2C_Sevilla%2C_exterior.jpg", "thumbwidth": 1280, "thumbheight": 960, "responsiveUrls": {"2": "https://upload.wikimedia.org/wikipedia/commons/3/33/Iglesia_de_San_Rom%C3%A1n%2C_Sevilla%2C_exterior.jpg"}, "thumbattribs": {"src": "https://thumb.wikimedia.org/wikipedia/commons/thumb/3/33/Iglesia_de_San_Rom%C3%A1n%2C_Sevilla%2C_exterior.jpg/1280px-Iglesia_de_San_Rom%C3%A1n%2C_Sevilla%2C_exterior.jpg", "decoding": "async", "loading": "lazy", "width": 1280, "height": 960, "srcset": "https://upload.wikimedia.org/wikipedia/commons/3/33/Iglesia_de_San_Rom%C3%A1n%2C_Sevilla%2C_exterior.jpg 2x"}, "url": "https://upload.wikimedia.org/wikipedia/commons/3/33/Iglesia_de_San_Rom%C3%A1n%2C_Sevilla%2C_exterior.jpg", "descriptionurl": "https://commons.wikimedia.org/wiki/File:Iglesia_de_San_Rom%C3%A1n,_Sevilla,_exterior.jpg", "descriptionshorturl": "https://commons.wikimedia.org/w/index.php?curid=48808486", "sha1": "fda0bb5372c9a43696d9917bbb7afe46ec1cfb5f", "extmetadata": {"DateTime": {"value": "2016-05-16 06:49:38", "source": "mediawiki-metadata", "hidden": ""}, "ObjectName": {"value": "Iglesia de San Román, Sevilla, exterior", "source": "mediawiki-metadata"}, "CommonsMetadataExtension": {"value": 1.2, "source": "extension", "hidden": ""}, "Categories": {"value": "CC-Zero|Self-published work|Uploaded with Mobile/Android|Church exteriors in Andalusia|Files with coordinates missing SDC location of creation|Exterior of the Iglesia de San Román (Sevilla)", "source": "commons-categories", "hidden": ""}, "Assessments": {"value": "", "source": "commons-categories", "hidden": ""}, "GPSLatitude": {"value": "37.394871", "source": "commons-desc-page"}, "GPSLongitude": {"value": "-5.986574", "source": "commons-desc-page"}, "GPSMapDatum": {"value": "WGS-84", "source": "commons-desc-page", "hidden": ""}, "ImageDescription": {"value": "&lt;a href=\"https://es.wikipedia.org/wiki/Iglesia_de_San_Rom%C3%A1n_(Sevilla)\" class=\"extiw\" title=\"es:Iglesia de San Román (Sevilla)\"&gt;Iglesia de San Román (Sevilla)&lt;/a&gt;", "source": "commons-desc-page"}, "DateTimeOriginal": {"value": "2016-05-14", "source": "commons-desc-page"}, "Credit": {"value": "&lt;span class=\"int-own-work\" lang=\"en\"&gt;Own work&lt;/span&gt;", "source": "commons-desc-page"}, "Artist": {"value": "&lt;a href=\"//commons.wikimedia.org/wiki/User:Mx._Granger\" title=\"User:Mx. Granger\"&gt;Mx. Granger&lt;/a&gt;",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"https://thumb.wikimedia.org/wikipedia/commons/thumb/3/33/Iglesia_de_San_Rom%C3%A1n%2C_Sevilla%2C_exterior.jpg/1280px-Iglesia_de_San_Rom%C3%A1n%2C_Sevilla%2C_exterior.jpg"}, "retrieved_on": "2026-10-25"}</t>
        </is>
      </c>
    </row>
    <row r="181" ht="54" customHeight="1">
      <c r="A181" s="29" t="inlineStr">
        <is>
          <t>sevilla:evidence:iglesia-de-la-magdalena-01</t>
        </is>
      </c>
      <c r="B181" s="29" t="inlineStr">
        <is>
          <t>sevilla</t>
        </is>
      </c>
      <c r="C181" s="29" t="inlineStr">
        <is>
          <t>sevilla:photo:iglesia-de-la-magdalena-01</t>
        </is>
      </c>
      <c r="D181" s="29" t="inlineStr">
        <is>
          <t>https://commons.wikimedia.org/wiki/File:Campanario_de_la_Iglesia_de_Santa_Mar%C3%ADa_Magdalena,_Sevilla.jpg</t>
        </is>
      </c>
      <c r="E181" s="29" t="inlineStr">
        <is>
          <t>File:Campanario de la Iglesia de Santa María Magdalena, Sevilla.jpg</t>
        </is>
      </c>
      <c r="F181" s="29" t="inlineStr">
        <is>
          <t>José Luis Filpo Cabana</t>
        </is>
      </c>
      <c r="G181" s="29" t="inlineStr">
        <is>
          <t>CC BY-SA 4.0</t>
        </is>
      </c>
      <c r="H181" s="29" t="inlineStr">
        <is>
          <t>https://creativecommons.org/licenses/by-sa/4.0/</t>
        </is>
      </c>
      <c r="I181" s="29" t="inlineStr">
        <is>
          <t>Creative Commons Attribution-Share Alike 4.0</t>
        </is>
      </c>
      <c r="J181" s="29" t="inlineStr">
        <is>
          <t>José Luis Filpo Cabana · CC BY-SA 4.0 · Wikimedia Commons</t>
        </is>
      </c>
      <c r="K181" s="29" t="n"/>
      <c r="L181" s="49" t="n">
        <v>46320</v>
      </c>
      <c r="M181" s="29" t="inlineStr">
        <is>
          <t>Bekliyor</t>
        </is>
      </c>
      <c r="N181" s="29" t="inlineStr">
        <is>
          <t>Bekliyor</t>
        </is>
      </c>
      <c r="O181" s="29" t="inlineStr">
        <is>
          <t>Fotoğraflar/sevilla_iglesia-de-la-magdalena_01.jpg</t>
        </is>
      </c>
      <c r="P181" s="29" t="inlineStr">
        <is>
          <t>Magdalena Kilisesi'nin kırmızı-beyaz barok çan tepelikleri.</t>
        </is>
      </c>
      <c r="Q181" s="29" t="inlineStr">
        <is>
          <t>Bekliyor</t>
        </is>
      </c>
      <c r="R181" s="29" t="inlineStr">
        <is>
          <t>Wikimedia Commons dosya sayfasındaki lisans: CC BY-SA 4.0</t>
        </is>
      </c>
      <c r="S181" s="29" t="inlineStr">
        <is>
          <t>Lisans kanıtları/iglesia-de-la-magdalena-01.source-evidence.json</t>
        </is>
      </c>
      <c r="T181" s="29" t="inlineStr">
        <is>
          <t>c30122cadf06715fe08c3583a15473882a651c2f620f1d6430bc4a0e47c57b11</t>
        </is>
      </c>
      <c r="U181" s="29" t="inlineStr">
        <is>
          <t>Lisans kanıtları/iglesia-de-la-magdalena-01.license-evidence.json</t>
        </is>
      </c>
      <c r="V181" s="29" t="inlineStr">
        <is>
          <t>d11eb7e610c9db1b7596275477da3cc2ea305053038f18157ed98ad8c34a2e9d</t>
        </is>
      </c>
      <c r="W181" s="29" t="inlineStr">
        <is>
          <t>{"source_url": "https://commons.wikimedia.org/wiki/File:Campanario_de_la_Iglesia_de_Santa_Mar%C3%ADa_Magdalena,_Sevilla.jpg", "author": "José Luis Filpo Cabana", "license": "CC BY-SA 4.0", "license_url": "https://creativecommons.org/licenses/by-sa/4.0/", "original_api_record": {"size": 6296138, "width": 4152, "height": 2335, "thumburl": "https://thumb.wikimedia.org/wikipedia/commons/thumb/c/c9/Campanario_de_la_Iglesia_de_Santa_Mar%C3%ADa_Magdalena%2C_Sevilla.jpg/1280px-Campanario_de_la_Iglesia_de_Santa_Mar%C3%ADa_Magdalena%2C_Sevilla.jpg", "thumbwidth": 1280, "thumbheight": 720, "responsiveUrls": {"2": "https://thumb.wikimedia.org/wikipedia/commons/thumb/c/c9/Campanario_de_la_Iglesia_de_Santa_Mar%C3%ADa_Magdalena%2C_Sevilla.jpg/3840px-Campanario_de_la_Iglesia_de_Santa_Mar%C3%ADa_Magdalena%2C_Sevilla.jpg"}, "thumbattribs": {"src": "https://thumb.wikimedia.org/wikipedia/commons/thumb/c/c9/Campanario_de_la_Iglesia_de_Santa_Mar%C3%ADa_Magdalena%2C_Sevilla.jpg/1280px-Campanario_de_la_Iglesia_de_Santa_Mar%C3%ADa_Magdalena%2C_Sevilla.jpg", "decoding": "async", "loading": "lazy", "width": 1280, "height": 720, "srcset": "https://thumb.wikimedia.org/wikipedia/commons/thumb/c/c9/Campanario_de_la_Iglesia_de_Santa_Mar%C3%ADa_Magdalena%2C_Sevilla.jpg/3840px-Campanario_de_la_Iglesia_de_Santa_Mar%C3%ADa_Magdalena%2C_Sevilla.jpg 2x"}, "url": "https://upload.wikimedia.org/wikipedia/commons/c/c9/Campanario_de_la_Iglesia_de_Santa_Mar%C3%ADa_Magdalena%2C_Sevilla.jpg", "descriptionurl": "https://commons.wikimedia.org/wiki/File:Campanario_de_la_Iglesia_de_Santa_Mar%C3%ADa_Magdalena,_Sevilla.jpg", "descriptionshorturl": "https://commons.wikimedia.org/w/index.php?curid=10002772", "sha1": "ec20a89565b5f6bf46d4a1c11456a927e8216d96", "extmetadata": {"DateTime": {"value": "2020-09-12 09:53:21", "source": "mediawiki-metadata", "hidden": ""}, "ObjectName": {"value": "Campanario de la Iglesia de Santa María Magdalena, Sevilla", "source": "mediawiki-metadata"}, "CommonsMetadataExtension": {"value": 1.2, "source": "extension", "hidden": ""}, "Categories": {"value": "GFDL|Leonardo de Figueroa|Exterior of Iglesia de Santa María Magdalena (Sevilla)|License migration redundant|CC-BY-SA-4.0,3.0,2.5,2.0,1.0|Self-published work|Bell gables in the province of Seville|March 2009 in Spain|March 2009 photographs|Files with coordinates missing SDC location of creation", "source": "commons-categories", "hidden": ""}, "Assessments": {"value": "", "source": "commons-categories", "hidden": ""}, "GPSLatitude": {"value": "37.390278", "source": "commons-desc-page"}, "GPSLongitude": {"value": "-5.998817", "source": "commons-desc-page"}, "GPSMapDatum": {"value": "WGS-84", "source": "commons-desc-page", "hidden": ""}, "ImageDescription": {"value": "Espadaña de la &lt;a href=\"https://es.wikipedia.org/wiki/Iglesia_de_Santa_Mar%C3%ADa_Magdalena_(Sevilla)\" class=\"extiw\" title=\"es:Iglesia de Santa María Magdalena (Sevilla)\"&gt;Iglesia de Santa María Magdalena&lt;/a&gt; del antiguo convento dominico de &lt;a href=\"https://es.wikipedia.org/wiki/Convento_de_San_Pablo_el_Real_(Sevilla)\" class=\"extiw\" title=\"es:Convento de San Pablo el Real (Sevilla)\"&gt;San Pablo el Real&lt;/a&gt;.", "source": "commons-desc-page"}, "DateTimeOriginal": {"value": "2009-03", "source": "commons-desc-page"}, "Credit": {"value": "&lt;span class=\"int-own-work\" lang=\"en\"&gt;Own work&lt;/span&gt;", "source": "commons-desc-page"}, "Artist": {"value": "José Luis Filpo Cabana",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"https://thumb.wikimedia.org/wikipedia/commons/thumb/c/c9/Campanario_de_la_Iglesia_de_Santa_Mar%C3%ADa_Magdalena%2C_Sevilla.jpg/1280px-Campanario_de_la_Iglesia_de_Santa_Mar%C3%ADa_Magdalena%2C_Sevilla.jpg"}, "retrieved_on": "2026-10-25"}</t>
        </is>
      </c>
    </row>
    <row r="182" ht="54" customHeight="1">
      <c r="A182" s="29" t="inlineStr">
        <is>
          <t>sevilla:evidence:iglesia-de-la-magdalena-02</t>
        </is>
      </c>
      <c r="B182" s="29" t="inlineStr">
        <is>
          <t>sevilla</t>
        </is>
      </c>
      <c r="C182" s="29" t="inlineStr">
        <is>
          <t>sevilla:photo:iglesia-de-la-magdalena-02</t>
        </is>
      </c>
      <c r="D182" s="29" t="inlineStr">
        <is>
          <t>https://commons.wikimedia.org/wiki/File:Iglesia_Magdalena_Sevilla_006.jpg</t>
        </is>
      </c>
      <c r="E182" s="29" t="inlineStr">
        <is>
          <t>File:Iglesia Magdalena Sevilla 006.jpg</t>
        </is>
      </c>
      <c r="F182" s="29" t="inlineStr">
        <is>
          <t>Anual</t>
        </is>
      </c>
      <c r="G182" s="29" t="inlineStr">
        <is>
          <t>CC BY 3.0</t>
        </is>
      </c>
      <c r="H182" s="29" t="inlineStr">
        <is>
          <t>https://creativecommons.org/licenses/by/3.0/</t>
        </is>
      </c>
      <c r="I182" s="29" t="inlineStr">
        <is>
          <t>Creative Commons Attribution 3.0</t>
        </is>
      </c>
      <c r="J182" s="29" t="inlineStr">
        <is>
          <t>Anual · CC BY 3.0 · Wikimedia Commons</t>
        </is>
      </c>
      <c r="K182" s="29" t="n"/>
      <c r="L182" s="49" t="n">
        <v>46320</v>
      </c>
      <c r="M182" s="29" t="inlineStr">
        <is>
          <t>Bekliyor</t>
        </is>
      </c>
      <c r="N182" s="29" t="inlineStr">
        <is>
          <t>Bekliyor</t>
        </is>
      </c>
      <c r="O182" s="29" t="inlineStr">
        <is>
          <t>Fotoğraflar/sevilla_iglesia-de-la-magdalena_02.jpg</t>
        </is>
      </c>
      <c r="P182" s="29" t="inlineStr">
        <is>
          <t>Magdalena Kilisesi'nin yan cephesi ve önündeki yapraksız ağaçlar.</t>
        </is>
      </c>
      <c r="Q182" s="29" t="inlineStr">
        <is>
          <t>Bekliyor</t>
        </is>
      </c>
      <c r="R182" s="29" t="inlineStr">
        <is>
          <t>Wikimedia Commons dosya sayfasındaki lisans: CC BY 3.0</t>
        </is>
      </c>
      <c r="S182" s="29" t="inlineStr">
        <is>
          <t>Lisans kanıtları/iglesia-de-la-magdalena-02.source-evidence.json</t>
        </is>
      </c>
      <c r="T182" s="29" t="inlineStr">
        <is>
          <t>4d07d72671ae233a16a96c0aadc2bb6a33e91705ae937c54592225321f8005bc</t>
        </is>
      </c>
      <c r="U182" s="29" t="inlineStr">
        <is>
          <t>Lisans kanıtları/iglesia-de-la-magdalena-02.license-evidence.json</t>
        </is>
      </c>
      <c r="V182" s="29" t="inlineStr">
        <is>
          <t>f5f735e0c6dc824ab9955efa5faa950cc8133402641d8a326aab74f8bfec9d7b</t>
        </is>
      </c>
      <c r="W182" s="29" t="inlineStr">
        <is>
          <t>{"source_url": "https://commons.wikimedia.org/wiki/File:Iglesia_Magdalena_Sevilla_006.jpg", "author": "Anual", "license": "CC BY 3.0", "license_url": "https://creativecommons.org/licenses/by/3.0/", "original_api_record": {"size": 6781889, "width": 3872, "height": 2592, "thumburl": "https://thumb.wikimedia.org/wikipedia/commons/thumb/a/a5/Iglesia_Magdalena_Sevilla_006.jpg/1280px-Iglesia_Magdalena_Sevilla_006.jpg", "thumbwidth": 1280, "thumbheight": 857, "responsiveUrls": {"2": "https://thumb.wikimedia.org/wikipedia/commons/thumb/a/a5/Iglesia_Magdalena_Sevilla_006.jpg/3840px-Iglesia_Magdalena_Sevilla_006.jpg"}, "thumbattribs": {"src": "https://thumb.wikimedia.org/wikipedia/commons/thumb/a/a5/Iglesia_Magdalena_Sevilla_006.jpg/1280px-Iglesia_Magdalena_Sevilla_006.jpg", "decoding": "async", "loading": "lazy", "width": 1280, "height": 857, "srcset": "https://thumb.wikimedia.org/wikipedia/commons/thumb/a/a5/Iglesia_Magdalena_Sevilla_006.jpg/3840px-Iglesia_Magdalena_Sevilla_006.jpg 2x"}, "url": "https://upload.wikimedia.org/wikipedia/commons/a/a5/Iglesia_Magdalena_Sevilla_006.jpg", "descriptionurl": "https://commons.wikimedia.org/wiki/File:Iglesia_Magdalena_Sevilla_006.jpg", "descriptionshorturl": "https://commons.wikimedia.org/w/index.php?curid=6223347", "sha1": "d04a0497471f84521be08fed9f1eb6d48bf88351", "extmetadata": {"DateTime": {"value": "2009-03-13 20:44:51", "source": "mediawiki-metadata", "hidden": ""}, "ObjectName": {"value": "Iglesia Magdalena Sevilla 006", "source": "mediawiki-metadata"}, "CommonsMetadataExtension": {"value": 1.2, "source": "extension", "hidden": ""}, "Categories": {"value": "GFDL|Taken with Nikon D80|Exterior of Iglesia de Santa María Magdalena (Sevilla)|License migration redundant|Self-published work|Cultural heritage monuments in Spain with known IDs|March 2009 in Seville|Cultural heritage monuments in Spain missing SDC location of creation|Cultural heritage monuments in Spain missing SDC depicts", "source": "commons-categories", "hidden": ""}, "Assessments": {"value": "", "source": "commons-categories", "hidden": ""}, "ImageDescription": {"value": "Church Santa María Magdalena (Sevilla) Spain", "source": "commons-desc-page"}, "DateTimeOriginal": {"value": "2009-03-01", "source": "commons-desc-page"}, "Credit": {"value": "&lt;span class=\"int-own-work\" lang=\"en\"&gt;Own work&lt;/span&gt;", "source": "commons-desc-page"}, "Artist": {"value": "&lt;a href=\"//commons.wikimedia.org/wiki/User:Anual\" title=\"User:Anual\"&gt;Anual&lt;/a&gt;",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"https://thumb.wikimedia.org/wikipedia/commons/thumb/a/a5/Iglesia_Magdalena_Sevilla_006.jpg/1280px-Iglesia_Magdalena_Sevilla_006.jpg"}, "retrieved_on": "2026-10-25"}</t>
        </is>
      </c>
    </row>
    <row r="183" ht="54" customHeight="1">
      <c r="A183" s="29" t="inlineStr">
        <is>
          <t>sevilla:evidence:iglesia-de-la-magdalena-03</t>
        </is>
      </c>
      <c r="B183" s="29" t="inlineStr">
        <is>
          <t>sevilla</t>
        </is>
      </c>
      <c r="C183" s="29" t="inlineStr">
        <is>
          <t>sevilla:photo:iglesia-de-la-magdalena-03</t>
        </is>
      </c>
      <c r="D183" s="29" t="inlineStr">
        <is>
          <t>https://commons.wikimedia.org/wiki/File:Iglesia_Magdalena_Sevilla_05.jpg</t>
        </is>
      </c>
      <c r="E183" s="29" t="inlineStr">
        <is>
          <t>File:Iglesia Magdalena Sevilla 05.jpg</t>
        </is>
      </c>
      <c r="F183" s="29" t="inlineStr">
        <is>
          <t>Anual</t>
        </is>
      </c>
      <c r="G183" s="29" t="inlineStr">
        <is>
          <t>CC BY-SA 3.0</t>
        </is>
      </c>
      <c r="H183" s="29" t="inlineStr">
        <is>
          <t>https://creativecommons.org/licenses/by-sa/3.0/</t>
        </is>
      </c>
      <c r="I183" s="29" t="inlineStr">
        <is>
          <t>Creative Commons Attribution-Share Alike 3.0</t>
        </is>
      </c>
      <c r="J183" s="29" t="inlineStr">
        <is>
          <t>Anual · CC BY-SA 3.0 · Wikimedia Commons</t>
        </is>
      </c>
      <c r="K183" s="29" t="n"/>
      <c r="L183" s="49" t="n">
        <v>46320</v>
      </c>
      <c r="M183" s="29" t="inlineStr">
        <is>
          <t>Bekliyor</t>
        </is>
      </c>
      <c r="N183" s="29" t="inlineStr">
        <is>
          <t>Bekliyor</t>
        </is>
      </c>
      <c r="O183" s="29" t="inlineStr">
        <is>
          <t>Fotoğraflar/sevilla_iglesia-de-la-magdalena_03.jpg</t>
        </is>
      </c>
      <c r="P183" s="29" t="inlineStr">
        <is>
          <t>Magdalena Kilisesi'nin süslemeli barok cephesi ve kubbesi.</t>
        </is>
      </c>
      <c r="Q183" s="29" t="inlineStr">
        <is>
          <t>Bekliyor</t>
        </is>
      </c>
      <c r="R183" s="29" t="inlineStr">
        <is>
          <t>Wikimedia Commons dosya sayfasındaki lisans: CC BY-SA 3.0</t>
        </is>
      </c>
      <c r="S183" s="29" t="inlineStr">
        <is>
          <t>Lisans kanıtları/iglesia-de-la-magdalena-03.source-evidence.json</t>
        </is>
      </c>
      <c r="T183" s="29" t="inlineStr">
        <is>
          <t>311d3ebffd5d912885d188e5fe4a6c151304f7393ae18ade31cd930460e202f0</t>
        </is>
      </c>
      <c r="U183" s="29" t="inlineStr">
        <is>
          <t>Lisans kanıtları/iglesia-de-la-magdalena-03.license-evidence.json</t>
        </is>
      </c>
      <c r="V183" s="29" t="inlineStr">
        <is>
          <t>9b316d1c1181be55a7e994b42d0e487745418ed8558e2c14298eb508424d2752</t>
        </is>
      </c>
      <c r="W183" s="29" t="inlineStr">
        <is>
          <t>{"source_url": "https://commons.wikimedia.org/wiki/File:Iglesia_Magdalena_Sevilla_05.jpg", "author": "Anual", "license": "CC BY-SA 3.0", "license_url": "https://creativecommons.org/licenses/by-sa/3.0/", "original_api_record": {"size": 1917191, "width": 2288, "height": 2128, "thumburl": "https://thumb.wikimedia.org/wikipedia/commons/thumb/c/c0/Iglesia_Magdalena_Sevilla_05.jpg/1280px-Iglesia_Magdalena_Sevilla_05.jpg", "thumbwidth": 1280, "thumbheight": 1190, "responsiveUrls": {"2": "https://upload.wikimedia.org/wikipedia/commons/c/c0/Iglesia_Magdalena_Sevilla_05.jpg"}, "thumbattribs": {"src": "https://thumb.wikimedia.org/wikipedia/commons/thumb/c/c0/Iglesia_Magdalena_Sevilla_05.jpg/1280px-Iglesia_Magdalena_Sevilla_05.jpg", "decoding": "async", "loading": "lazy", "width": 1280, "height": 1190, "srcset": "https://upload.wikimedia.org/wikipedia/commons/c/c0/Iglesia_Magdalena_Sevilla_05.jpg 2x"}, "url": "https://upload.wikimedia.org/wikipedia/commons/c/c0/Iglesia_Magdalena_Sevilla_05.jpg", "descriptionurl": "https://commons.wikimedia.org/wiki/File:Iglesia_Magdalena_Sevilla_05.jpg", "descriptionshorturl": "https://commons.wikimedia.org/w/index.php?curid=5021056", "sha1": "51fd05be4aefa2a20e9985bbf5aa4375e0e854da", "extmetadata": {"DateTime": {"value": "2008-10-18 21:52:24", "source": "mediawiki-metadata", "hidden": ""}, "ObjectName": {"value": "Iglesia Magdalena Sevilla 05", "source": "mediawiki-metadata"}, "CommonsMetadataExtension": {"value": 1.2, "source": "extension", "hidden": ""}, "Categories": {"value": "GFDL|Exterior of Iglesia de Santa María Magdalena (Sevilla)|License migration redundant|Self-published work|Church facades in the province of Seville|Bell gables in the province of Seville|Photographs taken on 2008-10-17|Serliana in Andalusia", "source": "commons-categories", "hidden": ""}, "Assessments": {"value": "", "source": "commons-categories", "hidden": ""}, "ImageDescription": {"value": "Church of Magdalena, Seville", "source": "commons-desc-page"}, "DateTimeOriginal": {"value": "2008-10-17", "source": "commons-desc-page"}, "Credit": {"value": "&lt;span class=\"int-own-work\" lang=\"en\"&gt;Own work&lt;/span&gt;", "source": "commons-desc-page"}, "Artist": {"value": "&lt;a href=\"//commons.wikimedia.org/wiki/User:Anual\" title=\"User:Anual\"&gt;Anual&lt;/a&gt;",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"https://thumb.wikimedia.org/wikipedia/commons/thumb/c/c0/Iglesia_Magdalena_Sevilla_05.jpg/1280px-Iglesia_Magdalena_Sevilla_05.jpg"}, "retrieved_on": "2026-10-25"}</t>
        </is>
      </c>
    </row>
    <row r="184" ht="54" customHeight="1">
      <c r="A184" s="29" t="inlineStr">
        <is>
          <t>sevilla:evidence:santa-cruz-01</t>
        </is>
      </c>
      <c r="B184" s="29" t="inlineStr">
        <is>
          <t>sevilla</t>
        </is>
      </c>
      <c r="C184" s="29" t="inlineStr">
        <is>
          <t>sevilla:photo:santa-cruz-01</t>
        </is>
      </c>
      <c r="D184" s="29" t="inlineStr">
        <is>
          <t>https://commons.wikimedia.org/wiki/File:Calle_Miguel_Ma%C3%B1ara,_Sevilla_SP.jpg</t>
        </is>
      </c>
      <c r="E184" s="29" t="inlineStr">
        <is>
          <t>File:Calle Miguel Mañara, Sevilla SP.jpg</t>
        </is>
      </c>
      <c r="F184" s="29" t="inlineStr">
        <is>
          <t>Stefano Vigorelli</t>
        </is>
      </c>
      <c r="G184" s="29" t="inlineStr">
        <is>
          <t>CC BY-SA 4.0</t>
        </is>
      </c>
      <c r="H184" s="29" t="inlineStr">
        <is>
          <t>https://creativecommons.org/licenses/by-sa/4.0/</t>
        </is>
      </c>
      <c r="I184" s="29" t="inlineStr">
        <is>
          <t>Creative Commons Attribution-Share Alike 4.0</t>
        </is>
      </c>
      <c r="J184" s="29" t="inlineStr">
        <is>
          <t>Stefano Vigorelli · CC BY-SA 4.0 · Wikimedia Commons</t>
        </is>
      </c>
      <c r="K184" s="29" t="n"/>
      <c r="L184" s="49" t="n">
        <v>46320</v>
      </c>
      <c r="M184" s="29" t="inlineStr">
        <is>
          <t>Bekliyor</t>
        </is>
      </c>
      <c r="N184" s="29" t="inlineStr">
        <is>
          <t>Bekliyor</t>
        </is>
      </c>
      <c r="O184" s="29" t="inlineStr">
        <is>
          <t>Fotoğraflar/sevilla_santa-cruz_01.jpg</t>
        </is>
      </c>
      <c r="P184" s="29" t="inlineStr">
        <is>
          <t>Santa Cruz'da sütunlu, yeşillikli bir avlu.</t>
        </is>
      </c>
      <c r="Q184" s="29" t="inlineStr">
        <is>
          <t>Bekliyor</t>
        </is>
      </c>
      <c r="R184" s="29" t="inlineStr">
        <is>
          <t>Wikimedia Commons dosya sayfasındaki lisans: CC BY-SA 4.0</t>
        </is>
      </c>
      <c r="S184" s="29" t="inlineStr">
        <is>
          <t>Lisans kanıtları/santa-cruz-01.source-evidence.json</t>
        </is>
      </c>
      <c r="T184" s="29" t="inlineStr">
        <is>
          <t>1cf0dd489f1dc8bf5b3fc49ba3a9b6b7d4941f82824908eb8c4829697fa09f76</t>
        </is>
      </c>
      <c r="U184" s="29" t="inlineStr">
        <is>
          <t>Lisans kanıtları/santa-cruz-01.license-evidence.json</t>
        </is>
      </c>
      <c r="V184" s="29" t="inlineStr">
        <is>
          <t>e6da1300336e6ecb7e313266d68a0739ecb9543436f5442dfca99ff61f8f74cd</t>
        </is>
      </c>
      <c r="W184" s="29" t="inlineStr">
        <is>
          <t>{"source_url": "https://commons.wikimedia.org/wiki/File:Calle_Miguel_Ma%C3%B1ara,_Sevilla_SP.jpg", "author": "Stefano Vigorelli", "license": "CC BY-SA 4.0", "license_url": "https://creativecommons.org/licenses/by-sa/4.0/", "original_api_record": {"size": 1161173, "width": 3008, "height": 2000, "thumburl": "https://thumb.wikimedia.org/wikipedia/commons/thumb/9/95/Calle_Miguel_Ma%C3%B1ara%2C_Sevilla_SP.jpg/1280px-Calle_Miguel_Ma%C3%B1ara%2C_Sevilla_SP.jpg", "thumbwidth": 1280, "thumbheight": 851, "responsiveUrls": {"2": "https://upload.wikimedia.org/wikipedia/commons/9/95/Calle_Miguel_Ma%C3%B1ara%2C_Sevilla_SP.jpg"}, "thumbattribs": {"src": "https://thumb.wikimedia.org/wikipedia/commons/thumb/9/95/Calle_Miguel_Ma%C3%B1ara%2C_Sevilla_SP.jpg/1280px-Calle_Miguel_Ma%C3%B1ara%2C_Sevilla_SP.jpg", "decoding": "async", "loading": "lazy", "width": 1280, "height": 851, "srcset": "https://upload.wikimedia.org/wikipedia/commons/9/95/Calle_Miguel_Ma%C3%B1ara%2C_Sevilla_SP.jpg 2x"}, "url": "https://upload.wikimedia.org/wikipedia/commons/9/95/Calle_Miguel_Ma%C3%B1ara%2C_Sevilla_SP.jpg", "descriptionurl": "https://commons.wikimedia.org/wiki/File:Calle_Miguel_Ma%C3%B1ara,_Sevilla_SP.jpg", "descriptionshorturl": "https://commons.wikimedia.org/w/index.php?curid=130286456", "sha1": "45152c084bd572b77e0d9e7d658255d152d8183d", "extmetadata": {"DateTime": {"value": "2023-04-02 09:06:33", "source": "mediawiki-metadata", "hidden": ""}, "ObjectName": {"value": "Calle Miguel Mañara, Sevilla SP", "source": "mediawiki-metadata"}, "CommonsMetadataExtension": {"value": 1.2, "source": "extension", "hidden": ""}, "Categories": {"value": "Self-published work|Miguel Mañara 3, Sevilla|Patios in Seville|Buildings in Santa Cruz, Seville", "source": "commons-categories", "hidden": ""}, "Assessments": {"value": "", "source": "commons-categories", "hidden": ""}, "ImageDescription": {"value": "Calle Miguel Mañara, Sevilla", "source": "commons-desc-page"}, "DateTimeOriginal": {"value": "2016-02-11 13:26:57", "source": "commons-desc-page"}, "Credit": {"value": "&lt;span class=\"int-own-work\" lang=\"en\"&gt;Own work&lt;/span&gt;", "source": "commons-desc-page"}, "Artist": {"value": "&lt;a href=\"//commons.wikimedia.org/w/index.php?title=User:Stefano_Vigorelli&amp;amp;action=edit&amp;amp;redlink=1\" class=\"new\" title=\"User:Stefano Vigorelli (page does not exist)\"&gt;Stefano Vigorelli&lt;/a&gt;",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"https://thumb.wikimedia.org/wikipedia/commons/thumb/9/95/Calle_Miguel_Ma%C3%B1ara%2C_Sevilla_SP.jpg/1280px-Calle_Miguel_Ma%C3%B1ara%2C_Sevilla_SP.jpg"}, "retrieved_on": "2026-10-25"}</t>
        </is>
      </c>
    </row>
    <row r="185" ht="54" customHeight="1">
      <c r="A185" s="29" t="inlineStr">
        <is>
          <t>sevilla:evidence:santa-cruz-02</t>
        </is>
      </c>
      <c r="B185" s="29" t="inlineStr">
        <is>
          <t>sevilla</t>
        </is>
      </c>
      <c r="C185" s="29" t="inlineStr">
        <is>
          <t>sevilla:photo:santa-cruz-02</t>
        </is>
      </c>
      <c r="D185" s="29" t="inlineStr">
        <is>
          <t>https://commons.wikimedia.org/wiki/File:Charming_Old_House_@_Seville_-_panoramio.jpg</t>
        </is>
      </c>
      <c r="E185" s="29" t="inlineStr">
        <is>
          <t>File:Charming Old House @ Seville - panoramio.jpg</t>
        </is>
      </c>
      <c r="F185" s="29" t="inlineStr">
        <is>
          <t>Rogier Want</t>
        </is>
      </c>
      <c r="G185" s="29" t="inlineStr">
        <is>
          <t>CC BY-SA 3.0</t>
        </is>
      </c>
      <c r="H185" s="29" t="inlineStr">
        <is>
          <t>https://creativecommons.org/licenses/by-sa/3.0/</t>
        </is>
      </c>
      <c r="I185" s="29" t="inlineStr">
        <is>
          <t>Creative Commons Attribution-Share Alike 3.0</t>
        </is>
      </c>
      <c r="J185" s="29" t="inlineStr">
        <is>
          <t>Rogier Want · CC BY-SA 3.0 · Wikimedia Commons</t>
        </is>
      </c>
      <c r="K185" s="29" t="n"/>
      <c r="L185" s="49" t="n">
        <v>46320</v>
      </c>
      <c r="M185" s="29" t="inlineStr">
        <is>
          <t>Bekliyor</t>
        </is>
      </c>
      <c r="N185" s="29" t="inlineStr">
        <is>
          <t>Bekliyor</t>
        </is>
      </c>
      <c r="O185" s="29" t="inlineStr">
        <is>
          <t>Fotoğraflar/sevilla_santa-cruz_02.jpg</t>
        </is>
      </c>
      <c r="P185" s="29" t="inlineStr">
        <is>
          <t>Santa Cruz'da palmiye ağacının yanında eski bir konak.</t>
        </is>
      </c>
      <c r="Q185" s="29" t="inlineStr">
        <is>
          <t>Bekliyor</t>
        </is>
      </c>
      <c r="R185" s="29" t="inlineStr">
        <is>
          <t>Wikimedia Commons dosya sayfasındaki lisans: CC BY-SA 3.0</t>
        </is>
      </c>
      <c r="S185" s="29" t="inlineStr">
        <is>
          <t>Lisans kanıtları/santa-cruz-02.source-evidence.json</t>
        </is>
      </c>
      <c r="T185" s="29" t="inlineStr">
        <is>
          <t>0111afd6685ab698b762828e57283b271352944505f6f2f91730b381ae367112</t>
        </is>
      </c>
      <c r="U185" s="29" t="inlineStr">
        <is>
          <t>Lisans kanıtları/santa-cruz-02.license-evidence.json</t>
        </is>
      </c>
      <c r="V185" s="29" t="inlineStr">
        <is>
          <t>cc1a22fa5f99d8d409212dae4b2af6d3c83992ed371b3fe73b763bf7380f27bf</t>
        </is>
      </c>
      <c r="W185" s="29" t="inlineStr">
        <is>
          <t>{"source_url": "https://commons.wikimedia.org/wiki/File:Charming_Old_House_@_Seville_-_panoramio.jpg", "author": "Rogier Want", "license": "CC BY-SA 3.0", "license_url": "https://creativecommons.org/licenses/by-sa/3.0/", "original_api_record": {"size": 2328823, "width": 3000, "height": 4000, "thumburl": "https://thumb.wikimedia.org/wikipedia/commons/thumb/9/94/Charming_Old_House_%40_Seville_-_panoramio.jpg/1280px-Charming_Old_House_%40_Seville_-_panoramio.jpg", "thumbwidth": 1280, "thumbheight": 1707, "responsiveUrls": {"2": "https://upload.wikimedia.org/wikipedia/commons/9/94/Charming_Old_House_%40_Seville_-_panoramio.jpg"}, "thumbattribs": {"src": "https://thumb.wikimedia.org/wikipedia/commons/thumb/9/94/Charming_Old_House_%40_Seville_-_panoramio.jpg/1280px-Charming_Old_House_%40_Seville_-_panoramio.jpg", "decoding": "async", "loading": "lazy", "width": 1280, "height": 1707, "srcset": "https://upload.wikimedia.org/wikipedia/commons/9/94/Charming_Old_House_%40_Seville_-_panoramio.jpg 2x"}, "url": "https://upload.wikimedia.org/wikipedia/commons/9/94/Charming_Old_House_%40_Seville_-_panoramio.jpg", "descriptionurl": "https://commons.wikimedia.org/wiki/File:Charming_Old_House_@_Seville_-_panoramio.jpg", "descriptionshorturl": "https://commons.wikimedia.org/w/index.php?curid=59027242", "sha1": "6cb74dc4c00e8fc577c573fadfa0c639a58962d7", "extmetadata": {"DateTime": {"value": "2017-05-18 09:50:31", "source": "mediawiki-metadata", "hidden": ""}, "ObjectName": {"value": "Charming Old House @ Seville - panoramio", "source": "mediawiki-metadata"}, "CommonsMetadataExtension": {"value": 1.2, "source": "extension", "hidden": ""}, "Categories": {"value": "Panoramio files uploaded by Panoramio upload bot|Panoramio images reviewed by trusted users|Houses in Seville|Photos from Panoramio|Files with coordinates missing SDC location of creation|Spain photographs taken on 2013-11-09|Buildings in Santa Cruz, Seville|Photos from Panoramio ID 7020820", "source": "commons-categories", "hidden": ""}, "Assessments": {"value": "", "source": "commons-categories", "hidden": ""}, "GPSLatitude": {"value": "37.384730", "source": "commons-desc-page"}, "GPSLongitude": {"value": "-5.988625", "source": "commons-desc-page"}, "GPSMapDatum": {"value": "WGS-84", "source": "commons-desc-page", "hidden": ""}, "ImageDescription": {"value": "Charming Old House @ Seville", "source": "commons-desc-page"}, "DateTimeOriginal": {"value": "Taken on 9 November 2013", "source": "commons-desc-page"}, "Credit": {"value": "&lt;a rel=\"nofollow\" class=\"external free\" href=\"https://web.archive.org/web/20161031065642/http://www.panoramio.com/photo/115602040\"&gt;https://web.archive.org/web/20161031065642/http://www.panoramio.com/photo/115602040&lt;/a&gt;", "source": "commons-desc-page"}, "Artist": {"value": "&lt;a rel=\"nofollow\" class=\"external text\" href=\"https://web.archive.org/web/20161031065649/http://www.panoramio.com/user/7020820?with_photo_id=115602040\"&gt;Rogier Want&lt;/a&gt;", "source": "commons-desc-page"}, "Permission": {"value": "&lt;div class=\"responsive-license-cc layouttemplate licensetpl\" dir=\"ltr\" lang=\"en\"&gt;&lt;div class=\"rlicense-icons\"&gt;&lt;span class=\"skin-invert\" typeof=\"mw:File\"&gt;&lt;span title=\"w:en:Creative Commons\"&gt;&lt;img alt=\"w:en:Creative Commons\" src=\"https://thumb.wikimedia.org/wikipedia/commons/thumb/7/79/CC_some_rights_reserved.svg/120px-CC_some_rights_reserved.svg.png?utm_source=commons.wikimedia.org&amp;amp;utm_campaign=parser&amp;amp;utm_content=thumbnail\" decoding=\"async\" loading=\"lazy\" width=\"90\" height=\"36\" class=\"mw-file-element\" srcset=\"https://thumb.wikimedia.org/wikipedia/commons/thumb/7/79/CC_some_rights_reserved.svg/250px-CC_some_rights_reserved.svg.png?utm_source=commons.wikimedia.org&amp;amp;utm_campaign=parser&amp;amp;utm_content=thumbnail 2x\" data-file-width=\"744\" data-file-height=\"300\"&gt;&lt;/span&gt;&lt;/span&gt;&lt;br&gt;\n&lt;span class=\"skin-invert\" typeof=\"mw:File\"&gt;&lt;span title=\"attribution\"&gt;&lt;img alt=\"attribution\" src=\"https://thumb.wikimedia.org/wikipedia/commons/thumb/1/11/Cc-by_new_white.svg/40px-Cc-by_new_white.svg.png?utm_source=commons.wikimedia.org&amp;amp;utm_campaign=parser&amp;amp;utm_content=thumbnail\" decoding=\"async\" loading=\"lazy\" width=\"24\" height=\"24\" class=\"mw-file-element\" srcset=\"https://thumb.wikimedia.org/wikipedia/commons/thumb/1/11/Cc-by_new_white.svg/60px-Cc-by_new_white.svg.png?utm_source=commons.wikimedia.org&amp;amp;utm_campaign=parser&amp;amp;utm_content=thumbnail 2x\" data-file-width=\"64\" data-file-height=\"64\"&gt;&lt;/span&gt;&lt;/span&gt; &lt;span class=\"skin-invert\" typeof=\"mw:File\"&gt;&lt;span title=\"share alike\"&gt;&lt;img alt=\"share alike\" src=\"https://thumb.wikimedia.org/wikipedia/commons/thumb/d/df/Cc-sa_white.svg/40px-Cc-sa_white.svg.png?utm_source=commons.wikimedia.org&amp;amp;utm_campaign=parser&amp;amp;utm_content=thumbnail\" decoding=\"async\" loading=\"lazy\" width=\"24\" height=\"24\" class=\"mw-file-element\" srcset=\"https://thumb.wikimedia.org/wikipedia/commons/thumb/d/df/Cc-sa_white.svg/60px-Cc-sa_white.svg.png?utm_source=commons.wikimedia.org&amp;amp;utm_campaign=parser&amp;amp;utm_content=thumbnail 2x\" data-file-width=\"64\" data-file-height=\"64\"&gt;&lt;/span&gt;&lt;/span&gt;&lt;/div&gt;&lt;div class=\"rlicense-text\"&gt;&lt;div class=\"rlicense-declaration\"&gt;This file is licensed under the &lt;a href=\"https://en.wikipedia.org/wiki/en:Creative_Commons\" class=\"extiw\" title=\"w:en:Creative Commons\"&gt;Creative Commons&lt;/a&gt; &lt;a href=\"//creativecommons.org/licenses/by-sa/3.0/deed.en\" class=\"extiw\" title=\"creativecommons:by-sa/3.0/deed.en\"&gt;Attribution-Share Alike 3.0 Unported&lt;/a&gt; license.&lt;/div&gt;&lt;div class=\"rlicense-attr\" style=\"font-weight: bold;\"&gt;Attribution: &lt;div style=\"display:inline;font-size:larger;\" class=\"licensetpl_attr\"&gt;Rogier Want&lt;/div&gt;&lt;/div&gt;&lt;div class=\"rlicense-desc\" style=\"text-align:start;\" lang=\"en\"&gt;\n&lt;dl&gt;&lt;dd&gt;You are free:\n&lt;ul&gt;&lt;li&gt;&lt;b&gt;to share&lt;/b&gt; – to copy, distribute and transmit the work&lt;/li&gt;\n&lt;li&gt;&lt;b&gt;to remix&lt;/b&gt; – to adapt the work&lt;/li&gt;&lt;/ul&gt;&lt;/dd&gt;\n&lt;dd&gt;Under the following conditions:\n&lt;ul&gt;&lt;li&gt;&lt;b&gt;attribution&lt;/b&gt; – You must give appropriate credit, provide a link to the license, and indicate if changes were made. You may do so in any reasonable manner, but not in any way that suggests the licensor endorses you or your use.&lt;/li&gt;\n&lt;li&gt;&lt;b&gt;share alike&lt;/b&gt; – If you remix, transform, or build upon the material, you must distribute your contributions under the &lt;a href=\"https://creativecommons.org/share-your-work/licensing-considerations/compatible-licenses\" class=\"extiw\" title=\"ccorg:share-your-work/licensing-considerations/compatible-licenses\"&gt;same or compatible license&lt;/a&gt; as the original.&lt;/li&gt;&lt;/ul&gt;&lt;/dd&gt;&lt;/dl&gt;&lt;/div&gt;&lt;span class=\"licensetpl_link\" style=\"display:none;\"&gt;https://creativecommons.org/licenses/by-sa/3.0&lt;/span&gt;&lt;span class=\"licensetpl_short\" style=\"display:none;\"&gt;CC BY-SA 3.0 &lt;/span&gt;&lt;span class=\"licensetpl_long\" style=\"display:none;\"&gt;Creative Commons Attribution-Share Alike 3.0 &lt;/span&gt;&lt;span class=\"licensetpl_link_req\" style=\"display:none;\"&gt;true&lt;/span&gt;&lt;span class=\"licensetpl_attr_req\" style=\"display:none;\"&gt;true&lt;/span&gt;&lt;/div&gt;&lt;/div&gt;\n&lt;style data-mw-deduplicate=\"TemplateStyles:r901585720\"&gt;.mw-parser-output .panoramioreview{width:100%;margin:0.5em 0;background-color:var(--background-color-warning-subtle,#fffff0);padding:5px;border:1px solid var(--border-color-warning,#aa8);color:inherit}.mw-parser-output .panoramioreview-failed{background-color:var(--background-color-error-subtle,#fcc);color:inherit}.mw-parser-output .panoramioreview-passed{background-color:var(--background-color-success-subtle,#efe);color:inherit}&lt;/style&gt;\n&lt;table class=\"panoramioreview panoramioreview-passed\" lang=\"en\" dir=\"ltr\"&gt;\n\n&lt;tbody&gt;&lt;tr&gt;\n&lt;td&gt;&lt;span typeof=\"mw:File\"&gt;&lt;span&gt;&lt;img alt=\"\" src=\"https://thumb.wikimedia.org/wikipedia/commons/thumb/9/95/Checked_copyright_icon.svg/60px-Checked_copyright_icon.svg.png?utm_source=commons.wikimedia.org&amp;amp;utm_campaign=parser&amp;amp;utm_content=thumbnail\" decoding=\"async\" loading=\"lazy\" width=\"50\" height=\"48\" class=\"mw-file-element\" srcset=\"https://thumb.wikimedia.org/wikipedia/commons/thumb/9/95/Checked_copyright_icon.svg/120px-Checked_copyright_icon.svg.png?utm_source=commons.wikimedia.org&amp;amp;utm_campaign=parser&amp;amp;utm_content=thumbnail 2x\" data-file-width=\"160\" data-file-height=\"153\"&gt;&lt;/span&gt;&lt;/span&gt;\n&lt;/td&gt;\n&lt;td&gt;This image, which was originally posted to &lt;b&gt;&lt;span lang=\"en\" dir=\"ltr\"&gt;&lt;a href=\"https://en.wikipedia.org/wiki/Panoramio\" class=\"extiw\" title=\"en:Panoramio\"&gt;Panoramio&lt;/a&gt;&lt;/span&gt;&lt;/b&gt;, was automatically reviewed on 18 May 2017 by &lt;b&gt;&lt;a href=\"//commons.wikimedia.org/wiki/User:Panoramio_upload_bot\" title=\"User:Panoramio upload bot\"&gt;Panoramio upload bot&lt;/a&gt;&lt;/b&gt;, who confirmed that it was available on Panoramio under the above license on that date.\n&lt;/td&gt;\n&lt;td&gt;&lt;span typeof=\"mw:File\"&gt;&lt;a href=\"//commons.wikimedia.org/wiki/File:Star_and_ring.svg\" class=\"mw-file-description\"&gt;&lt;img src=\"https://thumb.wikimedia.org/wikipedia/commons/thumb/9/98/Star_and_ring.svg/60px-Star_and_ring.svg.png?utm_source=commons.wikimedia.org&amp;amp;utm_campaign=parser&amp;amp;utm_content=thumbnail\" decoding=\"async\" loading=\"lazy\" width=\"50\" height=\"50\" class=\"mw-file-element\" srcset=\"https://thumb.wikimedia.org/wikipedia/commons/thumb/9/98/Star_and_ring.svg/120px-Star_and_ring.svg.png?utm_source=commons.wikimedia.org&amp;amp;utm_campaign=parser&amp;amp;utm_content=thumbnail 2x\" data-file-width=\"75\" data-file-height=\"75\"&gt;&lt;/a&gt;&lt;/span&gt;\n&lt;/td&gt;&lt;/tr&gt;&lt;/tbody&gt;&lt;/table&gt;", "source": "commons-desc-page", "hidden": ""}, "LicenseShortName": {"value": "CC BY-SA 3.0", "source": "commons-desc-page", "hidden": ""}, "UsageTerms": {"value": "Creative Commons Attribution-Share Alike 3.0", "source": "commons-desc-page"}, "AttributionRequired": {"value": "true", "source": "commons-desc-page", "hidden": ""}, "Attribution": {"value": "Rogier Want",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"https://thumb.wikimedia.org/wikipedia/commons/thumb/9/94/Charming_Old_House_%40_Seville_-_panoramio.jpg/1280px-Charming_Old_House_%40_Seville_-_panoramio.jpg"}, "retrieved_on": "2026-10-25"}</t>
        </is>
      </c>
    </row>
    <row r="186" ht="54" customHeight="1">
      <c r="A186" s="29" t="inlineStr">
        <is>
          <t>sevilla:evidence:el-arenal-01</t>
        </is>
      </c>
      <c r="B186" s="29" t="inlineStr">
        <is>
          <t>sevilla</t>
        </is>
      </c>
      <c r="C186" s="29" t="inlineStr">
        <is>
          <t>sevilla:photo:el-arenal-01</t>
        </is>
      </c>
      <c r="D186" s="29" t="inlineStr">
        <is>
          <t>https://commons.wikimedia.org/wiki/File:Calle_Circo_Sevilla.jpg</t>
        </is>
      </c>
      <c r="E186" s="29" t="inlineStr">
        <is>
          <t>File:Calle Circo Sevilla.jpg</t>
        </is>
      </c>
      <c r="F186" s="29" t="inlineStr">
        <is>
          <t>Gzzz</t>
        </is>
      </c>
      <c r="G186" s="29" t="inlineStr">
        <is>
          <t>CC BY-SA 4.0</t>
        </is>
      </c>
      <c r="H186" s="29" t="inlineStr">
        <is>
          <t>https://creativecommons.org/licenses/by-sa/4.0/</t>
        </is>
      </c>
      <c r="I186" s="29" t="inlineStr">
        <is>
          <t>Creative Commons Attribution-Share Alike 4.0</t>
        </is>
      </c>
      <c r="J186" s="29" t="inlineStr">
        <is>
          <t>Gzzz · CC BY-SA 4.0 · Wikimedia Commons</t>
        </is>
      </c>
      <c r="K186" s="29" t="n"/>
      <c r="L186" s="49" t="n">
        <v>46320</v>
      </c>
      <c r="M186" s="29" t="inlineStr">
        <is>
          <t>Bekliyor</t>
        </is>
      </c>
      <c r="N186" s="29" t="inlineStr">
        <is>
          <t>Bekliyor</t>
        </is>
      </c>
      <c r="O186" s="29" t="inlineStr">
        <is>
          <t>Fotoğraflar/sevilla_el-arenal_01.jpg</t>
        </is>
      </c>
      <c r="P186" s="29" t="inlineStr">
        <is>
          <t>El Arenal'de beyaz-sarı cepheli evlerle dar Circo sokağı.</t>
        </is>
      </c>
      <c r="Q186" s="29" t="inlineStr">
        <is>
          <t>Bekliyor</t>
        </is>
      </c>
      <c r="R186" s="29" t="inlineStr">
        <is>
          <t>Wikimedia Commons dosya sayfasındaki lisans: CC BY-SA 4.0</t>
        </is>
      </c>
      <c r="S186" s="29" t="inlineStr">
        <is>
          <t>Lisans kanıtları/el-arenal-01.source-evidence.json</t>
        </is>
      </c>
      <c r="T186" s="29" t="inlineStr">
        <is>
          <t>637b6ff9f7a0a571470ab0361b30a7240926cc6eb1948780ce957a1bf75d99f9</t>
        </is>
      </c>
      <c r="U186" s="29" t="inlineStr">
        <is>
          <t>Lisans kanıtları/el-arenal-01.license-evidence.json</t>
        </is>
      </c>
      <c r="V186" s="29" t="inlineStr">
        <is>
          <t>812cf32c0bbc4522c2905d83d3b29560acd5b2bc5e8b0aa2a53bfd13d72f4c82</t>
        </is>
      </c>
      <c r="W186" s="29" t="inlineStr">
        <is>
          <t>{"source_url": "https://commons.wikimedia.org/wiki/File:Calle_Circo_Sevilla.jpg", "author": "Gzzz", "license": "CC BY-SA 4.0", "license_url": "https://creativecommons.org/licenses/by-sa/4.0/", "original_api_record": {"size": 8818663, "width": 4992, "height": 3712, "thumburl": "https://thumb.wikimedia.org/wikipedia/commons/thumb/a/a7/Calle_Circo_Sevilla.jpg/1280px-Calle_Circo_Sevilla.jpg", "thumbwidth": 1280, "thumbheight": 952, "responsiveUrls": {"2": "https://thumb.wikimedia.org/wikipedia/commons/thumb/a/a7/Calle_Circo_Sevilla.jpg/3840px-Calle_Circo_Sevilla.jpg"}, "thumbattribs": {"src": "https://thumb.wikimedia.org/wikipedia/commons/thumb/a/a7/Calle_Circo_Sevilla.jpg/1280px-Calle_Circo_Sevilla.jpg", "decoding": "async", "loading": "lazy", "width": 1280, "height": 952, "srcset": "https://thumb.wikimedia.org/wikipedia/commons/thumb/a/a7/Calle_Circo_Sevilla.jpg/3840px-Calle_Circo_Sevilla.jpg 2x"}, "url": "https://upload.wikimedia.org/wikipedia/commons/a/a7/Calle_Circo_Sevilla.jpg", "descriptionurl": "https://commons.wikimedia.org/wiki/File:Calle_Circo_Sevilla.jpg", "descriptionshorturl": "https://commons.wikimedia.org/w/index.php?curid=84846526", "sha1": "4eb5304caa471cd66b6120857da5066c274bffd3", "extmetadata": {"DateTime": {"value": "2019-12-12 21:44:04", "source": "mediawiki-metadata", "hidden": ""}, "ObjectName": {"value": "Calle Circo Sevilla", "source": "mediawiki-metadata"}, "CommonsMetadataExtension": {"value": 1.2, "source": "extension", "hidden": ""}, "Categories": {"value": "Exterior of the Maestranza|El Arenal, Seville|Self-published work|October 2019 in Seville|Files with coordinates missing SDC location of creation|Spain photographs taken on 2019-10-17|Streets in Casco Antiguo, Seville|White and yellow buildings in Seville", "source": "commons-categories", "hidden": ""}, "Assessments": {"value": "", "source": "commons-categories", "hidden": ""}, "GPSLatitude": {"value": "37.386271", "source": "commons-desc-page"}, "GPSLongitude": {"value": "-5.999038", "source": "commons-desc-page"}, "GPSMapDatum": {"value": "WGS-84", "source": "commons-desc-page", "hidden": ""}, "ImageDescription": {"value": "The Circo street, that run along the Plaza de toros de la Real Maestranza de Caballería (right) in Seville (Spain).", "source": "commons-desc-page"}, "DateTimeOriginal": {"value": "2019-10-17 15:50:56", "source": "commons-desc-page"}, "Credit": {"value": "&lt;span class=\"int-own-work\" lang=\"en\"&gt;Own work&lt;/span&gt;", "source": "commons-desc-page"}, "Artist": {"value": "&lt;a href=\"//commons.wikimedia.org/wiki/User:Gzzz\" title=\"User:Gzzz\"&gt;Gzzz&lt;/a&gt;",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"https://thumb.wikimedia.org/wikipedia/commons/thumb/a/a7/Calle_Circo_Sevilla.jpg/1280px-Calle_Circo_Sevilla.jpg"}, "retrieved_on": "2026-10-25"}</t>
        </is>
      </c>
    </row>
    <row r="187" ht="54" customHeight="1">
      <c r="A187" s="29" t="inlineStr">
        <is>
          <t>sevilla:evidence:el-arenal-02</t>
        </is>
      </c>
      <c r="B187" s="29" t="inlineStr">
        <is>
          <t>sevilla</t>
        </is>
      </c>
      <c r="C187" s="29" t="inlineStr">
        <is>
          <t>sevilla:photo:el-arenal-02</t>
        </is>
      </c>
      <c r="D187" s="29" t="inlineStr">
        <is>
          <t>https://commons.wikimedia.org/wiki/File:Restaurante_(Sevilla).jpg</t>
        </is>
      </c>
      <c r="E187" s="29" t="inlineStr">
        <is>
          <t>File:Restaurante (Sevilla).jpg</t>
        </is>
      </c>
      <c r="F187" s="29" t="inlineStr">
        <is>
          <t>CarlosVdeHabsburgo</t>
        </is>
      </c>
      <c r="G187" s="29" t="inlineStr">
        <is>
          <t>CC BY-SA 4.0</t>
        </is>
      </c>
      <c r="H187" s="29" t="inlineStr">
        <is>
          <t>https://creativecommons.org/licenses/by-sa/4.0/</t>
        </is>
      </c>
      <c r="I187" s="29" t="inlineStr">
        <is>
          <t>Creative Commons Attribution-Share Alike 4.0</t>
        </is>
      </c>
      <c r="J187" s="29" t="inlineStr">
        <is>
          <t>CarlosVdeHabsburgo · CC BY-SA 4.0 · Wikimedia Commons</t>
        </is>
      </c>
      <c r="K187" s="29" t="n"/>
      <c r="L187" s="49" t="n">
        <v>46320</v>
      </c>
      <c r="M187" s="29" t="inlineStr">
        <is>
          <t>Bekliyor</t>
        </is>
      </c>
      <c r="N187" s="29" t="inlineStr">
        <is>
          <t>Bekliyor</t>
        </is>
      </c>
      <c r="O187" s="29" t="inlineStr">
        <is>
          <t>Fotoğraflar/sevilla_el-arenal_02.jpg</t>
        </is>
      </c>
      <c r="P187" s="29" t="inlineStr">
        <is>
          <t>El Arenal'de taş döşeli avluda beyaz örtülü restoran masaları.</t>
        </is>
      </c>
      <c r="Q187" s="29" t="inlineStr">
        <is>
          <t>Bekliyor</t>
        </is>
      </c>
      <c r="R187" s="29" t="inlineStr">
        <is>
          <t>Wikimedia Commons dosya sayfasındaki lisans: CC BY-SA 4.0</t>
        </is>
      </c>
      <c r="S187" s="29" t="inlineStr">
        <is>
          <t>Lisans kanıtları/el-arenal-02.source-evidence.json</t>
        </is>
      </c>
      <c r="T187" s="29" t="inlineStr">
        <is>
          <t>fb6916b84bfc6659b8b8ced5df01b6d7704768f9eb55436cfa301c522a77fd1d</t>
        </is>
      </c>
      <c r="U187" s="29" t="inlineStr">
        <is>
          <t>Lisans kanıtları/el-arenal-02.license-evidence.json</t>
        </is>
      </c>
      <c r="V187" s="29" t="inlineStr">
        <is>
          <t>6c64d7d73bba9455d8dc21888e6057554da4c98b312fb3c11e4b15c6955f4e26</t>
        </is>
      </c>
      <c r="W187" s="29" t="inlineStr">
        <is>
          <t>{"source_url": "https://commons.wikimedia.org/wiki/File:Restaurante_(Sevilla).jpg", "author": "CarlosVdeHabsburgo", "license": "CC BY-SA 4.0", "license_url": "https://creativecommons.org/licenses/by-sa/4.0/", "original_api_record": {"size": 5797618, "width": 4320, "height": 3240, "thumburl": "https://thumb.wikimedia.org/wikipedia/commons/thumb/2/2d/Restaurante_%28Sevilla%29.jpg/1280px-Restaurante_%28Sevilla%29.jpg", "thumbwidth": 1280, "thumbheight": 960, "responsiveUrls": {"2": "https://thumb.wikimedia.org/wikipedia/commons/thumb/2/2d/Restaurante_%28Sevilla%29.jpg/3840px-Restaurante_%28Sevilla%29.jpg"}, "thumbattribs": {"src": "https://thumb.wikimedia.org/wikipedia/commons/thumb/2/2d/Restaurante_%28Sevilla%29.jpg/1280px-Restaurante_%28Sevilla%29.jpg", "decoding": "async", "loading": "lazy", "width": 1280, "height": 960, "srcset": "https://thumb.wikimedia.org/wikipedia/commons/thumb/2/2d/Restaurante_%28Sevilla%29.jpg/3840px-Restaurante_%28Sevilla%29.jpg 2x"}, "url": "https://upload.wikimedia.org/wikipedia/commons/2/2d/Restaurante_%28Sevilla%29.jpg", "descriptionurl": "https://commons.wikimedia.org/wiki/File:Restaurante_(Sevilla).jpg", "descriptionshorturl": "https://commons.wikimedia.org/w/index.php?curid=63415455", "sha1": "baf7ac107b1cb24b0c695af38ca9ce00b4c82a3e", "extmetadata": {"DateTime": {"value": "2017-10-16 21:46:25", "source": "mediawiki-metadata", "hidden": ""}, "ObjectName": {"value": "Restaurante (Sevilla)", "source": "mediawiki-metadata"}, "CommonsMetadataExtension": {"value": 1.2, "source": "extension", "hidden": ""}, "Categories": {"value": "El Arenal, Seville|Self-published work|Open air restaurant and café areas in Spain|Restaurants in Spain photographed in 2017|Restaurants in Seville", "source": "commons-categories", "hidden": ""}, "Assessments": {"value": "", "source": "commons-categories", "hidden": ""}, "ImageDescription": {"value": "Mesas de un restaurante. Sevilla, Andalucía, España.", "source": "commons-desc-page"}, "DateTimeOriginal": {"value": "2017-10-16 17:11:09", "source": "commons-desc-page"}, "Credit": {"value": "&lt;span class=\"int-own-work\" lang=\"en\"&gt;Own work&lt;/span&gt;", "source": "commons-desc-page"}, "Artist": {"value": "&lt;a rel=\"mw:WikiLink\" href=\"https://commons.wikimedia.org/wiki/User:CarlosVdeHabsburgo\"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"https://thumb.wikimedia.org/wikipedia/commons/thumb/2/2d/Restaurante_%28Sevilla%29.jpg/1280px-Restaurante_%28Sevilla%29.jpg"}, "retrieved_on": "2026-10-25"}</t>
        </is>
      </c>
    </row>
    <row r="188" ht="54" customHeight="1">
      <c r="A188" s="29" t="inlineStr">
        <is>
          <t>sevilla:evidence:triana-01</t>
        </is>
      </c>
      <c r="B188" s="29" t="inlineStr">
        <is>
          <t>sevilla</t>
        </is>
      </c>
      <c r="C188" s="29" t="inlineStr">
        <is>
          <t>sevilla:photo:triana-01</t>
        </is>
      </c>
      <c r="D188" s="29" t="inlineStr">
        <is>
          <t>https://commons.wikimedia.org/wiki/File:Balc%C3%B3n_t%C3%ADpico_de_Triana.JPG</t>
        </is>
      </c>
      <c r="E188" s="29" t="inlineStr">
        <is>
          <t>File:Balcón típico de Triana.JPG</t>
        </is>
      </c>
      <c r="F188" s="29" t="inlineStr">
        <is>
          <t>Feranza</t>
        </is>
      </c>
      <c r="G188" s="29" t="inlineStr">
        <is>
          <t>CC BY-SA 3.0</t>
        </is>
      </c>
      <c r="H188" s="29" t="inlineStr">
        <is>
          <t>https://creativecommons.org/licenses/by-sa/3.0/</t>
        </is>
      </c>
      <c r="I188" s="29" t="inlineStr">
        <is>
          <t>Creative Commons Attribution-Share Alike 3.0</t>
        </is>
      </c>
      <c r="J188" s="29" t="inlineStr">
        <is>
          <t>Feranza · CC BY-SA 3.0 · Wikimedia Commons</t>
        </is>
      </c>
      <c r="K188" s="29" t="n"/>
      <c r="L188" s="49" t="n">
        <v>46320</v>
      </c>
      <c r="M188" s="29" t="inlineStr">
        <is>
          <t>Bekliyor</t>
        </is>
      </c>
      <c r="N188" s="29" t="inlineStr">
        <is>
          <t>Bekliyor</t>
        </is>
      </c>
      <c r="O188" s="29" t="inlineStr">
        <is>
          <t>Fotoğraflar/sevilla_triana_01.jpg</t>
        </is>
      </c>
      <c r="P188" s="29" t="inlineStr">
        <is>
          <t>Triana'da saksılarla süslü, yeşil parmaklıklı tipik bir balkon.</t>
        </is>
      </c>
      <c r="Q188" s="29" t="inlineStr">
        <is>
          <t>Bekliyor</t>
        </is>
      </c>
      <c r="R188" s="29" t="inlineStr">
        <is>
          <t>Wikimedia Commons dosya sayfasındaki lisans: CC BY-SA 3.0</t>
        </is>
      </c>
      <c r="S188" s="29" t="inlineStr">
        <is>
          <t>Lisans kanıtları/triana-01.source-evidence.json</t>
        </is>
      </c>
      <c r="T188" s="29" t="inlineStr">
        <is>
          <t>b0f85cedee12745c4ea44a82ef03d1e779834fc4f0977be736fd50d8faabb0c1</t>
        </is>
      </c>
      <c r="U188" s="29" t="inlineStr">
        <is>
          <t>Lisans kanıtları/triana-01.license-evidence.json</t>
        </is>
      </c>
      <c r="V188" s="29" t="inlineStr">
        <is>
          <t>acd088ad231478cf395702bd7a947cf3626fdea3fa1f84faa8323dfb792d212f</t>
        </is>
      </c>
      <c r="W188" s="29" t="inlineStr">
        <is>
          <t>{"source_url": "https://commons.wikimedia.org/wiki/File:Balc%C3%B3n_t%C3%ADpico_de_Triana.JPG", "author": "Feranza", "license": "CC BY-SA 3.0", "license_url": "https://creativecommons.org/licenses/by-sa/3.0/", "original_api_record": {"size": 523075, "width": 2304, "height": 1536, "thumburl": "https://thumb.wikimedia.org/wikipedia/commons/thumb/c/cd/Balc%C3%B3n_t%C3%ADpico_de_Triana.JPG/1280px-Balc%C3%B3n_t%C3%ADpico_de_Triana.JPG", "thumbwidth": 1280, "thumbheight": 853, "responsiveUrls": {"2": "https://upload.wikimedia.org/wikipedia/commons/c/cd/Balc%C3%B3n_t%C3%ADpico_de_Triana.JPG"}, "thumbattribs": {"src": "https://thumb.wikimedia.org/wikipedia/commons/thumb/c/cd/Balc%C3%B3n_t%C3%ADpico_de_Triana.JPG/1280px-Balc%C3%B3n_t%C3%ADpico_de_Triana.JPG", "decoding": "async", "loading": "lazy", "width": 1280, "height": 853, "srcset": "https://upload.wikimedia.org/wikipedia/commons/c/cd/Balc%C3%B3n_t%C3%ADpico_de_Triana.JPG 2x"}, "url": "https://upload.wikimedia.org/wikipedia/commons/c/cd/Balc%C3%B3n_t%C3%ADpico_de_Triana.JPG", "descriptionurl": "https://commons.wikimedia.org/wiki/File:Balc%C3%B3n_t%C3%ADpico_de_Triana.JPG", "descriptionshorturl": "https://commons.wikimedia.org/w/index.php?curid=22393135", "sha1": "734e0092b5d83f44bda854b124b17bc7e3388e5b", "extmetadata": {"DateTime": {"value": "2012-10-26 11:53:45", "source": "mediawiki-metadata", "hidden": ""}, "ObjectName": {"value": "Balcón típico de Triana", "source": "mediawiki-metadata"}, "CommonsMetadataExtension": {"value": 1.2, "source": "extension", "hidden": ""}, "Categories": {"value": "Triana District|Taken with Nikon D3100|Self-published work", "source": "commons-categories", "hidden": ""}, "Assessments": {"value": "", "source": "commons-categories", "hidden": ""}, "ImageDescription": {"value": "Detalles del popular barrio sevillano de Triana. Marzo de 2012", "source": "commons-desc-page"}, "DateTimeOriginal": {"value": "2012-03-18 14:02:10", "source": "commons-desc-page"}, "Credit": {"value": "&lt;span class=\"int-own-work\" lang=\"en\"&gt;Own work&lt;/span&gt;", "source": "commons-desc-page"}, "Artist": {"value": "&lt;a href=\"//commons.wikimedia.org/wiki/User:Feranza\" title=\"User:Feranza\"&gt;Feranza&lt;/a&gt;",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"https://thumb.wikimedia.org/wikipedia/commons/thumb/c/cd/Balc%C3%B3n_t%C3%ADpico_de_Triana.JPG/1280px-Balc%C3%B3n_t%C3%ADpico_de_Triana.JPG"}, "retrieved_on": "2026-10-25"}</t>
        </is>
      </c>
    </row>
    <row r="189" ht="54" customHeight="1">
      <c r="A189" s="29" t="inlineStr">
        <is>
          <t>sevilla:evidence:triana-02</t>
        </is>
      </c>
      <c r="B189" s="29" t="inlineStr">
        <is>
          <t>sevilla</t>
        </is>
      </c>
      <c r="C189" s="29" t="inlineStr">
        <is>
          <t>sevilla:photo:triana-02</t>
        </is>
      </c>
      <c r="D189" s="29" t="inlineStr">
        <is>
          <t>https://commons.wikimedia.org/wiki/File:Barcos_en_el_Guadalquivir.jpg</t>
        </is>
      </c>
      <c r="E189" s="29" t="inlineStr">
        <is>
          <t>File:Barcos en el Guadalquivir.jpg</t>
        </is>
      </c>
      <c r="F189" s="29" t="inlineStr">
        <is>
          <t>CarlosVdeHabsburgo</t>
        </is>
      </c>
      <c r="G189" s="29" t="inlineStr">
        <is>
          <t>CC BY-SA 4.0</t>
        </is>
      </c>
      <c r="H189" s="29" t="inlineStr">
        <is>
          <t>https://creativecommons.org/licenses/by-sa/4.0/</t>
        </is>
      </c>
      <c r="I189" s="29" t="inlineStr">
        <is>
          <t>Creative Commons Attribution-Share Alike 4.0</t>
        </is>
      </c>
      <c r="J189" s="29" t="inlineStr">
        <is>
          <t>CarlosVdeHabsburgo · CC BY-SA 4.0 · Wikimedia Commons</t>
        </is>
      </c>
      <c r="K189" s="29" t="n"/>
      <c r="L189" s="49" t="n">
        <v>46320</v>
      </c>
      <c r="M189" s="29" t="inlineStr">
        <is>
          <t>Bekliyor</t>
        </is>
      </c>
      <c r="N189" s="29" t="inlineStr">
        <is>
          <t>Bekliyor</t>
        </is>
      </c>
      <c r="O189" s="29" t="inlineStr">
        <is>
          <t>Fotoğraflar/sevilla_triana_02.jpg</t>
        </is>
      </c>
      <c r="P189" s="29" t="inlineStr">
        <is>
          <t>Guadalquivir Nehri'nde tekneler ve karşıda Triana kıyısındaki evler.</t>
        </is>
      </c>
      <c r="Q189" s="29" t="inlineStr">
        <is>
          <t>Bekliyor</t>
        </is>
      </c>
      <c r="R189" s="29" t="inlineStr">
        <is>
          <t>Wikimedia Commons dosya sayfasındaki lisans: CC BY-SA 4.0</t>
        </is>
      </c>
      <c r="S189" s="29" t="inlineStr">
        <is>
          <t>Lisans kanıtları/triana-02.source-evidence.json</t>
        </is>
      </c>
      <c r="T189" s="29" t="inlineStr">
        <is>
          <t>95d4f4dc91d279ff6dfec9d779393d9ded05f909976cba530149498852033ac8</t>
        </is>
      </c>
      <c r="U189" s="29" t="inlineStr">
        <is>
          <t>Lisans kanıtları/triana-02.license-evidence.json</t>
        </is>
      </c>
      <c r="V189" s="29" t="inlineStr">
        <is>
          <t>b2b0fd4ee5818f2684e629990211e54015fbb63bf29c101fb8fba3b47b84041b</t>
        </is>
      </c>
      <c r="W189" s="29" t="inlineStr">
        <is>
          <t>{"source_url": "https://commons.wikimedia.org/wiki/File:Barcos_en_el_Guadalquivir.jpg", "author": "CarlosVdeHabsburgo", "license": "CC BY-SA 4.0", "license_url": "https://creativecommons.org/licenses/by-sa/4.0/", "original_api_record": {"size": 6665570, "width": 4320, "height": 3240, "thumburl": "https://thumb.wikimedia.org/wikipedia/commons/thumb/1/1c/Barcos_en_el_Guadalquivir.jpg/1280px-Barcos_en_el_Guadalquivir.jpg", "thumbwidth": 1280, "thumbheight": 960, "responsiveUrls": {"2": "https://thumb.wikimedia.org/wikipedia/commons/thumb/1/1c/Barcos_en_el_Guadalquivir.jpg/3840px-Barcos_en_el_Guadalquivir.jpg"}, "thumbattribs": {"src": "https://thumb.wikimedia.org/wikipedia/commons/thumb/1/1c/Barcos_en_el_Guadalquivir.jpg/1280px-Barcos_en_el_Guadalquivir.jpg", "decoding": "async", "loading": "lazy", "width": 1280, "height": 960, "srcset": "https://thumb.wikimedia.org/wikipedia/commons/thumb/1/1c/Barcos_en_el_Guadalquivir.jpg/3840px-Barcos_en_el_Guadalquivir.jpg 2x"}, "url": "https://upload.wikimedia.org/wikipedia/commons/1/1c/Barcos_en_el_Guadalquivir.jpg", "descriptionurl": "https://commons.wikimedia.org/wiki/File:Barcos_en_el_Guadalquivir.jpg", "descriptionshorturl": "https://commons.wikimedia.org/w/index.php?curid=68317782", "sha1": "ed323c431ae3aa20abb685d406b328fbc5c883e3", "extmetadata": {"DateTime": {"value": "2018-04-14 00:47:27", "source": "mediawiki-metadata", "hidden": ""}, "ObjectName": {"value": "Barcos en el Guadalquivir", "source": "mediawiki-metadata"}, "CommonsMetadataExtension": {"value": 1.2, "source": "extension", "hidden": ""}, "Categories": {"value": "Triana District|Capilla del Carmen (Sevilla)|San Jorge Castle (Seville)|Canal de Alfonso XIII|Self-published work|Boats in Seville", "source": "commons-categories", "hidden": ""}, "Assessments": {"value": "", "source": "commons-categories", "hidden": ""}, "ImageDescription": {"value": "Barcos en el Guadalquivir, el castillo de San Jorge y la capilla del Carmen. Sevilla, Andalucía, España.", "source": "commons-desc-page"}, "DateTimeOriginal": {"value": "2018-04-13 17:28:49",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"https://thumb.wikimedia.org/wikipedia/commons/thumb/1/1c/Barcos_en_el_Guadalquivir.jpg/1280px-Barcos_en_el_Guadalquivir.jpg"}, "retrieved_on": "2026-10-25"}</t>
        </is>
      </c>
    </row>
    <row r="190" ht="54" customHeight="1">
      <c r="A190" s="29" t="inlineStr">
        <is>
          <t>sevilla:evidence:triana-03</t>
        </is>
      </c>
      <c r="B190" s="29" t="inlineStr">
        <is>
          <t>sevilla</t>
        </is>
      </c>
      <c r="C190" s="29" t="inlineStr">
        <is>
          <t>sevilla:photo:triana-03</t>
        </is>
      </c>
      <c r="D190" s="29" t="inlineStr">
        <is>
          <t>https://commons.wikimedia.org/wiki/File:Betis_Sevilla.jpg</t>
        </is>
      </c>
      <c r="E190" s="29" t="inlineStr">
        <is>
          <t>File:Betis Sevilla.jpg</t>
        </is>
      </c>
      <c r="F190" s="29" t="inlineStr">
        <is>
          <t>Gzzz</t>
        </is>
      </c>
      <c r="G190" s="29" t="inlineStr">
        <is>
          <t>CC BY-SA 3.0</t>
        </is>
      </c>
      <c r="H190" s="29" t="inlineStr">
        <is>
          <t>https://creativecommons.org/licenses/by-sa/3.0/</t>
        </is>
      </c>
      <c r="I190" s="29" t="inlineStr">
        <is>
          <t>Creative Commons Attribution-Share Alike 3.0</t>
        </is>
      </c>
      <c r="J190" s="29" t="inlineStr">
        <is>
          <t>Gzzz · CC BY-SA 3.0 · Wikimedia Commons</t>
        </is>
      </c>
      <c r="K190" s="29" t="n"/>
      <c r="L190" s="49" t="n">
        <v>46320</v>
      </c>
      <c r="M190" s="29" t="inlineStr">
        <is>
          <t>Bekliyor</t>
        </is>
      </c>
      <c r="N190" s="29" t="inlineStr">
        <is>
          <t>Bekliyor</t>
        </is>
      </c>
      <c r="O190" s="29" t="inlineStr">
        <is>
          <t>Fotoğraflar/sevilla_triana_03.jpg</t>
        </is>
      </c>
      <c r="P190" s="29" t="inlineStr">
        <is>
          <t>Nehrin karşısından renkli evleriyle Triana kıyısı.</t>
        </is>
      </c>
      <c r="Q190" s="29" t="inlineStr">
        <is>
          <t>Bekliyor</t>
        </is>
      </c>
      <c r="R190" s="29" t="inlineStr">
        <is>
          <t>Wikimedia Commons dosya sayfasındaki lisans: CC BY-SA 3.0</t>
        </is>
      </c>
      <c r="S190" s="29" t="inlineStr">
        <is>
          <t>Lisans kanıtları/triana-03.source-evidence.json</t>
        </is>
      </c>
      <c r="T190" s="29" t="inlineStr">
        <is>
          <t>3ef575bad9cec1d5ad7a85f2c31102874e9a51eb541cc6c44be8e3d2e66ec11c</t>
        </is>
      </c>
      <c r="U190" s="29" t="inlineStr">
        <is>
          <t>Lisans kanıtları/triana-03.license-evidence.json</t>
        </is>
      </c>
      <c r="V190" s="29" t="inlineStr">
        <is>
          <t>0f1b13f861662f3e31a94da5fbd4a8b0963977923afb98c4556f6267840ad1db</t>
        </is>
      </c>
      <c r="W190" s="29" t="inlineStr">
        <is>
          <t>{"source_url": "https://commons.wikimedia.org/wiki/File:Betis_Sevilla.jpg", "author": "Gzzz", "license": "CC BY-SA 3.0", "license_url": "https://creativecommons.org/licenses/by-sa/3.0/", "original_api_record": {"size": 4757522, "width": 3264, "height": 2448, "thumburl": "https://thumb.wikimedia.org/wikipedia/commons/thumb/f/fd/Betis_Sevilla.jpg/1280px-Betis_Sevilla.jpg", "thumbwidth": 1280, "thumbheight": 960, "responsiveUrls": {"2": "https://upload.wikimedia.org/wikipedia/commons/f/fd/Betis_Sevilla.jpg"}, "thumbattribs": {"src": "https://thumb.wikimedia.org/wikipedia/commons/thumb/f/fd/Betis_Sevilla.jpg/1280px-Betis_Sevilla.jpg", "decoding": "async", "loading": "lazy", "width": 1280, "height": 960, "srcset": "https://upload.wikimedia.org/wikipedia/commons/f/fd/Betis_Sevilla.jpg 2x"}, "url": "https://upload.wikimedia.org/wikipedia/commons/f/fd/Betis_Sevilla.jpg", "descriptionurl": "https://commons.wikimedia.org/wiki/File:Betis_Sevilla.jpg", "descriptionshorturl": "https://commons.wikimedia.org/w/index.php?curid=21123341", "sha1": "3d94e7c00499868c935403dbf43eb952899b4ba7", "extmetadata": {"DateTime": {"value": "2012-09-05 21:11:57", "source": "mediawiki-metadata", "hidden": ""}, "ObjectName": {"value": "Betis Sevilla", "source": "mediawiki-metadata"}, "CommonsMetadataExtension": {"value": 1.2, "source": "extension", "hidden": ""}, "Categories": {"value": "Triana District|Taken with Nikon Coolpix P60|Canal de Alfonso XIII|Self-published work|Blue sky in Andalusia|Files with coordinates missing SDC location of creation|Spain photographs taken on 2011-04-27", "source": "commons-categories", "hidden": ""}, "Assessments": {"value": "", "source": "commons-categories", "hidden": ""}, "GPSLatitude": {"value": "37.384083", "source": "commons-desc-page"}, "GPSLongitude": {"value": "-5.998333", "source": "commons-desc-page"}, "GPSMapDatum": {"value": "WGS-84", "source": "commons-desc-page", "hidden": ""}, "ImageDescription": {"value": "Séville (Espagne) : la darse du Guadalquivir et la rue Betis du quartier de Triana, vus depuis la rive gauche.", "source": "commons-desc-page"}, "DateTimeOriginal": {"value": "2011-04-27 11:25:58", "source": "commons-desc-page"}, "Credit": {"value": "&lt;span class=\"int-own-work\" lang=\"en\"&gt;Own work&lt;/span&gt;", "source": "commons-desc-page"}, "Artist": {"value": "&lt;a href=\"//commons.wikimedia.org/wiki/User:Gzzz\" title=\"User:Gzzz\"&gt;Gzzz&lt;/a&gt;",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"https://thumb.wikimedia.org/wikipedia/commons/thumb/f/fd/Betis_Sevilla.jpg/1280px-Betis_Sevilla.jpg"}, "retrieved_on": "2026-10-25"}</t>
        </is>
      </c>
    </row>
    <row r="191" ht="54" customHeight="1">
      <c r="A191" s="29" t="inlineStr">
        <is>
          <t>sevilla:evidence:los-remedios-01</t>
        </is>
      </c>
      <c r="B191" s="29" t="inlineStr">
        <is>
          <t>sevilla</t>
        </is>
      </c>
      <c r="C191" s="29" t="inlineStr">
        <is>
          <t>sevilla:photo:los-remedios-01</t>
        </is>
      </c>
      <c r="D191" s="29" t="inlineStr">
        <is>
          <t>https://commons.wikimedia.org/wiki/File:Bar_Pr%C3%ADncipe.jpg</t>
        </is>
      </c>
      <c r="E191" s="29" t="inlineStr">
        <is>
          <t>File:Bar Príncipe.jpg</t>
        </is>
      </c>
      <c r="F191" s="29" t="inlineStr">
        <is>
          <t>CarlosVdeHabsburgo</t>
        </is>
      </c>
      <c r="G191" s="29" t="inlineStr">
        <is>
          <t>CC BY-SA 4.0</t>
        </is>
      </c>
      <c r="H191" s="29" t="inlineStr">
        <is>
          <t>https://creativecommons.org/licenses/by-sa/4.0/</t>
        </is>
      </c>
      <c r="I191" s="29" t="inlineStr">
        <is>
          <t>Creative Commons Attribution-Share Alike 4.0</t>
        </is>
      </c>
      <c r="J191" s="29" t="inlineStr">
        <is>
          <t>CarlosVdeHabsburgo · CC BY-SA 4.0 · Wikimedia Commons</t>
        </is>
      </c>
      <c r="K191" s="29" t="n"/>
      <c r="L191" s="49" t="n">
        <v>46320</v>
      </c>
      <c r="M191" s="29" t="inlineStr">
        <is>
          <t>Bekliyor</t>
        </is>
      </c>
      <c r="N191" s="29" t="inlineStr">
        <is>
          <t>Bekliyor</t>
        </is>
      </c>
      <c r="O191" s="29" t="inlineStr">
        <is>
          <t>Fotoğraflar/sevilla_los-remedios_01.jpg</t>
        </is>
      </c>
      <c r="P191" s="29" t="inlineStr">
        <is>
          <t>Los Remedios'ta beyaz badanalı, kırmızı tenteli Bar Príncipe binası.</t>
        </is>
      </c>
      <c r="Q191" s="29" t="inlineStr">
        <is>
          <t>Bekliyor</t>
        </is>
      </c>
      <c r="R191" s="29" t="inlineStr">
        <is>
          <t>Wikimedia Commons dosya sayfasındaki lisans: CC BY-SA 4.0</t>
        </is>
      </c>
      <c r="S191" s="29" t="inlineStr">
        <is>
          <t>Lisans kanıtları/los-remedios-01.source-evidence.json</t>
        </is>
      </c>
      <c r="T191" s="29" t="inlineStr">
        <is>
          <t>998fb4ead5a1ddba32434eee22f5411f5e399bc88bedc5bf43ecd8305dd0c2c8</t>
        </is>
      </c>
      <c r="U191" s="29" t="inlineStr">
        <is>
          <t>Lisans kanıtları/los-remedios-01.license-evidence.json</t>
        </is>
      </c>
      <c r="V191" s="29" t="inlineStr">
        <is>
          <t>a137b3353f2b56f17e148aa8a6f5a7997a49cb8053deb8bfe8697c0bcd72fe49</t>
        </is>
      </c>
      <c r="W191" s="29" t="inlineStr">
        <is>
          <t>{"source_url": "https://commons.wikimedia.org/wiki/File:Bar_Pr%C3%ADncipe.jpg", "author": "CarlosVdeHabsburgo", "license": "CC BY-SA 4.0", "license_url": "https://creativecommons.org/licenses/by-sa/4.0/", "original_api_record": {"size": 6079471, "width": 4320, "height": 3240, "thumburl": "https://thumb.wikimedia.org/wikipedia/commons/thumb/9/9b/Bar_Pr%C3%ADncipe.jpg/1280px-Bar_Pr%C3%ADncipe.jpg", "thumbwidth": 1280, "thumbheight": 960, "responsiveUrls": {"2": "https://thumb.wikimedia.org/wikipedia/commons/thumb/9/9b/Bar_Pr%C3%ADncipe.jpg/3840px-Bar_Pr%C3%ADncipe.jpg"}, "thumbattribs": {"src": "https://thumb.wikimedia.org/wikipedia/commons/thumb/9/9b/Bar_Pr%C3%ADncipe.jpg/1280px-Bar_Pr%C3%ADncipe.jpg", "decoding": "async", "loading": "lazy", "width": 1280, "height": 960, "srcset": "https://thumb.wikimedia.org/wikipedia/commons/thumb/9/9b/Bar_Pr%C3%ADncipe.jpg/3840px-Bar_Pr%C3%ADncipe.jpg 2x"}, "url": "https://upload.wikimedia.org/wikipedia/commons/9/9b/Bar_Pr%C3%ADncipe.jpg", "descriptionurl": "https://commons.wikimedia.org/wiki/File:Bar_Pr%C3%ADncipe.jpg", "descriptionshorturl": "https://commons.wikimedia.org/w/index.php?curid=68354964", "sha1": "ef819b6d6fbab34e5e619f53ad5f9964f3b4ac2b", "extmetadata": {"DateTime": {"value": "2018-04-16 01:57:35", "source": "mediawiki-metadata", "hidden": ""}, "ObjectName": {"value": "Bar Príncipe", "source": "mediawiki-metadata"}, "CommonsMetadataExtension": {"value": 1.2, "source": "extension", "hidden": ""}, "Categories": {"value": "Los Remedios District|Self-published work|Bars in Seville", "source": "commons-categories", "hidden": ""}, "Assessments": {"value": "", "source": "commons-categories", "hidden": ""}, "ImageDescription": {"value": "Bar Príncipe. Sevilla, Andalucía, España.", "source": "commons-desc-page"}, "DateTimeOriginal": {"value": "2018-04-15 18:47:57",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"https://thumb.wikimedia.org/wikipedia/commons/thumb/9/9b/Bar_Pr%C3%ADncipe.jpg/1280px-Bar_Pr%C3%ADncipe.jpg"}, "retrieved_on": "2026-10-25"}</t>
        </is>
      </c>
    </row>
    <row r="192" ht="54" customHeight="1">
      <c r="A192" s="29" t="inlineStr">
        <is>
          <t>sevilla:evidence:los-remedios-02</t>
        </is>
      </c>
      <c r="B192" s="29" t="inlineStr">
        <is>
          <t>sevilla</t>
        </is>
      </c>
      <c r="C192" s="29" t="inlineStr">
        <is>
          <t>sevilla:photo:los-remedios-02</t>
        </is>
      </c>
      <c r="D192" s="29" t="inlineStr">
        <is>
          <t>https://commons.wikimedia.org/wiki/File:Capilla_en_Sevilla_-_IMG_20220620_170708.jpg</t>
        </is>
      </c>
      <c r="E192" s="29" t="inlineStr">
        <is>
          <t>File:Capilla en Sevilla - IMG 20220620 170708.jpg</t>
        </is>
      </c>
      <c r="F192" s="29" t="inlineStr">
        <is>
          <t>El Pantera</t>
        </is>
      </c>
      <c r="G192" s="29" t="inlineStr">
        <is>
          <t>CC BY-SA 4.0</t>
        </is>
      </c>
      <c r="H192" s="29" t="inlineStr">
        <is>
          <t>https://creativecommons.org/licenses/by-sa/4.0/</t>
        </is>
      </c>
      <c r="I192" s="29" t="inlineStr">
        <is>
          <t>Creative Commons Attribution-Share Alike 4.0</t>
        </is>
      </c>
      <c r="J192" s="29" t="inlineStr">
        <is>
          <t>El Pantera · CC BY-SA 4.0 · Wikimedia Commons</t>
        </is>
      </c>
      <c r="K192" s="29" t="n"/>
      <c r="L192" s="49" t="n">
        <v>46320</v>
      </c>
      <c r="M192" s="29" t="inlineStr">
        <is>
          <t>Bekliyor</t>
        </is>
      </c>
      <c r="N192" s="29" t="inlineStr">
        <is>
          <t>Bekliyor</t>
        </is>
      </c>
      <c r="O192" s="29" t="inlineStr">
        <is>
          <t>Fotoğraflar/sevilla_los-remedios_02.jpg</t>
        </is>
      </c>
      <c r="P192" s="29" t="inlineStr">
        <is>
          <t>Los Remedios'ta kemerli kapısı ve çini panosuyla küçük bir şapel.</t>
        </is>
      </c>
      <c r="Q192" s="29" t="inlineStr">
        <is>
          <t>Bekliyor</t>
        </is>
      </c>
      <c r="R192" s="29" t="inlineStr">
        <is>
          <t>Wikimedia Commons dosya sayfasındaki lisans: CC BY-SA 4.0</t>
        </is>
      </c>
      <c r="S192" s="29" t="inlineStr">
        <is>
          <t>Lisans kanıtları/los-remedios-02.source-evidence.json</t>
        </is>
      </c>
      <c r="T192" s="29" t="inlineStr">
        <is>
          <t>c798a0881e3ed535320b1a58216519ffae9dd7c9eb230761454d6b4585330eec</t>
        </is>
      </c>
      <c r="U192" s="29" t="inlineStr">
        <is>
          <t>Lisans kanıtları/los-remedios-02.license-evidence.json</t>
        </is>
      </c>
      <c r="V192" s="29" t="inlineStr">
        <is>
          <t>fe2a1cbde92ca2ba083f12e669ef08bf0ecdfb5b31fc9a743c3e3c1bd563fb9d</t>
        </is>
      </c>
      <c r="W192" s="29" t="inlineStr">
        <is>
          <t>{"source_url": "https://commons.wikimedia.org/wiki/File:Capilla_en_Sevilla_-_IMG_20220620_170708.jpg", "author": "El Pantera", "license": "CC BY-SA 4.0", "license_url": "https://creativecommons.org/licenses/by-sa/4.0/", "original_api_record": {"size": 3767441, "width": 3000, "height": 4000, "thumburl": "https://thumb.wikimedia.org/wikipedia/commons/thumb/d/de/Capilla_en_Sevilla_-_IMG_20220620_170708.jpg/1280px-Capilla_en_Sevilla_-_IMG_20220620_170708.jpg", "thumbwidth": 1280, "thumbheight": 1707, "responsiveUrls": {"2": "https://upload.wikimedia.org/wikipedia/commons/d/de/Capilla_en_Sevilla_-_IMG_20220620_170708.jpg"}, "thumbattribs": {"src": "https://thumb.wikimedia.org/wikipedia/commons/thumb/d/de/Capilla_en_Sevilla_-_IMG_20220620_170708.jpg/1280px-Capilla_en_Sevilla_-_IMG_20220620_170708.jpg", "decoding": "async", "loading": "lazy", "width": 1280, "height": 1707, "srcset": "https://upload.wikimedia.org/wikipedia/commons/d/de/Capilla_en_Sevilla_-_IMG_20220620_170708.jpg 2x"}, "url": "https://upload.wikimedia.org/wikipedia/commons/d/de/Capilla_en_Sevilla_-_IMG_20220620_170708.jpg", "descriptionurl": "https://commons.wikimedia.org/wiki/File:Capilla_en_Sevilla_-_IMG_20220620_170708.jpg", "descriptionshorturl": "https://commons.wikimedia.org/w/index.php?curid=119550405", "sha1": "0e2af37f36736e033877aa57724dbc1174a3a163", "extmetadata": {"DateTime": {"value": "2022-06-21 09:28:26", "source": "mediawiki-metadata", "hidden": ""}, "ObjectName": {"value": "Capilla en Sevilla - IMG 20220620 170708", "source": "mediawiki-metadata"}, "CommonsMetadataExtension": {"value": 1.2, "source": "extension", "hidden": ""}, "Categories": {"value": "Los Remedios neighbourhood, Seville|Self-published work|Azulejos in Andalusia|Files with coordinates missing SDC location of creation|Buildings in Los Remedios District|Chapels in Seville", "source": "commons-categories", "hidden": ""}, "Assessments": {"value": "", "source": "commons-categories", "hidden": ""}, "GPSLatitude": {"value": "37.376795", "source": "commons-desc-page"}, "GPSLongitude": {"value": "-5.998022", "source": "commons-desc-page"}, "GPSMapDatum": {"value": "WGS-84", "source": "commons-desc-page", "hidden": ""}, "ImageDescription": {"value": "Azulejo con la Virgen María en Calle Virgen de la Victoria en Sevilla (España)", "source": "commons-desc-page"}, "DateTimeOriginal": {"value": "2022-06-20 17:07:08", "source": "commons-desc-page"}, "Credit": {"value": "&lt;span class=\"int-own-work\" lang=\"en\"&gt;Own work&lt;/span&gt;", "source": "commons-desc-page"}, "Artist": {"value": "&lt;a href=\"//commons.wikimedia.org/wiki/User:El_Pantera\" class=\"mw-redirect\" title=\"User:El Pantera\"&gt;El Pantera&lt;/a&gt;",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"https://thumb.wikimedia.org/wikipedia/commons/thumb/d/de/Capilla_en_Sevilla_-_IMG_20220620_170708.jpg/1280px-Capilla_en_Sevilla_-_IMG_20220620_170708.jpg"}, "retrieved_on": "2026-10-25"}</t>
        </is>
      </c>
    </row>
    <row r="193" ht="54" customHeight="1">
      <c r="A193" s="29" t="inlineStr">
        <is>
          <t>sevilla:evidence:los-remedios-03</t>
        </is>
      </c>
      <c r="B193" s="29" t="inlineStr">
        <is>
          <t>sevilla</t>
        </is>
      </c>
      <c r="C193" s="29" t="inlineStr">
        <is>
          <t>sevilla:photo:los-remedios-03</t>
        </is>
      </c>
      <c r="D193" s="29" t="inlineStr">
        <is>
          <t>https://commons.wikimedia.org/wiki/File:Chocolater%C3%ADa_Virgen_de_Luj%C3%A1n.jpg</t>
        </is>
      </c>
      <c r="E193" s="29" t="inlineStr">
        <is>
          <t>File:Chocolatería Virgen de Luján.jpg</t>
        </is>
      </c>
      <c r="F193" s="29" t="inlineStr">
        <is>
          <t>CarlosVdeHabsburgo</t>
        </is>
      </c>
      <c r="G193" s="29" t="inlineStr">
        <is>
          <t>CC BY-SA 4.0</t>
        </is>
      </c>
      <c r="H193" s="29" t="inlineStr">
        <is>
          <t>https://creativecommons.org/licenses/by-sa/4.0/</t>
        </is>
      </c>
      <c r="I193" s="29" t="inlineStr">
        <is>
          <t>Creative Commons Attribution-Share Alike 4.0</t>
        </is>
      </c>
      <c r="J193" s="29" t="inlineStr">
        <is>
          <t>CarlosVdeHabsburgo · CC BY-SA 4.0 · Wikimedia Commons</t>
        </is>
      </c>
      <c r="K193" s="29" t="n"/>
      <c r="L193" s="49" t="n">
        <v>46320</v>
      </c>
      <c r="M193" s="29" t="inlineStr">
        <is>
          <t>Bekliyor</t>
        </is>
      </c>
      <c r="N193" s="29" t="inlineStr">
        <is>
          <t>Bekliyor</t>
        </is>
      </c>
      <c r="O193" s="29" t="inlineStr">
        <is>
          <t>Fotoğraflar/sevilla_los-remedios_03.jpg</t>
        </is>
      </c>
      <c r="P193" s="29" t="inlineStr">
        <is>
          <t>Los Remedios'ta köşede ağaçlı bir bina ve çevresindeki masalar.</t>
        </is>
      </c>
      <c r="Q193" s="29" t="inlineStr">
        <is>
          <t>Bekliyor</t>
        </is>
      </c>
      <c r="R193" s="29" t="inlineStr">
        <is>
          <t>Wikimedia Commons dosya sayfasındaki lisans: CC BY-SA 4.0</t>
        </is>
      </c>
      <c r="S193" s="29" t="inlineStr">
        <is>
          <t>Lisans kanıtları/los-remedios-03.source-evidence.json</t>
        </is>
      </c>
      <c r="T193" s="29" t="inlineStr">
        <is>
          <t>57f7415eee75b9c29c2a0e65bd5ea519b80c48043181910492f3e1ee743eac3b</t>
        </is>
      </c>
      <c r="U193" s="29" t="inlineStr">
        <is>
          <t>Lisans kanıtları/los-remedios-03.license-evidence.json</t>
        </is>
      </c>
      <c r="V193" s="29" t="inlineStr">
        <is>
          <t>dfd3c40bc52612909257e78d08f6cb10cfb9d1bbf2df1850b5ab7bfc9d0426d0</t>
        </is>
      </c>
      <c r="W193" s="29" t="inlineStr">
        <is>
          <t>{"source_url": "https://commons.wikimedia.org/wiki/File:Chocolater%C3%ADa_Virgen_de_Luj%C3%A1n.jpg", "author": "CarlosVdeHabsburgo", "license": "CC BY-SA 4.0", "license_url": "https://creativecommons.org/licenses/by-sa/4.0/", "original_api_record": {"size": 5362340, "width": 3986, "height": 2689, "thumburl": "https://thumb.wikimedia.org/wikipedia/commons/thumb/5/51/Chocolater%C3%ADa_Virgen_de_Luj%C3%A1n.jpg/1280px-Chocolater%C3%ADa_Virgen_de_Luj%C3%A1n.jpg", "thumbwidth": 1280, "thumbheight": 864, "responsiveUrls": {"2": "https://thumb.wikimedia.org/wikipedia/commons/thumb/5/51/Chocolater%C3%ADa_Virgen_de_Luj%C3%A1n.jpg/3840px-Chocolater%C3%ADa_Virgen_de_Luj%C3%A1n.jpg"}, "thumbattribs": {"src": "https://thumb.wikimedia.org/wikipedia/commons/thumb/5/51/Chocolater%C3%ADa_Virgen_de_Luj%C3%A1n.jpg/1280px-Chocolater%C3%ADa_Virgen_de_Luj%C3%A1n.jpg", "decoding": "async", "loading": "lazy", "width": 1280, "height": 864, "srcset": "https://thumb.wikimedia.org/wikipedia/commons/thumb/5/51/Chocolater%C3%ADa_Virgen_de_Luj%C3%A1n.jpg/3840px-Chocolater%C3%ADa_Virgen_de_Luj%C3%A1n.jpg 2x"}, "url": "https://upload.wikimedia.org/wikipedia/commons/5/51/Chocolater%C3%ADa_Virgen_de_Luj%C3%A1n.jpg", "descriptionurl": "https://commons.wikimedia.org/wiki/File:Chocolater%C3%ADa_Virgen_de_Luj%C3%A1n.jpg", "descriptionshorturl": "https://commons.wikimedia.org/w/index.php?curid=67323693", "sha1": "ece6bd70f1bbe503977871e71a83d7dd2cdc4fac", "extmetadata": {"DateTime": {"value": "2018-03-14 01:18:08", "source": "mediawiki-metadata", "hidden": ""}, "ObjectName": {"value": "Chocolatería Virgen de Luján", "source": "mediawiki-metadata"}, "CommonsMetadataExtension": {"value": 1.2, "source": "extension", "hidden": ""}, "Categories": {"value": "Los Remedios District|Self-published work|Chocolate shops in Spain|Bars in Seville", "source": "commons-categories", "hidden": ""}, "Assessments": {"value": "", "source": "commons-categories", "hidden": ""}, "ImageDescription": {"value": "Chocolatería Virgen de Luján. Sevilla, Andalucía, España.", "source": "commons-desc-page"}, "DateTimeOriginal": {"value": "2018-03-13 17:01:06",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"https://thumb.wikimedia.org/wikipedia/commons/thumb/5/51/Chocolater%C3%ADa_Virgen_de_Luj%C3%A1n.jpg/1280px-Chocolater%C3%ADa_Virgen_de_Luj%C3%A1n.jpg"}, "retrieved_on": "2026-10-25"}</t>
        </is>
      </c>
    </row>
    <row r="194" ht="54" customHeight="1">
      <c r="A194" s="29" t="inlineStr">
        <is>
          <t>sevilla:evidence:la-macarena-01</t>
        </is>
      </c>
      <c r="B194" s="29" t="inlineStr">
        <is>
          <t>sevilla</t>
        </is>
      </c>
      <c r="C194" s="29" t="inlineStr">
        <is>
          <t>sevilla:photo:la-macarena-01</t>
        </is>
      </c>
      <c r="D194" s="29" t="inlineStr">
        <is>
          <t>https://commons.wikimedia.org/wiki/File:Adelantado_Square_(Seville,_Spain).jpg</t>
        </is>
      </c>
      <c r="E194" s="29" t="inlineStr">
        <is>
          <t>File:Adelantado Square (Seville, Spain).jpg</t>
        </is>
      </c>
      <c r="F194" s="29" t="inlineStr">
        <is>
          <t>El Mono Español</t>
        </is>
      </c>
      <c r="G194" s="29" t="inlineStr">
        <is>
          <t>CC BY-SA 4.0</t>
        </is>
      </c>
      <c r="H194" s="29" t="inlineStr">
        <is>
          <t>https://creativecommons.org/licenses/by-sa/4.0/</t>
        </is>
      </c>
      <c r="I194" s="29" t="inlineStr">
        <is>
          <t>Creative Commons Attribution-Share Alike 4.0</t>
        </is>
      </c>
      <c r="J194" s="29" t="inlineStr">
        <is>
          <t>El Mono Español · CC BY-SA 4.0 · Wikimedia Commons</t>
        </is>
      </c>
      <c r="K194" s="29" t="n"/>
      <c r="L194" s="49" t="n">
        <v>46320</v>
      </c>
      <c r="M194" s="29" t="inlineStr">
        <is>
          <t>Bekliyor</t>
        </is>
      </c>
      <c r="N194" s="29" t="inlineStr">
        <is>
          <t>Bekliyor</t>
        </is>
      </c>
      <c r="O194" s="29" t="inlineStr">
        <is>
          <t>Fotoğraflar/sevilla_la-macarena_01.jpg</t>
        </is>
      </c>
      <c r="P194" s="29" t="inlineStr">
        <is>
          <t>Macarena'da Plaza del Adelantado meydanı ve fenerler.</t>
        </is>
      </c>
      <c r="Q194" s="29" t="inlineStr">
        <is>
          <t>Bekliyor</t>
        </is>
      </c>
      <c r="R194" s="29" t="inlineStr">
        <is>
          <t>Wikimedia Commons dosya sayfasındaki lisans: CC BY-SA 4.0</t>
        </is>
      </c>
      <c r="S194" s="29" t="inlineStr">
        <is>
          <t>Lisans kanıtları/la-macarena-01.source-evidence.json</t>
        </is>
      </c>
      <c r="T194" s="29" t="inlineStr">
        <is>
          <t>996b36b4a0d8d7e18d66637ea9f5b932724edf9dab95f14ede06be196dc1e95e</t>
        </is>
      </c>
      <c r="U194" s="29" t="inlineStr">
        <is>
          <t>Lisans kanıtları/la-macarena-01.license-evidence.json</t>
        </is>
      </c>
      <c r="V194" s="29" t="inlineStr">
        <is>
          <t>c6d5f9b3b53ab69f46a1da62c93e047caea8970255016f2893f64e5c8abcbe0b</t>
        </is>
      </c>
      <c r="W194" s="29" t="inlineStr">
        <is>
          <t>{"source_url": "https://commons.wikimedia.org/wiki/File:Adelantado_Square_(Seville,_Spain).jpg", "author": "El Mono Español", "license": "CC BY-SA 4.0", "license_url": "https://creativecommons.org/licenses/by-sa/4.0/", "original_api_record": {"size": 6133197, "width": 4032, "height": 3024, "thumburl": "https://thumb.wikimedia.org/wikipedia/commons/thumb/a/aa/Adelantado_Square_%28Seville%2C_Spain%29.jpg/1280px-Adelantado_Square_%28Seville%2C_Spain%29.jpg", "thumbwidth": 1280, "thumbheight": 960, "responsiveUrls": {"2": "https://thumb.wikimedia.org/wikipedia/commons/thumb/a/aa/Adelantado_Square_%28Seville%2C_Spain%29.jpg/3840px-Adelantado_Square_%28Seville%2C_Spain%29.jpg"}, "thumbattribs": {"src": "https://thumb.wikimedia.org/wikipedia/commons/thumb/a/aa/Adelantado_Square_%28Seville%2C_Spain%29.jpg/1280px-Adelantado_Square_%28Seville%2C_Spain%29.jpg", "decoding": "async", "loading": "lazy", "width": 1280, "height": 960, "srcset": "https://thumb.wikimedia.org/wikipedia/commons/thumb/a/aa/Adelantado_Square_%28Seville%2C_Spain%29.jpg/3840px-Adelantado_Square_%28Seville%2C_Spain%29.jpg 2x"}, "url": "https://upload.wikimedia.org/wikipedia/commons/a/aa/Adelantado_Square_%28Seville%2C_Spain%29.jpg", "descriptionurl": "https://commons.wikimedia.org/wiki/File:Adelantado_Square_(Seville,_Spain).jpg", "descriptionshorturl": "https://commons.wikimedia.org/w/index.php?curid=158918438", "sha1": "2c0848c81c5041e77816d249c254f8fa0190e70f", "extmetadata": {"DateTime": {"value": "2025-02-01 15:21:09", "source": "mediawiki-metadata", "hidden": ""}, "ObjectName": {"value": "Adelantado Square (Seville, Spain)", "source": "mediawiki-metadata"}, "CommonsMetadataExtension": {"value": 1.2, "source": "extension", "hidden": ""}, "Categories": {"value": "Urban squares in Seville|Self-published work|Pictures taken by User:El Mono Español|Arrabal de la Macarena", "source": "commons-categories", "hidden": ""}, "Assessments": {"value": "", "source": "commons-categories", "hidden": ""}, "ImageDescription": {"value": "Plaza Adelantado (Sevilla, España). Paseo por el Arrabal de la Macarena.", "source": "commons-desc-page"}, "DateTimeOriginal": {"value": "2025-01-31 08:38:47", "source": "commons-desc-page"}, "Credit": {"value": "&lt;span class=\"int-own-work\" lang=\"en\"&gt;Own work&lt;/span&gt;", "source": "commons-desc-page"}, "Artist": {"value": "&lt;a href=\"//commons.wikimedia.org/wiki/User:El_Mono_Espa%C3%B1ol\" title=\"User:El Mono Español\"&gt;El Mono Español&lt;/a&gt;",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"https://thumb.wikimedia.org/wikipedia/commons/thumb/a/aa/Adelantado_Square_%28Seville%2C_Spain%29.jpg/1280px-Adelantado_Square_%28Seville%2C_Spain%29.jpg"}, "retrieved_on": "2026-10-25"}</t>
        </is>
      </c>
    </row>
    <row r="195" ht="54" customHeight="1">
      <c r="A195" s="29" t="inlineStr">
        <is>
          <t>sevilla:evidence:la-macarena-02</t>
        </is>
      </c>
      <c r="B195" s="29" t="inlineStr">
        <is>
          <t>sevilla</t>
        </is>
      </c>
      <c r="C195" s="29" t="inlineStr">
        <is>
          <t>sevilla:photo:la-macarena-02</t>
        </is>
      </c>
      <c r="D195" s="29" t="inlineStr">
        <is>
          <t>https://commons.wikimedia.org/wiki/File:Casa_hermandad_de_la_Macarena_(Sevilla).jpg</t>
        </is>
      </c>
      <c r="E195" s="29" t="inlineStr">
        <is>
          <t>File:Casa hermandad de la Macarena (Sevilla).jpg</t>
        </is>
      </c>
      <c r="F195" s="29" t="inlineStr">
        <is>
          <t>CarlosVdeHabsburgo</t>
        </is>
      </c>
      <c r="G195" s="29" t="inlineStr">
        <is>
          <t>CC BY-SA 4.0</t>
        </is>
      </c>
      <c r="H195" s="29" t="inlineStr">
        <is>
          <t>https://creativecommons.org/licenses/by-sa/4.0/</t>
        </is>
      </c>
      <c r="I195" s="29" t="inlineStr">
        <is>
          <t>Creative Commons Attribution-Share Alike 4.0</t>
        </is>
      </c>
      <c r="J195" s="29" t="inlineStr">
        <is>
          <t>CarlosVdeHabsburgo · CC BY-SA 4.0 · Wikimedia Commons</t>
        </is>
      </c>
      <c r="K195" s="29" t="n"/>
      <c r="L195" s="49" t="n">
        <v>46320</v>
      </c>
      <c r="M195" s="29" t="inlineStr">
        <is>
          <t>Bekliyor</t>
        </is>
      </c>
      <c r="N195" s="29" t="inlineStr">
        <is>
          <t>Bekliyor</t>
        </is>
      </c>
      <c r="O195" s="29" t="inlineStr">
        <is>
          <t>Fotoğraflar/sevilla_la-macarena_02.jpg</t>
        </is>
      </c>
      <c r="P195" s="29" t="inlineStr">
        <is>
          <t>Macarena'da Hermandad'ın sarı cepheli tarihî binası.</t>
        </is>
      </c>
      <c r="Q195" s="29" t="inlineStr">
        <is>
          <t>Bekliyor</t>
        </is>
      </c>
      <c r="R195" s="29" t="inlineStr">
        <is>
          <t>Wikimedia Commons dosya sayfasındaki lisans: CC BY-SA 4.0</t>
        </is>
      </c>
      <c r="S195" s="29" t="inlineStr">
        <is>
          <t>Lisans kanıtları/la-macarena-02.source-evidence.json</t>
        </is>
      </c>
      <c r="T195" s="29" t="inlineStr">
        <is>
          <t>eef8c2ddf4e915128003dca960d33d36ee7a9f3e558a81f57f187b529a5df50b</t>
        </is>
      </c>
      <c r="U195" s="29" t="inlineStr">
        <is>
          <t>Lisans kanıtları/la-macarena-02.license-evidence.json</t>
        </is>
      </c>
      <c r="V195" s="29" t="inlineStr">
        <is>
          <t>3f29b2287e6d910b5bc9e0b0d5b460e90a92386d907cee4e68b1b2d44638677f</t>
        </is>
      </c>
      <c r="W195" s="29" t="inlineStr">
        <is>
          <t>{"source_url": "https://commons.wikimedia.org/wiki/File:Casa_hermandad_de_la_Macarena_(Sevilla).jpg", "author": "CarlosVdeHabsburgo", "license": "CC BY-SA 4.0", "license_url": "https://creativecommons.org/licenses/by-sa/4.0/", "original_api_record": {"size": 6476735, "width": 3240, "height": 3893, "thumburl": "https://thumb.wikimedia.org/wikipedia/commons/thumb/6/64/Casa_hermandad_de_la_Macarena_%28Sevilla%29.jpg/1280px-Casa_hermandad_de_la_Macarena_%28Sevilla%29.jpg", "thumbwidth": 1280, "thumbheight": 1538, "responsiveUrls": {"2": "https://upload.wikimedia.org/wikipedia/commons/6/64/Casa_hermandad_de_la_Macarena_%28Sevilla%29.jpg"}, "thumbattribs": {"src": "https://thumb.wikimedia.org/wikipedia/commons/thumb/6/64/Casa_hermandad_de_la_Macarena_%28Sevilla%29.jpg/1280px-Casa_hermandad_de_la_Macarena_%28Sevilla%29.jpg", "decoding": "async", "loading": "lazy", "width": 1280, "height": 1538, "srcset": "https://upload.wikimedia.org/wikipedia/commons/6/64/Casa_hermandad_de_la_Macarena_%28Sevilla%29.jpg 2x"}, "url": "https://upload.wikimedia.org/wikipedia/commons/6/64/Casa_hermandad_de_la_Macarena_%28Sevilla%29.jpg", "descriptionurl": "https://commons.wikimedia.org/wiki/File:Casa_hermandad_de_la_Macarena_(Sevilla).jpg", "descriptionshorturl": "https://commons.wikimedia.org/w/index.php?curid=72712355", "sha1": "e8fe963fc9852254356c8a3cddaef4c72088eacf", "extmetadata": {"DateTime": {"value": "2018-09-13 17:59:02", "source": "mediawiki-metadata", "hidden": ""}, "ObjectName": {"value": "Casa hermandad de la Macarena (Sevilla)", "source": "mediawiki-metadata"}, "CommonsMetadataExtension": {"value": 1.2, "source": "extension", "hidden": ""}, "Categories": {"value": "Hermandad de la Macarena (Sevilla)|Self-published work|Buildings in San Gil, Seville|Casas de Hermandad in Andalusia", "source": "commons-categories", "hidden": ""}, "Assessments": {"value": "", "source": "commons-categories", "hidden": ""}, "ImageDescription": {"value": "Casa hermandad de la Macarena. Sevilla, Andalucía, España.", "source": "commons-desc-page"}, "DateTimeOriginal": {"value": "2018-09-12 18:15:00",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"https://thumb.wikimedia.org/wikipedia/commons/thumb/6/64/Casa_hermandad_de_la_Macarena_%28Sevilla%29.jpg/1280px-Casa_hermandad_de_la_Macarena_%28Sevilla%29.jpg"}, "retrieved_on": "2026-10-25"}</t>
        </is>
      </c>
    </row>
    <row r="196" ht="54" customHeight="1">
      <c r="A196" s="29" t="inlineStr">
        <is>
          <t>sevilla:evidence:nervion-01</t>
        </is>
      </c>
      <c r="B196" s="29" t="inlineStr">
        <is>
          <t>sevilla</t>
        </is>
      </c>
      <c r="C196" s="29" t="inlineStr">
        <is>
          <t>sevilla:photo:nervion-01</t>
        </is>
      </c>
      <c r="D196" s="29" t="inlineStr">
        <is>
          <t>https://commons.wikimedia.org/wiki/File:Calle_Pablo_Picasso,_6_(Sevilla)_-_Sede_de_la_Consejer%C3%ADa_de_Fomento,_Infraestructuras_y_Ordenaci%C3%B3n_del_Territorio_de_la_Junta_de_Andaluc%C3%ADa_(Edificio).jpg</t>
        </is>
      </c>
      <c r="E196" s="29" t="inlineStr">
        <is>
          <t>File:Calle Pablo Picasso, 6 (Sevilla) - Sede de la Consejería de Fomento, Infraestructuras y Ordenación del Territorio de la Junta de Andalucía (Edificio).jpg</t>
        </is>
      </c>
      <c r="F196" s="29" t="inlineStr">
        <is>
          <t>Peejayem</t>
        </is>
      </c>
      <c r="G196" s="29" t="inlineStr">
        <is>
          <t>CC BY-SA 4.0</t>
        </is>
      </c>
      <c r="H196" s="29" t="inlineStr">
        <is>
          <t>https://creativecommons.org/licenses/by-sa/4.0/</t>
        </is>
      </c>
      <c r="I196" s="29" t="inlineStr">
        <is>
          <t>Creative Commons Attribution-Share Alike 4.0</t>
        </is>
      </c>
      <c r="J196" s="29" t="inlineStr">
        <is>
          <t>Peejayem · CC BY-SA 4.0 · Wikimedia Commons</t>
        </is>
      </c>
      <c r="K196" s="29" t="n"/>
      <c r="L196" s="49" t="n">
        <v>46320</v>
      </c>
      <c r="M196" s="29" t="inlineStr">
        <is>
          <t>Bekliyor</t>
        </is>
      </c>
      <c r="N196" s="29" t="inlineStr">
        <is>
          <t>Bekliyor</t>
        </is>
      </c>
      <c r="O196" s="29" t="inlineStr">
        <is>
          <t>Fotoğraflar/sevilla_nervion_01.jpg</t>
        </is>
      </c>
      <c r="P196" s="29" t="inlineStr">
        <is>
          <t>Nervión'da fıskiyeli havuzun arkasında modern ofis binaları.</t>
        </is>
      </c>
      <c r="Q196" s="29" t="inlineStr">
        <is>
          <t>Bekliyor</t>
        </is>
      </c>
      <c r="R196" s="29" t="inlineStr">
        <is>
          <t>Wikimedia Commons dosya sayfasındaki lisans: CC BY-SA 4.0</t>
        </is>
      </c>
      <c r="S196" s="29" t="inlineStr">
        <is>
          <t>Lisans kanıtları/nervion-01.source-evidence.json</t>
        </is>
      </c>
      <c r="T196" s="29" t="inlineStr">
        <is>
          <t>c568a0a684aed618dd801cbf8e694860cc14730deb239e1ff2da7d81856a9933</t>
        </is>
      </c>
      <c r="U196" s="29" t="inlineStr">
        <is>
          <t>Lisans kanıtları/nervion-01.license-evidence.json</t>
        </is>
      </c>
      <c r="V196" s="29" t="inlineStr">
        <is>
          <t>4782687586142a6ea19c68e0b887a7509b590daa808c42f2716bcbace2fa11c5</t>
        </is>
      </c>
      <c r="W196" s="29" t="inlineStr">
        <is>
          <t>{"source_url": "https://commons.wikimedia.org/wiki/File:Calle_Pablo_Picasso,_6_(Sevilla)_-_Sede_de_la_Consejer%C3%ADa_de_Fomento,_Infraestructuras_y_Ordenaci%C3%B3n_del_Territorio_de_la_Junta_de_Andaluc%C3%ADa_(Edificio).jpg", "author": "Peejayem", "license": "CC BY-SA 4.0", "license_url": "https://creativecommons.org/licenses/by-sa/4.0/", "original_api_record": {"size": 2397363, "width": 4160, "height": 1920, "thumburl": "https://thumb.wikimedia.org/wikipedia/commons/thumb/6/68/Calle_Pablo_Picasso%2C_6_%28Sevilla%29_-_Sede_de_la_Consejer%C3%ADa_de_Fomento%2C_Infraestructuras_y_Ordenaci%C3%B3n_del_Territorio_de_la_Junta_de_Andaluc%C3%ADa_%28Edificio%29.jpg/1280px-Calle_Pablo_Picasso%2C_6_%28Sevilla%29_-_Sede_de_la_Consejer%C3%ADa_de_Fomento%2C_Infraestructuras_y_Ordenaci%C3%B3n_del_Territorio_de_la_Junta_de_Andaluc%C3%ADa_%28Edificio%29.jpg", "thumbwidth": 1280, "thumbheight": 591, "responsiveUrls": {"2": "https://thumb.wikimedia.org/wikipedia/commons/thumb/6/68/Calle_Pablo_Picasso%2C_6_%28Sevilla%29_-_Sede_de_la_Consejer%C3%ADa_de_Fomento%2C_Infraestructuras_y_Ordenaci%C3%B3n_del_Territorio_de_la_Junta_de_Andaluc%C3%ADa_%28Edificio%29.jpg/3840px-Calle_Pablo_Picasso%2C_6_%28Sevilla%29_-_Sede_de_la_Consejer%C3%ADa_de_Fomento%2C_Infraestructuras_y_Ordenaci%C3%B3n_del_Territorio_de_la_Junta_de_Andaluc%C3%ADa_%28Edificio%29.jpg"}, "thumbattribs": {"src": "https://thumb.wikimedia.org/wikipedia/commons/thumb/6/68/Calle_Pablo_Picasso%2C_6_%28Sevilla%29_-_Sede_de_la_Consejer%C3%ADa_de_Fomento%2C_Infraestructuras_y_Ordenaci%C3%B3n_del_Territorio_de_la_Junta_de_Andaluc%C3%ADa_%28Edificio%29.jpg/1280px-Calle_Pablo_Picasso%2C_6_%28Sevilla%29_-_Sede_de_la_Consejer%C3%ADa_de_Fomento%2C_Infraestructuras_y_Ordenaci%C3%B3n_del_Territorio_de_la_Junta_de_Andaluc%C3%ADa_%28Edificio%29.jpg", "decoding": "async", "loading": "lazy", "width": 1280, "height": 591, "srcset": "https://thumb.wikimedia.org/wikipedia/commons/thumb/6/68/Calle_Pablo_Picasso%2C_6_%28Sevilla%29_-_Sede_de_la_Consejer%C3%ADa_de_Fomento%2C_Infraestructuras_y_Ordenaci%C3%B3n_del_Territorio_de_la_Junta_de_Andaluc%C3%ADa_%28Edificio%29.jpg/3840px-Calle_Pablo_Picasso%2C_6_%28Sevilla%29_-_Sede_de_la_Consejer%C3%ADa_de_Fomento%2C_Infraestructuras_y_Ordenaci%C3%B3n_del_Territorio_de_la_Junta_de_Andaluc%C3%ADa_%28Edificio%29.jpg 2x"}, "url": "https://upload.wikimedia.org/wikipedia/commons/6/68/Calle_Pablo_Picasso%2C_6_%28Sevilla%29_-_Sede_de_la_Consejer%C3%ADa_de_Fomento%2C_Infraestructuras_y_Ordenaci%C3%B3n_del_Territorio_de_la_Junta_de_Andaluc%C3%ADa_%28Edificio%29.jpg", "descriptionurl": "https://commons.wikimedia.org/wiki/File:Calle_Pablo_Picasso,_6_(Sevilla)_-_Sede_de_la_Consejer%C3%ADa_de_Fomento,_Infraestructuras_y_Ordenaci%C3%B3n_del_Territorio_de_la_Junta_de_Andaluc%C3%ADa_(Edificio).jpg", "descriptionshorturl": "https://commons.wikimedia.org/w/index.php?curid=123026455", "sha1": "9554a2409a50dd479927ae2f3478ac44b03636ee", "extmetadata": {"DateTime": {"value": "2022-09-15 14:18:14", "source": "mediawiki-metadata", "hidden": ""}, "ObjectName": {"value": "Calle Pablo Picasso, 6 (Sevilla) - Sede de la Consejería de Fomento, Infraestructuras y Ordenación del Territorio de la Junta de Andalucía (Edificio)", "source": "mediawiki-metadata"}, "CommonsMetadataExtension": {"value": 1.2, "source": "extension", "hidden": ""}, "Categories": {"value": "Self-published work|Files with coordinates missing SDC location of creation|Buildings in Nervión District|Buildings of the Junta de Andalucía|Government buildings in Seville|Edificio Picasso, Sevilla", "source": "commons-categories", "hidden": ""}, "Assessments": {"value": "", "source": "commons-categories", "hidden": ""}, "GPSLatitude": {"value": "37.389088", "source": "commons-desc-page"}, "GPSLongitude": {"value": "-5.977637", "source": "commons-desc-page"}, "GPSMapDatum": {"value": "WGS-84", "source": "commons-desc-page", "hidden": ""}, "ImageDescription": {"value": "Edificio de la sede de la Consejería de Fomento, Infraestructuras y Ordenación del Territorio de la Junta de Andalucía, en la calle Pablo Picasso, 6 de Sevilla (España)", "source": "commons-desc-page"}, "DateTimeOriginal": {"value": "2022-09-11 19:23:07", "source": "commons-desc-page"}, "Credit": {"value": "&lt;span class=\"int-own-work\" lang=\"en\"&gt;Own work&lt;/span&gt;", "source": "commons-desc-page"}, "Artist": {"value": "&lt;a href=\"//commons.wikimedia.org/wiki/User:Peejayem\" title=\"User:Peejayem\"&gt;Peejayem&lt;/a&gt;",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6/68/Calle_Pablo_Picasso%2C_6_%28Sevilla%29_-_Sede_de_la_Consejer%C3%ADa_de_Fomento%2C_Infraestructuras_y_Ordenaci%C3%B3n_del_Territorio_de_la_Junta_de_Andaluc%C3%ADa_%28Edificio%29.jpg/1280px-Calle_Pablo_Picasso%2C_6_%28Sevilla%29_-_Sede_de_la_Consejer%C3%ADa_de_Fomento%2C_Infraestructuras_y_Ordenaci%C3%B3n_del_Territorio_de_la_Junta_de_Andaluc%C3%ADa_%28Edificio%29.jpg"}, "retrieved_on": "2026-10-25"}</t>
        </is>
      </c>
    </row>
    <row r="197" ht="54" customHeight="1">
      <c r="A197" s="29" t="inlineStr">
        <is>
          <t>sevilla:evidence:nervion-02</t>
        </is>
      </c>
      <c r="B197" s="29" t="inlineStr">
        <is>
          <t>sevilla</t>
        </is>
      </c>
      <c r="C197" s="29" t="inlineStr">
        <is>
          <t>sevilla:photo:nervion-02</t>
        </is>
      </c>
      <c r="D197" s="29" t="inlineStr">
        <is>
          <t>https://commons.wikimedia.org/wiki/File:Calle_Pablo_Picasso,_6_(Sevilla)_-_Sede_de_la_Consejer%C3%ADa_de_Fomento,_Infraestructuras_y_Ordenaci%C3%B3n_del_Territorio_de_la_Junta_de_Andaluc%C3%ADa_(Portada).jpg</t>
        </is>
      </c>
      <c r="E197" s="29" t="inlineStr">
        <is>
          <t>File:Calle Pablo Picasso, 6 (Sevilla) - Sede de la Consejería de Fomento, Infraestructuras y Ordenación del Territorio de la Junta de Andalucía (Portada).jpg</t>
        </is>
      </c>
      <c r="F197" s="29" t="inlineStr">
        <is>
          <t>Peejayem</t>
        </is>
      </c>
      <c r="G197" s="29" t="inlineStr">
        <is>
          <t>CC BY-SA 4.0</t>
        </is>
      </c>
      <c r="H197" s="29" t="inlineStr">
        <is>
          <t>https://creativecommons.org/licenses/by-sa/4.0/</t>
        </is>
      </c>
      <c r="I197" s="29" t="inlineStr">
        <is>
          <t>Creative Commons Attribution-Share Alike 4.0</t>
        </is>
      </c>
      <c r="J197" s="29" t="inlineStr">
        <is>
          <t>Peejayem · CC BY-SA 4.0 · Wikimedia Commons</t>
        </is>
      </c>
      <c r="K197" s="29" t="n"/>
      <c r="L197" s="49" t="n">
        <v>46320</v>
      </c>
      <c r="M197" s="29" t="inlineStr">
        <is>
          <t>Bekliyor</t>
        </is>
      </c>
      <c r="N197" s="29" t="inlineStr">
        <is>
          <t>Bekliyor</t>
        </is>
      </c>
      <c r="O197" s="29" t="inlineStr">
        <is>
          <t>Fotoğraflar/sevilla_nervion_02.jpg</t>
        </is>
      </c>
      <c r="P197" s="29" t="inlineStr">
        <is>
          <t>Nervión'da ağaçlı caddede modern bir ofis binası.</t>
        </is>
      </c>
      <c r="Q197" s="29" t="inlineStr">
        <is>
          <t>Bekliyor</t>
        </is>
      </c>
      <c r="R197" s="29" t="inlineStr">
        <is>
          <t>Wikimedia Commons dosya sayfasındaki lisans: CC BY-SA 4.0</t>
        </is>
      </c>
      <c r="S197" s="29" t="inlineStr">
        <is>
          <t>Lisans kanıtları/nervion-02.source-evidence.json</t>
        </is>
      </c>
      <c r="T197" s="29" t="inlineStr">
        <is>
          <t>1e894445bf581399e9f3210fa5678f8e518e0a10bae486861a063f76f316e911</t>
        </is>
      </c>
      <c r="U197" s="29" t="inlineStr">
        <is>
          <t>Lisans kanıtları/nervion-02.license-evidence.json</t>
        </is>
      </c>
      <c r="V197" s="29" t="inlineStr">
        <is>
          <t>640e353e897077628f3660de6d5f48071a1d26e230603eba436834a5d700e2fc</t>
        </is>
      </c>
      <c r="W197" s="29" t="inlineStr">
        <is>
          <t>{"source_url": "https://commons.wikimedia.org/wiki/File:Calle_Pablo_Picasso,_6_(Sevilla)_-_Sede_de_la_Consejer%C3%ADa_de_Fomento,_Infraestructuras_y_Ordenaci%C3%B3n_del_Territorio_de_la_Junta_de_Andaluc%C3%ADa_(Portada).jpg", "author": "Peejayem", "license": "CC BY-SA 4.0", "license_url": "https://creativecommons.org/licenses/by-sa/4.0/", "original_api_record": {"size": 3255852, "width": 4160, "height": 1920, "thumburl": "https://thumb.wikimedia.org/wikipedia/commons/thumb/2/24/Calle_Pablo_Picasso%2C_6_%28Sevilla%29_-_Sede_de_la_Consejer%C3%ADa_de_Fomento%2C_Infraestructuras_y_Ordenaci%C3%B3n_del_Territorio_de_la_Junta_de_Andaluc%C3%ADa_%28Portada%29.jpg/1280px-Calle_Pablo_Picasso%2C_6_%28Sevilla%29_-_Sede_de_la_Consejer%C3%ADa_de_Fomento%2C_Infraestructuras_y_Ordenaci%C3%B3n_del_Territorio_de_la_Junta_de_Andaluc%C3%ADa_%28Portada%29.jpg", "thumbwidth": 1280, "thumbheight": 591, "responsiveUrls": {"2": "https://thumb.wikimedia.org/wikipedia/commons/thumb/2/24/Calle_Pablo_Picasso%2C_6_%28Sevilla%29_-_Sede_de_la_Consejer%C3%ADa_de_Fomento%2C_Infraestructuras_y_Ordenaci%C3%B3n_del_Territorio_de_la_Junta_de_Andaluc%C3%ADa_%28Portada%29.jpg/3840px-Calle_Pablo_Picasso%2C_6_%28Sevilla%29_-_Sede_de_la_Consejer%C3%ADa_de_Fomento%2C_Infraestructuras_y_Ordenaci%C3%B3n_del_Territorio_de_la_Junta_de_Andaluc%C3%ADa_%28Portada%29.jpg"}, "thumbattribs": {"src": "https://thumb.wikimedia.org/wikipedia/commons/thumb/2/24/Calle_Pablo_Picasso%2C_6_%28Sevilla%29_-_Sede_de_la_Consejer%C3%ADa_de_Fomento%2C_Infraestructuras_y_Ordenaci%C3%B3n_del_Territorio_de_la_Junta_de_Andaluc%C3%ADa_%28Portada%29.jpg/1280px-Calle_Pablo_Picasso%2C_6_%28Sevilla%29_-_Sede_de_la_Consejer%C3%ADa_de_Fomento%2C_Infraestructuras_y_Ordenaci%C3%B3n_del_Territorio_de_la_Junta_de_Andaluc%C3%ADa_%28Portada%29.jpg", "decoding": "async", "loading": "lazy", "width": 1280, "height": 591, "srcset": "https://thumb.wikimedia.org/wikipedia/commons/thumb/2/24/Calle_Pablo_Picasso%2C_6_%28Sevilla%29_-_Sede_de_la_Consejer%C3%ADa_de_Fomento%2C_Infraestructuras_y_Ordenaci%C3%B3n_del_Territorio_de_la_Junta_de_Andaluc%C3%ADa_%28Portada%29.jpg/3840px-Calle_Pablo_Picasso%2C_6_%28Sevilla%29_-_Sede_de_la_Consejer%C3%ADa_de_Fomento%2C_Infraestructuras_y_Ordenaci%C3%B3n_del_Territorio_de_la_Junta_de_Andaluc%C3%ADa_%28Portada%29.jpg 2x"}, "url": "https://upload.wikimedia.org/wikipedia/commons/2/24/Calle_Pablo_Picasso%2C_6_%28Sevilla%29_-_Sede_de_la_Consejer%C3%ADa_de_Fomento%2C_Infraestructuras_y_Ordenaci%C3%B3n_del_Territorio_de_la_Junta_de_Andaluc%C3%ADa_%28Portada%29.jpg", "descriptionurl": "https://commons.wikimedia.org/wiki/File:Calle_Pablo_Picasso,_6_(Sevilla)_-_Sede_de_la_Consejer%C3%ADa_de_Fomento,_Infraestructuras_y_Ordenaci%C3%B3n_del_Territorio_de_la_Junta_de_Andaluc%C3%ADa_(Portada).jpg", "descriptionshorturl": "https://commons.wikimedia.org/w/index.php?curid=123026456", "sha1": "6d59a3907019abf0331317061df56c04e05a85c3", "extmetadata": {"DateTime": {"value": "2022-09-15 14:18:14", "source": "mediawiki-metadata", "hidden": ""}, "ObjectName": {"value": "Calle Pablo Picasso, 6 (Sevilla) - Sede de la Consejería de Fomento, Infraestructuras y Ordenación del Territorio de la Junta de Andalucía (Portada)", "source": "mediawiki-metadata"}, "CommonsMetadataExtension": {"value": 1.2, "source": "extension", "hidden": ""}, "Categories": {"value": "Self-published work|Files with coordinates missing SDC location of creation|Buildings in Nervión District|Buildings of the Junta de Andalucía|Government buildings in Seville|Edificio Picasso, Sevilla", "source": "commons-categories", "hidden": ""}, "Assessments": {"value": "", "source": "commons-categories", "hidden": ""}, "GPSLatitude": {"value": "37.389462", "source": "commons-desc-page"}, "GPSLongitude": {"value": "-5.976418", "source": "commons-desc-page"}, "GPSMapDatum": {"value": "WGS-84", "source": "commons-desc-page", "hidden": ""}, "ImageDescription": {"value": "Portada de la sede de la Consejería de Fomento, Infraestructuras y Ordenación del Territorio de la Junta de Andalucía, en la calle Pablo Picasso, 6 de Sevilla (España)", "source": "commons-desc-page"}, "DateTimeOriginal": {"value": "2022-09-11 09:44:04", "source": "commons-desc-page"}, "Credit": {"value": "&lt;span class=\"int-own-work\" lang=\"en\"&gt;Own work&lt;/span&gt;", "source": "commons-desc-page"}, "Artist": {"value": "&lt;a href=\"//commons.wikimedia.org/wiki/User:Peejayem\" title=\"User:Peejayem\"&gt;Peejayem&lt;/a&gt;",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2/24/Calle_Pablo_Picasso%2C_6_%28Sevilla%29_-_Sede_de_la_Consejer%C3%ADa_de_Fomento%2C_Infraestructuras_y_Ordenaci%C3%B3n_del_Territorio_de_la_Junta_de_Andaluc%C3%ADa_%28Portada%29.jpg/1280px-Calle_Pablo_Picasso%2C_6_%28Sevilla%29_-_Sede_de_la_Consejer%C3%ADa_de_Fomento%2C_Infraestructuras_y_Ordenaci%C3%B3n_del_Territorio_de_la_Junta_de_Andaluc%C3%ADa_%28Portada%29.jpg"}, "retrieved_on": "2026-10-25"}</t>
        </is>
      </c>
    </row>
    <row r="198" ht="54" customHeight="1">
      <c r="A198" s="29" t="inlineStr">
        <is>
          <t>sevilla:evidence:nervion-03</t>
        </is>
      </c>
      <c r="B198" s="29" t="inlineStr">
        <is>
          <t>sevilla</t>
        </is>
      </c>
      <c r="C198" s="29" t="inlineStr">
        <is>
          <t>sevilla:photo:nervion-03</t>
        </is>
      </c>
      <c r="D198" s="29" t="inlineStr">
        <is>
          <t>https://commons.wikimedia.org/wiki/File:Centra_de_Telef%C3%B3nica_de_Sevilla_Oriente.jpg</t>
        </is>
      </c>
      <c r="E198" s="29" t="inlineStr">
        <is>
          <t>File:Centra de Telefónica de Sevilla Oriente.jpg</t>
        </is>
      </c>
      <c r="F198" s="29" t="inlineStr">
        <is>
          <t>CarlosVdeHabsburgo</t>
        </is>
      </c>
      <c r="G198" s="29" t="inlineStr">
        <is>
          <t>CC BY-SA 4.0</t>
        </is>
      </c>
      <c r="H198" s="29" t="inlineStr">
        <is>
          <t>https://creativecommons.org/licenses/by-sa/4.0/</t>
        </is>
      </c>
      <c r="I198" s="29" t="inlineStr">
        <is>
          <t>Creative Commons Attribution-Share Alike 4.0</t>
        </is>
      </c>
      <c r="J198" s="29" t="inlineStr">
        <is>
          <t>CarlosVdeHabsburgo · CC BY-SA 4.0 · Wikimedia Commons</t>
        </is>
      </c>
      <c r="K198" s="29" t="n"/>
      <c r="L198" s="49" t="n">
        <v>46320</v>
      </c>
      <c r="M198" s="29" t="inlineStr">
        <is>
          <t>Bekliyor</t>
        </is>
      </c>
      <c r="N198" s="29" t="inlineStr">
        <is>
          <t>Bekliyor</t>
        </is>
      </c>
      <c r="O198" s="29" t="inlineStr">
        <is>
          <t>Fotoğraflar/sevilla_nervion_03.jpg</t>
        </is>
      </c>
      <c r="P198" s="29" t="inlineStr">
        <is>
          <t>Nervión'da beyaz Telefónica kulesi.</t>
        </is>
      </c>
      <c r="Q198" s="29" t="inlineStr">
        <is>
          <t>Bekliyor</t>
        </is>
      </c>
      <c r="R198" s="29" t="inlineStr">
        <is>
          <t>Wikimedia Commons dosya sayfasındaki lisans: CC BY-SA 4.0</t>
        </is>
      </c>
      <c r="S198" s="29" t="inlineStr">
        <is>
          <t>Lisans kanıtları/nervion-03.source-evidence.json</t>
        </is>
      </c>
      <c r="T198" s="29" t="inlineStr">
        <is>
          <t>31b40e09217de55b34d33bd96be2eb81b56187cb145ec2c782e1d04814187277</t>
        </is>
      </c>
      <c r="U198" s="29" t="inlineStr">
        <is>
          <t>Lisans kanıtları/nervion-03.license-evidence.json</t>
        </is>
      </c>
      <c r="V198" s="29" t="inlineStr">
        <is>
          <t>81319cfb02ddd0404dec0ae17646e79dce7a697cd69e8e73244d7d6ad95b9901</t>
        </is>
      </c>
      <c r="W198" s="29" t="inlineStr">
        <is>
          <t>{"source_url": "https://commons.wikimedia.org/wiki/File:Centra_de_Telef%C3%B3nica_de_Sevilla_Oriente.jpg", "author": "CarlosVdeHabsburgo", "license": "CC BY-SA 4.0", "license_url": "https://creativecommons.org/licenses/by-sa/4.0/", "original_api_record": {"size": 6401410, "width": 4320, "height": 3240, "thumburl": "https://thumb.wikimedia.org/wikipedia/commons/thumb/4/48/Centra_de_Telef%C3%B3nica_de_Sevilla_Oriente.jpg/1280px-Centra_de_Telef%C3%B3nica_de_Sevilla_Oriente.jpg", "thumbwidth": 1280, "thumbheight": 960, "responsiveUrls": {"2": "https://thumb.wikimedia.org/wikipedia/commons/thumb/4/48/Centra_de_Telef%C3%B3nica_de_Sevilla_Oriente.jpg/3840px-Centra_de_Telef%C3%B3nica_de_Sevilla_Oriente.jpg"}, "thumbattribs": {"src": "https://thumb.wikimedia.org/wikipedia/commons/thumb/4/48/Centra_de_Telef%C3%B3nica_de_Sevilla_Oriente.jpg/1280px-Centra_de_Telef%C3%B3nica_de_Sevilla_Oriente.jpg", "decoding": "async", "loading": "lazy", "width": 1280, "height": 960, "srcset": "https://thumb.wikimedia.org/wikipedia/commons/thumb/4/48/Centra_de_Telef%C3%B3nica_de_Sevilla_Oriente.jpg/3840px-Centra_de_Telef%C3%B3nica_de_Sevilla_Oriente.jpg 2x"}, "url": "https://upload.wikimedia.org/wikipedia/commons/4/48/Centra_de_Telef%C3%B3nica_de_Sevilla_Oriente.jpg", "descriptionurl": "https://commons.wikimedia.org/wiki/File:Centra_de_Telef%C3%B3nica_de_Sevilla_Oriente.jpg", "descriptionshorturl": "https://commons.wikimedia.org/w/index.php?curid=71464727", "sha1": "ea22d02d44a189b971b0a67ffa38c3836464501c", "extmetadata": {"DateTime": {"value": "2018-08-08 23:45:51", "source": "mediawiki-metadata", "hidden": ""}, "ObjectName": {"value": "Centra de Telefónica de Sevilla Oriente", "source": "mediawiki-metadata"}, "CommonsMetadataExtension": {"value": 1.2, "source": "extension", "hidden": ""}, "Categories": {"value": "La Calzada, Seville|Self-published work|Telefónica buildings|Buildings in Nervión District", "source": "commons-categories", "hidden": ""}, "Assessments": {"value": "", "source": "commons-categories", "hidden": ""}, "ImageDescription": {"value": "Central de Telefónica de Sevilla Oriente. Sevilla, Andalucía, España.", "source": "commons-desc-page"}, "DateTimeOriginal": {"value": "2018-08-08 19:47:10",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"https://thumb.wikimedia.org/wikipedia/commons/thumb/4/48/Centra_de_Telef%C3%B3nica_de_Sevilla_Oriente.jpg/1280px-Centra_de_Telef%C3%B3nica_de_Sevilla_Oriente.jpg"}, "retrieved_on": "2026-10-25"}</t>
        </is>
      </c>
    </row>
    <row r="199" ht="54" customHeight="1">
      <c r="A199" s="29" t="inlineStr">
        <is>
          <t>sevilla:evidence:la-cartuja-01</t>
        </is>
      </c>
      <c r="B199" s="29" t="inlineStr">
        <is>
          <t>sevilla</t>
        </is>
      </c>
      <c r="C199" s="29" t="inlineStr">
        <is>
          <t>sevilla:photo:la-cartuja-01</t>
        </is>
      </c>
      <c r="D199" s="29" t="inlineStr">
        <is>
          <t>https://commons.wikimedia.org/wiki/File:Cartuja_de_Sevilla,_claustro.jpg</t>
        </is>
      </c>
      <c r="E199" s="29" t="inlineStr">
        <is>
          <t>File:Cartuja de Sevilla, claustro.jpg</t>
        </is>
      </c>
      <c r="F199" s="29" t="inlineStr">
        <is>
          <t>José Luis Filpo Cabana</t>
        </is>
      </c>
      <c r="G199" s="29" t="inlineStr">
        <is>
          <t>CC BY 3.0</t>
        </is>
      </c>
      <c r="H199" s="29" t="inlineStr">
        <is>
          <t>https://creativecommons.org/licenses/by/3.0/</t>
        </is>
      </c>
      <c r="I199" s="29" t="inlineStr">
        <is>
          <t>Creative Commons Attribution 3.0</t>
        </is>
      </c>
      <c r="J199" s="29" t="inlineStr">
        <is>
          <t>José Luis Filpo Cabana · CC BY 3.0 · Wikimedia Commons</t>
        </is>
      </c>
      <c r="K199" s="29" t="n"/>
      <c r="L199" s="49" t="n">
        <v>46320</v>
      </c>
      <c r="M199" s="29" t="inlineStr">
        <is>
          <t>Bekliyor</t>
        </is>
      </c>
      <c r="N199" s="29" t="inlineStr">
        <is>
          <t>Bekliyor</t>
        </is>
      </c>
      <c r="O199" s="29" t="inlineStr">
        <is>
          <t>Fotoğraflar/sevilla_la-cartuja_01.jpg</t>
        </is>
      </c>
      <c r="P199" s="29" t="inlineStr">
        <is>
          <t>Cartuja Manastırı'nın sütunlu, kemerli klostrosu.</t>
        </is>
      </c>
      <c r="Q199" s="29" t="inlineStr">
        <is>
          <t>Bekliyor</t>
        </is>
      </c>
      <c r="R199" s="29" t="inlineStr">
        <is>
          <t>Wikimedia Commons dosya sayfasındaki lisans: CC BY 3.0</t>
        </is>
      </c>
      <c r="S199" s="29" t="inlineStr">
        <is>
          <t>Lisans kanıtları/la-cartuja-01.source-evidence.json</t>
        </is>
      </c>
      <c r="T199" s="29" t="inlineStr">
        <is>
          <t>5f0778dadd2efd41e9a0bc71fccf60fe04274364f11f38dda84cd00799a5f7be</t>
        </is>
      </c>
      <c r="U199" s="29" t="inlineStr">
        <is>
          <t>Lisans kanıtları/la-cartuja-01.license-evidence.json</t>
        </is>
      </c>
      <c r="V199" s="29" t="inlineStr">
        <is>
          <t>3aaf6725dfc9de4c83d3bb7c11e1458738828c146cfc8fc26e248211ef058fbb</t>
        </is>
      </c>
      <c r="W199" s="29" t="inlineStr">
        <is>
          <t>{"source_url": "https://commons.wikimedia.org/wiki/File:Cartuja_de_Sevilla,_claustro.jpg", "author": "José Luis Filpo Cabana", "license": "CC BY 3.0", "license_url": "https://creativecommons.org/licenses/by/3.0/", "original_api_record": {"size": 6647715, "width": 4112, "height": 3088, "thumburl": "https://thumb.wikimedia.org/wikipedia/commons/thumb/2/22/Cartuja_de_Sevilla%2C_claustro.jpg/1280px-Cartuja_de_Sevilla%2C_claustro.jpg", "thumbwidth": 1280, "thumbheight": 961, "responsiveUrls": {"2": "https://thumb.wikimedia.org/wikipedia/commons/thumb/2/22/Cartuja_de_Sevilla%2C_claustro.jpg/3840px-Cartuja_de_Sevilla%2C_claustro.jpg"}, "thumbattribs": {"src": "https://thumb.wikimedia.org/wikipedia/commons/thumb/2/22/Cartuja_de_Sevilla%2C_claustro.jpg/1280px-Cartuja_de_Sevilla%2C_claustro.jpg", "decoding": "async", "loading": "lazy", "width": 1280, "height": 961, "srcset": "https://thumb.wikimedia.org/wikipedia/commons/thumb/2/22/Cartuja_de_Sevilla%2C_claustro.jpg/3840px-Cartuja_de_Sevilla%2C_claustro.jpg 2x"}, "url": "https://upload.wikimedia.org/wikipedia/commons/2/22/Cartuja_de_Sevilla%2C_claustro.jpg", "descriptionurl": "https://commons.wikimedia.org/wiki/File:Cartuja_de_Sevilla,_claustro.jpg", "descriptionshorturl": "https://commons.wikimedia.org/w/index.php?curid=44600181", "sha1": "3f4fa5ac3dfb767782852b46fab8cb70f8317265", "extmetadata": {"DateTime": {"value": "2021-03-30 08:24:27", "source": "mediawiki-metadata", "hidden": ""}, "ObjectName": {"value": "Cartuja de Sevilla, claustro", "source": "mediawiki-metadata"}, "CommonsMetadataExtension": {"value": 1.2, "source": "extension", "hidden": ""}, "Categories": {"value": "GFDL|License migration redundant|Self-published work|Files with coordinates missing SDC location of creation|Claustrillo, Cartuja de Sevilla", "source": "commons-categories", "hidden": ""}, "Assessments": {"value": "", "source": "commons-categories", "hidden": ""}, "GPSLatitude": {"value": "37.398380", "source": "commons-desc-page"}, "GPSLongitude": {"value": "-6.007450", "source": "commons-desc-page"}, "GPSMapDatum": {"value": "WGS-84", "source": "commons-desc-page", "hidden": ""}, "ImageDescription": {"value": "Claustro mudéjar en la clausura de la &lt;a href=\"https://es.wikipedia.org/wiki/Cartuja_de_Sevilla\" class=\"extiw\" title=\"es:Cartuja de Sevilla\"&gt;Cartuja de Sevilla&lt;/a&gt;.", "source": "commons-desc-page"}, "DateTimeOriginal": {"value": "2015-10", "source": "commons-desc-page"}, "Credit": {"value": "&lt;span class=\"int-own-work\" lang=\"en\"&gt;Own work&lt;/span&gt;", "source": "commons-desc-page"}, "Artist": {"value": "José Luis Filpo Cabana",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"https://thumb.wikimedia.org/wikipedia/commons/thumb/2/22/Cartuja_de_Sevilla%2C_claustro.jpg/1280px-Cartuja_de_Sevilla%2C_claustro.jpg"}, "retrieved_on": "2026-10-25"}</t>
        </is>
      </c>
    </row>
    <row r="200" ht="54" customHeight="1">
      <c r="A200" s="29" t="inlineStr">
        <is>
          <t>sevilla:evidence:la-cartuja-02</t>
        </is>
      </c>
      <c r="B200" s="29" t="inlineStr">
        <is>
          <t>sevilla</t>
        </is>
      </c>
      <c r="C200" s="29" t="inlineStr">
        <is>
          <t>sevilla:photo:la-cartuja-02</t>
        </is>
      </c>
      <c r="D200" s="29" t="inlineStr">
        <is>
          <t>https://commons.wikimedia.org/wiki/File:Cartuja_de_Sevilla._Azulejos.jpg</t>
        </is>
      </c>
      <c r="E200" s="29" t="inlineStr">
        <is>
          <t>File:Cartuja de Sevilla. Azulejos.jpg</t>
        </is>
      </c>
      <c r="F200" s="29" t="inlineStr">
        <is>
          <t>José Luis Filpo Cabana</t>
        </is>
      </c>
      <c r="G200" s="29" t="inlineStr">
        <is>
          <t>CC0 1.0</t>
        </is>
      </c>
      <c r="H200" s="29" t="inlineStr">
        <is>
          <t>https://creativecommons.org/publicdomain/zero/1.0/</t>
        </is>
      </c>
      <c r="I200" s="29" t="inlineStr">
        <is>
          <t>Creative Commons Zero, Public Domain Dedication</t>
        </is>
      </c>
      <c r="J200" s="29" t="inlineStr">
        <is>
          <t>José Luis Filpo Cabana · CC0 1.0 · Wikimedia Commons</t>
        </is>
      </c>
      <c r="K200" s="29" t="n"/>
      <c r="L200" s="49" t="n">
        <v>46320</v>
      </c>
      <c r="M200" s="29" t="inlineStr">
        <is>
          <t>Bekliyor</t>
        </is>
      </c>
      <c r="N200" s="29" t="inlineStr">
        <is>
          <t>Bekliyor</t>
        </is>
      </c>
      <c r="O200" s="29" t="inlineStr">
        <is>
          <t>Fotoğraflar/sevilla_la-cartuja_02.jpg</t>
        </is>
      </c>
      <c r="P200" s="29" t="inlineStr">
        <is>
          <t>Cartuja Manastırı'nda çinilerle kaplı duvarlar.</t>
        </is>
      </c>
      <c r="Q200" s="29" t="inlineStr">
        <is>
          <t>Bekliyor</t>
        </is>
      </c>
      <c r="R200" s="29" t="inlineStr">
        <is>
          <t>Wikimedia Commons dosya sayfasındaki lisans: CC0 1.0</t>
        </is>
      </c>
      <c r="S200" s="29" t="inlineStr">
        <is>
          <t>Lisans kanıtları/la-cartuja-02.source-evidence.json</t>
        </is>
      </c>
      <c r="T200" s="29" t="inlineStr">
        <is>
          <t>1aaf006a73a025b675ca76955c5471397320fb3cd43a43322e0872b1b8e06560</t>
        </is>
      </c>
      <c r="U200" s="29" t="inlineStr">
        <is>
          <t>Lisans kanıtları/la-cartuja-02.license-evidence.json</t>
        </is>
      </c>
      <c r="V200" s="29" t="inlineStr">
        <is>
          <t>aebd6a53ce2b01a046bcc348158a49946e86a2d1d85cf91d56476a2b46b92207</t>
        </is>
      </c>
      <c r="W200" s="29" t="inlineStr">
        <is>
          <t>{"source_url": "https://commons.wikimedia.org/wiki/File:Cartuja_de_Sevilla._Azulejos.jpg", "author": "José Luis Filpo Cabana", "license": "CC0 1.0", "license_url": "https://creativecommons.org/publicdomain/zero/1.0/", "original_api_record": {"size": 9448197, "width": 2607, "height": 3476, "thumburl": "https://thumb.wikimedia.org/wikipedia/commons/thumb/f/fc/Cartuja_de_Sevilla._Azulejos.jpg/1280px-Cartuja_de_Sevilla._Azulejos.jpg", "thumbwidth": 1280, "thumbheight": 1707, "responsiveUrls": {"2": "https://upload.wikimedia.org/wikipedia/commons/f/fc/Cartuja_de_Sevilla._Azulejos.jpg"}, "thumbattribs": {"src": "https://thumb.wikimedia.org/wikipedia/commons/thumb/f/fc/Cartuja_de_Sevilla._Azulejos.jpg/1280px-Cartuja_de_Sevilla._Azulejos.jpg", "decoding": "async", "loading": "lazy", "width": 1280, "height": 1707, "srcset": "https://upload.wikimedia.org/wikipedia/commons/f/fc/Cartuja_de_Sevilla._Azulejos.jpg 2x"}, "url": "https://upload.wikimedia.org/wikipedia/commons/f/fc/Cartuja_de_Sevilla._Azulejos.jpg", "descriptionurl": "https://commons.wikimedia.org/wiki/File:Cartuja_de_Sevilla._Azulejos.jpg", "descriptionshorturl": "https://commons.wikimedia.org/w/index.php?curid=39664869", "sha1": "80d3c59e3e7fd116307ad0f28c71d67491a00d92", "extmetadata": {"DateTime": {"value": "2015-04-19 12:42:04", "source": "mediawiki-metadata", "hidden": ""}, "ObjectName": {"value": "Cartuja de Sevilla. Azulejos", "source": "mediawiki-metadata"}, "CommonsMetadataExtension": {"value": 1.2, "source": "extension", "hidden": ""}, "Categories": {"value": "CC-Zero|Images with annotations|Loza in Spain|Ceramics of the Cartuja de Sevilla|Gonzalo de Mena y Roelas|Self-published work|April 2015 in Seville|Ceramic wall tiles|Tiles in the Carthusian of Seville", "source": "commons-categories", "hidden": ""}, "Assessments": {"value": "", "source": "commons-categories", "hidden": ""}, "ImageDescription": {"value": "Muestras de azulejos, con el escudo del fundador, el arzobispo de Sevilla, &lt;a href=\"https://es.wikipedia.org/wiki/Gonzalo_de_Mena_y_Roelas\" class=\"extiw\" title=\"es:Gonzalo de Mena y Roelas\"&gt;Gonzalo de Mena y Roelas&lt;/a&gt;.", "source": "commons-desc-page"}, "DateTimeOriginal": {"value": "2015-04", "source": "commons-desc-page"}, "Credit": {"value": "&lt;span class=\"int-own-work\" lang=\"en\"&gt;Own work&lt;/span&gt;", "source": "commons-desc-page"}, "Artist": {"value": "José Luis Filpo Cabana", "source": "commons-desc-page"}, "Permission": {"value": "I, the copyright holder of this work, hereby publish it under the following license:", "source": "commons-desc-page", "hidden": ""},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"https://thumb.wikimedia.org/wikipedia/commons/thumb/f/fc/Cartuja_de_Sevilla._Azulejos.jpg/1280px-Cartuja_de_Sevilla._Azulejos.jpg"}, "retrieved_on": "2026-10-25"}</t>
        </is>
      </c>
    </row>
    <row r="201" ht="54" customHeight="1">
      <c r="A201" s="29" t="inlineStr">
        <is>
          <t>sevilla:evidence:la-cartuja-03</t>
        </is>
      </c>
      <c r="B201" s="29" t="inlineStr">
        <is>
          <t>sevilla</t>
        </is>
      </c>
      <c r="C201" s="29" t="inlineStr">
        <is>
          <t>sevilla:photo:la-cartuja-03</t>
        </is>
      </c>
      <c r="D201" s="29" t="inlineStr">
        <is>
          <t>https://commons.wikimedia.org/wiki/File:Edificio_Bluenet,_Cartuja_93_(Sevilla).jpg</t>
        </is>
      </c>
      <c r="E201" s="29" t="inlineStr">
        <is>
          <t>File:Edificio Bluenet, Cartuja 93 (Sevilla).jpg</t>
        </is>
      </c>
      <c r="F201" s="29" t="inlineStr">
        <is>
          <t>Jl FilpoC</t>
        </is>
      </c>
      <c r="G201" s="29" t="inlineStr">
        <is>
          <t>CC BY-SA 4.0</t>
        </is>
      </c>
      <c r="H201" s="29" t="inlineStr">
        <is>
          <t>https://creativecommons.org/licenses/by-sa/4.0/</t>
        </is>
      </c>
      <c r="I201" s="29" t="inlineStr">
        <is>
          <t>Creative Commons Attribution-Share Alike 4.0</t>
        </is>
      </c>
      <c r="J201" s="29" t="inlineStr">
        <is>
          <t>Jl FilpoC · CC BY-SA 4.0 · Wikimedia Commons</t>
        </is>
      </c>
      <c r="K201" s="29" t="n"/>
      <c r="L201" s="49" t="n">
        <v>46320</v>
      </c>
      <c r="M201" s="29" t="inlineStr">
        <is>
          <t>Bekliyor</t>
        </is>
      </c>
      <c r="N201" s="29" t="inlineStr">
        <is>
          <t>Bekliyor</t>
        </is>
      </c>
      <c r="O201" s="29" t="inlineStr">
        <is>
          <t>Fotoğraflar/sevilla_la-cartuja_03.jpg</t>
        </is>
      </c>
      <c r="P201" s="29" t="inlineStr">
        <is>
          <t>Cartuja 93 teknoloji parkında cam cepheli modern bina.</t>
        </is>
      </c>
      <c r="Q201" s="29" t="inlineStr">
        <is>
          <t>Bekliyor</t>
        </is>
      </c>
      <c r="R201" s="29" t="inlineStr">
        <is>
          <t>Wikimedia Commons dosya sayfasındaki lisans: CC BY-SA 4.0</t>
        </is>
      </c>
      <c r="S201" s="29" t="inlineStr">
        <is>
          <t>Lisans kanıtları/la-cartuja-03.source-evidence.json</t>
        </is>
      </c>
      <c r="T201" s="29" t="inlineStr">
        <is>
          <t>540cf43162a76ebbb24920fc19f8d0435c6c674950e8dc11fe121b52fc59da3b</t>
        </is>
      </c>
      <c r="U201" s="29" t="inlineStr">
        <is>
          <t>Lisans kanıtları/la-cartuja-03.license-evidence.json</t>
        </is>
      </c>
      <c r="V201" s="29" t="inlineStr">
        <is>
          <t>d44877b94520ce079fe741f99b875f3de4754c1165fcafeffd10c78c454068b3</t>
        </is>
      </c>
      <c r="W201" s="29" t="inlineStr">
        <is>
          <t>{"source_url": "https://commons.wikimedia.org/wiki/File:Edificio_Bluenet,_Cartuja_93_(Sevilla).jpg", "author": "Jl FilpoC", "license": "CC BY-SA 4.0", "license_url": "https://creativecommons.org/licenses/by-sa/4.0/", "original_api_record": {"size": 7842439, "width": 4112, "height": 3088, "thumburl": "https://thumb.wikimedia.org/wikipedia/commons/thumb/3/39/Edificio_Bluenet%2C_Cartuja_93_%28Sevilla%29.jpg/1280px-Edificio_Bluenet%2C_Cartuja_93_%28Sevilla%29.jpg", "thumbwidth": 1280, "thumbheight": 961, "responsiveUrls": {"2": "https://thumb.wikimedia.org/wikipedia/commons/thumb/3/39/Edificio_Bluenet%2C_Cartuja_93_%28Sevilla%29.jpg/3840px-Edificio_Bluenet%2C_Cartuja_93_%28Sevilla%29.jpg"}, "thumbattribs": {"src": "https://thumb.wikimedia.org/wikipedia/commons/thumb/3/39/Edificio_Bluenet%2C_Cartuja_93_%28Sevilla%29.jpg/1280px-Edificio_Bluenet%2C_Cartuja_93_%28Sevilla%29.jpg", "decoding": "async", "loading": "lazy", "width": 1280, "height": 961, "srcset": "https://thumb.wikimedia.org/wikipedia/commons/thumb/3/39/Edificio_Bluenet%2C_Cartuja_93_%28Sevilla%29.jpg/3840px-Edificio_Bluenet%2C_Cartuja_93_%28Sevilla%29.jpg 2x"}, "url": "https://upload.wikimedia.org/wikipedia/commons/3/39/Edificio_Bluenet%2C_Cartuja_93_%28Sevilla%29.jpg", "descriptionurl": "https://commons.wikimedia.org/wiki/File:Edificio_Bluenet,_Cartuja_93_(Sevilla).jpg", "descriptionshorturl": "https://commons.wikimedia.org/w/index.php?curid=91858171", "sha1": "a3943073f5d5559bdb3dea1a6f8d1525c3073e03", "extmetadata": {"DateTime": {"value": "2020-07-03 16:33:11", "source": "mediawiki-metadata", "hidden": ""}, "ObjectName": {"value": "Edificio Bluenet, Cartuja 93 (Sevilla)", "source": "mediawiki-metadata"}, "CommonsMetadataExtension": {"value": 1.2, "source": "extension", "hidden": ""}, "Categories": {"value": "Calle Isaac Newton, Seville|Self-published work|Files with coordinates missing SDC location of creation|Buildings in Isla de la Cartuja|Parque Científico y Tecnológico Cartuja, Sevilla", "source": "commons-categories", "hidden": ""}, "Assessments": {"value": "", "source": "commons-categories", "hidden": ""}, "GPSLatitude": {"value": "37.408579", "source": "commons-desc-page"}, "GPSLongitude": {"value": "-6.005102", "source": "commons-desc-page"}, "GPSMapDatum": {"value": "WGS-84", "source": "commons-desc-page", "hidden": ""}, "ImageDescription": {"value": "&lt;a href=\"https://es.wikipedia.org/wiki/Parque_Cient%C3%ADfico_y_Tecnol%C3%B3gico_Cartuja\" class=\"extiw\" title=\"es:Parque Científico y Tecnológico Cartuja\"&gt;Parque Científico y Tecnológico Cartuja&lt;/a&gt;. Edificio proyectado por Opta arquitectos, e ingeniería de Fhecor y PGI Grup.", "source": "commons-desc-page"}, "DateTimeOriginal": {"value": "2020-05-25", "source": "commons-desc-page"}, "Credit": {"value": "&lt;span class=\"int-own-work\" lang=\"en\"&gt;Own work&lt;/span&gt;", "source": "commons-desc-page"}, "Artist": {"value": "&lt;a href=\"//commons.wikimedia.org/wiki/User:Jl_FilpoC\" title=\"User:Jl FilpoC\"&gt;Jl FilpoC&lt;/a&gt;",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"https://thumb.wikimedia.org/wikipedia/commons/thumb/3/39/Edificio_Bluenet%2C_Cartuja_93_%28Sevilla%29.jpg/1280px-Edificio_Bluenet%2C_Cartuja_93_%28Sevilla%29.jpg"}, "retrieved_on": "2026-10-25"}</t>
        </is>
      </c>
    </row>
    <row r="202" ht="54" customHeight="1">
      <c r="A202" s="29" t="inlineStr">
        <is>
          <t>sevilla:evidence:san-bernardo-01</t>
        </is>
      </c>
      <c r="B202" s="29" t="inlineStr">
        <is>
          <t>sevilla</t>
        </is>
      </c>
      <c r="C202" s="29" t="inlineStr">
        <is>
          <t>sevilla:photo:san-bernardo-01</t>
        </is>
      </c>
      <c r="D202" s="29" t="inlineStr">
        <is>
          <t>https://commons.wikimedia.org/wiki/File:Antigua_escuela_San_Bernardo.jpg</t>
        </is>
      </c>
      <c r="E202" s="29" t="inlineStr">
        <is>
          <t>File:Antigua escuela San Bernardo.jpg</t>
        </is>
      </c>
      <c r="F202" s="29" t="inlineStr">
        <is>
          <t>CarlosVdeHabsburgo</t>
        </is>
      </c>
      <c r="G202" s="29" t="inlineStr">
        <is>
          <t>CC BY-SA 4.0</t>
        </is>
      </c>
      <c r="H202" s="29" t="inlineStr">
        <is>
          <t>https://creativecommons.org/licenses/by-sa/4.0/</t>
        </is>
      </c>
      <c r="I202" s="29" t="inlineStr">
        <is>
          <t>Creative Commons Attribution-Share Alike 4.0</t>
        </is>
      </c>
      <c r="J202" s="29" t="inlineStr">
        <is>
          <t>CarlosVdeHabsburgo · CC BY-SA 4.0 · Wikimedia Commons</t>
        </is>
      </c>
      <c r="K202" s="29" t="n"/>
      <c r="L202" s="49" t="n">
        <v>46320</v>
      </c>
      <c r="M202" s="29" t="inlineStr">
        <is>
          <t>Bekliyor</t>
        </is>
      </c>
      <c r="N202" s="29" t="inlineStr">
        <is>
          <t>Bekliyor</t>
        </is>
      </c>
      <c r="O202" s="29" t="inlineStr">
        <is>
          <t>Fotoğraflar/sevilla_san-bernardo_01.jpg</t>
        </is>
      </c>
      <c r="P202" s="29" t="inlineStr">
        <is>
          <t>San Bernardo'da tuğla cepheli eski okul binası.</t>
        </is>
      </c>
      <c r="Q202" s="29" t="inlineStr">
        <is>
          <t>Bekliyor</t>
        </is>
      </c>
      <c r="R202" s="29" t="inlineStr">
        <is>
          <t>Wikimedia Commons dosya sayfasındaki lisans: CC BY-SA 4.0</t>
        </is>
      </c>
      <c r="S202" s="29" t="inlineStr">
        <is>
          <t>Lisans kanıtları/san-bernardo-01.source-evidence.json</t>
        </is>
      </c>
      <c r="T202" s="29" t="inlineStr">
        <is>
          <t>03d5aa44a1aed3c3bc841c40c8280281cae9716a649ba784ec557479036915a1</t>
        </is>
      </c>
      <c r="U202" s="29" t="inlineStr">
        <is>
          <t>Lisans kanıtları/san-bernardo-01.license-evidence.json</t>
        </is>
      </c>
      <c r="V202" s="29" t="inlineStr">
        <is>
          <t>06967e7d07a3db2b77875efd200c819ac738706be60a6de1bf11f4c0c9a77c21</t>
        </is>
      </c>
      <c r="W202" s="29" t="inlineStr">
        <is>
          <t>{"source_url": "https://commons.wikimedia.org/wiki/File:Antigua_escuela_San_Bernardo.jpg", "author": "CarlosVdeHabsburgo", "license": "CC BY-SA 4.0", "license_url": "https://creativecommons.org/licenses/by-sa/4.0/", "original_api_record": {"size": 5887388, "width": 4320, "height": 3240, "thumburl": "https://thumb.wikimedia.org/wikipedia/commons/thumb/d/de/Antigua_escuela_San_Bernardo.jpg/1280px-Antigua_escuela_San_Bernardo.jpg", "thumbwidth": 1280, "thumbheight": 960, "responsiveUrls": {"2": "https://thumb.wikimedia.org/wikipedia/commons/thumb/d/de/Antigua_escuela_San_Bernardo.jpg/3840px-Antigua_escuela_San_Bernardo.jpg"}, "thumbattribs": {"src": "https://thumb.wikimedia.org/wikipedia/commons/thumb/d/de/Antigua_escuela_San_Bernardo.jpg/1280px-Antigua_escuela_San_Bernardo.jpg", "decoding": "async", "loading": "lazy", "width": 1280, "height": 960, "srcset": "https://thumb.wikimedia.org/wikipedia/commons/thumb/d/de/Antigua_escuela_San_Bernardo.jpg/3840px-Antigua_escuela_San_Bernardo.jpg 2x"}, "url": "https://upload.wikimedia.org/wikipedia/commons/d/de/Antigua_escuela_San_Bernardo.jpg", "descriptionurl": "https://commons.wikimedia.org/wiki/File:Antigua_escuela_San_Bernardo.jpg", "descriptionshorturl": "https://commons.wikimedia.org/w/index.php?curid=52888991", "sha1": "42e45577129a336c9318bc7d88966cfb3e89fc8f", "extmetadata": {"DateTime": {"value": "2016-11-06 19:45:32", "source": "mediawiki-metadata", "hidden": ""}, "ObjectName": {"value": "Antigua escuela San Bernardo", "source": "mediawiki-metadata"}, "CommonsMetadataExtension": {"value": 1.2, "source": "extension", "hidden": ""}, "Categories": {"value": "San Bernardo, Seville|Self-published work|1900s buildings in Seville|Buildings in Nervión District", "source": "commons-categories", "hidden": ""}, "Assessments": {"value": "", "source": "commons-categories", "hidden": ""}, "ImageDescription": {"value": "Antigua escuela municipal en el barrio de San Bernardo. Edificio de 1908. Sevilla, Andalucía, España.", "source": "commons-desc-page"}, "DateTimeOriginal": {"value": "2016-11-06 17:01:48",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"https://thumb.wikimedia.org/wikipedia/commons/thumb/d/de/Antigua_escuela_San_Bernardo.jpg/1280px-Antigua_escuela_San_Bernardo.jpg"}, "retrieved_on": "2026-10-25"}</t>
        </is>
      </c>
    </row>
    <row r="203" ht="54" customHeight="1">
      <c r="A203" s="29" t="inlineStr">
        <is>
          <t>sevilla:evidence:san-bernardo-02</t>
        </is>
      </c>
      <c r="B203" s="29" t="inlineStr">
        <is>
          <t>sevilla</t>
        </is>
      </c>
      <c r="C203" s="29" t="inlineStr">
        <is>
          <t>sevilla:photo:san-bernardo-02</t>
        </is>
      </c>
      <c r="D203" s="29" t="inlineStr">
        <is>
          <t>https://commons.wikimedia.org/wiki/File:Edificios_de_apartamentos_(San_Bernardo).jpg</t>
        </is>
      </c>
      <c r="E203" s="29" t="inlineStr">
        <is>
          <t>File:Edificios de apartamentos (San Bernardo).jpg</t>
        </is>
      </c>
      <c r="F203" s="29" t="inlineStr">
        <is>
          <t>CarlosVdeHabsburgo</t>
        </is>
      </c>
      <c r="G203" s="29" t="inlineStr">
        <is>
          <t>CC BY-SA 4.0</t>
        </is>
      </c>
      <c r="H203" s="29" t="inlineStr">
        <is>
          <t>https://creativecommons.org/licenses/by-sa/4.0/</t>
        </is>
      </c>
      <c r="I203" s="29" t="inlineStr">
        <is>
          <t>Creative Commons Attribution-Share Alike 4.0</t>
        </is>
      </c>
      <c r="J203" s="29" t="inlineStr">
        <is>
          <t>CarlosVdeHabsburgo · CC BY-SA 4.0 · Wikimedia Commons</t>
        </is>
      </c>
      <c r="K203" s="29" t="n"/>
      <c r="L203" s="49" t="n">
        <v>46320</v>
      </c>
      <c r="M203" s="29" t="inlineStr">
        <is>
          <t>Bekliyor</t>
        </is>
      </c>
      <c r="N203" s="29" t="inlineStr">
        <is>
          <t>Bekliyor</t>
        </is>
      </c>
      <c r="O203" s="29" t="inlineStr">
        <is>
          <t>Fotoğraflar/sevilla_san-bernardo_02.jpg</t>
        </is>
      </c>
      <c r="P203" s="29" t="inlineStr">
        <is>
          <t>San Bernardo'da cumbalı apartman binaları ve ağaçlar.</t>
        </is>
      </c>
      <c r="Q203" s="29" t="inlineStr">
        <is>
          <t>Bekliyor</t>
        </is>
      </c>
      <c r="R203" s="29" t="inlineStr">
        <is>
          <t>Wikimedia Commons dosya sayfasındaki lisans: CC BY-SA 4.0</t>
        </is>
      </c>
      <c r="S203" s="29" t="inlineStr">
        <is>
          <t>Lisans kanıtları/san-bernardo-02.source-evidence.json</t>
        </is>
      </c>
      <c r="T203" s="29" t="inlineStr">
        <is>
          <t>a1a5c246df07b700da43fd4b0e9c8c95a9bee5973f871c7a7700aefea83bdaf1</t>
        </is>
      </c>
      <c r="U203" s="29" t="inlineStr">
        <is>
          <t>Lisans kanıtları/san-bernardo-02.license-evidence.json</t>
        </is>
      </c>
      <c r="V203" s="29" t="inlineStr">
        <is>
          <t>59e4b425f32adac24b593b98751399ae3df49c9e30ffe5aee2a4cf0929fe7648</t>
        </is>
      </c>
      <c r="W203" s="29" t="inlineStr">
        <is>
          <t>{"source_url": "https://commons.wikimedia.org/wiki/File:Edificios_de_apartamentos_(San_Bernardo).jpg", "author": "CarlosVdeHabsburgo", "license": "CC BY-SA 4.0", "license_url": "https://creativecommons.org/licenses/by-sa/4.0/", "original_api_record": {"size": 6251836, "width": 3530, "height": 3240, "thumburl": "https://thumb.wikimedia.org/wikipedia/commons/thumb/8/82/Edificios_de_apartamentos_%28San_Bernardo%29.jpg/1280px-Edificios_de_apartamentos_%28San_Bernardo%29.jpg", "thumbwidth": 1280, "thumbheight": 1175, "responsiveUrls": {"2": "https://upload.wikimedia.org/wikipedia/commons/8/82/Edificios_de_apartamentos_%28San_Bernardo%29.jpg"}, "thumbattribs": {"src": "https://thumb.wikimedia.org/wikipedia/commons/thumb/8/82/Edificios_de_apartamentos_%28San_Bernardo%29.jpg/1280px-Edificios_de_apartamentos_%28San_Bernardo%29.jpg", "decoding": "async", "loading": "lazy", "width": 1280, "height": 1175, "srcset": "https://upload.wikimedia.org/wikipedia/commons/8/82/Edificios_de_apartamentos_%28San_Bernardo%29.jpg 2x"}, "url": "https://upload.wikimedia.org/wikipedia/commons/8/82/Edificios_de_apartamentos_%28San_Bernardo%29.jpg", "descriptionurl": "https://commons.wikimedia.org/wiki/File:Edificios_de_apartamentos_(San_Bernardo).jpg", "descriptionshorturl": "https://commons.wikimedia.org/w/index.php?curid=63239733", "sha1": "3568e3b44a32e1deda42dfe6c91933f6fce1bbae", "extmetadata": {"DateTime": {"value": "2017-10-07 20:35:17", "source": "mediawiki-metadata", "hidden": ""}, "ObjectName": {"value": "Edificios de apartamentos (San Bernardo)", "source": "mediawiki-metadata"}, "CommonsMetadataExtension": {"value": 1.2, "source": "extension", "hidden": ""}, "Categories": {"value": "San Bernardo, Seville|Self-published work|Apartment buildings in Seville|Buildings in Nervión District", "source": "commons-categories", "hidden": ""}, "Assessments": {"value": "", "source": "commons-categories", "hidden": ""}, "ImageDescription": {"value": "Edificios de apartmentos. Barrio de San Bernardo. Sevilla, Andalucía, España.", "source": "commons-desc-page"}, "DateTimeOriginal": {"value": "2017-10-07 17:49:13",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"https://thumb.wikimedia.org/wikipedia/commons/thumb/8/82/Edificios_de_apartamentos_%28San_Bernardo%29.jpg/1280px-Edificios_de_apartamentos_%28San_Bernardo%29.jpg"}, "retrieved_on": "2026-10-25"}</t>
        </is>
      </c>
    </row>
    <row r="204" ht="54" customHeight="1">
      <c r="A204" s="29" t="inlineStr">
        <is>
          <t>sevilla:evidence:el-porvenir-01</t>
        </is>
      </c>
      <c r="B204" s="29" t="inlineStr">
        <is>
          <t>sevilla</t>
        </is>
      </c>
      <c r="C204" s="29" t="inlineStr">
        <is>
          <t>sevilla:photo:el-porvenir-01</t>
        </is>
      </c>
      <c r="D204" s="29" t="inlineStr">
        <is>
          <t>https://commons.wikimedia.org/wiki/File:Bloques_de_pisos_(El_Porvenir).jpg</t>
        </is>
      </c>
      <c r="E204" s="29" t="inlineStr">
        <is>
          <t>File:Bloques de pisos (El Porvenir).jpg</t>
        </is>
      </c>
      <c r="F204" s="29" t="inlineStr">
        <is>
          <t>CarlosVdeHabsburgo</t>
        </is>
      </c>
      <c r="G204" s="29" t="inlineStr">
        <is>
          <t>CC BY-SA 4.0</t>
        </is>
      </c>
      <c r="H204" s="29" t="inlineStr">
        <is>
          <t>https://creativecommons.org/licenses/by-sa/4.0/</t>
        </is>
      </c>
      <c r="I204" s="29" t="inlineStr">
        <is>
          <t>Creative Commons Attribution-Share Alike 4.0</t>
        </is>
      </c>
      <c r="J204" s="29" t="inlineStr">
        <is>
          <t>CarlosVdeHabsburgo · CC BY-SA 4.0 · Wikimedia Commons</t>
        </is>
      </c>
      <c r="K204" s="29" t="n"/>
      <c r="L204" s="49" t="n">
        <v>46320</v>
      </c>
      <c r="M204" s="29" t="inlineStr">
        <is>
          <t>Bekliyor</t>
        </is>
      </c>
      <c r="N204" s="29" t="inlineStr">
        <is>
          <t>Bekliyor</t>
        </is>
      </c>
      <c r="O204" s="29" t="inlineStr">
        <is>
          <t>Fotoğraflar/sevilla_el-porvenir_01.jpg</t>
        </is>
      </c>
      <c r="P204" s="29" t="inlineStr">
        <is>
          <t>El Porvenir'de apartman blokları.</t>
        </is>
      </c>
      <c r="Q204" s="29" t="inlineStr">
        <is>
          <t>Bekliyor</t>
        </is>
      </c>
      <c r="R204" s="29" t="inlineStr">
        <is>
          <t>Wikimedia Commons dosya sayfasındaki lisans: CC BY-SA 4.0</t>
        </is>
      </c>
      <c r="S204" s="29" t="inlineStr">
        <is>
          <t>Lisans kanıtları/el-porvenir-01.source-evidence.json</t>
        </is>
      </c>
      <c r="T204" s="29" t="inlineStr">
        <is>
          <t>c193aa0e8dbcebc140c22e42b4b28c676cc0b21f10d6528ec9c0a2d9df91a62a</t>
        </is>
      </c>
      <c r="U204" s="29" t="inlineStr">
        <is>
          <t>Lisans kanıtları/el-porvenir-01.license-evidence.json</t>
        </is>
      </c>
      <c r="V204" s="29" t="inlineStr">
        <is>
          <t>8df39f9bfe90ef06293df22d9f0d1113d1d54cb8837254f8d6ef212ac5515a1c</t>
        </is>
      </c>
      <c r="W204" s="29" t="inlineStr">
        <is>
          <t>{"source_url": "https://commons.wikimedia.org/wiki/File:Bloques_de_pisos_(El_Porvenir).jpg", "author": "CarlosVdeHabsburgo", "license": "CC BY-SA 4.0", "license_url": "https://creativecommons.org/licenses/by-sa/4.0/", "original_api_record": {"size": 7089656, "width": 4068, "height": 3240, "thumburl": "https://thumb.wikimedia.org/wikipedia/commons/thumb/e/e4/Bloques_de_pisos_%28El_Porvenir%29.jpg/1280px-Bloques_de_pisos_%28El_Porvenir%29.jpg", "thumbwidth": 1280, "thumbheight": 1019, "responsiveUrls": {"2": "https://thumb.wikimedia.org/wikipedia/commons/thumb/e/e4/Bloques_de_pisos_%28El_Porvenir%29.jpg/3840px-Bloques_de_pisos_%28El_Porvenir%29.jpg"}, "thumbattribs": {"src": "https://thumb.wikimedia.org/wikipedia/commons/thumb/e/e4/Bloques_de_pisos_%28El_Porvenir%29.jpg/1280px-Bloques_de_pisos_%28El_Porvenir%29.jpg", "decoding": "async", "loading": "lazy", "width": 1280, "height": 1019, "srcset": "https://thumb.wikimedia.org/wikipedia/commons/thumb/e/e4/Bloques_de_pisos_%28El_Porvenir%29.jpg/3840px-Bloques_de_pisos_%28El_Porvenir%29.jpg 2x"}, "url": "https://upload.wikimedia.org/wikipedia/commons/e/e4/Bloques_de_pisos_%28El_Porvenir%29.jpg", "descriptionurl": "https://commons.wikimedia.org/wiki/File:Bloques_de_pisos_(El_Porvenir).jpg", "descriptionshorturl": "https://commons.wikimedia.org/w/index.php?curid=69072219", "sha1": "b042a924f7fa16f8709c5e4a3c44c716f8ae441b", "extmetadata": {"DateTime": {"value": "2018-05-13 20:13:39", "source": "mediawiki-metadata", "hidden": ""}, "ObjectName": {"value": "Bloques de pisos (El Porvenir)", "source": "mediawiki-metadata"}, "CommonsMetadataExtension": {"value": 1.2, "source": "extension", "hidden": ""}, "Categories": {"value": "El Porvenir, Seville|Self-published work|Apartment buildings in Seville|May 2018 in Seville|Buildings in Seville photographed in 2018|Buildings in Sur District, Seville", "source": "commons-categories", "hidden": ""}, "Assessments": {"value": "", "source": "commons-categories", "hidden": ""}, "ImageDescription": {"value": "Bloques de pisos en el barrio de El Porvenir. Sevilla, Andalucía, España.", "source": "commons-desc-page"}, "DateTimeOriginal": {"value": "2018-05-13 17:24:18",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"https://thumb.wikimedia.org/wikipedia/commons/thumb/e/e4/Bloques_de_pisos_%28El_Porvenir%29.jpg/1280px-Bloques_de_pisos_%28El_Porvenir%29.jpg"}, "retrieved_on": "2026-10-25"}</t>
        </is>
      </c>
    </row>
    <row r="205" ht="54" customHeight="1">
      <c r="A205" s="29" t="inlineStr">
        <is>
          <t>sevilla:evidence:el-porvenir-02</t>
        </is>
      </c>
      <c r="B205" s="29" t="inlineStr">
        <is>
          <t>sevilla</t>
        </is>
      </c>
      <c r="C205" s="29" t="inlineStr">
        <is>
          <t>sevilla:photo:el-porvenir-02</t>
        </is>
      </c>
      <c r="D205" s="29" t="inlineStr">
        <is>
          <t>https://commons.wikimedia.org/wiki/File:Casa_(El_Porvenir).jpg</t>
        </is>
      </c>
      <c r="E205" s="29" t="inlineStr">
        <is>
          <t>File:Casa (El Porvenir).jpg</t>
        </is>
      </c>
      <c r="F205" s="29" t="inlineStr">
        <is>
          <t>CarlosVdeHabsburgo</t>
        </is>
      </c>
      <c r="G205" s="29" t="inlineStr">
        <is>
          <t>CC BY-SA 4.0</t>
        </is>
      </c>
      <c r="H205" s="29" t="inlineStr">
        <is>
          <t>https://creativecommons.org/licenses/by-sa/4.0/</t>
        </is>
      </c>
      <c r="I205" s="29" t="inlineStr">
        <is>
          <t>Creative Commons Attribution-Share Alike 4.0</t>
        </is>
      </c>
      <c r="J205" s="29" t="inlineStr">
        <is>
          <t>CarlosVdeHabsburgo · CC BY-SA 4.0 · Wikimedia Commons</t>
        </is>
      </c>
      <c r="K205" s="29" t="n"/>
      <c r="L205" s="49" t="n">
        <v>46320</v>
      </c>
      <c r="M205" s="29" t="inlineStr">
        <is>
          <t>Bekliyor</t>
        </is>
      </c>
      <c r="N205" s="29" t="inlineStr">
        <is>
          <t>Bekliyor</t>
        </is>
      </c>
      <c r="O205" s="29" t="inlineStr">
        <is>
          <t>Fotoğraflar/sevilla_el-porvenir_02.jpg</t>
        </is>
      </c>
      <c r="P205" s="29" t="inlineStr">
        <is>
          <t>El Porvenir'de beyaz-sarı süslemeli eski bir köşk.</t>
        </is>
      </c>
      <c r="Q205" s="29" t="inlineStr">
        <is>
          <t>Bekliyor</t>
        </is>
      </c>
      <c r="R205" s="29" t="inlineStr">
        <is>
          <t>Wikimedia Commons dosya sayfasındaki lisans: CC BY-SA 4.0</t>
        </is>
      </c>
      <c r="S205" s="29" t="inlineStr">
        <is>
          <t>Lisans kanıtları/el-porvenir-02.source-evidence.json</t>
        </is>
      </c>
      <c r="T205" s="29" t="inlineStr">
        <is>
          <t>ba914d8f58774bd7c9b6db12faed719b54878de158843ef690fecc3361bc7973</t>
        </is>
      </c>
      <c r="U205" s="29" t="inlineStr">
        <is>
          <t>Lisans kanıtları/el-porvenir-02.license-evidence.json</t>
        </is>
      </c>
      <c r="V205" s="29" t="inlineStr">
        <is>
          <t>29241d73604548ae0f56d6a98a0426a61c3abc598fcbb6143fc838437b22326b</t>
        </is>
      </c>
      <c r="W205" s="29" t="inlineStr">
        <is>
          <t>{"source_url": "https://commons.wikimedia.org/wiki/File:Casa_(El_Porvenir).jpg", "author": "CarlosVdeHabsburgo", "license": "CC BY-SA 4.0", "license_url": "https://creativecommons.org/licenses/by-sa/4.0/", "original_api_record": {"size": 5658900, "width": 3240, "height": 4320, "thumburl": "https://thumb.wikimedia.org/wikipedia/commons/thumb/6/62/Casa_%28El_Porvenir%29.jpg/1280px-Casa_%28El_Porvenir%29.jpg", "thumbwidth": 1280, "thumbheight": 1707, "responsiveUrls": {"2": "https://upload.wikimedia.org/wikipedia/commons/6/62/Casa_%28El_Porvenir%29.jpg"}, "thumbattribs": {"src": "https://thumb.wikimedia.org/wikipedia/commons/thumb/6/62/Casa_%28El_Porvenir%29.jpg/1280px-Casa_%28El_Porvenir%29.jpg", "decoding": "async", "loading": "lazy", "width": 1280, "height": 1707, "srcset": "https://upload.wikimedia.org/wikipedia/commons/6/62/Casa_%28El_Porvenir%29.jpg 2x"}, "url": "https://upload.wikimedia.org/wikipedia/commons/6/62/Casa_%28El_Porvenir%29.jpg", "descriptionurl": "https://commons.wikimedia.org/wiki/File:Casa_(El_Porvenir).jpg", "descriptionshorturl": "https://commons.wikimedia.org/w/index.php?curid=63719020", "sha1": "dbacf9300eb65adf9dc6582c3a83734752ba1a27", "extmetadata": {"DateTime": {"value": "2017-10-29 16:57:26", "source": "mediawiki-metadata", "hidden": ""}, "ObjectName": {"value": "Casa (El Porvenir)", "source": "mediawiki-metadata"}, "CommonsMetadataExtension": {"value": 1.2, "source": "extension", "hidden": ""}, "Categories": {"value": "El Porvenir, Seville|Self-published work|Houses in Seville|Buildings in Sur District, Seville|White and yellow buildings in Seville|Historicist architecture in Seville", "source": "commons-categories", "hidden": ""}, "Assessments": {"value": "", "source": "commons-categories", "hidden": ""}, "ImageDescription": {"value": "Casa en el barrio de El Porvenir. Sevilla, Andalucía, España.", "source": "commons-desc-page"}, "DateTimeOriginal": {"value": "2017-10-28 18:50:55",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"https://thumb.wikimedia.org/wikipedia/commons/thumb/6/62/Casa_%28El_Porvenir%29.jpg/1280px-Casa_%28El_Porvenir%29.jpg"}, "retrieved_on": "2026-10-25"}</t>
        </is>
      </c>
    </row>
    <row r="206" ht="54" customHeight="1">
      <c r="A206" s="29" t="inlineStr">
        <is>
          <t>sevilla:evidence:el-porvenir-03</t>
        </is>
      </c>
      <c r="B206" s="29" t="inlineStr">
        <is>
          <t>sevilla</t>
        </is>
      </c>
      <c r="C206" s="29" t="inlineStr">
        <is>
          <t>sevilla:photo:el-porvenir-03</t>
        </is>
      </c>
      <c r="D206" s="29" t="inlineStr">
        <is>
          <t>https://commons.wikimedia.org/wiki/File:Comisar%C3%ADa_y_sede_del_distrito_Sur_01.jpg</t>
        </is>
      </c>
      <c r="E206" s="29" t="inlineStr">
        <is>
          <t>File:Comisaría y sede del distrito Sur 01.jpg</t>
        </is>
      </c>
      <c r="F206" s="29" t="inlineStr">
        <is>
          <t>CarlosVdeHabsburgo</t>
        </is>
      </c>
      <c r="G206" s="29" t="inlineStr">
        <is>
          <t>CC BY-SA 4.0</t>
        </is>
      </c>
      <c r="H206" s="29" t="inlineStr">
        <is>
          <t>https://creativecommons.org/licenses/by-sa/4.0/</t>
        </is>
      </c>
      <c r="I206" s="29" t="inlineStr">
        <is>
          <t>Creative Commons Attribution-Share Alike 4.0</t>
        </is>
      </c>
      <c r="J206" s="29" t="inlineStr">
        <is>
          <t>CarlosVdeHabsburgo · CC BY-SA 4.0 · Wikimedia Commons</t>
        </is>
      </c>
      <c r="K206" s="29" t="n"/>
      <c r="L206" s="49" t="n">
        <v>46320</v>
      </c>
      <c r="M206" s="29" t="inlineStr">
        <is>
          <t>Bekliyor</t>
        </is>
      </c>
      <c r="N206" s="29" t="inlineStr">
        <is>
          <t>Bekliyor</t>
        </is>
      </c>
      <c r="O206" s="29" t="inlineStr">
        <is>
          <t>Fotoğraflar/sevilla_el-porvenir_03.jpg</t>
        </is>
      </c>
      <c r="P206" s="29" t="inlineStr">
        <is>
          <t>El Porvenir'de tuğla ve taş cepheli tarihî bina, ilçe ve polis merkezi.</t>
        </is>
      </c>
      <c r="Q206" s="29" t="inlineStr">
        <is>
          <t>Bekliyor</t>
        </is>
      </c>
      <c r="R206" s="29" t="inlineStr">
        <is>
          <t>Wikimedia Commons dosya sayfasındaki lisans: CC BY-SA 4.0</t>
        </is>
      </c>
      <c r="S206" s="29" t="inlineStr">
        <is>
          <t>Lisans kanıtları/el-porvenir-03.source-evidence.json</t>
        </is>
      </c>
      <c r="T206" s="29" t="inlineStr">
        <is>
          <t>cf42d4d8d76a2e07e46bc0955cffaf79ef07b6cda08a0f8827f2d569eeaf3b08</t>
        </is>
      </c>
      <c r="U206" s="29" t="inlineStr">
        <is>
          <t>Lisans kanıtları/el-porvenir-03.license-evidence.json</t>
        </is>
      </c>
      <c r="V206" s="29" t="inlineStr">
        <is>
          <t>92ec59d21d68baf94a4ccf69c7d2853bc41aba5c5d53f8f90abfdc05b0577e02</t>
        </is>
      </c>
      <c r="W206" s="29" t="inlineStr">
        <is>
          <t>{"source_url": "https://commons.wikimedia.org/wiki/File:Comisar%C3%ADa_y_sede_del_distrito_Sur_01.jpg", "author": "CarlosVdeHabsburgo", "license": "CC BY-SA 4.0", "license_url": "https://creativecommons.org/licenses/by-sa/4.0/", "original_api_record": {"size": 8090713, "width": 4320, "height": 3240, "thumburl": "https://thumb.wikimedia.org/wikipedia/commons/thumb/0/03/Comisar%C3%ADa_y_sede_del_distrito_Sur_01.jpg/1280px-Comisar%C3%ADa_y_sede_del_distrito_Sur_01.jpg", "thumbwidth": 1280, "thumbheight": 960, "responsiveUrls": {"2": "https://thumb.wikimedia.org/wikipedia/commons/thumb/0/03/Comisar%C3%ADa_y_sede_del_distrito_Sur_01.jpg/3840px-Comisar%C3%ADa_y_sede_del_distrito_Sur_01.jpg"}, "thumbattribs": {"src": "https://thumb.wikimedia.org/wikipedia/commons/thumb/0/03/Comisar%C3%ADa_y_sede_del_distrito_Sur_01.jpg/1280px-Comisar%C3%ADa_y_sede_del_distrito_Sur_01.jpg", "decoding": "async", "loading": "lazy", "width": 1280, "height": 960, "srcset": "https://thumb.wikimedia.org/wikipedia/commons/thumb/0/03/Comisar%C3%ADa_y_sede_del_distrito_Sur_01.jpg/3840px-Comisar%C3%ADa_y_sede_del_distrito_Sur_01.jpg 2x"}, "url": "https://upload.wikimedia.org/wikipedia/commons/0/03/Comisar%C3%ADa_y_sede_del_distrito_Sur_01.jpg", "descriptionurl": "https://commons.wikimedia.org/wiki/File:Comisar%C3%ADa_y_sede_del_distrito_Sur_01.jpg", "descriptionshorturl": "https://commons.wikimedia.org/w/index.php?curid=69074077", "sha1": "eecef2e848b181002306f7a2f8cd4d5683c1157b", "extmetadata": {"DateTime": {"value": "2018-05-13 21:39:51", "source": "mediawiki-metadata", "hidden": ""}, "ObjectName": {"value": "Comisaría y sede del distrito Sur 01", "source": "mediawiki-metadata"}, "CommonsMetadataExtension": {"value": 1.2, "source": "extension", "hidden": ""}, "Categories": {"value": "El Porvenir, Seville|Self-published work|Police stations in Andalusia|Buildings in Sur District, Seville|Neo-Mudéjar architecture in Seville", "source": "commons-categories", "hidden": ""}, "Assessments": {"value": "", "source": "commons-categories", "hidden": ""}, "ImageDescription": {"value": "Comisaría de la Policía Local de Sevilla y sede del distrito Sur. Sevilla, Andalucía, España.", "source": "commons-desc-page"}, "DateTimeOriginal": {"value": "2018-05-13 17:57:02",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"https://thumb.wikimedia.org/wikipedia/commons/thumb/0/03/Comisar%C3%ADa_y_sede_del_distrito_Sur_01.jpg/1280px-Comisar%C3%ADa_y_sede_del_distrito_Sur_01.jpg"}, "retrieved_on": "2026-10-25"}</t>
        </is>
      </c>
    </row>
    <row r="207" ht="54" customHeight="1">
      <c r="A207" s="29" t="inlineStr">
        <is>
          <t>sevilla:evidence:iglesia-del-divino-salvador-01</t>
        </is>
      </c>
      <c r="B207" s="29" t="inlineStr">
        <is>
          <t>sevilla</t>
        </is>
      </c>
      <c r="C207" s="29" t="inlineStr">
        <is>
          <t>sevilla:photo:iglesia-del-divino-salvador-01</t>
        </is>
      </c>
      <c r="D207" s="29" t="inlineStr">
        <is>
          <t>https://commons.wikimedia.org/wiki/File:Iglesia_Salvador2.jpg</t>
        </is>
      </c>
      <c r="E207" s="29" t="inlineStr">
        <is>
          <t>File:Iglesia Salvador2.jpg</t>
        </is>
      </c>
      <c r="F207" s="29" t="inlineStr">
        <is>
          <t>Posible2006</t>
        </is>
      </c>
      <c r="G207" s="29" t="inlineStr">
        <is>
          <t>CC BY 4.0</t>
        </is>
      </c>
      <c r="H207" s="29" t="inlineStr">
        <is>
          <t>https://creativecommons.org/licenses/by/4.0/</t>
        </is>
      </c>
      <c r="I207" s="29" t="inlineStr">
        <is>
          <t>Creative Commons Attribution 4.0</t>
        </is>
      </c>
      <c r="J207" s="29" t="inlineStr">
        <is>
          <t>Posible2006 · CC BY 4.0 · Wikimedia Commons</t>
        </is>
      </c>
      <c r="K207" s="29" t="n"/>
      <c r="L207" s="49" t="n">
        <v>46320</v>
      </c>
      <c r="M207" s="29" t="inlineStr">
        <is>
          <t>Bekliyor</t>
        </is>
      </c>
      <c r="N207" s="29" t="inlineStr">
        <is>
          <t>Bekliyor</t>
        </is>
      </c>
      <c r="O207" s="29" t="inlineStr">
        <is>
          <t>Fotoğraflar/sevilla_iglesia-del-divino-salvador_01.jpg</t>
        </is>
      </c>
      <c r="P207" s="29" t="inlineStr">
        <is>
          <t>Divino Salvador Kilisesi'nde altın yaldızlı, oymalı büyük sunak.</t>
        </is>
      </c>
      <c r="Q207" s="29" t="inlineStr">
        <is>
          <t>Bekliyor</t>
        </is>
      </c>
      <c r="R207" s="29" t="inlineStr">
        <is>
          <t>Wikimedia Commons dosya sayfasındaki lisans: CC BY 4.0</t>
        </is>
      </c>
      <c r="S207" s="29" t="inlineStr">
        <is>
          <t>Lisans kanıtları/iglesia-del-divino-salvador-01.source-evidence.json</t>
        </is>
      </c>
      <c r="T207" s="29" t="inlineStr">
        <is>
          <t>a58944345098a421c4edcaccc22416100970e7978004a5211ec688dad2c566c0</t>
        </is>
      </c>
      <c r="U207" s="29" t="inlineStr">
        <is>
          <t>Lisans kanıtları/iglesia-del-divino-salvador-01.license-evidence.json</t>
        </is>
      </c>
      <c r="V207" s="29" t="inlineStr">
        <is>
          <t>5fafe0b68791d0304cdc1546ba4d3d2d83c63873dd6b939a65f89ae3cf17231e</t>
        </is>
      </c>
      <c r="W207" s="29" t="inlineStr">
        <is>
          <t>{"source_url": "https://commons.wikimedia.org/wiki/File:Iglesia_Salvador2.jpg", "author": "Posible2006", "license": "CC BY 4.0", "license_url": "https://creativecommons.org/licenses/by/4.0/", "original_api_record": {"size": 5962246, "width": 3456, "height": 4139, "thumburl": "https://thumb.wikimedia.org/wikipedia/commons/thumb/e/e4/Iglesia_Salvador2.jpg/1280px-Iglesia_Salvador2.jpg", "thumbwidth": 1280, "thumbheight": 1533, "responsiveUrls": {"2": "https://upload.wikimedia.org/wikipedia/commons/e/e4/Iglesia_Salvador2.jpg"}, "thumbattribs": {"src": "https://thumb.wikimedia.org/wikipedia/commons/thumb/e/e4/Iglesia_Salvador2.jpg/1280px-Iglesia_Salvador2.jpg", "decoding": "async", "loading": "lazy", "width": 1280, "height": 1533, "srcset": "https://upload.wikimedia.org/wikipedia/commons/e/e4/Iglesia_Salvador2.jpg 2x"}, "url": "https://upload.wikimedia.org/wikipedia/commons/e/e4/Iglesia_Salvador2.jpg", "descriptionurl": "https://commons.wikimedia.org/wiki/File:Iglesia_Salvador2.jpg", "descriptionshorturl": "https://commons.wikimedia.org/w/index.php?curid=155027037", "sha1": "105a6ebc3b00e94eb5f809fe14ab97fa6ad06088", "extmetadata": {"DateTime": {"value": "2024-11-08 20:19:05", "source": "mediawiki-metadata", "hidden": ""}, "ObjectName": {"value": "Iglesia Salvador2", "source": "mediawiki-metadata"}, "CommonsMetadataExtension": {"value": 1.2, "source": "extension", "hidden": ""}, "Categories": {"value": "Self-published work|Main altar of the Iglesia Colegial del Divino Salvador (Sevilla)", "source": "commons-categories", "hidden": ""}, "Assessments": {"value": "", "source": "commons-categories", "hidden": ""}, "ImageDescription": {"value": "Altar mayor de la Iglesia del Divino Salvador en Sevilla", "source": "commons-desc-page"}, "DateTimeOriginal": {"value": "2024-11-06 12:31:14", "source": "commons-desc-page"}, "Credit": {"value": "&lt;span class=\"int-own-work\" lang=\"en\"&gt;Own work&lt;/span&gt;", "source": "commons-desc-page"}, "Artist": {"value": "&lt;a href=\"//commons.wikimedia.org/wiki/User:Posible2006\" title=\"User:Posible2006\"&gt;Posible2006&lt;/a&gt;", "source": "commons-desc-page"}, "LicenseShortName": {"value": "CC BY 4.0", "source": "commons-desc-page", "hidden": ""}, "UsageTerms": {"value": "Creative Commons Attribution 4.0", "source": "commons-desc-page"}, "AttributionRequired": {"value": "true", "source": "commons-desc-page", "hidden": ""}, "LicenseUrl": {"value": "https://creativecommons.org/licenses/by/4.0", "source": "commons-desc-page"}, "Copyrighted": {"value": "True", "source": "commons-desc-page", "hidden": ""}, "Restrictions": {"value": "", "source": "commons-desc-page", "hidden": ""}, "License": {"value": "cc-by-4.0", "source": "commons-templates", "hidden": ""}}, "mime": "image/jpeg"}, "delivered_file": {"url": "https://thumb.wikimedia.org/wikipedia/commons/thumb/e/e4/Iglesia_Salvador2.jpg/1280px-Iglesia_Salvador2.jpg"}, "retrieved_on": "2026-10-25"}</t>
        </is>
      </c>
    </row>
    <row r="208" ht="54" customHeight="1">
      <c r="A208" s="29" t="inlineStr">
        <is>
          <t>sevilla:evidence:iglesia-del-divino-salvador-02</t>
        </is>
      </c>
      <c r="B208" s="29" t="inlineStr">
        <is>
          <t>sevilla</t>
        </is>
      </c>
      <c r="C208" s="29" t="inlineStr">
        <is>
          <t>sevilla:photo:iglesia-del-divino-salvador-02</t>
        </is>
      </c>
      <c r="D208" s="29" t="inlineStr">
        <is>
          <t>https://commons.wikimedia.org/wiki/File:Iglesia_del_Salvador_006.jpg</t>
        </is>
      </c>
      <c r="E208" s="29" t="inlineStr">
        <is>
          <t>File:Iglesia del Salvador 006.jpg</t>
        </is>
      </c>
      <c r="F208" s="29" t="inlineStr">
        <is>
          <t>Anual</t>
        </is>
      </c>
      <c r="G208" s="29" t="inlineStr">
        <is>
          <t>CC BY 3.0</t>
        </is>
      </c>
      <c r="H208" s="29" t="inlineStr">
        <is>
          <t>https://creativecommons.org/licenses/by/3.0/</t>
        </is>
      </c>
      <c r="I208" s="29" t="inlineStr">
        <is>
          <t>Creative Commons Attribution 3.0</t>
        </is>
      </c>
      <c r="J208" s="29" t="inlineStr">
        <is>
          <t>Anual · CC BY 3.0 · Wikimedia Commons</t>
        </is>
      </c>
      <c r="K208" s="29" t="n"/>
      <c r="L208" s="49" t="n">
        <v>46320</v>
      </c>
      <c r="M208" s="29" t="inlineStr">
        <is>
          <t>Bekliyor</t>
        </is>
      </c>
      <c r="N208" s="29" t="inlineStr">
        <is>
          <t>Bekliyor</t>
        </is>
      </c>
      <c r="O208" s="29" t="inlineStr">
        <is>
          <t>Fotoğraflar/sevilla_iglesia-del-divino-salvador_02.jpg</t>
        </is>
      </c>
      <c r="P208" s="29" t="inlineStr">
        <is>
          <t>Divino Salvador Kilisesi'nin pembe-beyaz barok cephesi ve meydan.</t>
        </is>
      </c>
      <c r="Q208" s="29" t="inlineStr">
        <is>
          <t>Bekliyor</t>
        </is>
      </c>
      <c r="R208" s="29" t="inlineStr">
        <is>
          <t>Wikimedia Commons dosya sayfasındaki lisans: CC BY 3.0</t>
        </is>
      </c>
      <c r="S208" s="29" t="inlineStr">
        <is>
          <t>Lisans kanıtları/iglesia-del-divino-salvador-02.source-evidence.json</t>
        </is>
      </c>
      <c r="T208" s="29" t="inlineStr">
        <is>
          <t>67ef327048a4713e903154a8a510db289b8adee211486ce4d6443b06a1d68386</t>
        </is>
      </c>
      <c r="U208" s="29" t="inlineStr">
        <is>
          <t>Lisans kanıtları/iglesia-del-divino-salvador-02.license-evidence.json</t>
        </is>
      </c>
      <c r="V208" s="29" t="inlineStr">
        <is>
          <t>aafb66b1634bbac86b457831afa69bc1cf2b728754546d8358c37e677c4a2c25</t>
        </is>
      </c>
      <c r="W208" s="29" t="inlineStr">
        <is>
          <t>{"source_url": "https://commons.wikimedia.org/wiki/File:Iglesia_del_Salvador_006.jpg", "author": "Anual", "license": "CC BY 3.0", "license_url": "https://creativecommons.org/licenses/by/3.0/", "original_api_record": {"size": 3882055, "width": 3872, "height": 2592, "thumburl": "https://thumb.wikimedia.org/wikipedia/commons/thumb/6/66/Iglesia_del_Salvador_006.jpg/1280px-Iglesia_del_Salvador_006.jpg", "thumbwidth": 1280, "thumbheight": 857, "responsiveUrls": {"2": "https://thumb.wikimedia.org/wikipedia/commons/thumb/6/66/Iglesia_del_Salvador_006.jpg/3840px-Iglesia_del_Salvador_006.jpg"}, "thumbattribs": {"src": "https://thumb.wikimedia.org/wikipedia/commons/thumb/6/66/Iglesia_del_Salvador_006.jpg/1280px-Iglesia_del_Salvador_006.jpg", "decoding": "async", "loading": "lazy", "width": 1280, "height": 857, "srcset": "https://thumb.wikimedia.org/wikipedia/commons/thumb/6/66/Iglesia_del_Salvador_006.jpg/3840px-Iglesia_del_Salvador_006.jpg 2x"}, "url": "https://upload.wikimedia.org/wikipedia/commons/6/66/Iglesia_del_Salvador_006.jpg", "descriptionurl": "https://commons.wikimedia.org/wiki/File:Iglesia_del_Salvador_006.jpg", "descriptionshorturl": "https://commons.wikimedia.org/w/index.php?curid=5216096", "sha1": "16daf8afb49d4cf103d9cd7392d2f360494e5f95", "extmetadata": {"DateTime": {"value": "2008-11-16 19:51:40", "source": "mediawiki-metadata", "hidden": ""}, "ObjectName": {"value": "Iglesia del Salvador 006", "source": "mediawiki-metadata"}, "CommonsMetadataExtension": {"value": 1.2, "source": "extension", "hidden": ""}, "Categories": {"value": "GFDL|Taken with Nikon D80|Exterior of the Iglesia Colegial del Divino Salvador (Sevilla)|License migration redundant|Self-published work|Cultural heritage monuments in Spain with known IDs|Cultural heritage monuments in Spain missing SDC location of creation|Cultural heritage monuments in Spain missing SDC depicts", "source": "commons-categories", "hidden": ""}, "Assessments": {"value": "", "source": "commons-categories", "hidden": ""}, "ImageDescription": {"value": "Church of Salvador, Seville", "source": "commons-desc-page"}, "DateTimeOriginal": {"value": "2008-11-15", "source": "commons-desc-page"}, "Credit": {"value": "&lt;span class=\"int-own-work\" lang=\"en\"&gt;Own work&lt;/span&gt;", "source": "commons-desc-page"}, "Artist": {"value": "&lt;a href=\"//commons.wikimedia.org/wiki/User:Anual\" title=\"User:Anual\"&gt;Anual&lt;/a&gt;",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"https://thumb.wikimedia.org/wikipedia/commons/thumb/6/66/Iglesia_del_Salvador_006.jpg/1280px-Iglesia_del_Salvador_006.jpg"}, "retrieved_on": "2026-10-25"}</t>
        </is>
      </c>
    </row>
    <row r="209" ht="54" customHeight="1">
      <c r="A209" s="29" t="inlineStr">
        <is>
          <t>sevilla:evidence:palacio-de-san-telmo-03</t>
        </is>
      </c>
      <c r="B209" s="29" t="inlineStr">
        <is>
          <t>sevilla</t>
        </is>
      </c>
      <c r="C209" s="29" t="inlineStr">
        <is>
          <t>sevilla:photo:palacio-de-san-telmo-03</t>
        </is>
      </c>
      <c r="D209" s="29" t="inlineStr">
        <is>
          <t>https://commons.wikimedia.org/wiki/File:Palacio_de_San_Telmo,_Sevilla,_Espa%C3%B1a,_2015-12-06,_DD_74.JPG</t>
        </is>
      </c>
      <c r="E209" s="29" t="inlineStr">
        <is>
          <t>File:Palacio de San Telmo, Sevilla, España, 2015-12-06, DD 74.JPG</t>
        </is>
      </c>
      <c r="F209" s="29" t="inlineStr">
        <is>
          <t>Diego Delso</t>
        </is>
      </c>
      <c r="G209" s="29" t="inlineStr">
        <is>
          <t>CC BY-SA 4.0</t>
        </is>
      </c>
      <c r="H209" s="29" t="inlineStr">
        <is>
          <t>https://creativecommons.org/licenses/by-sa/4.0/</t>
        </is>
      </c>
      <c r="I209" s="29" t="inlineStr">
        <is>
          <t>Creative Commons Attribution-Share Alike 4.0</t>
        </is>
      </c>
      <c r="J209" s="29" t="inlineStr">
        <is>
          <t>Diego Delso · CC BY-SA 4.0 · Wikimedia Commons</t>
        </is>
      </c>
      <c r="K209" s="29" t="n"/>
      <c r="L209" s="49" t="n">
        <v>46320</v>
      </c>
      <c r="M209" s="29" t="inlineStr">
        <is>
          <t>Bekliyor</t>
        </is>
      </c>
      <c r="N209" s="29" t="inlineStr">
        <is>
          <t>Bekliyor</t>
        </is>
      </c>
      <c r="O209" s="29" t="inlineStr">
        <is>
          <t>Fotoğraflar/sevilla_palacio-de-san-telmo_03.jpg</t>
        </is>
      </c>
      <c r="P209" s="29" t="inlineStr">
        <is>
          <t>San Telmo Sarayı'nın barok giriş cephesi ve kırmızı-sarı kanatları, önden.</t>
        </is>
      </c>
      <c r="Q209" s="29" t="inlineStr">
        <is>
          <t>Bekliyor</t>
        </is>
      </c>
      <c r="R209" s="29" t="inlineStr">
        <is>
          <t>Wikimedia Commons dosya sayfasındaki lisans: CC BY-SA 4.0</t>
        </is>
      </c>
      <c r="S209" s="29" t="inlineStr">
        <is>
          <t>Lisans kanıtları/palacio-de-san-telmo-03.source-evidence.json</t>
        </is>
      </c>
      <c r="T209" s="29" t="inlineStr">
        <is>
          <t>01fa31e413d93fa078bd808a223d1b560a8f4450508e8c17f8f8283eff15901a</t>
        </is>
      </c>
      <c r="U209" s="29" t="inlineStr">
        <is>
          <t>Lisans kanıtları/palacio-de-san-telmo-03.license-evidence.json</t>
        </is>
      </c>
      <c r="V209" s="29" t="inlineStr">
        <is>
          <t>94ac599e8aec4dc5b3c6b17d892f69df4b255aaa877eace3e7a8de054801cd56</t>
        </is>
      </c>
      <c r="W209" s="29" t="inlineStr">
        <is>
          <t>{"source_url": "https://commons.wikimedia.org/wiki/File:Palacio_de_San_Telmo,_Sevilla,_Espa%C3%B1a,_2015-12-06,_DD_74.JPG", "author": "Diego Delso", "license": "CC BY-SA 4.0", "license_url": "https://creativecommons.org/licenses/by-sa/4.0/", "original_api_record": {"size": 11696984, "width": 6138, "height": 4995, "thumburl": "https://thumb.wikimedia.org/wikipedia/commons/thumb/c/c8/Palacio_de_San_Telmo%2C_Sevilla%2C_Espa%C3%B1a%2C_2015-12-06%2C_DD_74.JPG/1280px-Palacio_de_San_Telmo%2C_Sevilla%2C_Espa%C3%B1a%2C_2015-12-06%2C_DD_74.JPG", "thumbwidth": 1280, "thumbheight": 1042, "responsiveUrls": {"2": "https://thumb.wikimedia.org/wikipedia/commons/thumb/c/c8/Palacio_de_San_Telmo%2C_Sevilla%2C_Espa%C3%B1a%2C_2015-12-06%2C_DD_74.JPG/3840px-Palacio_de_San_Telmo%2C_Sevilla%2C_Espa%C3%B1a%2C_2015-12-06%2C_DD_74.JPG"}, "thumbattribs": {"src": "https://thumb.wikimedia.org/wikipedia/commons/thumb/c/c8/Palacio_de_San_Telmo%2C_Sevilla%2C_Espa%C3%B1a%2C_2015-12-06%2C_DD_74.JPG/1280px-Palacio_de_San_Telmo%2C_Sevilla%2C_Espa%C3%B1a%2C_2015-12-06%2C_DD_74.JPG", "decoding": "async", "loading": "lazy", "width": 1280, "height": 1042, "srcset": "https://thumb.wikimedia.org/wikipedia/commons/thumb/c/c8/Palacio_de_San_Telmo%2C_Sevilla%2C_Espa%C3%B1a%2C_2015-12-06%2C_DD_74.JPG/3840px-Palacio_de_San_Telmo%2C_Sevilla%2C_Espa%C3%B1a%2C_2015-12-06%2C_DD_74.JPG 2x"}, "url": "https://upload.wikimedia.org/wikipedia/commons/c/c8/Palacio_de_San_Telmo%2C_Sevilla%2C_Espa%C3%B1a%2C_2015-12-06%2C_DD_74.JPG", "descriptionurl": "https://commons.wikimedia.org/wiki/File:Palacio_de_San_Telmo,_Sevilla,_Espa%C3%B1a,_2015-12-06,_DD_74.JPG", "descriptionshorturl": "https://commons.wikimedia.org/w/index.php?curid=46583513", "sha1": "36d2cff5e51f8b06fb9d17edae44a36f2bc928df", "extmetadata": {"DateTime": {"value": "2016-01-24 20:24:50", "source": "mediawiki-metadata", "hidden": ""}, "ObjectName": {"value": "Palacio de San Telmo, Sevilla, España, 2015-12-06, DD 74", "source": "mediawiki-metadata"}, "CommonsMetadataExtension": {"value": 1.2, "source": "extension", "hidden": ""}, "Categories": {"value": "Images of Spain by User:Poco a poco|Images by User:Poco a poco|December 2015 in Seville|Buildings in Seville photographed in 2015|Main portal of the Palacio de San Telmo|Images by User:Poco a poco taken in 2015", "source": "commons-categories", "hidden": ""}, "Assessments": {"value": "quality", "source": "commons-categories", "hidden": ""}, "ImageDescription": {"value": "Palace of San Telmo, Seville, Spain", "source": "commons-desc-page"}, "DateTimeOriginal": {"value": "2015-12-06 14:54:14", "source": "commons-desc-page"}, "Credit": {"value": "&lt;span class=\"int-own-work\" lang=\"en\"&gt;Own work&lt;/span&gt;", "source": "commons-desc-page"}, "Artist": {"value": "&lt;bdi&gt;&lt;a href=\"https://www.wikidata.org/wiki/Q28147777\" class=\"extiw\" title=\"d:Q28147777\"&gt;&lt;span title=\"Spanish photographer\"&gt;Diego Delso&lt;/span&gt;&lt;/a&gt;&lt;/bdi&gt;", "source": "commons-desc-page"}, "LicenseShortName": {"value": "CC BY-SA 4.0", "source": "commons-desc-page", "hidden": ""}, "UsageTerms": {"value": "Creative Commons Attribution-Share Alike 4.0", "source": "commons-desc-page"}, "AttributionRequired": {"value": "true", "source": "commons-desc-page", "hidden": ""}, "Attribution": {"value": "Diego Delso",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"https://thumb.wikimedia.org/wikipedia/commons/thumb/c/c8/Palacio_de_San_Telmo%2C_Sevilla%2C_Espa%C3%B1a%2C_2015-12-06%2C_DD_74.JPG/1280px-Palacio_de_San_Telmo%2C_Sevilla%2C_Espa%C3%B1a%2C_2015-12-06%2C_DD_74.JPG"}, "retrieved_on": "2026-10-25"}</t>
        </is>
      </c>
    </row>
    <row r="210" ht="54" customHeight="1">
      <c r="A210" s="29" t="inlineStr">
        <is>
          <t>sevilla:evidence:puente-de-triana-02</t>
        </is>
      </c>
      <c r="B210" s="29" t="inlineStr">
        <is>
          <t>sevilla</t>
        </is>
      </c>
      <c r="C210" s="29" t="inlineStr">
        <is>
          <t>sevilla:photo:puente-de-triana-02</t>
        </is>
      </c>
      <c r="D210" s="29" t="inlineStr">
        <is>
          <t>https://commons.wikimedia.org/wiki/File:Castillo_de_San_Jorge_y_Puente_de_Triana.jpg</t>
        </is>
      </c>
      <c r="E210" s="29" t="inlineStr">
        <is>
          <t>File:Castillo de San Jorge y Puente de Triana.jpg</t>
        </is>
      </c>
      <c r="F210" s="29" t="inlineStr">
        <is>
          <t>Gzzz</t>
        </is>
      </c>
      <c r="G210" s="29" t="inlineStr">
        <is>
          <t>CC BY-SA 3.0</t>
        </is>
      </c>
      <c r="H210" s="29" t="inlineStr">
        <is>
          <t>https://creativecommons.org/licenses/by-sa/3.0/</t>
        </is>
      </c>
      <c r="I210" s="29" t="inlineStr">
        <is>
          <t>Creative Commons Attribution-Share Alike 3.0</t>
        </is>
      </c>
      <c r="J210" s="29" t="inlineStr">
        <is>
          <t>Gzzz · CC BY-SA 3.0 · Wikimedia Commons</t>
        </is>
      </c>
      <c r="K210" s="29" t="n"/>
      <c r="L210" s="49" t="n">
        <v>46320</v>
      </c>
      <c r="M210" s="29" t="inlineStr">
        <is>
          <t>Bekliyor</t>
        </is>
      </c>
      <c r="N210" s="29" t="inlineStr">
        <is>
          <t>Bekliyor</t>
        </is>
      </c>
      <c r="O210" s="29" t="inlineStr">
        <is>
          <t>Fotoğraflar/sevilla_puente-de-triana_02.jpg</t>
        </is>
      </c>
      <c r="P210" s="29" t="inlineStr">
        <is>
          <t>Triana Köprüsü'nün korkuluğu, fenerleri ve karşı kıyıda San Jorge Kalesi.</t>
        </is>
      </c>
      <c r="Q210" s="29" t="inlineStr">
        <is>
          <t>Bekliyor</t>
        </is>
      </c>
      <c r="R210" s="29" t="inlineStr">
        <is>
          <t>Wikimedia Commons dosya sayfasındaki lisans: CC BY-SA 3.0</t>
        </is>
      </c>
      <c r="S210" s="29" t="inlineStr">
        <is>
          <t>Lisans kanıtları/puente-de-triana-02.source-evidence.json</t>
        </is>
      </c>
      <c r="T210" s="29" t="inlineStr">
        <is>
          <t>8ce44c06a0d491f3858177c42c4ca1edf2eb0760eb809f95af089c16a7d84e50</t>
        </is>
      </c>
      <c r="U210" s="29" t="inlineStr">
        <is>
          <t>Lisans kanıtları/puente-de-triana-02.license-evidence.json</t>
        </is>
      </c>
      <c r="V210" s="29" t="inlineStr">
        <is>
          <t>0f472784b5b1c1c44c084c6ec7612f0abc08c493602af22d974bb7e6cd39fb38</t>
        </is>
      </c>
      <c r="W210" s="29" t="inlineStr">
        <is>
          <t>{"source_url": "https://commons.wikimedia.org/wiki/File:Castillo_de_San_Jorge_y_Puente_de_Triana.jpg", "author": "Gzzz", "license": "CC BY-SA 3.0", "license_url": "https://creativecommons.org/licenses/by-sa/3.0/", "original_api_record": {"size": 4698272, "width": 4244, "height": 3092, "thumburl": "https://thumb.wikimedia.org/wikipedia/commons/thumb/c/c8/Castillo_de_San_Jorge_y_Puente_de_Triana.jpg/1280px-Castillo_de_San_Jorge_y_Puente_de_Triana.jpg", "thumbwidth": 1280, "thumbheight": 933, "responsiveUrls": {"2": "https://thumb.wikimedia.org/wikipedia/commons/thumb/c/c8/Castillo_de_San_Jorge_y_Puente_de_Triana.jpg/3840px-Castillo_de_San_Jorge_y_Puente_de_Triana.jpg"}, "thumbattribs": {"src": "https://thumb.wikimedia.org/wikipedia/commons/thumb/c/c8/Castillo_de_San_Jorge_y_Puente_de_Triana.jpg/1280px-Castillo_de_San_Jorge_y_Puente_de_Triana.jpg", "decoding": "async", "loading": "lazy", "width": 1280, "height": 933, "srcset": "https://thumb.wikimedia.org/wikipedia/commons/thumb/c/c8/Castillo_de_San_Jorge_y_Puente_de_Triana.jpg/3840px-Castillo_de_San_Jorge_y_Puente_de_Triana.jpg 2x"}, "url": "https://upload.wikimedia.org/wikipedia/commons/c/c8/Castillo_de_San_Jorge_y_Puente_de_Triana.jpg", "descriptionurl": "https://commons.wikimedia.org/wiki/File:Castillo_de_San_Jorge_y_Puente_de_Triana.jpg", "descriptionshorturl": "https://commons.wikimedia.org/w/index.php?curid=30387399", "sha1": "a64e22a1d26bbc234c12e1ebac0a4fe6d4c7ee55", "extmetadata": {"DateTime": {"value": "2013-12-29 15:16:32", "source": "mediawiki-metadata", "hidden": ""}, "ObjectName": {"value": "Castillo de San Jorge y Puente de Triana", "source": "mediawiki-metadata"}, "CommonsMetadataExtension": {"value": 1.2, "source": "extension", "hidden": ""}, "Categories": {"value": "Taken with Nikon D5100|Puente de Triana|San Jorge Castle (Seville)|Canal de Alfonso XIII|Self-published work|Files with coordinates missing SDC location of creation|Spain photographs taken on 2013-04-10", "source": "commons-categories", "hidden": ""}, "Assessments": {"value": "", "source": "commons-categories", "hidden": ""}, "GPSLatitude": {"value": "37.386253", "source": "commons-desc-page"}, "GPSLongitude": {"value": "-6.002758", "source": "commons-desc-page"}, "GPSMapDatum": {"value": "WGS-84", "source": "commons-desc-page", "hidden": ""}, "ImageDescription": {"value": "Musée du Château de Saint-Georges de Séville (Espagne), construit sur les ruines du château", "source": "commons-desc-page"}, "DateTimeOriginal": {"value": "2013-04-10 12:40:59", "source": "commons-desc-page"}, "Credit": {"value": "&lt;span class=\"int-own-work\" lang=\"en\"&gt;Own work&lt;/span&gt;", "source": "commons-desc-page"}, "Artist": {"value": "&lt;a href=\"//commons.wikimedia.org/wiki/User:Gzzz\" title=\"User:Gzzz\"&gt;Gzzz&lt;/a&gt;",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"https://thumb.wikimedia.org/wikipedia/commons/thumb/c/c8/Castillo_de_San_Jorge_y_Puente_de_Triana.jpg/1280px-Castillo_de_San_Jorge_y_Puente_de_Triana.jpg"}, "retrieved_on": "2026-10-25"}</t>
        </is>
      </c>
    </row>
    <row r="211" ht="54" customHeight="1">
      <c r="A211" s="29" t="inlineStr">
        <is>
          <t>sevilla:evidence:plaza-de-toros-de-la-maestranza-03</t>
        </is>
      </c>
      <c r="B211" s="29" t="inlineStr">
        <is>
          <t>sevilla</t>
        </is>
      </c>
      <c r="C211" s="29" t="inlineStr">
        <is>
          <t>sevilla:photo:plaza-de-toros-de-la-maestranza-03</t>
        </is>
      </c>
      <c r="D211" s="29" t="inlineStr">
        <is>
          <t>https://commons.wikimedia.org/wiki/File:Sevilla_2015_10_18_1524_(24438025006).jpg</t>
        </is>
      </c>
      <c r="E211" s="29" t="inlineStr">
        <is>
          <t>File:Sevilla 2015 10 18 1524 (24438025006).jpg</t>
        </is>
      </c>
      <c r="F211" s="29" t="inlineStr">
        <is>
          <t>Harvey Barrison from Massapequa, NY, USA</t>
        </is>
      </c>
      <c r="G211" s="29" t="inlineStr">
        <is>
          <t>CC BY-SA 2.0</t>
        </is>
      </c>
      <c r="H211" s="29" t="inlineStr">
        <is>
          <t>https://creativecommons.org/licenses/by-sa/2.0/</t>
        </is>
      </c>
      <c r="I211" s="29" t="inlineStr">
        <is>
          <t>Creative Commons Attribution-Share Alike 2.0</t>
        </is>
      </c>
      <c r="J211" s="29" t="inlineStr">
        <is>
          <t>Harvey Barrison from Massapequa, NY, USA · CC BY-SA 2.0 · Wikimedia Commons</t>
        </is>
      </c>
      <c r="K211" s="29" t="n"/>
      <c r="L211" s="49" t="n">
        <v>46320</v>
      </c>
      <c r="M211" s="29" t="inlineStr">
        <is>
          <t>Bekliyor</t>
        </is>
      </c>
      <c r="N211" s="29" t="inlineStr">
        <is>
          <t>Bekliyor</t>
        </is>
      </c>
      <c r="O211" s="29" t="inlineStr">
        <is>
          <t>Fotoğraflar/sevilla_plaza-de-toros-de-la-maestranza_03.jpg</t>
        </is>
      </c>
      <c r="P211" s="29" t="inlineStr">
        <is>
          <t>Maestranza Boğa Arenası'nın kemerli üst galerisi ve kiremit çatısı.</t>
        </is>
      </c>
      <c r="Q211" s="29" t="inlineStr">
        <is>
          <t>Bekliyor</t>
        </is>
      </c>
      <c r="R211" s="29" t="inlineStr">
        <is>
          <t>Wikimedia Commons dosya sayfasındaki lisans: CC BY-SA 2.0</t>
        </is>
      </c>
      <c r="S211" s="29" t="inlineStr">
        <is>
          <t>Lisans kanıtları/plaza-de-toros-de-la-maestranza-03.source-evidence.json</t>
        </is>
      </c>
      <c r="T211" s="29" t="inlineStr">
        <is>
          <t>374a3256dd38b36b6afe6ab4405f959adbe633e5c574e6d0e6fbd7fc5be96475</t>
        </is>
      </c>
      <c r="U211" s="29" t="inlineStr">
        <is>
          <t>Lisans kanıtları/plaza-de-toros-de-la-maestranza-03.license-evidence.json</t>
        </is>
      </c>
      <c r="V211" s="29" t="inlineStr">
        <is>
          <t>8bbbe990067d3d7c040987949378829a8ec69f865e3359a360bda8596c81a2e9</t>
        </is>
      </c>
      <c r="W211" s="29" t="inlineStr">
        <is>
          <t>{"source_url": "https://commons.wikimedia.org/wiki/File:Sevilla_2015_10_18_1524_(24438025006).jpg", "author": "Harvey Barrison from Massapequa, NY, USA", "license": "CC BY-SA 2.0", "license_url": "https://creativecommons.org/licenses/by-sa/2.0/", "original_api_record": {"size": 47029219, "width": 7360, "height": 4912, "thumburl": "https://thumb.wikimedia.org/wikipedia/commons/thumb/7/72/Sevilla_2015_10_18_1524_%2824438025006%29.jpg/1280px-Sevilla_2015_10_18_1524_%2824438025006%29.jpg", "thumbwidth": 1280, "thumbheight": 854, "responsiveUrls": {"2": "https://thumb.wikimedia.org/wikipedia/commons/thumb/7/72/Sevilla_2015_10_18_1524_%2824438025006%29.jpg/3840px-Sevilla_2015_10_18_1524_%2824438025006%29.jpg"}, "thumbattribs": {"src": "https://thumb.wikimedia.org/wikipedia/commons/thumb/7/72/Sevilla_2015_10_18_1524_%2824438025006%29.jpg/1280px-Sevilla_2015_10_18_1524_%2824438025006%29.jpg", "decoding": "async", "loading": "lazy", "width": 1280, "height": 854, "srcset": "https://thumb.wikimedia.org/wikipedia/commons/thumb/7/72/Sevilla_2015_10_18_1524_%2824438025006%29.jpg/3840px-Sevilla_2015_10_18_1524_%2824438025006%29.jpg 2x"}, "url": "https://upload.wikimedia.org/wikipedia/commons/7/72/Sevilla_2015_10_18_1524_%2824438025006%29.jpg", "descriptionurl": "https://commons.wikimedia.org/wiki/File:Sevilla_2015_10_18_1524_(24438025006).jpg", "descriptionshorturl": "https://commons.wikimedia.org/w/index.php?curid=46658038", "sha1": "7a9b81d057622466423c109caeae2a0a59c32028", "extmetadata": {"DateTime": {"value": "2016-01-29 03:14:42", "source": "mediawiki-metadata", "hidden": ""}, "ObjectName": {"value": "Sevilla 2015 10 18 1524 (24438025006)", "source": "mediawiki-metadata"}, "CommonsMetadataExtension": {"value": 1.2, "source": "extension", "hidden": ""}, "Categories": {"value": "Exterior of the Maestranza|Flickr images reviewed by FlickreviewR|Files created by Harvey Barrison|Spain photographs taken on 2015-10-18|Files with coordinates missing SDC location of creation|Flickr images missing SDC Flickr photo ID|Flickr images missing SDC published in", "source": "commons-categories", "hidden": ""}, "Assessments": {"value": "", "source": "commons-categories", "hidden": ""}, "GPSLatitude": {"value": "37.386037", "source": "commons-desc-page"}, "GPSLongitude": {"value": "-5.999567", "source": "commons-desc-page"}, "GPSMapDatum": {"value": "WGS-84", "source": "commons-desc-page", "hidden": ""}, "ImageDescription": {"value": "Plaza de toros de la Real Maestranza de Caballería de Sevilla y Museo Taurino", "source": "commons-desc-page"}, "DateTimeOriginal": {"value": "Taken on 18 October 2015, 14:36", "source": "commons-desc-page"}, "Credit": {"value": "&lt;a rel=\"nofollow\" class=\"external text\" href=\"https://www.flickr.com/photos/hbarrison/24438025006/\"&gt;Sevilla_2015 10 18_1524&lt;/a&gt;", "source": "commons-desc-page"}, "Artist": {"value": "&lt;a rel=\"nofollow\" class=\"external text\" href=\"https://www.flickr.com/people/10299779@N03\"&gt;Harvey Barrison&lt;/a&gt; from Massapequa, NY, USA", "source": "commons-desc-page"}, "LicenseShortName": {"value": "CC BY-SA 2.0", "source": "commons-desc-page", "hidden": ""}, "UsageTerms": {"value": "Creative Commons Attribution-Share Alike 2.0", "source": "commons-desc-page"}, "AttributionRequired": {"value": "true", "source": "commons-desc-page", "hidden": ""}, "LicenseUrl": {"value": "https://creativecommons.org/licenses/by-sa/2.0", "source": "commons-desc-page"}, "Copyrighted": {"value": "True", "source": "commons-desc-page", "hidden": ""}, "Restrictions": {"value": "", "source": "commons-desc-page", "hidden": ""}, "License": {"value": "cc-by-sa-2.0", "source": "commons-templates", "hidden": ""}}, "mime": "image/jpeg"}, "delivered_file": {"url": "https://thumb.wikimedia.org/wikipedia/commons/thumb/7/72/Sevilla_2015_10_18_1524_%2824438025006%29.jpg/1280px-Sevilla_2015_10_18_1524_%2824438025006%29.jpg"}, "retrieved_on": "2026-10-25"}</t>
        </is>
      </c>
    </row>
    <row r="212" ht="54" customHeight="1">
      <c r="A212" s="29" t="inlineStr">
        <is>
          <t>sevilla:evidence:jardines-de-murillo-03</t>
        </is>
      </c>
      <c r="B212" s="29" t="inlineStr">
        <is>
          <t>sevilla</t>
        </is>
      </c>
      <c r="C212" s="29" t="inlineStr">
        <is>
          <t>sevilla:photo:jardines-de-murillo-03</t>
        </is>
      </c>
      <c r="D212" s="29" t="inlineStr">
        <is>
          <t>https://commons.wikimedia.org/wiki/File:Banco_en_Jardines_Murillo._Sevilla..JPG</t>
        </is>
      </c>
      <c r="E212" s="29" t="inlineStr">
        <is>
          <t>File:Banco en Jardines Murillo. Sevilla..JPG</t>
        </is>
      </c>
      <c r="F212" s="29" t="inlineStr">
        <is>
          <t>Roberto Chamoso G</t>
        </is>
      </c>
      <c r="G212" s="29" t="inlineStr">
        <is>
          <t>CC BY-SA 3.0 es</t>
        </is>
      </c>
      <c r="H212" s="29" t="inlineStr">
        <is>
          <t>https://creativecommons.org/licenses/by-sa/3.0/es/deed.en/</t>
        </is>
      </c>
      <c r="I212" s="29" t="inlineStr">
        <is>
          <t>Creative Commons Attribution-Share Alike 3.0 es</t>
        </is>
      </c>
      <c r="J212" s="29" t="inlineStr">
        <is>
          <t>Roberto Chamoso G · CC BY-SA 3.0 es · Wikimedia Commons</t>
        </is>
      </c>
      <c r="K212" s="29" t="n"/>
      <c r="L212" s="49" t="n">
        <v>46320</v>
      </c>
      <c r="M212" s="29" t="inlineStr">
        <is>
          <t>Bekliyor</t>
        </is>
      </c>
      <c r="N212" s="29" t="inlineStr">
        <is>
          <t>Bekliyor</t>
        </is>
      </c>
      <c r="O212" s="29" t="inlineStr">
        <is>
          <t>Fotoğraflar/sevilla_jardines-de-murillo_03.jpg</t>
        </is>
      </c>
      <c r="P212" s="29" t="inlineStr">
        <is>
          <t>Murillo Bahçeleri'nde iri bir ağacın dibinde çinili bank.</t>
        </is>
      </c>
      <c r="Q212" s="29" t="inlineStr">
        <is>
          <t>Bekliyor</t>
        </is>
      </c>
      <c r="R212" s="29" t="inlineStr">
        <is>
          <t>Wikimedia Commons dosya sayfasındaki lisans: CC BY-SA 3.0 es</t>
        </is>
      </c>
      <c r="S212" s="29" t="inlineStr">
        <is>
          <t>Lisans kanıtları/jardines-de-murillo-03.source-evidence.json</t>
        </is>
      </c>
      <c r="T212" s="29" t="inlineStr">
        <is>
          <t>0de3e65d374d3dae539790f85652d04a439eeb43ad543980e6074c45b8ee70bb</t>
        </is>
      </c>
      <c r="U212" s="29" t="inlineStr">
        <is>
          <t>Lisans kanıtları/jardines-de-murillo-03.license-evidence.json</t>
        </is>
      </c>
      <c r="V212" s="29" t="inlineStr">
        <is>
          <t>6fe6a6aa99dd1103519d23f09be33651fdbfd6b662699b49c6e38b61cb217cfa</t>
        </is>
      </c>
      <c r="W212" s="29" t="inlineStr">
        <is>
          <t>{"source_url": "https://commons.wikimedia.org/wiki/File:Banco_en_Jardines_Murillo._Sevilla..JPG", "author": "Roberto Chamoso G", "license": "CC BY-SA 3.0 es", "license_url": "https://creativecommons.org/licenses/by-sa/3.0/es/deed.en/", "original_api_record": {"size": 2833933, "width": 3612, "height": 2686, "thumburl": "https://thumb.wikimedia.org/wikipedia/commons/thumb/f/ff/Banco_en_Jardines_Murillo._Sevilla..JPG/1280px-Banco_en_Jardines_Murillo._Sevilla..JPG", "thumbwidth": 1280, "thumbheight": 952, "responsiveUrls": {"2": "https://upload.wikimedia.org/wikipedia/commons/f/ff/Banco_en_Jardines_Murillo._Sevilla..JPG"}, "thumbattribs": {"src": "https://thumb.wikimedia.org/wikipedia/commons/thumb/f/ff/Banco_en_Jardines_Murillo._Sevilla..JPG/1280px-Banco_en_Jardines_Murillo._Sevilla..JPG", "decoding": "async", "loading": "lazy", "width": 1280, "height": 952, "srcset": "https://upload.wikimedia.org/wikipedia/commons/f/ff/Banco_en_Jardines_Murillo._Sevilla..JPG 2x"}, "url": "https://upload.wikimedia.org/wikipedia/commons/f/ff/Banco_en_Jardines_Murillo._Sevilla..JPG", "descriptionurl": "https://commons.wikimedia.org/wiki/File:Banco_en_Jardines_Murillo._Sevilla..JPG", "descriptionshorturl": "https://commons.wikimedia.org/w/index.php?curid=21346224", "sha1": "e07177a1c12610482b621123f436941b6834a7d8", "extmetadata": {"DateTime": {"value": "2012-09-15 05:50:05", "source": "mediawiki-metadata", "hidden": ""}, "ObjectName": {"value": "Banco en Jardines Murillo. Sevilla.", "source": "mediawiki-metadata"}, "CommonsMetadataExtension": {"value": 1.2, "source": "extension", "hidden": ""}, "Categories": {"value": "Murillo Gardens|Taken with Canon Digital IXUS 95 IS|Self-published work|Cultural heritage monuments in Spain with known IDs|Images from Wiki Loves Monuments 2012|Images from Wiki Loves Monuments 2012 in Spain|Spain photographs taken on 2011-08-12|All media supported by Wikimedia España in 2012|Images from Wiki Loves Monuments missing SDC depicts|Images from Wiki Loves Monuments missing SDC location of creation|Cultural heritage monuments in Spain missing SDC location of creation|Cultural heritage monuments in Spain missing SDC depicts", "source": "commons-categories", "hidden": ""}, "Assessments": {"value": "", "source": "commons-categories", "hidden": ""}, "ImageDescription": {"value": "Sección 2 Jardines de Murillo", "source": "commons-desc-page"}, "DateTimeOriginal": {"value": "2011-08-12 19:25:28", "source": "commons-desc-page"}, "Credit": {"value": "&lt;span class=\"int-own-work\" lang=\"en\"&gt;Own work&lt;/span&gt;", "source": "commons-desc-page"}, "Artist": {"value": "&lt;a href=\"//commons.wikimedia.org/w/index.php?title=User:Roberto_Chamoso_G&amp;amp;action=edit&amp;amp;redlink=1\" class=\"new\" title=\"User:Roberto Chamoso G (page does not exist)\"&gt;Roberto Chamoso G&lt;/a&gt;", "source": "commons-desc-page"}, "LicenseShortName": {"value": "CC BY-SA 3.0 es", "source": "commons-desc-page", "hidden": ""}, "UsageTerms": {"value": "Creative Commons Attribution-Share Alike 3.0 es", "source": "commons-desc-page"}, "AttributionRequired": {"value": "true", "source": "commons-desc-page", "hidden": ""}, "LicenseUrl": {"value": "https://creativecommons.org/licenses/by-sa/3.0/es/deed.en", "source": "commons-desc-page"}, "Copyrighted": {"value": "True", "source": "commons-desc-page", "hidden": ""}, "Restrictions": {"value": "", "source": "commons-desc-page", "hidden": ""}, "License": {"value": "cc-by-sa-3.0-es", "source": "commons-templates", "hidden": ""}}, "mime": "image/jpeg"}, "delivered_file": {"url": "https://thumb.wikimedia.org/wikipedia/commons/thumb/f/ff/Banco_en_Jardines_Murillo._Sevilla..JPG/1280px-Banco_en_Jardines_Murillo._Sevilla..JPG"}, "retrieved_on": "2026-10-25"}</t>
        </is>
      </c>
    </row>
    <row r="213" ht="54" customHeight="1">
      <c r="A213" s="29" t="inlineStr">
        <is>
          <t>sevilla:evidence:museo-de-bellas-artes-de-sevilla-03</t>
        </is>
      </c>
      <c r="B213" s="29" t="inlineStr">
        <is>
          <t>sevilla</t>
        </is>
      </c>
      <c r="C213" s="29" t="inlineStr">
        <is>
          <t>sevilla:photo:museo-de-bellas-artes-de-sevilla-03</t>
        </is>
      </c>
      <c r="D213" s="29" t="inlineStr">
        <is>
          <t>https://commons.wikimedia.org/wiki/File:Patio_del_Aljibe,_Museo_de_Bellas_Artes_de_Sevilla.jpg</t>
        </is>
      </c>
      <c r="E213" s="29" t="inlineStr">
        <is>
          <t>File:Patio del Aljibe, Museo de Bellas Artes de Sevilla.jpg</t>
        </is>
      </c>
      <c r="F213" s="29" t="inlineStr">
        <is>
          <t>José Luis Filpo Cabana</t>
        </is>
      </c>
      <c r="G213" s="29" t="inlineStr">
        <is>
          <t>CC BY 3.0</t>
        </is>
      </c>
      <c r="H213" s="29" t="inlineStr">
        <is>
          <t>https://creativecommons.org/licenses/by/3.0/</t>
        </is>
      </c>
      <c r="I213" s="29" t="inlineStr">
        <is>
          <t>Creative Commons Attribution 3.0</t>
        </is>
      </c>
      <c r="J213" s="29" t="inlineStr">
        <is>
          <t>José Luis Filpo Cabana · CC BY 3.0 · Wikimedia Commons</t>
        </is>
      </c>
      <c r="K213" s="29" t="n"/>
      <c r="L213" s="49" t="n">
        <v>46320</v>
      </c>
      <c r="M213" s="29" t="inlineStr">
        <is>
          <t>Bekliyor</t>
        </is>
      </c>
      <c r="N213" s="29" t="inlineStr">
        <is>
          <t>Bekliyor</t>
        </is>
      </c>
      <c r="O213" s="29" t="inlineStr">
        <is>
          <t>Fotoğraflar/sevilla_museo-de-bellas-artes-de-sevilla_03.jpg</t>
        </is>
      </c>
      <c r="P213" s="29" t="inlineStr">
        <is>
          <t>Güzel Sanatlar Müzesi'nin kemerli galerili su sarnıcı avlusu.</t>
        </is>
      </c>
      <c r="Q213" s="29" t="inlineStr">
        <is>
          <t>Bekliyor</t>
        </is>
      </c>
      <c r="R213" s="29" t="inlineStr">
        <is>
          <t>Wikimedia Commons dosya sayfasındaki lisans: CC BY 3.0</t>
        </is>
      </c>
      <c r="S213" s="29" t="inlineStr">
        <is>
          <t>Lisans kanıtları/museo-de-bellas-artes-de-sevilla-03.source-evidence.json</t>
        </is>
      </c>
      <c r="T213" s="29" t="inlineStr">
        <is>
          <t>ebeda832d41bea15ee3e7819f4bd1e422c759b80329b18e067945d5578335017</t>
        </is>
      </c>
      <c r="U213" s="29" t="inlineStr">
        <is>
          <t>Lisans kanıtları/museo-de-bellas-artes-de-sevilla-03.license-evidence.json</t>
        </is>
      </c>
      <c r="V213" s="29" t="inlineStr">
        <is>
          <t>c1d21b202133a0ecaedd55e6baf5d5e87c16b0e27496ee144b6a8027afb55521</t>
        </is>
      </c>
      <c r="W213" s="29" t="inlineStr">
        <is>
          <t>{"source_url": "https://commons.wikimedia.org/wiki/File:Patio_del_Aljibe,_Museo_de_Bellas_Artes_de_Sevilla.jpg", "author": "José Luis Filpo Cabana", "license": "CC BY 3.0", "license_url": "https://creativecommons.org/licenses/by/3.0/", "original_api_record": {"size": 5065861, "width": 2736, "height": 3648, "thumburl": "https://thumb.wikimedia.org/wikipedia/commons/thumb/5/53/Patio_del_Aljibe%2C_Museo_de_Bellas_Artes_de_Sevilla.jpg/1280px-Patio_del_Aljibe%2C_Museo_de_Bellas_Artes_de_Sevilla.jpg", "thumbwidth": 1280, "thumbheight": 1707, "responsiveUrls": {"2": "https://upload.wikimedia.org/wikipedia/commons/5/53/Patio_del_Aljibe%2C_Museo_de_Bellas_Artes_de_Sevilla.jpg"}, "thumbattribs": {"src": "https://thumb.wikimedia.org/wikipedia/commons/thumb/5/53/Patio_del_Aljibe%2C_Museo_de_Bellas_Artes_de_Sevilla.jpg/1280px-Patio_del_Aljibe%2C_Museo_de_Bellas_Artes_de_Sevilla.jpg", "decoding": "async", "loading": "lazy", "width": 1280, "height": 1707, "srcset": "https://upload.wikimedia.org/wikipedia/commons/5/53/Patio_del_Aljibe%2C_Museo_de_Bellas_Artes_de_Sevilla.jpg 2x"}, "url": "https://upload.wikimedia.org/wikipedia/commons/5/53/Patio_del_Aljibe%2C_Museo_de_Bellas_Artes_de_Sevilla.jpg", "descriptionurl": "https://commons.wikimedia.org/wiki/File:Patio_del_Aljibe,_Museo_de_Bellas_Artes_de_Sevilla.jpg", "descriptionshorturl": "https://commons.wikimedia.org/w/index.php?curid=15507644", "sha1": "c4a8968b2c04dda03d389a3ef0881bcfd063bf07", "extmetadata": {"DateTime": {"value": "2021-03-02 08:31:42", "source": "mediawiki-metadata", "hidden": ""}, "ObjectName": {"value": "Patio del Aljibe, Museo de Bellas Artes de Sevilla", "source": "mediawiki-metadata"}, "CommonsMetadataExtension": {"value": 1.2, "source": "extension", "hidden": ""}, "Categories": {"value": "GFDL|License migration redundant|Self-published work|Historical wells in Spain|17th-century wells|17th-century buildings in Seville|Well heads in Spain|Files with coordinates missing SDC location of creation|Cloister of the Cistern, Museo de Bellas Artes de Sevilla", "source": "commons-categories", "hidden": ""}, "Assessments": {"value": "", "source": "commons-categories", "hidden": ""}, "GPSLatitude": {"value": "37.392472", "source": "commons-desc-page"}, "GPSLongitude": {"value": "-5.999806", "source": "commons-desc-page"}, "GPSMapDatum": {"value": "WGS-84", "source": "commons-desc-page", "hidden": ""}, "ImageDescription": {"value": "Antiguo Convento de la Merced Calzada. Juan de Oviedo y de la Bandera lo modifica en 1602, cuyas obras terminarían en el 1799. Este claustro es el más pequeño de los tres.", "source": "commons-desc-page"}, "DateTimeOriginal": {"value": "2011-06", "source": "commons-desc-page"}, "Credit": {"value": "&lt;span class=\"int-own-work\" lang=\"en\"&gt;Own work&lt;/span&gt;", "source": "commons-desc-page"}, "Artist": {"value": "José Luis Filpo Cabana",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"https://thumb.wikimedia.org/wikipedia/commons/thumb/5/53/Patio_del_Aljibe%2C_Museo_de_Bellas_Artes_de_Sevilla.jpg/1280px-Patio_del_Aljibe%2C_Museo_de_Bellas_Artes_de_Sevilla.jpg"}, "retrieved_on": "2026-10-25"}</t>
        </is>
      </c>
    </row>
    <row r="214" ht="54" customHeight="1">
      <c r="A214" s="29" t="inlineStr">
        <is>
          <t>sevilla:evidence:museo-de-artes-y-costumbres-populares-02</t>
        </is>
      </c>
      <c r="B214" s="29" t="inlineStr">
        <is>
          <t>sevilla</t>
        </is>
      </c>
      <c r="C214" s="29" t="inlineStr">
        <is>
          <t>sevilla:photo:museo-de-artes-y-costumbres-populares-02</t>
        </is>
      </c>
      <c r="D214" s="29" t="inlineStr">
        <is>
          <t>https://commons.wikimedia.org/wiki/File:Museo_de_Artes_y_Costumbres_Populares_de_Sevilla_(2).jpg</t>
        </is>
      </c>
      <c r="E214" s="29" t="inlineStr">
        <is>
          <t>File:Museo de Artes y Costumbres Populares de Sevilla (2).jpg</t>
        </is>
      </c>
      <c r="F214" s="29" t="inlineStr">
        <is>
          <t>Alberto-g-rovi</t>
        </is>
      </c>
      <c r="G214" s="29" t="inlineStr">
        <is>
          <t>CC BY 4.0</t>
        </is>
      </c>
      <c r="H214" s="29" t="inlineStr">
        <is>
          <t>https://creativecommons.org/licenses/by/4.0/</t>
        </is>
      </c>
      <c r="I214" s="29" t="inlineStr">
        <is>
          <t>Creative Commons Attribution 4.0</t>
        </is>
      </c>
      <c r="J214" s="29" t="inlineStr">
        <is>
          <t>Alberto-g-rovi · CC BY 4.0 · Wikimedia Commons</t>
        </is>
      </c>
      <c r="K214" s="29" t="n"/>
      <c r="L214" s="49" t="n">
        <v>46320</v>
      </c>
      <c r="M214" s="29" t="inlineStr">
        <is>
          <t>Bekliyor</t>
        </is>
      </c>
      <c r="N214" s="29" t="inlineStr">
        <is>
          <t>Bekliyor</t>
        </is>
      </c>
      <c r="O214" s="29" t="inlineStr">
        <is>
          <t>Fotoğraflar/sevilla_museo-de-artes-y-costumbres-populares_02.jpg</t>
        </is>
      </c>
      <c r="P214" s="29" t="inlineStr">
        <is>
          <t>Halk Sanatları Müzesi'nin bulunduğu Mudéjar köşkün tuğla ve çini cephesi.</t>
        </is>
      </c>
      <c r="Q214" s="29" t="inlineStr">
        <is>
          <t>Bekliyor</t>
        </is>
      </c>
      <c r="R214" s="29" t="inlineStr">
        <is>
          <t>Wikimedia Commons dosya sayfasındaki lisans: CC BY 4.0</t>
        </is>
      </c>
      <c r="S214" s="29" t="inlineStr">
        <is>
          <t>Lisans kanıtları/museo-de-artes-y-costumbres-populares-02.source-evidence.json</t>
        </is>
      </c>
      <c r="T214" s="29" t="inlineStr">
        <is>
          <t>729fb8818c1f93763735b000dbd122ccc49c1d2c1411bac3c721ce1026a36932</t>
        </is>
      </c>
      <c r="U214" s="29" t="inlineStr">
        <is>
          <t>Lisans kanıtları/museo-de-artes-y-costumbres-populares-02.license-evidence.json</t>
        </is>
      </c>
      <c r="V214" s="29" t="inlineStr">
        <is>
          <t>91ab74c2111e2e7320c8020fcee42a9b45ac9fd8ba3bf3c5ecdc19f8086e1f04</t>
        </is>
      </c>
      <c r="W214" s="29" t="inlineStr">
        <is>
          <t>{"source_url": "https://commons.wikimedia.org/wiki/File:Museo_de_Artes_y_Costumbres_Populares_de_Sevilla_(2).jpg", "author": "Alberto-g-rovi", "license": "CC BY 4.0", "license_url": "https://creativecommons.org/licenses/by/4.0/", "original_api_record": {"size": 15089959, "width": 4695, "height": 6875, "thumburl": "https://thumb.wikimedia.org/wikipedia/commons/thumb/2/27/Museo_de_Artes_y_Costumbres_Populares_de_Sevilla_%282%29.jpg/1280px-Museo_de_Artes_y_Costumbres_Populares_de_Sevilla_%282%29.jpg", "thumbwidth": 1280, "thumbheight": 1874, "responsiveUrls": {"2": "https://thumb.wikimedia.org/wikipedia/commons/thumb/2/27/Museo_de_Artes_y_Costumbres_Populares_de_Sevilla_%282%29.jpg/3840px-Museo_de_Artes_y_Costumbres_Populares_de_Sevilla_%282%29.jpg"}, "thumbattribs": {"src": "https://thumb.wikimedia.org/wikipedia/commons/thumb/2/27/Museo_de_Artes_y_Costumbres_Populares_de_Sevilla_%282%29.jpg/1280px-Museo_de_Artes_y_Costumbres_Populares_de_Sevilla_%282%29.jpg", "decoding": "async", "loading": "lazy", "width": 1280, "height": 1874, "srcset": "https://thumb.wikimedia.org/wikipedia/commons/thumb/2/27/Museo_de_Artes_y_Costumbres_Populares_de_Sevilla_%282%29.jpg/3840px-Museo_de_Artes_y_Costumbres_Populares_de_Sevilla_%282%29.jpg 2x"}, "url": "https://upload.wikimedia.org/wikipedia/commons/2/27/Museo_de_Artes_y_Costumbres_Populares_de_Sevilla_%282%29.jpg", "descriptionurl": "https://commons.wikimedia.org/wiki/File:Museo_de_Artes_y_Costumbres_Populares_de_Sevilla_(2).jpg", "descriptionshorturl": "https://commons.wikimedia.org/w/index.php?curid=176433587", "sha1": "ad8c35644243a43c5d211ab827b8421c61a68a26", "extmetadata": {"DateTime": {"value": "2025-10-10 04:26:05", "source": "mediawiki-metadata", "hidden": ""}, "ObjectName": {"value": "Museo de Artes y Costumbres Populares de Sevilla (2)", "source": "mediawiki-metadata"}, "CommonsMetadataExtension": {"value": 1.2, "source": "extension", "hidden": ""}, "Categories": {"value": "Museo de Artes y Costumbres Populares de Sevilla|Self-published work|Photographs by Alberto-g-rovi in María Luisa Park", "source": "commons-categories", "hidden": ""}, "Assessments": {"value": "", "source": "commons-categories", "hidden": ""}, "ImageDescription": {"value": "Parque Mária Luisa", "source": "commons-desc-page"}, "DateTimeOriginal": {"value": "2025-09-18 17:38:54", "source": "commons-desc-page"}, "Credit": {"value": "&lt;span class=\"int-own-work\" lang=\"en\"&gt;Own work&lt;/span&gt;", "source": "commons-desc-page"}, "Artist": {"value": "&lt;a href=\"//commons.wikimedia.org/wiki/User:Alberto-g-rovi\" title=\"User:Alberto-g-rovi\"&gt;Alberto-g-rovi&lt;/a&gt;", "source": "commons-desc-page"}, "LicenseShortName": {"value": "CC BY 4.0", "source": "commons-desc-page", "hidden": ""}, "UsageTerms": {"value": "Creative Commons Attribution 4.0", "source": "commons-desc-page"}, "AttributionRequired": {"value": "true", "source": "commons-desc-page", "hidden": ""}, "LicenseUrl": {"value": "https://creativecommons.org/licenses/by/4.0", "source": "commons-desc-page"}, "Copyrighted": {"value": "True", "source": "commons-desc-page", "hidden": ""}, "Restrictions": {"value": "", "source": "commons-desc-page", "hidden": ""}, "License": {"value": "cc-by-4.0", "source": "commons-templates", "hidden": ""}}, "mime": "image/jpeg"}, "delivered_file": {"url": "https://thumb.wikimedia.org/wikipedia/commons/thumb/2/27/Museo_de_Artes_y_Costumbres_Populares_de_Sevilla_%282%29.jpg/1280px-Museo_de_Artes_y_Costumbres_Populares_de_Sevilla_%282%29.jpg"}, "retrieved_on": "2026-10-25"}</t>
        </is>
      </c>
    </row>
    <row r="215" ht="54" customHeight="1">
      <c r="A215" s="29" t="inlineStr">
        <is>
          <t>sevilla:evidence:museo-de-artes-y-costumbres-populares-03</t>
        </is>
      </c>
      <c r="B215" s="29" t="inlineStr">
        <is>
          <t>sevilla</t>
        </is>
      </c>
      <c r="C215" s="29" t="inlineStr">
        <is>
          <t>sevilla:photo:museo-de-artes-y-costumbres-populares-03</t>
        </is>
      </c>
      <c r="D215" s="29" t="inlineStr">
        <is>
          <t>https://commons.wikimedia.org/wiki/File:Museo_de_Artes_y_Costumbres_Populares_de_Sevilla_(9920920043).jpg</t>
        </is>
      </c>
      <c r="E215" s="29" t="inlineStr">
        <is>
          <t>File:Museo de Artes y Costumbres Populares de Sevilla (9920920043).jpg</t>
        </is>
      </c>
      <c r="F215" s="29" t="inlineStr">
        <is>
          <t>Emilio J. Rodríguez Posada</t>
        </is>
      </c>
      <c r="G215" s="29" t="inlineStr">
        <is>
          <t>CC BY-SA 2.0</t>
        </is>
      </c>
      <c r="H215" s="29" t="inlineStr">
        <is>
          <t>https://creativecommons.org/licenses/by-sa/2.0/</t>
        </is>
      </c>
      <c r="I215" s="29" t="inlineStr">
        <is>
          <t>Creative Commons Attribution-Share Alike 2.0</t>
        </is>
      </c>
      <c r="J215" s="29" t="inlineStr">
        <is>
          <t>Emilio J. Rodríguez Posada · CC BY-SA 2.0 · Wikimedia Commons</t>
        </is>
      </c>
      <c r="K215" s="29" t="n"/>
      <c r="L215" s="49" t="n">
        <v>46320</v>
      </c>
      <c r="M215" s="29" t="inlineStr">
        <is>
          <t>Bekliyor</t>
        </is>
      </c>
      <c r="N215" s="29" t="inlineStr">
        <is>
          <t>Bekliyor</t>
        </is>
      </c>
      <c r="O215" s="29" t="inlineStr">
        <is>
          <t>Fotoğraflar/sevilla_museo-de-artes-y-costumbres-populares_03.jpg</t>
        </is>
      </c>
      <c r="P215" s="29" t="inlineStr">
        <is>
          <t>María Luisa Parkı'ndaki Mudéjar Köşkü, Halk Sanatları ve Gelenekleri Müzesi'nin binası.</t>
        </is>
      </c>
      <c r="Q215" s="29" t="inlineStr">
        <is>
          <t>Bekliyor</t>
        </is>
      </c>
      <c r="R215" s="29" t="inlineStr">
        <is>
          <t>Wikimedia Commons dosya sayfasındaki lisans: CC BY-SA 2.0</t>
        </is>
      </c>
      <c r="S215" s="29" t="inlineStr">
        <is>
          <t>Lisans kanıtları/museo-de-artes-y-costumbres-populares-03.source-evidence.json</t>
        </is>
      </c>
      <c r="T215" s="29" t="inlineStr">
        <is>
          <t>e23b24fb5bbfe93793fa99009a0b40bcec9a38ea44503cc84dffca8721f310d4</t>
        </is>
      </c>
      <c r="U215" s="29" t="inlineStr">
        <is>
          <t>Lisans kanıtları/museo-de-artes-y-costumbres-populares-03.license-evidence.json</t>
        </is>
      </c>
      <c r="V215" s="29" t="inlineStr">
        <is>
          <t>c2c2daca8aeae85743c2e4a377a2ee50ecd4c32bc7f790ccd300e18405bbd3ba</t>
        </is>
      </c>
      <c r="W215" s="29" t="inlineStr">
        <is>
          <t>{"source_url": "https://commons.wikimedia.org/wiki/File:Museo_de_Artes_y_Costumbres_Populares_de_Sevilla_(9920920043).jpg", "author": "Emilio J. Rodríguez Posada", "license": "CC BY-SA 2.0", "license_url": "https://creativecommons.org/licenses/by-sa/2.0/", "original_api_record": {"size": 14302135, "width": 4491, "height": 2991, "thumburl": "https://thumb.wikimedia.org/wikipedia/commons/thumb/d/d2/Museo_de_Artes_y_Costumbres_Populares_de_Sevilla_%289920920043%29.jpg/1280px-Museo_de_Artes_y_Costumbres_Populares_de_Sevilla_%289920920043%29.jpg", "thumbwidth": 1280, "thumbheight": 852, "responsiveUrls": {"2": "https://thumb.wikimedia.org/wikipedia/commons/thumb/d/d2/Museo_de_Artes_y_Costumbres_Populares_de_Sevilla_%289920920043%29.jpg/3840px-Museo_de_Artes_y_Costumbres_Populares_de_Sevilla_%289920920043%29.jpg"}, "thumbattribs": {"src": "https://thumb.wikimedia.org/wikipedia/commons/thumb/d/d2/Museo_de_Artes_y_Costumbres_Populares_de_Sevilla_%289920920043%29.jpg/1280px-Museo_de_Artes_y_Costumbres_Populares_de_Sevilla_%289920920043%29.jpg", "decoding": "async", "loading": "lazy", "width": 1280, "height": 852, "srcset": "https://thumb.wikimedia.org/wikipedia/commons/thumb/d/d2/Museo_de_Artes_y_Costumbres_Populares_de_Sevilla_%289920920043%29.jpg/3840px-Museo_de_Artes_y_Costumbres_Populares_de_Sevilla_%289920920043%29.jpg 2x"}, "url": "https://upload.wikimedia.org/wikipedia/commons/d/d2/Museo_de_Artes_y_Costumbres_Populares_de_Sevilla_%289920920043%29.jpg", "descriptionurl": "https://commons.wikimedia.org/wiki/File:Museo_de_Artes_y_Costumbres_Populares_de_Sevilla_(9920920043).jpg", "descriptionshorturl": "https://commons.wikimedia.org/w/index.php?curid=62562748", "sha1": "075d8e35da0f341fec1abce3c0afc9abc0617bbc", "extmetadata": {"DateTime": {"value": "2023-03-20 13:11:06", "source": "mediawiki-metadata", "hidden": ""}, "ObjectName": {"value": "Museo de Artes y Costumbres Populares de Sevilla (9920920043)", "source": "mediawiki-metadata"}, "CommonsMetadataExtension": {"value": 1.2, "source": "extension", "hidden": ""}, "Categories": {"value": "Exterior of the Mudéjar Pavilion, Seville|Taken with Nikon D3100|Taken with AF-S DX Zoom-Nikkor 18-55mm/3.5-5.6G ED II|ISO speed rating 100|Images by User:Emijrp taken in the 21st century|Images of Andalusia by User:Emijrp|Images of Spain by User:Emijrp|Images by User:Emijrp by topic|Images by User:Emijrp taken in 2013|Images by User:Emijrp taken in September|Images by User:Emijrp taken in the 2010s|Images by User:Emijrp taken with Nikon D3100|Images by User:Emijrp taken with Nikon D3100 and AF-S DX Zoom-Nikkor 18-55mm/3.5-5.6G ED II|Images of museums by User:Emijrp|Images of the province of Seville by User:Emijrp|Exposure time 1/320 sec|Unassessed QI candidates|Flickr images reviewed by FlickreviewR|Images of Seville by User:Emijrp|F-number f/9|Lens focal length 18 mm|Images of Seville by User:Emijrp taken in 2013|Spain photographs taken on 2013-09-24|Images by User:Emijrp with coordinates|Images by User:Emijrp without P180|Images of Spain by User:Emijrp taken in 2013|Images of Andalusia by User:Emijrp taken in 2013|Images of the province of Seville by User:Emijrp taken in 2013|Pages using the EasyTimeline extension|Images by User:Emijrp|Neo-Mudéjar facades in Spain|Taken with Nikon D3100 and AF-S DX Zoom-Nikkor 18-55mm/3.5-5.6G ED II|Flickr images missing SDC Flickr photo ID|Flickr images missing SDC published in", "source": "commons-categories", "hidden": ""}, "Assessments": {"value": "", "source": "commons-categories", "hidden": ""}, "GPSLatitude": {"value": "37.372210", "source": "commons-desc-page"}, "GPSLongitude": {"value": "-5.987890", "source": "commons-desc-page"}, "GPSMapDatum": {"value": "WGS-84", "source": "commons-desc-page", "hidden": ""}, "ImageDescription": {"value": "Museo de Artes y Costumbres Populares de Sevilla, Andalucía, España", "source": "commons-desc-page"}, "DateTimeOriginal": {"value": "2013-09-24 12:58", "source": "commons-desc-page"}, "Credit": {"value": "&lt;a rel=\"nofollow\" class=\"external text\" href=\"https://www.flickr.com/photos/emijrp/9920920043/\"&gt;Museo de Artes y Costumbres Populares de Sevilla&lt;/a&gt;", "source": "commons-desc-page"}, "Artist": {"value": "&lt;bdi&gt;&lt;a href=\"https://meta.wikimedia.org/wiki/User:Emijrp\" class=\"extiw\" title=\"meta:User:Emijrp\"&gt;Emilio J. Rodríguez Posada&lt;/a&gt;&lt;/bdi&gt;", "source": "commons-desc-page"}, "LicenseShortName": {"value": "CC BY-SA 2.0", "source": "commons-desc-page", "hidden": ""}, "UsageTerms": {"value": "Creative Commons Attribution-Share Alike 2.0", "source": "commons-desc-page"}, "AttributionRequired": {"value": "true", "source": "commons-desc-page", "hidden": ""}, "LicenseUrl": {"value": "https://creativecommons.org/licenses/by-sa/2.0", "source": "commons-desc-page"}, "Copyrighted": {"value": "True", "source": "commons-desc-page", "hidden": ""}, "Restrictions": {"value": "", "source": "commons-desc-page", "hidden": ""}, "License": {"value": "cc-by-sa-2.0", "source": "commons-templates", "hidden": ""}}, "mime": "image/jpeg"}, "delivered_file": {"url": "https://thumb.wikimedia.org/wikipedia/commons/thumb/d/d2/Museo_de_Artes_y_Costumbres_Populares_de_Sevilla_%289920920043%29.jpg/1280px-Museo_de_Artes_y_Costumbres_Populares_de_Sevilla_%289920920043%29.jpg"}, "retrieved_on": "2026-10-25"}</t>
        </is>
      </c>
    </row>
    <row r="216" ht="54" customHeight="1">
      <c r="A216" s="29" t="inlineStr">
        <is>
          <t>sevilla:evidence:museo-del-baile-flamenco-03</t>
        </is>
      </c>
      <c r="B216" s="29" t="inlineStr">
        <is>
          <t>sevilla</t>
        </is>
      </c>
      <c r="C216" s="29" t="inlineStr">
        <is>
          <t>sevilla:photo:museo-del-baile-flamenco-03</t>
        </is>
      </c>
      <c r="D216" s="29" t="inlineStr">
        <is>
          <t>https://commons.wikimedia.org/wiki/File:Espect%C3%A1culo_Sue%C3%B1os_Flamencos.jpg</t>
        </is>
      </c>
      <c r="E216" s="29" t="inlineStr">
        <is>
          <t>File:Espectáculo Sueños Flamencos.jpg</t>
        </is>
      </c>
      <c r="F216" s="29" t="inlineStr">
        <is>
          <t>Sefaradia</t>
        </is>
      </c>
      <c r="G216" s="29" t="inlineStr">
        <is>
          <t>CC BY-SA 4.0</t>
        </is>
      </c>
      <c r="H216" s="29" t="inlineStr">
        <is>
          <t>https://creativecommons.org/licenses/by-sa/4.0/</t>
        </is>
      </c>
      <c r="I216" s="29" t="inlineStr">
        <is>
          <t>Creative Commons Attribution-Share Alike 4.0</t>
        </is>
      </c>
      <c r="J216" s="29" t="inlineStr">
        <is>
          <t>Sefaradia · CC BY-SA 4.0 · Wikimedia Commons</t>
        </is>
      </c>
      <c r="K216" s="29" t="n"/>
      <c r="L216" s="49" t="n">
        <v>46320</v>
      </c>
      <c r="M216" s="29" t="inlineStr">
        <is>
          <t>Bekliyor</t>
        </is>
      </c>
      <c r="N216" s="29" t="inlineStr">
        <is>
          <t>Bekliyor</t>
        </is>
      </c>
      <c r="O216" s="29" t="inlineStr">
        <is>
          <t>Fotoğraflar/sevilla_museo-del-baile-flamenco_03.jpg</t>
        </is>
      </c>
      <c r="P216" s="29" t="inlineStr">
        <is>
          <t>Flamenko Dansı Müzesi'nin avlusunda kırmızı kostümlü dansçıların gösterisi.</t>
        </is>
      </c>
      <c r="Q216" s="29" t="inlineStr">
        <is>
          <t>Bekliyor</t>
        </is>
      </c>
      <c r="R216" s="29" t="inlineStr">
        <is>
          <t>Wikimedia Commons dosya sayfasındaki lisans: CC BY-SA 4.0</t>
        </is>
      </c>
      <c r="S216" s="29" t="inlineStr">
        <is>
          <t>Lisans kanıtları/museo-del-baile-flamenco-03.source-evidence.json</t>
        </is>
      </c>
      <c r="T216" s="29" t="inlineStr">
        <is>
          <t>190ec825541475cd0210a2394e7adca74b2b965d31cd1d2a9d85e2dfb6f5d1e4</t>
        </is>
      </c>
      <c r="U216" s="29" t="inlineStr">
        <is>
          <t>Lisans kanıtları/museo-del-baile-flamenco-03.license-evidence.json</t>
        </is>
      </c>
      <c r="V216" s="29" t="inlineStr">
        <is>
          <t>9da75a48c2339c2988b357ebf41835c80fd12a40b729c522224448642470cd26</t>
        </is>
      </c>
      <c r="W216" s="29" t="inlineStr">
        <is>
          <t>{"source_url": "https://commons.wikimedia.org/wiki/File:Espect%C3%A1culo_Sue%C3%B1os_Flamencos.jpg", "author": "Sefaradia", "license": "CC BY-SA 4.0", "license_url": "https://creativecommons.org/licenses/by-sa/4.0/", "original_api_record": {"size": 2751040, "width": 3576, "height": 2616, "thumburl": "https://thumb.wikimedia.org/wikipedia/commons/thumb/6/68/Espect%C3%A1culo_Sue%C3%B1os_Flamencos.jpg/1280px-Espect%C3%A1culo_Sue%C3%B1os_Flamencos.jpg", "thumbwidth": 1280, "thumbheight": 936, "responsiveUrls": {"2": "https://upload.wikimedia.org/wikipedia/commons/6/68/Espect%C3%A1culo_Sue%C3%B1os_Flamencos.jpg"}, "thumbattribs": {"src": "https://thumb.wikimedia.org/wikipedia/commons/thumb/6/68/Espect%C3%A1culo_Sue%C3%B1os_Flamencos.jpg/1280px-Espect%C3%A1culo_Sue%C3%B1os_Flamencos.jpg", "decoding": "async", "loading": "lazy", "width": 1280, "height": 936, "srcset": "https://upload.wikimedia.org/wikipedia/commons/6/68/Espect%C3%A1culo_Sue%C3%B1os_Flamencos.jpg 2x"}, "url": "https://upload.wikimedia.org/wikipedia/commons/6/68/Espect%C3%A1culo_Sue%C3%B1os_Flamencos.jpg", "descriptionurl": "https://commons.wikimedia.org/wiki/File:Espect%C3%A1culo_Sue%C3%B1os_Flamencos.jpg", "descriptionshorturl": "https://commons.wikimedia.org/w/index.php?curid=110928641", "sha1": "d0c9f9ef1d0f5e8cdd5c3bdf309de8f635e28f47", "extmetadata": {"DateTime": {"value": "2021-10-12 16:21:01", "source": "mediawiki-metadata", "hidden": ""}, "ObjectName": {"value": "Espectáculo Sueños Flamencos", "source": "mediawiki-metadata"}, "CommonsMetadataExtension": {"value": 1.2, "source": "extension", "hidden": ""}, "Categories": {"value": "Unidentified people|Self-published work|Espectáculo", "source": "commons-categories", "hidden": ""}, "Assessments": {"value": "", "source": "commons-categories", "hidden": ""}, "ImageDescription": {"value": "Cada día, en el patio del museo, actuaciones con el mejor flamenco de Sevilla", "source": "commons-desc-page"}, "DateTimeOriginal": {"value": "2021-10-12", "source": "commons-desc-page"}, "Credit": {"value": "&lt;span class=\"int-own-work\" lang=\"en\"&gt;Own work&lt;/span&gt;", "source": "commons-desc-page"}, "Artist": {"value": "&lt;a href=\"//commons.wikimedia.org/w/index.php?title=User:Sefaradia&amp;amp;action=edit&amp;amp;redlink=1\" class=\"new\" title=\"User:Sefaradia (page does not exist)\"&gt;Sefaradia&lt;/a&gt;",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"https://thumb.wikimedia.org/wikipedia/commons/thumb/6/68/Espect%C3%A1culo_Sue%C3%B1os_Flamencos.jpg/1280px-Espect%C3%A1culo_Sue%C3%B1os_Flamencos.jpg"}, "retrieved_on": "2026-10-25"}</t>
        </is>
      </c>
    </row>
    <row r="217" ht="54" customHeight="1">
      <c r="A217" s="29" t="inlineStr">
        <is>
          <t>sevilla:evidence:museo-taurino-real-maestranza-02</t>
        </is>
      </c>
      <c r="B217" s="29" t="inlineStr">
        <is>
          <t>sevilla</t>
        </is>
      </c>
      <c r="C217" s="29" t="inlineStr">
        <is>
          <t>sevilla:photo:museo-taurino-real-maestranza-02</t>
        </is>
      </c>
      <c r="D217" s="29" t="inlineStr">
        <is>
          <t>https://commons.wikimedia.org/wiki/File:Escudo_(Museo_Taurino).jpg</t>
        </is>
      </c>
      <c r="E217" s="29" t="inlineStr">
        <is>
          <t>File:Escudo (Museo Taurino).jpg</t>
        </is>
      </c>
      <c r="F217" s="29" t="inlineStr">
        <is>
          <t>CarlosVdeHabsburgo</t>
        </is>
      </c>
      <c r="G217" s="29" t="inlineStr">
        <is>
          <t>CC BY-SA 4.0</t>
        </is>
      </c>
      <c r="H217" s="29" t="inlineStr">
        <is>
          <t>https://creativecommons.org/licenses/by-sa/4.0/</t>
        </is>
      </c>
      <c r="I217" s="29" t="inlineStr">
        <is>
          <t>Creative Commons Attribution-Share Alike 4.0</t>
        </is>
      </c>
      <c r="J217" s="29" t="inlineStr">
        <is>
          <t>CarlosVdeHabsburgo · CC BY-SA 4.0 · Wikimedia Commons</t>
        </is>
      </c>
      <c r="K217" s="29" t="n"/>
      <c r="L217" s="49" t="n">
        <v>46320</v>
      </c>
      <c r="M217" s="29" t="inlineStr">
        <is>
          <t>Bekliyor</t>
        </is>
      </c>
      <c r="N217" s="29" t="inlineStr">
        <is>
          <t>Bekliyor</t>
        </is>
      </c>
      <c r="O217" s="29" t="inlineStr">
        <is>
          <t>Fotoğraflar/sevilla_museo-taurino-real-maestranza_02.jpg</t>
        </is>
      </c>
      <c r="P217" s="29" t="inlineStr">
        <is>
          <t>Boğa Güreşi Müzesi'nde bayraklarla süslü tuğla kemerli geçit.</t>
        </is>
      </c>
      <c r="Q217" s="29" t="inlineStr">
        <is>
          <t>Bekliyor</t>
        </is>
      </c>
      <c r="R217" s="29" t="inlineStr">
        <is>
          <t>Wikimedia Commons dosya sayfasındaki lisans: CC BY-SA 4.0</t>
        </is>
      </c>
      <c r="S217" s="29" t="inlineStr">
        <is>
          <t>Lisans kanıtları/museo-taurino-real-maestranza-02.source-evidence.json</t>
        </is>
      </c>
      <c r="T217" s="29" t="inlineStr">
        <is>
          <t>b66bf1777b0edf7ed7ecfb57a2faff03ba9962cdbcac1619aa6c07ff88b1de7e</t>
        </is>
      </c>
      <c r="U217" s="29" t="inlineStr">
        <is>
          <t>Lisans kanıtları/museo-taurino-real-maestranza-02.license-evidence.json</t>
        </is>
      </c>
      <c r="V217" s="29" t="inlineStr">
        <is>
          <t>ac6c7e11b53ab76ea8f5fc46ddb5eef6ac35cc32aad15405766959983d67d4b8</t>
        </is>
      </c>
      <c r="W217" s="29" t="inlineStr">
        <is>
          <t>{"source_url": "https://commons.wikimedia.org/wiki/File:Escudo_(Museo_Taurino).jpg", "author": "CarlosVdeHabsburgo", "license": "CC BY-SA 4.0", "license_url": "https://creativecommons.org/licenses/by-sa/4.0/", "original_api_record": {"size": 8190365, "width": 4320, "height": 3240, "thumburl": "https://thumb.wikimedia.org/wikipedia/commons/thumb/4/41/Escudo_%28Museo_Taurino%29.jpg/1280px-Escudo_%28Museo_Taurino%29.jpg", "thumbwidth": 1280, "thumbheight": 960, "responsiveUrls": {"2": "https://thumb.wikimedia.org/wikipedia/commons/thumb/4/41/Escudo_%28Museo_Taurino%29.jpg/3840px-Escudo_%28Museo_Taurino%29.jpg"}, "thumbattribs": {"src": "https://thumb.wikimedia.org/wikipedia/commons/thumb/4/41/Escudo_%28Museo_Taurino%29.jpg/1280px-Escudo_%28Museo_Taurino%29.jpg", "decoding": "async", "loading": "lazy", "width": 1280, "height": 960, "srcset": "https://thumb.wikimedia.org/wikipedia/commons/thumb/4/41/Escudo_%28Museo_Taurino%29.jpg/3840px-Escudo_%28Museo_Taurino%29.jpg 2x"}, "url": "https://upload.wikimedia.org/wikipedia/commons/4/41/Escudo_%28Museo_Taurino%29.jpg", "descriptionurl": "https://commons.wikimedia.org/wiki/File:Escudo_(Museo_Taurino).jpg", "descriptionshorturl": "https://commons.wikimedia.org/w/index.php?curid=63427498", "sha1": "0be1515226f74c62e1164d579820b8bf1362357c", "extmetadata": {"DateTime": {"value": "2017-10-17 16:00:41", "source": "mediawiki-metadata", "hidden": ""}, "ObjectName": {"value": "Escudo (Museo Taurino)", "source": "mediawiki-metadata"}, "CommonsMetadataExtension": {"value": 1.2, "source": "extension", "hidden": ""}, "Categories": {"value": "Shields|Museo Taurino, Sevilla|Self-published work", "source": "commons-categories", "hidden": ""}, "Assessments": {"value": "", "source": "commons-categories", "hidden": ""}, "ImageDescription": {"value": "Escudo. Museo Taurino. Plaza de toros de la Maestranza. Sevilla, Andalucía, España.", "source": "commons-desc-page"}, "DateTimeOriginal": {"value": "2017-10-16 18:45:24",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"https://thumb.wikimedia.org/wikipedia/commons/thumb/4/41/Escudo_%28Museo_Taurino%29.jpg/1280px-Escudo_%28Museo_Taurino%29.jpg"}, "retrieved_on": "2026-10-25"}</t>
        </is>
      </c>
    </row>
    <row r="218" ht="54" customHeight="1">
      <c r="A218" s="29" t="inlineStr">
        <is>
          <t>sevilla:evidence:museo-maritimo-torre-del-oro-03</t>
        </is>
      </c>
      <c r="B218" s="29" t="inlineStr">
        <is>
          <t>sevilla</t>
        </is>
      </c>
      <c r="C218" s="29" t="inlineStr">
        <is>
          <t>sevilla:photo:museo-maritimo-torre-del-oro-03</t>
        </is>
      </c>
      <c r="D218" s="29" t="inlineStr">
        <is>
          <t>https://commons.wikimedia.org/wiki/File:Sevilla_Torre_del_oro.JPG</t>
        </is>
      </c>
      <c r="E218" s="29" t="inlineStr">
        <is>
          <t>File:Sevilla Torre del oro.JPG</t>
        </is>
      </c>
      <c r="F218" s="29" t="inlineStr">
        <is>
          <t>No machine-readable author provided. Morinpat assumed (based on copyright claims).</t>
        </is>
      </c>
      <c r="G218" s="29" t="inlineStr">
        <is>
          <t>CC BY 2.5</t>
        </is>
      </c>
      <c r="H218" s="29" t="inlineStr">
        <is>
          <t>https://creativecommons.org/licenses/by/2.5/</t>
        </is>
      </c>
      <c r="I218" s="29" t="inlineStr">
        <is>
          <t>Creative Commons Attribution 2.5</t>
        </is>
      </c>
      <c r="J218" s="29" t="inlineStr">
        <is>
          <t>No machine-readable author provided. Morinpat assumed (based on copyright claims). · CC BY 2.5 · Wikimedia Commons</t>
        </is>
      </c>
      <c r="K218" s="29" t="n"/>
      <c r="L218" s="49" t="n">
        <v>46320</v>
      </c>
      <c r="M218" s="29" t="inlineStr">
        <is>
          <t>Bekliyor</t>
        </is>
      </c>
      <c r="N218" s="29" t="inlineStr">
        <is>
          <t>Bekliyor</t>
        </is>
      </c>
      <c r="O218" s="29" t="inlineStr">
        <is>
          <t>Fotoğraflar/sevilla_museo-maritimo-torre-del-oro_03.jpg</t>
        </is>
      </c>
      <c r="P218" s="29" t="inlineStr">
        <is>
          <t>Palmiyeler arasında Torre del Oro'nun on iki köşeli taş gövdesi.</t>
        </is>
      </c>
      <c r="Q218" s="29" t="inlineStr">
        <is>
          <t>Bekliyor</t>
        </is>
      </c>
      <c r="R218" s="29" t="inlineStr">
        <is>
          <t>Wikimedia Commons dosya sayfasındaki lisans: CC BY 2.5</t>
        </is>
      </c>
      <c r="S218" s="29" t="inlineStr">
        <is>
          <t>Lisans kanıtları/museo-maritimo-torre-del-oro-03.source-evidence.json</t>
        </is>
      </c>
      <c r="T218" s="29" t="inlineStr">
        <is>
          <t>2454aba221305621672858cf981f4a6f6316261c8f4c15756310adf3f21b6fde</t>
        </is>
      </c>
      <c r="U218" s="29" t="inlineStr">
        <is>
          <t>Lisans kanıtları/museo-maritimo-torre-del-oro-03.license-evidence.json</t>
        </is>
      </c>
      <c r="V218" s="29" t="inlineStr">
        <is>
          <t>6b75f60a5243b000b5952997f33e195da3e0a202182feb09a0365ca54bf87446</t>
        </is>
      </c>
      <c r="W218" s="29" t="inlineStr">
        <is>
          <t>{"source_url": "https://commons.wikimedia.org/wiki/File:Sevilla_Torre_del_oro.JPG", "author": "No machine-readable author provided. Morinpat assumed (based on copyright claims).", "license": "CC BY 2.5", "license_url": "https://creativecommons.org/licenses/by/2.5/", "original_api_record": {"size": 1739779, "width": 1728, "height": 2304, "thumburl": "https://thumb.wikimedia.org/wikipedia/commons/thumb/9/95/Sevilla_Torre_del_oro.JPG/1280px-Sevilla_Torre_del_oro.JPG", "thumbwidth": 1280, "thumbheight": 1707, "responsiveUrls": {"2": "https://upload.wikimedia.org/wikipedia/commons/9/95/Sevilla_Torre_del_oro.JPG"}, "thumbattribs": {"src": "https://thumb.wikimedia.org/wikipedia/commons/thumb/9/95/Sevilla_Torre_del_oro.JPG/1280px-Sevilla_Torre_del_oro.JPG", "decoding": "async", "loading": "lazy", "width": 1280, "height": 1707, "srcset": "https://upload.wikimedia.org/wikipedia/commons/9/95/Sevilla_Torre_del_oro.JPG 2x"}, "url": "https://upload.wikimedia.org/wikipedia/commons/9/95/Sevilla_Torre_del_oro.JPG", "descriptionurl": "https://commons.wikimedia.org/wiki/File:Sevilla_Torre_del_oro.JPG", "descriptionshorturl": "https://commons.wikimedia.org/w/index.php?curid=548208", "sha1": "bc4b33c2d54a82198bbecce417425bed5192cdb3", "extmetadata": {"DateTime": {"value": "2006-02-01 18:38:40", "source": "mediawiki-metadata", "hidden": ""}, "ObjectName": {"value": "Sevilla Torre del oro", "source": "mediawiki-metadata"}, "CommonsMetadataExtension": {"value": 1.2, "source": "extension", "hidden": ""}, "Categories": {"value": "GFDL|Taken with Sony DSC-P73|Torre del Oro|Files with no machine-readable source|License migration redundant|Self-published work|Assumed own work|August 2005 in Andalusia|Photographs taken on 2005-08-04|Torre del Oro in 2005", "source": "commons-categories", "hidden": ""}, "Assessments": {"value": "", "source": "commons-categories", "hidden": ""}, "ImageDescription": {"value": "Picture of Sevilla (Spain) featuring Torre del Oro taken by me on august 31st 2005.", "source": "commons-desc-page"}, "DateTimeOriginal": {"value": "4 August 2005 (according to &lt;span lang=\"en\" dir=\"ltr\"&gt;&lt;a href=\"https://en.wikipedia.org/wiki/Exif\" class=\"extiw\" title=\"en:Exif\"&gt;Exif&lt;/a&gt;&lt;/span&gt; data)", "source": "commons-desc-page"}, "Credit": {"value": "No machine-readable source provided. Own work assumed (based on copyright claims).", "source": "commons-desc-page"}, "Artist": {"value": "No machine-readable author provided. &lt;a href=\"//commons.wikimedia.org/w/index.php?title=User:Morinpat&amp;amp;action=edit&amp;amp;redlink=1\" class=\"new\" title=\"User:Morinpat (page does not exist)\"&gt;Morinpat&lt;/a&gt; assumed (based on copyright claims).", "source": "commons-desc-page"}, "LicenseShortName": {"value": "CC BY 2.5", "source": "commons-desc-page", "hidden": ""}, "UsageTerms": {"value": "Creative Commons Attribution 2.5", "source": "commons-desc-page"}, "AttributionRequired": {"value": "true", "source": "commons-desc-page", "hidden": ""}, "LicenseUrl": {"value": "https://creativecommons.org/licenses/by/2.5", "source": "commons-desc-page"}, "Copyrighted": {"value": "True", "source": "commons-desc-page", "hidden": ""}, "Restrictions": {"value": "", "source": "commons-desc-page", "hidden": ""}, "License": {"value": "cc-by-2.5", "source": "commons-templates", "hidden": ""}}, "mime": "image/jpeg"}, "delivered_file": {"url": "https://thumb.wikimedia.org/wikipedia/commons/thumb/9/95/Sevilla_Torre_del_oro.JPG/1280px-Sevilla_Torre_del_oro.JPG"}, "retrieved_on": "2026-10-25"}</t>
        </is>
      </c>
    </row>
    <row r="219" ht="54" customHeight="1">
      <c r="A219" s="29" t="inlineStr">
        <is>
          <t>sevilla:evidence:caac-centro-andaluz-arte-contemporaneo-03</t>
        </is>
      </c>
      <c r="B219" s="29" t="inlineStr">
        <is>
          <t>sevilla</t>
        </is>
      </c>
      <c r="C219" s="29" t="inlineStr">
        <is>
          <t>sevilla:photo:caac-centro-andaluz-arte-contemporaneo-03</t>
        </is>
      </c>
      <c r="D219" s="29" t="inlineStr">
        <is>
          <t>https://commons.wikimedia.org/wiki/File:Sevilla_-_Centro_Andaluz_de_Arte_Contempor%C3%A1neo_(Cartuja_de_Santa_Mar%C3%ADa_de_las_Cuevas)_05.jpg</t>
        </is>
      </c>
      <c r="E219" s="29" t="inlineStr">
        <is>
          <t>File:Sevilla - Centro Andaluz de Arte Contemporáneo (Cartuja de Santa María de las Cuevas) 05.jpg</t>
        </is>
      </c>
      <c r="F219" s="29" t="inlineStr">
        <is>
          <t>Zarateman</t>
        </is>
      </c>
      <c r="G219" s="29" t="inlineStr">
        <is>
          <t>CC0 1.0</t>
        </is>
      </c>
      <c r="H219" s="29" t="inlineStr">
        <is>
          <t>https://creativecommons.org/publicdomain/zero/1.0/</t>
        </is>
      </c>
      <c r="I219" s="29" t="inlineStr">
        <is>
          <t>Creative Commons Zero, Public Domain Dedication</t>
        </is>
      </c>
      <c r="J219" s="29" t="inlineStr">
        <is>
          <t>Zarateman · CC0 1.0 · Wikimedia Commons</t>
        </is>
      </c>
      <c r="K219" s="29" t="n"/>
      <c r="L219" s="49" t="n">
        <v>46320</v>
      </c>
      <c r="M219" s="29" t="inlineStr">
        <is>
          <t>Bekliyor</t>
        </is>
      </c>
      <c r="N219" s="29" t="inlineStr">
        <is>
          <t>Bekliyor</t>
        </is>
      </c>
      <c r="O219" s="29" t="inlineStr">
        <is>
          <t>Fotoğraflar/sevilla_caac-centro-andaluz-arte-contemporaneo_03.jpg</t>
        </is>
      </c>
      <c r="P219" s="29" t="inlineStr">
        <is>
          <t>Endülüs Çağdaş Sanat Merkezi'nin bayraklı kemerli girişi.</t>
        </is>
      </c>
      <c r="Q219" s="29" t="inlineStr">
        <is>
          <t>Bekliyor</t>
        </is>
      </c>
      <c r="R219" s="29" t="inlineStr">
        <is>
          <t>Wikimedia Commons dosya sayfasındaki lisans: CC0 1.0</t>
        </is>
      </c>
      <c r="S219" s="29" t="inlineStr">
        <is>
          <t>Lisans kanıtları/caac-centro-andaluz-arte-contemporaneo-03.source-evidence.json</t>
        </is>
      </c>
      <c r="T219" s="29" t="inlineStr">
        <is>
          <t>559542ebe99f162dbcdee698ff23fb5d34baa5ecbc8b3b6adae824cc549035cb</t>
        </is>
      </c>
      <c r="U219" s="29" t="inlineStr">
        <is>
          <t>Lisans kanıtları/caac-centro-andaluz-arte-contemporaneo-03.license-evidence.json</t>
        </is>
      </c>
      <c r="V219" s="29" t="inlineStr">
        <is>
          <t>cb2e7ddf6d8ce66df8f41ed97448484dfdd36333a6a0581a9267259dd48330d0</t>
        </is>
      </c>
      <c r="W219" s="29" t="inlineStr">
        <is>
          <t>{"source_url": "https://commons.wikimedia.org/wiki/File:Sevilla_-_Centro_Andaluz_de_Arte_Contempor%C3%A1neo_(Cartuja_de_Santa_Mar%C3%ADa_de_las_Cuevas)_05.jpg", "author": "Zarateman", "license": "CC0 1.0", "license_url": "https://creativecommons.org/publicdomain/zero/1.0/", "original_api_record": {"size": 321301, "width": 1536, "height": 2048, "thumburl": "https://thumb.wikimedia.org/wikipedia/commons/thumb/a/a5/Sevilla_-_Centro_Andaluz_de_Arte_Contempor%C3%A1neo_%28Cartuja_de_Santa_Mar%C3%ADa_de_las_Cuevas%29_05.jpg/1280px-Sevilla_-_Centro_Andaluz_de_Arte_Contempor%C3%A1neo_%28Cartuja_de_Santa_Mar%C3%ADa_de_las_Cuevas%29_05.jpg", "thumbwidth": 1280, "thumbheight": 1707, "responsiveUrls": {"2": "https://upload.wikimedia.org/wikipedia/commons/a/a5/Sevilla_-_Centro_Andaluz_de_Arte_Contempor%C3%A1neo_%28Cartuja_de_Santa_Mar%C3%ADa_de_las_Cuevas%29_05.jpg"}, "thumbattribs": {"src": "https://thumb.wikimedia.org/wikipedia/commons/thumb/a/a5/Sevilla_-_Centro_Andaluz_de_Arte_Contempor%C3%A1neo_%28Cartuja_de_Santa_Mar%C3%ADa_de_las_Cuevas%29_05.jpg/1280px-Sevilla_-_Centro_Andaluz_de_Arte_Contempor%C3%A1neo_%28Cartuja_de_Santa_Mar%C3%ADa_de_las_Cuevas%29_05.jpg", "decoding": "async", "loading": "lazy", "width": 1280, "height": 1707, "srcset": "https://upload.wikimedia.org/wikipedia/commons/a/a5/Sevilla_-_Centro_Andaluz_de_Arte_Contempor%C3%A1neo_%28Cartuja_de_Santa_Mar%C3%ADa_de_las_Cuevas%29_05.jpg 2x"}, "url": "https://upload.wikimedia.org/wikipedia/commons/a/a5/Sevilla_-_Centro_Andaluz_de_Arte_Contempor%C3%A1neo_%28Cartuja_de_Santa_Mar%C3%ADa_de_las_Cuevas%29_05.jpg", "descriptionurl": "https://commons.wikimedia.org/wiki/File:Sevilla_-_Centro_Andaluz_de_Arte_Contempor%C3%A1neo_(Cartuja_de_Santa_Mar%C3%ADa_de_las_Cuevas)_05.jpg", "descriptionshorturl": "https://commons.wikimedia.org/w/index.php?curid=160511469", "sha1": "77f49bef3d415d6aac43e176727fa1de3b855e69", "extmetadata": {"DateTime": {"value": "2025-02-24 22:33:37", "source": "mediawiki-metadata", "hidden": ""}, "ObjectName": {"value": "Sevilla - Centro Andaluz de Arte Contemporáneo (Cartuja de Santa María de las Cuevas) 05", "source": "mediawiki-metadata"}, "CommonsMetadataExtension": {"value": 1.2, "source": "extension", "hidden": ""}, "Categories": {"value": "CC-Zero|Centro Andaluz de Arte Contemporáneo (Sevilla)|Self-published work|February 2025 in Seville|Church portals in Seville", "source": "commons-categories", "hidden": ""}, "Assessments": {"value": "", "source": "commons-categories", "hidden": ""}, "ImageDescription": {"value": "Centro Andaluz de Arte Contemporáneo (Cartuja de Santa María de las Cuevas, Sevilla)", "source": "commons-desc-page"}, "DateTimeOriginal": {"value": "2025-02-24", "source": "commons-desc-page"}, "Credit": {"value": "&lt;span class=\"int-own-work\" lang=\"en\"&gt;Own work&lt;/span&gt;", "source": "commons-desc-page"}, "Artist": {"value": "&lt;a href=\"//commons.wikimedia.org/wiki/User:Zarateman\" title=\"User:Zarateman\"&gt;Zarateman&lt;/a&gt;",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a/a5/Sevilla_-_Centro_Andaluz_de_Arte_Contempor%C3%A1neo_%28Cartuja_de_Santa_Mar%C3%ADa_de_las_Cuevas%29_05.jpg/1280px-Sevilla_-_Centro_Andaluz_de_Arte_Contempor%C3%A1neo_%28Cartuja_de_Santa_Mar%C3%ADa_de_las_Cuevas%29_05.jpg"}, "retrieved_on": "2026-10-25"}</t>
        </is>
      </c>
    </row>
    <row r="220" ht="54" customHeight="1">
      <c r="A220" s="29" t="inlineStr">
        <is>
          <t>sevilla:evidence:real-academia-bellas-artes-sevilla-02</t>
        </is>
      </c>
      <c r="B220" s="29" t="inlineStr">
        <is>
          <t>sevilla</t>
        </is>
      </c>
      <c r="C220" s="29" t="inlineStr">
        <is>
          <t>sevilla:photo:real-academia-bellas-artes-sevilla-02</t>
        </is>
      </c>
      <c r="D220" s="29" t="inlineStr">
        <is>
          <t>https://commons.wikimedia.org/wiki/File:Renacimiento_en_Sevilla,_Casa_de_los_Pinelo.jpg</t>
        </is>
      </c>
      <c r="E220" s="29" t="inlineStr">
        <is>
          <t>File:Renacimiento en Sevilla, Casa de los Pinelo.jpg</t>
        </is>
      </c>
      <c r="F220" s="29" t="inlineStr">
        <is>
          <t>José Luis Filpo Cabana</t>
        </is>
      </c>
      <c r="G220" s="29" t="inlineStr">
        <is>
          <t>CC BY 3.0</t>
        </is>
      </c>
      <c r="H220" s="29" t="inlineStr">
        <is>
          <t>https://creativecommons.org/licenses/by/3.0/</t>
        </is>
      </c>
      <c r="I220" s="29" t="inlineStr">
        <is>
          <t>Creative Commons Attribution 3.0</t>
        </is>
      </c>
      <c r="J220" s="29" t="inlineStr">
        <is>
          <t>José Luis Filpo Cabana · CC BY 3.0 · Wikimedia Commons</t>
        </is>
      </c>
      <c r="K220" s="29" t="n"/>
      <c r="L220" s="49" t="n">
        <v>46320</v>
      </c>
      <c r="M220" s="29" t="inlineStr">
        <is>
          <t>Bekliyor</t>
        </is>
      </c>
      <c r="N220" s="29" t="inlineStr">
        <is>
          <t>Bekliyor</t>
        </is>
      </c>
      <c r="O220" s="29" t="inlineStr">
        <is>
          <t>Fotoğraflar/sevilla_real-academia-bellas-artes-sevilla_02.jpg</t>
        </is>
      </c>
      <c r="P220" s="29" t="inlineStr">
        <is>
          <t>Kraliyet Güzel Sanatlar Akademisi'nin bulunduğu Casa de los Pinelo'nun kemerli iç avlusu.</t>
        </is>
      </c>
      <c r="Q220" s="29" t="inlineStr">
        <is>
          <t>Bekliyor</t>
        </is>
      </c>
      <c r="R220" s="29" t="inlineStr">
        <is>
          <t>Wikimedia Commons dosya sayfasındaki lisans: CC BY 3.0</t>
        </is>
      </c>
      <c r="S220" s="29" t="inlineStr">
        <is>
          <t>Lisans kanıtları/real-academia-bellas-artes-sevilla-02.source-evidence.json</t>
        </is>
      </c>
      <c r="T220" s="29" t="inlineStr">
        <is>
          <t>7f21f6abe435bf271dda56b4f67b97a633197b7caa37b184bdd89b8ad65b3d0e</t>
        </is>
      </c>
      <c r="U220" s="29" t="inlineStr">
        <is>
          <t>Lisans kanıtları/real-academia-bellas-artes-sevilla-02.license-evidence.json</t>
        </is>
      </c>
      <c r="V220" s="29" t="inlineStr">
        <is>
          <t>58da1f88a79680326e63ada352854465a3def5984df71e4f044dd94f9db6d8d7</t>
        </is>
      </c>
      <c r="W220" s="29" t="inlineStr">
        <is>
          <t>{"source_url": "https://commons.wikimedia.org/wiki/File:Renacimiento_en_Sevilla,_Casa_de_los_Pinelo.jpg", "author": "José Luis Filpo Cabana", "license": "CC BY 3.0", "license_url": "https://creativecommons.org/licenses/by/3.0/", "original_api_record": {"size": 8896298, "width": 3968, "height": 2232, "thumburl": "https://thumb.wikimedia.org/wikipedia/commons/thumb/f/f3/Renacimiento_en_Sevilla%2C_Casa_de_los_Pinelo.jpg/1280px-Renacimiento_en_Sevilla%2C_Casa_de_los_Pinelo.jpg", "thumbwidth": 1280, "thumbheight": 720, "responsiveUrls": {"2": "https://thumb.wikimedia.org/wikipedia/commons/thumb/f/f3/Renacimiento_en_Sevilla%2C_Casa_de_los_Pinelo.jpg/3840px-Renacimiento_en_Sevilla%2C_Casa_de_los_Pinelo.jpg"}, "thumbattribs": {"src": "https://thumb.wikimedia.org/wikipedia/commons/thumb/f/f3/Renacimiento_en_Sevilla%2C_Casa_de_los_Pinelo.jpg/1280px-Renacimiento_en_Sevilla%2C_Casa_de_los_Pinelo.jpg", "decoding": "async", "loading": "lazy", "width": 1280, "height": 720, "srcset": "https://thumb.wikimedia.org/wikipedia/commons/thumb/f/f3/Renacimiento_en_Sevilla%2C_Casa_de_los_Pinelo.jpg/3840px-Renacimiento_en_Sevilla%2C_Casa_de_los_Pinelo.jpg 2x"}, "url": "https://upload.wikimedia.org/wikipedia/commons/f/f3/Renacimiento_en_Sevilla%2C_Casa_de_los_Pinelo.jpg", "descriptionurl": "https://commons.wikimedia.org/wiki/File:Renacimiento_en_Sevilla,_Casa_de_los_Pinelo.jpg", "descriptionshorturl": "https://commons.wikimedia.org/w/index.php?curid=17192950", "sha1": "ac8d1a458fd2cb49f25a32f07b787f994a5adf20", "extmetadata": {"DateTime": {"value": "2020-11-12 07:17:58", "source": "mediawiki-metadata", "hidden": ""}, "ObjectName": {"value": "Renacimiento en Sevilla, Casa de los Pinelo", "source": "mediawiki-metadata"}, "CommonsMetadataExtension": {"value": 1.2, "source": "extension", "hidden": ""}, "Categories": {"value": "Images with annotations|Renaissance palaces in Spain|Renaissance architecture in Seville|Self-published work|Renaissance arches in Spain|16th-century buildings in Seville|October 2011 in Seville|Files with coordinates missing SDC location of creation|Buildings in Seville photographed in 2011|Courtyard of the Casa de los Pinelo (Sevilla)|Foreground fountains in Spain", "source": "commons-categories", "hidden": ""}, "Assessments": {"value": "", "source": "commons-categories", "hidden": ""}, "GPSLatitude": {"value": "37.387722", "source": "commons-desc-page"}, "GPSLongitude": {"value": "-5.991167", "source": "commons-desc-page"}, "GPSMapDatum": {"value": "WGS-84", "source": "commons-desc-page", "hidden": ""}, "ImageDescription": {"value": "&lt;a href=\"https://es.wikipedia.org/wiki/Casa_de_los_Pinelo_(Sevilla)\" class=\"extiw\" title=\"es:Casa de los Pinelo (Sevilla)\"&gt;Casa de los Pinelo (Sevilla)&lt;/a&gt;. A la conseguida decoración plateresca, debemos sumar las exactas proporciones del patio palaciego. Principios del siglo XVI.", "source": "commons-desc-page"}, "DateTimeOriginal": {"value": "2011-10", "source": "commons-desc-page"}, "Credit": {"value": "&lt;span class=\"int-own-work\" lang=\"en\"&gt;Own work&lt;/span&gt;", "source": "commons-desc-page"}, "Artist": {"value": "José Luis Filpo Cabana",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"https://thumb.wikimedia.org/wikipedia/commons/thumb/f/f3/Renacimiento_en_Sevilla%2C_Casa_de_los_Pinelo.jpg/1280px-Renacimiento_en_Sevilla%2C_Casa_de_los_Pinelo.jpg"}, "retrieved_on": "2026-10-25"}</t>
        </is>
      </c>
    </row>
    <row r="221" ht="54" customHeight="1">
      <c r="A221" s="29" t="inlineStr">
        <is>
          <t>sevilla:evidence:real-academia-bellas-artes-sevilla-03</t>
        </is>
      </c>
      <c r="B221" s="29" t="inlineStr">
        <is>
          <t>sevilla</t>
        </is>
      </c>
      <c r="C221" s="29" t="inlineStr">
        <is>
          <t>sevilla:photo:real-academia-bellas-artes-sevilla-03</t>
        </is>
      </c>
      <c r="D221" s="29" t="inlineStr">
        <is>
          <t>https://commons.wikimedia.org/wiki/File:Sala_de_Juntas_de_la_Real_Academia_de_Bellas_Artes_de_Santa_Isabel_de_Hungr%C3%ADa,_Sevilla.jpg</t>
        </is>
      </c>
      <c r="E221" s="29" t="inlineStr">
        <is>
          <t>File:Sala de Juntas de la Real Academia de Bellas Artes de Santa Isabel de Hungría, Sevilla.jpg</t>
        </is>
      </c>
      <c r="F221" s="29" t="inlineStr">
        <is>
          <t>Jl FilpoC</t>
        </is>
      </c>
      <c r="G221" s="29" t="inlineStr">
        <is>
          <t>CC BY-SA 4.0</t>
        </is>
      </c>
      <c r="H221" s="29" t="inlineStr">
        <is>
          <t>https://creativecommons.org/licenses/by-sa/4.0/</t>
        </is>
      </c>
      <c r="I221" s="29" t="inlineStr">
        <is>
          <t>Creative Commons Attribution-Share Alike 4.0</t>
        </is>
      </c>
      <c r="J221" s="29" t="inlineStr">
        <is>
          <t>Jl FilpoC · CC BY-SA 4.0 · Wikimedia Commons</t>
        </is>
      </c>
      <c r="K221" s="29" t="n"/>
      <c r="L221" s="49" t="n">
        <v>46320</v>
      </c>
      <c r="M221" s="29" t="inlineStr">
        <is>
          <t>Bekliyor</t>
        </is>
      </c>
      <c r="N221" s="29" t="inlineStr">
        <is>
          <t>Bekliyor</t>
        </is>
      </c>
      <c r="O221" s="29" t="inlineStr">
        <is>
          <t>Fotoğraflar/sevilla_real-academia-bellas-artes-sevilla_03.jpg</t>
        </is>
      </c>
      <c r="P221" s="29" t="inlineStr">
        <is>
          <t>Kraliyet Güzel Sanatlar Akademisi'nde tablolarla çevrili toplantı salonu.</t>
        </is>
      </c>
      <c r="Q221" s="29" t="inlineStr">
        <is>
          <t>Bekliyor</t>
        </is>
      </c>
      <c r="R221" s="29" t="inlineStr">
        <is>
          <t>Wikimedia Commons dosya sayfasındaki lisans: CC BY-SA 4.0</t>
        </is>
      </c>
      <c r="S221" s="29" t="inlineStr">
        <is>
          <t>Lisans kanıtları/real-academia-bellas-artes-sevilla-03.source-evidence.json</t>
        </is>
      </c>
      <c r="T221" s="29" t="inlineStr">
        <is>
          <t>f5cbd15aaf52d755b6e2cdd4ce9f79363b1acbab2561b4953b707e3b1cadbfb4</t>
        </is>
      </c>
      <c r="U221" s="29" t="inlineStr">
        <is>
          <t>Lisans kanıtları/real-academia-bellas-artes-sevilla-03.license-evidence.json</t>
        </is>
      </c>
      <c r="V221" s="29" t="inlineStr">
        <is>
          <t>06fb351ac5489107c97a54054541aa73cbc8251b83908f58e1abc67dc2a9c0ad</t>
        </is>
      </c>
      <c r="W221" s="29" t="inlineStr">
        <is>
          <t>{"source_url": "https://commons.wikimedia.org/wiki/File:Sala_de_Juntas_de_la_Real_Academia_de_Bellas_Artes_de_Santa_Isabel_de_Hungr%C3%ADa,_Sevilla.jpg", "author": "Jl FilpoC", "license": "CC BY-SA 4.0", "license_url": "https://creativecommons.org/licenses/by-sa/4.0/", "original_api_record": {"size": 7727481, "width": 4112, "height": 3088, "thumburl": "https://thumb.wikimedia.org/wikipedia/commons/thumb/8/8e/Sala_de_Juntas_de_la_Real_Academia_de_Bellas_Artes_de_Santa_Isabel_de_Hungr%C3%ADa%2C_Sevilla.jpg/1280px-Sala_de_Juntas_de_la_Real_Academia_de_Bellas_Artes_de_Santa_Isabel_de_Hungr%C3%ADa%2C_Sevilla.jpg", "thumbwidth": 1280, "thumbheight": 961, "responsiveUrls": {"2": "https://thumb.wikimedia.org/wikipedia/commons/thumb/8/8e/Sala_de_Juntas_de_la_Real_Academia_de_Bellas_Artes_de_Santa_Isabel_de_Hungr%C3%ADa%2C_Sevilla.jpg/3840px-Sala_de_Juntas_de_la_Real_Academia_de_Bellas_Artes_de_Santa_Isabel_de_Hungr%C3%ADa%2C_Sevilla.jpg"}, "thumbattribs": {"src": "https://thumb.wikimedia.org/wikipedia/commons/thumb/8/8e/Sala_de_Juntas_de_la_Real_Academia_de_Bellas_Artes_de_Santa_Isabel_de_Hungr%C3%ADa%2C_Sevilla.jpg/1280px-Sala_de_Juntas_de_la_Real_Academia_de_Bellas_Artes_de_Santa_Isabel_de_Hungr%C3%ADa%2C_Sevilla.jpg", "decoding": "async", "loading": "lazy", "width": 1280, "height": 961, "srcset": "https://thumb.wikimedia.org/wikipedia/commons/thumb/8/8e/Sala_de_Juntas_de_la_Real_Academia_de_Bellas_Artes_de_Santa_Isabel_de_Hungr%C3%ADa%2C_Sevilla.jpg/3840px-Sala_de_Juntas_de_la_Real_Academia_de_Bellas_Artes_de_Santa_Isabel_de_Hungr%C3%ADa%2C_Sevilla.jpg 2x"}, "url": "https://upload.wikimedia.org/wikipedia/commons/8/8e/Sala_de_Juntas_de_la_Real_Academia_de_Bellas_Artes_de_Santa_Isabel_de_Hungr%C3%ADa%2C_Sevilla.jpg", "descriptionurl": "https://commons.wikimedia.org/wiki/File:Sala_de_Juntas_de_la_Real_Academia_de_Bellas_Artes_de_Santa_Isabel_de_Hungr%C3%ADa,_Sevilla.jpg", "descriptionshorturl": "https://commons.wikimedia.org/w/index.php?curid=93791962", "sha1": "03095ee97f8be00008a1d7879de32fd7ee021197", "extmetadata": {"DateTime": {"value": "2020-09-03 06:26:46", "source": "mediawiki-metadata", "hidden": ""}, "ObjectName": {"value": "Sala de Juntas de la Real Academia de Bellas Artes de Santa Isabel de Hungría, Sevilla", "source": "mediawiki-metadata"}, "CommonsMetadataExtension": {"value": 1.2, "source": "extension", "hidden": ""}, "Categories": {"value": "Interior of the Casa de los Pinelo (Sevilla)|Royal Academy of Fine Arts of Saint Elisabeth of Hungary|Self-published work", "source": "commons-categories", "hidden": ""}, "Assessments": {"value": "", "source": "commons-categories", "hidden": ""}, "ImageDescription": {"value": "&lt;a href=\"https://es.wikipedia.org/wiki/Casa_de_los_Pinelo_(Sevilla)\" class=\"extiw\" title=\"es:Casa de los Pinelo (Sevilla)\"&gt;Casa de los Pinelo (Sevilla)&lt;/a&gt;. Cabecera de la sala.", "source": "commons-desc-page"}, "DateTimeOriginal": {"value": "2017-05-25", "source": "commons-desc-page"}, "Credit": {"value": "&lt;span class=\"int-own-work\" lang=\"en\"&gt;Own work&lt;/span&gt;", "source": "commons-desc-page"}, "Artist": {"value": "&lt;a href=\"//commons.wikimedia.org/wiki/User:Jl_FilpoC\" title=\"User:Jl FilpoC\"&gt;Jl FilpoC&lt;/a&gt;",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"https://thumb.wikimedia.org/wikipedia/commons/thumb/8/8e/Sala_de_Juntas_de_la_Real_Academia_de_Bellas_Artes_de_Santa_Isabel_de_Hungr%C3%ADa%2C_Sevilla.jpg/1280px-Sala_de_Juntas_de_la_Real_Academia_de_Bellas_Artes_de_Santa_Isabel_de_Hungr%C3%ADa%2C_Sevilla.jpg"}, "retrieved_on": "2026-10-25"}</t>
        </is>
      </c>
    </row>
    <row r="222" ht="54" customHeight="1">
      <c r="A222" s="29" t="inlineStr">
        <is>
          <t>sevilla:evidence:teatro-de-la-maestranza-03</t>
        </is>
      </c>
      <c r="B222" s="29" t="inlineStr">
        <is>
          <t>sevilla</t>
        </is>
      </c>
      <c r="C222" s="29" t="inlineStr">
        <is>
          <t>sevilla:photo:teatro-de-la-maestranza-03</t>
        </is>
      </c>
      <c r="D222" s="29" t="inlineStr">
        <is>
          <t>https://commons.wikimedia.org/wiki/File:Sevilla_2015_10_18_1519_(24096439679).jpg</t>
        </is>
      </c>
      <c r="E222" s="29" t="inlineStr">
        <is>
          <t>File:Sevilla 2015 10 18 1519 (24096439679).jpg</t>
        </is>
      </c>
      <c r="F222" s="29" t="inlineStr">
        <is>
          <t>Harvey Barrison from Massapequa, NY, USA</t>
        </is>
      </c>
      <c r="G222" s="29" t="inlineStr">
        <is>
          <t>CC BY-SA 2.0</t>
        </is>
      </c>
      <c r="H222" s="29" t="inlineStr">
        <is>
          <t>https://creativecommons.org/licenses/by-sa/2.0/</t>
        </is>
      </c>
      <c r="I222" s="29" t="inlineStr">
        <is>
          <t>Creative Commons Attribution-Share Alike 2.0</t>
        </is>
      </c>
      <c r="J222" s="29" t="inlineStr">
        <is>
          <t>Harvey Barrison from Massapequa, NY, USA · CC BY-SA 2.0 · Wikimedia Commons</t>
        </is>
      </c>
      <c r="K222" s="29" t="n"/>
      <c r="L222" s="49" t="n">
        <v>46320</v>
      </c>
      <c r="M222" s="29" t="inlineStr">
        <is>
          <t>Bekliyor</t>
        </is>
      </c>
      <c r="N222" s="29" t="inlineStr">
        <is>
          <t>Bekliyor</t>
        </is>
      </c>
      <c r="O222" s="29" t="inlineStr">
        <is>
          <t>Fotoğraflar/sevilla_teatro-de-la-maestranza_03.jpg</t>
        </is>
      </c>
      <c r="P222" s="29" t="inlineStr">
        <is>
          <t>Maestranza Tiyatrosu'nun yuvarlak binası ve önündeki ağaçlar.</t>
        </is>
      </c>
      <c r="Q222" s="29" t="inlineStr">
        <is>
          <t>Bekliyor</t>
        </is>
      </c>
      <c r="R222" s="29" t="inlineStr">
        <is>
          <t>Wikimedia Commons dosya sayfasındaki lisans: CC BY-SA 2.0</t>
        </is>
      </c>
      <c r="S222" s="29" t="inlineStr">
        <is>
          <t>Lisans kanıtları/teatro-de-la-maestranza-03.source-evidence.json</t>
        </is>
      </c>
      <c r="T222" s="29" t="inlineStr">
        <is>
          <t>8cd6505bf1c4ffa7917859681588cf7442779c1bd216c040fd5bb5e12c534ae4</t>
        </is>
      </c>
      <c r="U222" s="29" t="inlineStr">
        <is>
          <t>Lisans kanıtları/teatro-de-la-maestranza-03.license-evidence.json</t>
        </is>
      </c>
      <c r="V222" s="29" t="inlineStr">
        <is>
          <t>3c2bc7f580d7a8fe2b6bddb9abad99a3d6a03b8c48ed68a87a06526a5375bf3e</t>
        </is>
      </c>
      <c r="W222" s="29" t="inlineStr">
        <is>
          <t>{"source_url": "https://commons.wikimedia.org/wiki/File:Sevilla_2015_10_18_1519_(24096439679).jpg", "author": "Harvey Barrison from Massapequa, NY, USA", "license": "CC BY-SA 2.0", "license_url": "https://creativecommons.org/licenses/by-sa/2.0/", "original_api_record": {"size": 51184117, "width": 7360, "height": 4912, "thumburl": "https://thumb.wikimedia.org/wikipedia/commons/thumb/8/8b/Sevilla_2015_10_18_1519_%2824096439679%29.jpg/1280px-Sevilla_2015_10_18_1519_%2824096439679%29.jpg", "thumbwidth": 1280, "thumbheight": 854, "responsiveUrls": {"2": "https://thumb.wikimedia.org/wikipedia/commons/thumb/8/8b/Sevilla_2015_10_18_1519_%2824096439679%29.jpg/3840px-Sevilla_2015_10_18_1519_%2824096439679%29.jpg"}, "thumbattribs": {"src": "https://thumb.wikimedia.org/wikipedia/commons/thumb/8/8b/Sevilla_2015_10_18_1519_%2824096439679%29.jpg/1280px-Sevilla_2015_10_18_1519_%2824096439679%29.jpg", "decoding": "async", "loading": "lazy", "width": 1280, "height": 854, "srcset": "https://thumb.wikimedia.org/wikipedia/commons/thumb/8/8b/Sevilla_2015_10_18_1519_%2824096439679%29.jpg/3840px-Sevilla_2015_10_18_1519_%2824096439679%29.jpg 2x"}, "url": "https://upload.wikimedia.org/wikipedia/commons/8/8b/Sevilla_2015_10_18_1519_%2824096439679%29.jpg", "descriptionurl": "https://commons.wikimedia.org/wiki/File:Sevilla_2015_10_18_1519_(24096439679).jpg", "descriptionshorturl": "https://commons.wikimedia.org/w/index.php?curid=46658028", "sha1": "a3f444b5df5591febe2dddd4ef9ae8525222b0d9", "extmetadata": {"DateTime": {"value": "2016-01-29 03:14:18", "source": "mediawiki-metadata", "hidden": ""}, "ObjectName": {"value": "Sevilla 2015 10 18 1519 (24096439679)", "source": "mediawiki-metadata"}, "CommonsMetadataExtension": {"value": 1.2, "source": "extension", "hidden": ""}, "Categories": {"value": "Exterior of Teatro de la Maestranza|Flickr images reviewed by FlickreviewR|Files created by Harvey Barrison|Spain photographs taken on 2015-10-18|Files with coordinates missing SDC location of creation", "source": "commons-categories", "hidden": ""}, "Assessments": {"value": "", "source": "commons-categories", "hidden": ""}, "GPSLatitude": {"value": "37.383777", "source": "commons-desc-page"}, "GPSLongitude": {"value": "-5.997206", "source": "commons-desc-page"}, "GPSMapDatum": {"value": "WGS-84", "source": "commons-desc-page", "hidden": ""}, "ImageDescription": {"value": "Teatro de la Maestranza on Paseo de Cristóbal Colón is an opera house conceived as one of the main cultural venues of the 1992 Universal Exposition of Seville", "source": "commons-desc-page"}, "DateTimeOriginal": {"value": "Taken on 18 October 2015, 14:33", "source": "commons-desc-page"}, "Credit": {"value": "&lt;a rel=\"nofollow\" class=\"external text\" href=\"https://www.flickr.com/photos/hbarrison/24096439679/\"&gt;Sevilla_2015 10 18_1519&lt;/a&gt;", "source": "commons-desc-page"}, "Artist": {"value": "&lt;a rel=\"nofollow\" class=\"external text\" href=\"https://www.flickr.com/people/10299779@N03\"&gt;Harvey Barrison&lt;/a&gt; from Massapequa, NY, USA", "source": "commons-desc-page"}, "LicenseShortName": {"value": "CC BY-SA 2.0", "source": "commons-desc-page", "hidden": ""}, "UsageTerms": {"value": "Creative Commons Attribution-Share Alike 2.0", "source": "commons-desc-page"}, "AttributionRequired": {"value": "true", "source": "commons-desc-page", "hidden": ""}, "LicenseUrl": {"value": "https://creativecommons.org/licenses/by-sa/2.0", "source": "commons-desc-page"}, "Copyrighted": {"value": "True", "source": "commons-desc-page", "hidden": ""}, "Restrictions": {"value": "", "source": "commons-desc-page", "hidden": ""}, "License": {"value": "cc-by-sa-2.0", "source": "commons-templates", "hidden": ""}}, "mime": "image/jpeg"}, "delivered_file": {"url": "https://thumb.wikimedia.org/wikipedia/commons/thumb/8/8b/Sevilla_2015_10_18_1519_%2824096439679%29.jpg/1280px-Sevilla_2015_10_18_1519_%2824096439679%29.jpg"}, "retrieved_on": "2026-10-25"}</t>
        </is>
      </c>
    </row>
    <row r="223" ht="54" customHeight="1">
      <c r="A223" s="29" t="inlineStr">
        <is>
          <t>sevilla:evidence:el-patio-sevillano-03</t>
        </is>
      </c>
      <c r="B223" s="29" t="inlineStr">
        <is>
          <t>sevilla</t>
        </is>
      </c>
      <c r="C223" s="29" t="inlineStr">
        <is>
          <t>sevilla:photo:el-patio-sevillano-03</t>
        </is>
      </c>
      <c r="D223" s="29" t="inlineStr">
        <is>
          <t>https://commons.wikimedia.org/wiki/File:%22Flamenco_authentisch_und_beeindruckend%22._05.jpg</t>
        </is>
      </c>
      <c r="E223" s="29" t="inlineStr">
        <is>
          <t>File:"Flamenco authentisch und beeindruckend". 05.jpg</t>
        </is>
      </c>
      <c r="F223" s="29" t="inlineStr">
        <is>
          <t>Holger Uwe Schmitt</t>
        </is>
      </c>
      <c r="G223" s="29" t="inlineStr">
        <is>
          <t>CC BY-SA 4.0</t>
        </is>
      </c>
      <c r="H223" s="29" t="inlineStr">
        <is>
          <t>https://creativecommons.org/licenses/by-sa/4.0/</t>
        </is>
      </c>
      <c r="I223" s="29" t="inlineStr">
        <is>
          <t>Creative Commons Attribution-Share Alike 4.0</t>
        </is>
      </c>
      <c r="J223" s="29" t="inlineStr">
        <is>
          <t>Holger Uwe Schmitt · CC BY-SA 4.0 · Wikimedia Commons</t>
        </is>
      </c>
      <c r="K223" s="29" t="n"/>
      <c r="L223" s="49" t="n">
        <v>46320</v>
      </c>
      <c r="M223" s="29" t="inlineStr">
        <is>
          <t>Bekliyor</t>
        </is>
      </c>
      <c r="N223" s="29" t="inlineStr">
        <is>
          <t>Bekliyor</t>
        </is>
      </c>
      <c r="O223" s="29" t="inlineStr">
        <is>
          <t>Fotoğraflar/sevilla_el-patio-sevillano_03.jpg</t>
        </is>
      </c>
      <c r="P223" s="29" t="inlineStr">
        <is>
          <t>El Patio Sevillano'da mavi ışıkta saçaklı şalıyla dans eden flamenko dansçısı.</t>
        </is>
      </c>
      <c r="Q223" s="29" t="inlineStr">
        <is>
          <t>Bekliyor</t>
        </is>
      </c>
      <c r="R223" s="29" t="inlineStr">
        <is>
          <t>Wikimedia Commons dosya sayfasındaki lisans: CC BY-SA 4.0</t>
        </is>
      </c>
      <c r="S223" s="29" t="inlineStr">
        <is>
          <t>Lisans kanıtları/el-patio-sevillano-03.source-evidence.json</t>
        </is>
      </c>
      <c r="T223" s="29" t="inlineStr">
        <is>
          <t>292fbaba9a41004022b88eba477ddcbf2283e202cee5904e7305e2917e444b39</t>
        </is>
      </c>
      <c r="U223" s="29" t="inlineStr">
        <is>
          <t>Lisans kanıtları/el-patio-sevillano-03.license-evidence.json</t>
        </is>
      </c>
      <c r="V223" s="29" t="inlineStr">
        <is>
          <t>f07d84c1a670d6de46d4a2ada3475af724bb2fde108140591d2676be947efb6e</t>
        </is>
      </c>
      <c r="W223" s="29" t="inlineStr">
        <is>
          <t>{"source_url": "https://commons.wikimedia.org/wiki/File:%22Flamenco_authentisch_und_beeindruckend%22._05.jpg", "author": "Holger Uwe Schmitt", "license": "CC BY-SA 4.0", "license_url": "https://creativecommons.org/licenses/by-sa/4.0/", "original_api_record": {"size": 4488170, "width": 2979, "height": 4590, "thumburl": "https://thumb.wikimedia.org/wikipedia/commons/thumb/8/80/%22Flamenco_authentisch_und_beeindruckend%22._05.jpg/1280px-%22Flamenco_authentisch_und_beeindruckend%22._05.jpg", "thumbwidth": 1280, "thumbheight": 1972, "responsiveUrls": {"2": "https://upload.wikimedia.org/wikipedia/commons/8/80/%22Flamenco_authentisch_und_beeindruckend%22._05.jpg"}, "thumbattribs": {"src": "https://thumb.wikimedia.org/wikipedia/commons/thumb/8/80/%22Flamenco_authentisch_und_beeindruckend%22._05.jpg/1280px-%22Flamenco_authentisch_und_beeindruckend%22._05.jpg", "decoding": "async", "loading": "lazy", "width": 1280, "height": 1972, "srcset": "https://upload.wikimedia.org/wikipedia/commons/8/80/%22Flamenco_authentisch_und_beeindruckend%22._05.jpg 2x"}, "url": "https://upload.wikimedia.org/wikipedia/commons/8/80/%22Flamenco_authentisch_und_beeindruckend%22._05.jpg", "descriptionurl": "https://commons.wikimedia.org/wiki/File:%22Flamenco_authentisch_und_beeindruckend%22._05.jpg", "descriptionshorturl": "https://commons.wikimedia.org/w/index.php?curid=155204482", "sha1": "a76ccc78bb77a7e0c37dc83668ad42aa5721cfbf", "extmetadata": {"DateTime": {"value": "2024-11-15 13:51:08", "source": "mediawiki-metadata", "hidden": ""}, "ObjectName": {"value": "\"Flamenco authentisch und beeindruckend\". 05", "source": "mediawiki-metadata"}, "CommonsMetadataExtension": {"value": 1.2, "source": "extension", "hidden": ""}, "Categories": {"value": "Self-published work|Flamenco in Seville", "source": "commons-categories", "hidden": ""}, "Assessments": {"value": "", "source": "commons-categories", "hidden": ""}, "ImageDescription": {"value": "The Show El Patio Sevillano.", "source": "commons-desc-page"}, "DateTimeOriginal": {"value": "2024-10-15 18:28:43", "source": "commons-desc-page"}, "Credit": {"value": "&lt;span class=\"int-own-work\" lang=\"en\"&gt;Own work&lt;/span&gt;", "source": "commons-desc-page"}, "Artist": {"value": "&lt;a href=\"//commons.wikimedia.org/wiki/User:Holger_Uwe_Schmitt\" title=\"User:Holger Uwe Schmitt\"&gt;Holger Uwe Schmitt&lt;/a&gt;",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"https://thumb.wikimedia.org/wikipedia/commons/thumb/8/80/%22Flamenco_authentisch_und_beeindruckend%22._05.jpg/1280px-%22Flamenco_authentisch_und_beeindruckend%22._05.jpg"}, "retrieved_on": "2026-10-25"}</t>
        </is>
      </c>
    </row>
    <row r="224" ht="54" customHeight="1">
      <c r="A224" s="29" t="inlineStr">
        <is>
          <t>sevilla:evidence:cartuja-center-cite-03</t>
        </is>
      </c>
      <c r="B224" s="29" t="inlineStr">
        <is>
          <t>sevilla</t>
        </is>
      </c>
      <c r="C224" s="29" t="inlineStr">
        <is>
          <t>sevilla:photo:cartuja-center-cite-03</t>
        </is>
      </c>
      <c r="D224" s="29" t="inlineStr">
        <is>
          <t>https://commons.wikimedia.org/wiki/File:Sevilla_-_PCT_Cartuja,_Cartuja_Center_CITE.jpg</t>
        </is>
      </c>
      <c r="E224" s="29" t="inlineStr">
        <is>
          <t>File:Sevilla - PCT Cartuja, Cartuja Center CITE.jpg</t>
        </is>
      </c>
      <c r="F224" s="29" t="inlineStr">
        <is>
          <t>Zarateman</t>
        </is>
      </c>
      <c r="G224" s="29" t="inlineStr">
        <is>
          <t>CC0 1.0</t>
        </is>
      </c>
      <c r="H224" s="29" t="inlineStr">
        <is>
          <t>https://creativecommons.org/publicdomain/zero/1.0/</t>
        </is>
      </c>
      <c r="I224" s="29" t="inlineStr">
        <is>
          <t>Creative Commons Zero, Public Domain Dedication</t>
        </is>
      </c>
      <c r="J224" s="29" t="inlineStr">
        <is>
          <t>Zarateman · CC0 1.0 · Wikimedia Commons</t>
        </is>
      </c>
      <c r="K224" s="29" t="n"/>
      <c r="L224" s="49" t="n">
        <v>46320</v>
      </c>
      <c r="M224" s="29" t="inlineStr">
        <is>
          <t>Bekliyor</t>
        </is>
      </c>
      <c r="N224" s="29" t="inlineStr">
        <is>
          <t>Bekliyor</t>
        </is>
      </c>
      <c r="O224" s="29" t="inlineStr">
        <is>
          <t>Fotoğraflar/sevilla_cartuja-center-cite_03.jpg</t>
        </is>
      </c>
      <c r="P224" s="29" t="inlineStr">
        <is>
          <t>Cartuja Center CITE'nin gri metal kaplı binası ve tabelası.</t>
        </is>
      </c>
      <c r="Q224" s="29" t="inlineStr">
        <is>
          <t>Bekliyor</t>
        </is>
      </c>
      <c r="R224" s="29" t="inlineStr">
        <is>
          <t>Wikimedia Commons dosya sayfasındaki lisans: CC0 1.0</t>
        </is>
      </c>
      <c r="S224" s="29" t="inlineStr">
        <is>
          <t>Lisans kanıtları/cartuja-center-cite-03.source-evidence.json</t>
        </is>
      </c>
      <c r="T224" s="29" t="inlineStr">
        <is>
          <t>9cfd403ecdcdc2954b22fa7515966ced2865cd692f9ea62ec44b3c149c2fc4ef</t>
        </is>
      </c>
      <c r="U224" s="29" t="inlineStr">
        <is>
          <t>Lisans kanıtları/cartuja-center-cite-03.license-evidence.json</t>
        </is>
      </c>
      <c r="V224" s="29" t="inlineStr">
        <is>
          <t>3fb4c3062cd0a59023634bb77a959e6dfa29ef0b4812433e7fdf872cf0877362</t>
        </is>
      </c>
      <c r="W224" s="29" t="inlineStr">
        <is>
          <t>{"source_url": "https://commons.wikimedia.org/wiki/File:Sevilla_-_PCT_Cartuja,_Cartuja_Center_CITE.jpg", "author": "Zarateman", "license": "CC0 1.0", "license_url": "https://creativecommons.org/publicdomain/zero/1.0/", "original_api_record": {"size": 699156, "width": 2046, "height": 1498, "thumburl": "https://thumb.wikimedia.org/wikipedia/commons/thumb/d/de/Sevilla_-_PCT_Cartuja%2C_Cartuja_Center_CITE.jpg/1280px-Sevilla_-_PCT_Cartuja%2C_Cartuja_Center_CITE.jpg", "thumbwidth": 1280, "thumbheight": 937, "responsiveUrls": {"2": "https://upload.wikimedia.org/wikipedia/commons/d/de/Sevilla_-_PCT_Cartuja%2C_Cartuja_Center_CITE.jpg"}, "thumbattribs": {"src": "https://thumb.wikimedia.org/wikipedia/commons/thumb/d/de/Sevilla_-_PCT_Cartuja%2C_Cartuja_Center_CITE.jpg/1280px-Sevilla_-_PCT_Cartuja%2C_Cartuja_Center_CITE.jpg", "decoding": "async", "loading": "lazy", "width": 1280, "height": 937, "srcset": "https://upload.wikimedia.org/wikipedia/commons/d/de/Sevilla_-_PCT_Cartuja%2C_Cartuja_Center_CITE.jpg 2x"}, "url": "https://upload.wikimedia.org/wikipedia/commons/d/de/Sevilla_-_PCT_Cartuja%2C_Cartuja_Center_CITE.jpg", "descriptionurl": "https://commons.wikimedia.org/wiki/File:Sevilla_-_PCT_Cartuja,_Cartuja_Center_CITE.jpg", "descriptionshorturl": "https://commons.wikimedia.org/w/index.php?curid=126294535", "sha1": "2afcab5fcd3abdcafebb6a07dc17a89620480e64", "extmetadata": {"DateTime": {"value": "2022-12-04 12:22:26", "source": "mediawiki-metadata", "hidden": ""}, "ObjectName": {"value": "Sevilla - PCT Cartuja, Cartuja Center CITE", "source": "mediawiki-metadata"}, "CommonsMetadataExtension": {"value": 1.2, "source": "extension", "hidden": ""}, "Categories": {"value": "CC-Zero|Cartuja Center CITE|Self-published work|December 2022 in Seville", "source": "commons-categories", "hidden": ""}, "Assessments": {"value": "", "source": "commons-categories", "hidden": ""}, "ImageDescription": {"value": "Cartuja Center CITE (PCT Cartuja, Sevilla)", "source": "commons-desc-page"}, "DateTimeOriginal": {"value": "2022-12-04", "source": "commons-desc-page"}, "Credit": {"value": "&lt;span class=\"int-own-work\" lang=\"en\"&gt;Own work&lt;/span&gt;", "source": "commons-desc-page"}, "Artist": {"value": "&lt;a href=\"//commons.wikimedia.org/wiki/User:Zarateman\" title=\"User:Zarateman\"&gt;Zarateman&lt;/a&gt;",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 "delivered_file": {"url": "https://thumb.wikimedia.org/wikipedia/commons/thumb/d/de/Sevilla_-_PCT_Cartuja%2C_Cartuja_Center_CITE.jpg/1280px-Sevilla_-_PCT_Cartuja%2C_Cartuja_Center_CITE.jpg"}, "retrieved_on": "2026-10-25"}</t>
        </is>
      </c>
    </row>
    <row r="225" ht="54" customHeight="1">
      <c r="A225" s="29" t="inlineStr">
        <is>
          <t>sevilla:evidence:auditorio-cartuja-sevilla-02</t>
        </is>
      </c>
      <c r="B225" s="29" t="inlineStr">
        <is>
          <t>sevilla</t>
        </is>
      </c>
      <c r="C225" s="29" t="inlineStr">
        <is>
          <t>sevilla:photo:auditorio-cartuja-sevilla-02</t>
        </is>
      </c>
      <c r="D225" s="29" t="inlineStr">
        <is>
          <t>https://commons.wikimedia.org/wiki/File:Auditorio_Nissan_Cartuja.jpg</t>
        </is>
      </c>
      <c r="E225" s="29" t="inlineStr">
        <is>
          <t>File:Auditorio Nissan Cartuja.jpg</t>
        </is>
      </c>
      <c r="F225" s="29" t="inlineStr">
        <is>
          <t>Josemi Castro</t>
        </is>
      </c>
      <c r="G225" s="29" t="inlineStr">
        <is>
          <t>CC BY-SA 4.0</t>
        </is>
      </c>
      <c r="H225" s="29" t="inlineStr">
        <is>
          <t>https://creativecommons.org/licenses/by-sa/4.0/</t>
        </is>
      </c>
      <c r="I225" s="29" t="inlineStr">
        <is>
          <t>Creative Commons Attribution-Share Alike 4.0</t>
        </is>
      </c>
      <c r="J225" s="29" t="inlineStr">
        <is>
          <t>Josemi Castro · CC BY-SA 4.0 · Wikimedia Commons</t>
        </is>
      </c>
      <c r="K225" s="29" t="n"/>
      <c r="L225" s="49" t="n">
        <v>46320</v>
      </c>
      <c r="M225" s="29" t="inlineStr">
        <is>
          <t>Bekliyor</t>
        </is>
      </c>
      <c r="N225" s="29" t="inlineStr">
        <is>
          <t>Bekliyor</t>
        </is>
      </c>
      <c r="O225" s="29" t="inlineStr">
        <is>
          <t>Fotoğraflar/sevilla_auditorio-cartuja-sevilla_02.jpg</t>
        </is>
      </c>
      <c r="P225" s="29" t="inlineStr">
        <is>
          <t>Ibercaja Auditorio Cartuja'nın sahnesi ve basamaklı koltuk sıraları.</t>
        </is>
      </c>
      <c r="Q225" s="29" t="inlineStr">
        <is>
          <t>Bekliyor</t>
        </is>
      </c>
      <c r="R225" s="29" t="inlineStr">
        <is>
          <t>Wikimedia Commons dosya sayfasındaki lisans: CC BY-SA 4.0</t>
        </is>
      </c>
      <c r="S225" s="29" t="inlineStr">
        <is>
          <t>Lisans kanıtları/auditorio-cartuja-sevilla-02.source-evidence.json</t>
        </is>
      </c>
      <c r="T225" s="29" t="inlineStr">
        <is>
          <t>06005928b2ee61243f7bd8d298707f67590c0e73eb1555f06154d8aecc62ca0a</t>
        </is>
      </c>
      <c r="U225" s="29" t="inlineStr">
        <is>
          <t>Lisans kanıtları/auditorio-cartuja-sevilla-02.license-evidence.json</t>
        </is>
      </c>
      <c r="V225" s="29" t="inlineStr">
        <is>
          <t>3494287b99802ac42eca4435756890b0d8352285a59174964c5cbbbda0578ca6</t>
        </is>
      </c>
      <c r="W225" s="29" t="inlineStr">
        <is>
          <t>{"source_url": "https://commons.wikimedia.org/wiki/File:Auditorio_Nissan_Cartuja.jpg", "author": "Josemi Castro", "license": "CC BY-SA 4.0", "license_url": "https://creativecommons.org/licenses/by-sa/4.0/", "original_api_record": {"size": 2581003, "width": 6100, "height": 3978, "thumburl": "https://thumb.wikimedia.org/wikipedia/commons/thumb/c/ca/Auditorio_Nissan_Cartuja.jpg/1280px-Auditorio_Nissan_Cartuja.jpg", "thumbwidth": 1280, "thumbheight": 835, "responsiveUrls": {"2": "https://thumb.wikimedia.org/wikipedia/commons/thumb/c/ca/Auditorio_Nissan_Cartuja.jpg/3840px-Auditorio_Nissan_Cartuja.jpg"}, "thumbattribs": {"src": "https://thumb.wikimedia.org/wikipedia/commons/thumb/c/ca/Auditorio_Nissan_Cartuja.jpg/1280px-Auditorio_Nissan_Cartuja.jpg", "decoding": "async", "loading": "lazy", "width": 1280, "height": 835, "srcset": "https://thumb.wikimedia.org/wikipedia/commons/thumb/c/ca/Auditorio_Nissan_Cartuja.jpg/3840px-Auditorio_Nissan_Cartuja.jpg 2x"}, "url": "https://upload.wikimedia.org/wikipedia/commons/c/ca/Auditorio_Nissan_Cartuja.jpg", "descriptionurl": "https://commons.wikimedia.org/wiki/File:Auditorio_Nissan_Cartuja.jpg", "descriptionshorturl": "https://commons.wikimedia.org/w/index.php?curid=139241523", "sha1": "b5b85affa0e6a9815e471082a36baffaeac9b465", "extmetadata": {"DateTime": {"value": "2023-10-20 11:28:42", "source": "mediawiki-metadata", "hidden": ""}, "ObjectName": {"value": "Auditorio Nissan Cartuja", "source": "mediawiki-metadata"}, "CommonsMetadataExtension": {"value": 1.2, "source": "extension", "hidden": ""}, "Categories": {"value": "Self-published work|Auditorio de Sevilla", "source": "commons-categories", "hidden": ""}, "Assessments": {"value": "", "source": "commons-categories", "hidden": ""}, "ImageDescription": {"value": "Vista interior del Auditorio Nissan Cartuja", "source": "commons-desc-page"}, "DateTimeOriginal": {"value": "2023-10-20", "source": "commons-desc-page"}, "Credit": {"value": "&lt;span class=\"int-own-work\" lang=\"en\"&gt;Own work&lt;/span&gt;", "source": "commons-desc-page"}, "Artist": {"value": "&lt;a href=\"//commons.wikimedia.org/w/index.php?title=User:Josemi_Castro&amp;amp;action=edit&amp;amp;redlink=1\" class=\"new\" title=\"User:Josemi Castro (page does not exist)\"&gt;Josemi Castro&lt;/a&gt;",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"https://thumb.wikimedia.org/wikipedia/commons/thumb/c/ca/Auditorio_Nissan_Cartuja.jpg/1280px-Auditorio_Nissan_Cartuja.jpg"}, "retrieved_on": "2026-10-25"}</t>
        </is>
      </c>
    </row>
    <row r="226" ht="54" customHeight="1">
      <c r="A226" s="29" t="inlineStr">
        <is>
          <t>sevilla:evidence:auditorio-cartuja-sevilla-03</t>
        </is>
      </c>
      <c r="B226" s="29" t="inlineStr">
        <is>
          <t>sevilla</t>
        </is>
      </c>
      <c r="C226" s="29" t="inlineStr">
        <is>
          <t>sevilla:photo:auditorio-cartuja-sevilla-03</t>
        </is>
      </c>
      <c r="D226" s="29" t="inlineStr">
        <is>
          <t>https://commons.wikimedia.org/wiki/File:Butacas_Interior_Auditorio.jpg</t>
        </is>
      </c>
      <c r="E226" s="29" t="inlineStr">
        <is>
          <t>File:Butacas Interior Auditorio.jpg</t>
        </is>
      </c>
      <c r="F226" s="29" t="inlineStr">
        <is>
          <t>Auditorio Nissan Cartuja</t>
        </is>
      </c>
      <c r="G226" s="29" t="inlineStr">
        <is>
          <t>CC BY-SA 4.0</t>
        </is>
      </c>
      <c r="H226" s="29" t="inlineStr">
        <is>
          <t>https://creativecommons.org/licenses/by-sa/4.0/</t>
        </is>
      </c>
      <c r="I226" s="29" t="inlineStr">
        <is>
          <t>Creative Commons Attribution-Share Alike 4.0</t>
        </is>
      </c>
      <c r="J226" s="29" t="inlineStr">
        <is>
          <t>Auditorio Nissan Cartuja · CC BY-SA 4.0 · Wikimedia Commons</t>
        </is>
      </c>
      <c r="K226" s="29" t="n"/>
      <c r="L226" s="49" t="n">
        <v>46320</v>
      </c>
      <c r="M226" s="29" t="inlineStr">
        <is>
          <t>Bekliyor</t>
        </is>
      </c>
      <c r="N226" s="29" t="inlineStr">
        <is>
          <t>Bekliyor</t>
        </is>
      </c>
      <c r="O226" s="29" t="inlineStr">
        <is>
          <t>Fotoğraflar/sevilla_auditorio-cartuja-sevilla_03.jpg</t>
        </is>
      </c>
      <c r="P226" s="29" t="inlineStr">
        <is>
          <t>Ibercaja Auditorio Cartuja'nın mor ışıklı salonu ve koltukları.</t>
        </is>
      </c>
      <c r="Q226" s="29" t="inlineStr">
        <is>
          <t>Bekliyor</t>
        </is>
      </c>
      <c r="R226" s="29" t="inlineStr">
        <is>
          <t>Wikimedia Commons dosya sayfasındaki lisans: CC BY-SA 4.0</t>
        </is>
      </c>
      <c r="S226" s="29" t="inlineStr">
        <is>
          <t>Lisans kanıtları/auditorio-cartuja-sevilla-03.source-evidence.json</t>
        </is>
      </c>
      <c r="T226" s="29" t="inlineStr">
        <is>
          <t>ec7ec8b1d16f756c939dd9785b4ccbab4001799369b6c8c8ee3601f5cc053a1c</t>
        </is>
      </c>
      <c r="U226" s="29" t="inlineStr">
        <is>
          <t>Lisans kanıtları/auditorio-cartuja-sevilla-03.license-evidence.json</t>
        </is>
      </c>
      <c r="V226" s="29" t="inlineStr">
        <is>
          <t>d40a77e91511a4e28b99f2819afbf806cc810b9ca8141cdf1423f40da13a1677</t>
        </is>
      </c>
      <c r="W226" s="29" t="inlineStr">
        <is>
          <t>{"source_url": "https://commons.wikimedia.org/wiki/File:Butacas_Interior_Auditorio.jpg", "author": "Auditorio Nissan Cartuja", "license": "CC BY-SA 4.0", "license_url": "https://creativecommons.org/licenses/by-sa/4.0/", "original_api_record": {"size": 5044918, "width": 3024, "height": 4032, "thumburl": "https://thumb.wikimedia.org/wikipedia/commons/thumb/1/14/Butacas_Interior_Auditorio.jpg/1280px-Butacas_Interior_Auditorio.jpg", "thumbwidth": 1280, "thumbheight": 1707, "responsiveUrls": {"2": "https://upload.wikimedia.org/wikipedia/commons/1/14/Butacas_Interior_Auditorio.jpg"}, "thumbattribs": {"src": "https://thumb.wikimedia.org/wikipedia/commons/thumb/1/14/Butacas_Interior_Auditorio.jpg/1280px-Butacas_Interior_Auditorio.jpg", "decoding": "async", "loading": "lazy", "width": 1280, "height": 1707, "srcset": "https://upload.wikimedia.org/wikipedia/commons/1/14/Butacas_Interior_Auditorio.jpg 2x"}, "url": "https://upload.wikimedia.org/wikipedia/commons/1/14/Butacas_Interior_Auditorio.jpg", "descriptionurl": "https://commons.wikimedia.org/wiki/File:Butacas_Interior_Auditorio.jpg", "descriptionshorturl": "https://commons.wikimedia.org/w/index.php?curid=139627745", "sha1": "d2dba934e960099f4a62ff357d9aa65a1d98eec3", "extmetadata": {"DateTime": {"value": "2023-10-27 11:31:03", "source": "mediawiki-metadata", "hidden": ""}, "ObjectName": {"value": "Butacas Interior Auditorio", "source": "mediawiki-metadata"}, "CommonsMetadataExtension": {"value": 1.2, "source": "extension", "hidden": ""}, "Categories": {"value": "Auditorio Nissan cartuja|Self-published work", "source": "commons-categories", "hidden": ""}, "Assessments": {"value": "", "source": "commons-categories", "hidden": ""}, "ImageDescription": {"value": "Vista del interior del Auditorio", "source": "commons-desc-page"}, "DateTimeOriginal": {"value": "2023-10-27", "source": "commons-desc-page"}, "Credit": {"value": "&lt;span class=\"int-own-work\" lang=\"en\"&gt;Own work&lt;/span&gt;", "source": "commons-desc-page"}, "Artist": {"value": "&lt;a href=\"//commons.wikimedia.org/w/index.php?title=User:Josemi_Castro&amp;amp;action=edit&amp;amp;redlink=1\" class=\"new\" title=\"User:Josemi Castro (page does not exist)\"&gt;Auditorio Nissan Cartuja&lt;/a&gt;",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"https://thumb.wikimedia.org/wikipedia/commons/thumb/1/14/Butacas_Interior_Auditorio.jpg/1280px-Butacas_Interior_Auditorio.jpg"}, "retrieved_on": "2026-10-25"}</t>
        </is>
      </c>
    </row>
    <row r="227" ht="54" customHeight="1">
      <c r="A227" s="29" t="inlineStr">
        <is>
          <t>sevilla:evidence:mercado-de-triana-03</t>
        </is>
      </c>
      <c r="B227" s="29" t="inlineStr">
        <is>
          <t>sevilla</t>
        </is>
      </c>
      <c r="C227" s="29" t="inlineStr">
        <is>
          <t>sevilla:photo:mercado-de-triana-03</t>
        </is>
      </c>
      <c r="D227" s="29" t="inlineStr">
        <is>
          <t>https://commons.wikimedia.org/wiki/File:Mercado_de_Triana_(1).jpg</t>
        </is>
      </c>
      <c r="E227" s="29" t="inlineStr">
        <is>
          <t>File:Mercado de Triana (1).jpg</t>
        </is>
      </c>
      <c r="F227" s="29" t="inlineStr">
        <is>
          <t>Alberto-g-rovi</t>
        </is>
      </c>
      <c r="G227" s="29" t="inlineStr">
        <is>
          <t>CC BY 4.0</t>
        </is>
      </c>
      <c r="H227" s="29" t="inlineStr">
        <is>
          <t>https://creativecommons.org/licenses/by/4.0/</t>
        </is>
      </c>
      <c r="I227" s="29" t="inlineStr">
        <is>
          <t>Creative Commons Attribution 4.0</t>
        </is>
      </c>
      <c r="J227" s="29" t="inlineStr">
        <is>
          <t>Alberto-g-rovi · CC BY 4.0 · Wikimedia Commons</t>
        </is>
      </c>
      <c r="K227" s="29" t="n"/>
      <c r="L227" s="49" t="n">
        <v>46320</v>
      </c>
      <c r="M227" s="29" t="inlineStr">
        <is>
          <t>Bekliyor</t>
        </is>
      </c>
      <c r="N227" s="29" t="inlineStr">
        <is>
          <t>Bekliyor</t>
        </is>
      </c>
      <c r="O227" s="29" t="inlineStr">
        <is>
          <t>Fotoğraflar/sevilla_mercado-de-triana_03.jpg</t>
        </is>
      </c>
      <c r="P227" s="29" t="inlineStr">
        <is>
          <t>Triana Pazarı'nda meyve ve sebze tezgâhı.</t>
        </is>
      </c>
      <c r="Q227" s="29" t="inlineStr">
        <is>
          <t>Bekliyor</t>
        </is>
      </c>
      <c r="R227" s="29" t="inlineStr">
        <is>
          <t>Wikimedia Commons dosya sayfasındaki lisans: CC BY 4.0</t>
        </is>
      </c>
      <c r="S227" s="29" t="inlineStr">
        <is>
          <t>Lisans kanıtları/mercado-de-triana-03.source-evidence.json</t>
        </is>
      </c>
      <c r="T227" s="29" t="inlineStr">
        <is>
          <t>dbfd6bfa270ef3591690ec0040ceb1fcf2e2a68210750712141a8e0f2bfd73b4</t>
        </is>
      </c>
      <c r="U227" s="29" t="inlineStr">
        <is>
          <t>Lisans kanıtları/mercado-de-triana-03.license-evidence.json</t>
        </is>
      </c>
      <c r="V227" s="29" t="inlineStr">
        <is>
          <t>956a8e53a9bbd0e147a1711c5ce569d999a0a65fbe4109a341672af0996ad387</t>
        </is>
      </c>
      <c r="W227" s="29" t="inlineStr">
        <is>
          <t>{"source_url": "https://commons.wikimedia.org/wiki/File:Mercado_de_Triana_(1).jpg", "author": "Alberto-g-rovi", "license": "CC BY 4.0", "license_url": "https://creativecommons.org/licenses/by/4.0/", "original_api_record": {"size": 23702612, "width": 7360, "height": 4912, "thumburl": "https://thumb.wikimedia.org/wikipedia/commons/thumb/2/20/Mercado_de_Triana_%281%29.jpg/1280px-Mercado_de_Triana_%281%29.jpg", "thumbwidth": 1280, "thumbheight": 854, "responsiveUrls": {"2": "https://thumb.wikimedia.org/wikipedia/commons/thumb/2/20/Mercado_de_Triana_%281%29.jpg/3840px-Mercado_de_Triana_%281%29.jpg"}, "thumbattribs": {"src": "https://thumb.wikimedia.org/wikipedia/commons/thumb/2/20/Mercado_de_Triana_%281%29.jpg/1280px-Mercado_de_Triana_%281%29.jpg", "decoding": "async", "loading": "lazy", "width": 1280, "height": 854, "srcset": "https://thumb.wikimedia.org/wikipedia/commons/thumb/2/20/Mercado_de_Triana_%281%29.jpg/3840px-Mercado_de_Triana_%281%29.jpg 2x"}, "url": "https://upload.wikimedia.org/wikipedia/commons/2/20/Mercado_de_Triana_%281%29.jpg", "descriptionurl": "https://commons.wikimedia.org/wiki/File:Mercado_de_Triana_(1).jpg", "descriptionshorturl": "https://commons.wikimedia.org/w/index.php?curid=176631672", "sha1": "997ea459655b63f0f6d2424ba7b2a72b2c5bad0f", "extmetadata": {"DateTime": {"value": "2025-10-13 02:43:40", "source": "mediawiki-metadata", "hidden": ""}, "ObjectName": {"value": "Mercado de Triana (1)", "source": "mediawiki-metadata"}, "CommonsMetadataExtension": {"value": 1.2, "source": "extension", "hidden": ""}, "Categories": {"value": "Mercado de Triana|Self-published work|Photographs by Alberto-g-rovi in Triana", "source": "commons-categories", "hidden": ""}, "Assessments": {"value": "", "source": "commons-categories", "hidden": ""}, "ImageDescription": {"value": "Sevilla-2025", "source": "commons-desc-page"}, "DateTimeOriginal": {"value": "2025-09-18 12:03:09", "source": "commons-desc-page"}, "Credit": {"value": "&lt;span class=\"int-own-work\" lang=\"en\"&gt;Own work&lt;/span&gt;", "source": "commons-desc-page"}, "Artist": {"value": "&lt;a href=\"//commons.wikimedia.org/wiki/User:Alberto-g-rovi\" title=\"User:Alberto-g-rovi\"&gt;Alberto-g-rovi&lt;/a&gt;", "source": "commons-desc-page"}, "LicenseShortName": {"value": "CC BY 4.0", "source": "commons-desc-page", "hidden": ""}, "UsageTerms": {"value": "Creative Commons Attribution 4.0", "source": "commons-desc-page"}, "AttributionRequired": {"value": "true", "source": "commons-desc-page", "hidden": ""}, "LicenseUrl": {"value": "https://creativecommons.org/licenses/by/4.0", "source": "commons-desc-page"}, "Copyrighted": {"value": "True", "source": "commons-desc-page", "hidden": ""}, "Restrictions": {"value": "", "source": "commons-desc-page", "hidden": ""}, "License": {"value": "cc-by-4.0", "source": "commons-templates", "hidden": ""}}, "mime": "image/jpeg"}, "delivered_file": {"url": "https://thumb.wikimedia.org/wikipedia/commons/thumb/2/20/Mercado_de_Triana_%281%29.jpg/1280px-Mercado_de_Triana_%281%29.jpg"}, "retrieved_on": "2026-10-25"}</t>
        </is>
      </c>
    </row>
    <row r="228" ht="54" customHeight="1">
      <c r="A228" s="29" t="inlineStr">
        <is>
          <t>sevilla:evidence:casa-de-pilatos-03</t>
        </is>
      </c>
      <c r="B228" s="29" t="inlineStr">
        <is>
          <t>sevilla</t>
        </is>
      </c>
      <c r="C228" s="29" t="inlineStr">
        <is>
          <t>sevilla:photo:casa-de-pilatos-03</t>
        </is>
      </c>
      <c r="D228" s="29" t="inlineStr">
        <is>
          <t>https://commons.wikimedia.org/wiki/File:Casa_de_Pilatos,_Sevilla_SP(3).jpg</t>
        </is>
      </c>
      <c r="E228" s="29" t="inlineStr">
        <is>
          <t>File:Casa de Pilatos, Sevilla SP(3).jpg</t>
        </is>
      </c>
      <c r="F228" s="29" t="inlineStr">
        <is>
          <t>Stefano Vigorelli</t>
        </is>
      </c>
      <c r="G228" s="29" t="inlineStr">
        <is>
          <t>CC BY-SA 4.0</t>
        </is>
      </c>
      <c r="H228" s="29" t="inlineStr">
        <is>
          <t>https://creativecommons.org/licenses/by-sa/4.0/</t>
        </is>
      </c>
      <c r="I228" s="29" t="inlineStr">
        <is>
          <t>Creative Commons Attribution-Share Alike 4.0</t>
        </is>
      </c>
      <c r="J228" s="29" t="inlineStr">
        <is>
          <t>Stefano Vigorelli · CC BY-SA 4.0 · Wikimedia Commons</t>
        </is>
      </c>
      <c r="K228" s="29" t="n"/>
      <c r="L228" s="49" t="n">
        <v>46320</v>
      </c>
      <c r="M228" s="29" t="inlineStr">
        <is>
          <t>Bekliyor</t>
        </is>
      </c>
      <c r="N228" s="29" t="inlineStr">
        <is>
          <t>Bekliyor</t>
        </is>
      </c>
      <c r="O228" s="29" t="inlineStr">
        <is>
          <t>Fotoğraflar/sevilla_casa-de-pilatos_03.jpg</t>
        </is>
      </c>
      <c r="P228" s="29" t="inlineStr">
        <is>
          <t>Pilatos Konağı'nda çinili kemerler ve budanmış ağaçlarla avlu.</t>
        </is>
      </c>
      <c r="Q228" s="29" t="inlineStr">
        <is>
          <t>Bekliyor</t>
        </is>
      </c>
      <c r="R228" s="29" t="inlineStr">
        <is>
          <t>Wikimedia Commons dosya sayfasındaki lisans: CC BY-SA 4.0</t>
        </is>
      </c>
      <c r="S228" s="29" t="inlineStr">
        <is>
          <t>Lisans kanıtları/casa-de-pilatos-03.source-evidence.json</t>
        </is>
      </c>
      <c r="T228" s="29" t="inlineStr">
        <is>
          <t>07762f4e4cb598a0e3cb8a3bf07ceea203eca0136f16d9b38a24871590358cbf</t>
        </is>
      </c>
      <c r="U228" s="29" t="inlineStr">
        <is>
          <t>Lisans kanıtları/casa-de-pilatos-03.license-evidence.json</t>
        </is>
      </c>
      <c r="V228" s="29" t="inlineStr">
        <is>
          <t>07d493db03ff5a61e37f05b57e4181aa006b76baadd4462bdec6975211155278</t>
        </is>
      </c>
      <c r="W228" s="29" t="inlineStr">
        <is>
          <t>{"source_url": "https://commons.wikimedia.org/wiki/File:Casa_de_Pilatos,_Sevilla_SP(3).jpg", "author": "Stefano Vigorelli", "license": "CC BY-SA 4.0", "license_url": "https://creativecommons.org/licenses/by-sa/4.0/", "original_api_record": {"size": 1557072, "width": 3008, "height": 2000, "thumburl": "https://thumb.wikimedia.org/wikipedia/commons/thumb/2/2a/Casa_de_Pilatos%2C_Sevilla_SP%283%29.jpg/1280px-Casa_de_Pilatos%2C_Sevilla_SP%283%29.jpg", "thumbwidth": 1280, "thumbheight": 851, "responsiveUrls": {"2": "https://upload.wikimedia.org/wikipedia/commons/2/2a/Casa_de_Pilatos%2C_Sevilla_SP%283%29.jpg"}, "thumbattribs": {"src": "https://thumb.wikimedia.org/wikipedia/commons/thumb/2/2a/Casa_de_Pilatos%2C_Sevilla_SP%283%29.jpg/1280px-Casa_de_Pilatos%2C_Sevilla_SP%283%29.jpg", "decoding": "async", "loading": "lazy", "width": 1280, "height": 851, "srcset": "https://upload.wikimedia.org/wikipedia/commons/2/2a/Casa_de_Pilatos%2C_Sevilla_SP%283%29.jpg 2x"}, "url": "https://upload.wikimedia.org/wikipedia/commons/2/2a/Casa_de_Pilatos%2C_Sevilla_SP%283%29.jpg", "descriptionurl": "https://commons.wikimedia.org/wiki/File:Casa_de_Pilatos,_Sevilla_SP(3).jpg", "descriptionshorturl": "https://commons.wikimedia.org/w/index.php?curid=130998711", "sha1": "aceb6833b98ef89e5112c9a21dcb25b2c46675e2", "extmetadata": {"DateTime": {"value": "2023-04-22 09:06:38", "source": "mediawiki-metadata", "hidden": ""}, "ObjectName": {"value": "Casa de Pilatos, Sevilla SP(3)", "source": "mediawiki-metadata"}, "CommonsMetadataExtension": {"value": 1.2, "source": "extension", "hidden": ""}, "Categories": {"value": "Self-published work|Large Garden, Casa de Pilatos", "source": "commons-categories", "hidden": ""}, "Assessments": {"value": "", "source": "commons-categories", "hidden": ""}, "ImageDescription": {"value": "Casa de Pilatos, Sevilla", "source": "commons-desc-page"}, "DateTimeOriginal": {"value": "2016-02-13 16:14:28", "source": "commons-desc-page"}, "Credit": {"value": "&lt;span class=\"int-own-work\" lang=\"en\"&gt;Own work&lt;/span&gt;", "source": "commons-desc-page"}, "Artist": {"value": "&lt;a href=\"//commons.wikimedia.org/w/index.php?title=User:Stefano_Vigorelli&amp;amp;action=edit&amp;amp;redlink=1\" class=\"new\" title=\"User:Stefano Vigorelli (page does not exist)\"&gt;Stefano Vigorelli&lt;/a&gt;",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"https://thumb.wikimedia.org/wikipedia/commons/thumb/2/2a/Casa_de_Pilatos%2C_Sevilla_SP%283%29.jpg/1280px-Casa_de_Pilatos%2C_Sevilla_SP%283%29.jpg"}, "retrieved_on": "2026-10-25"}</t>
        </is>
      </c>
    </row>
    <row r="229" ht="54" customHeight="1">
      <c r="A229" s="29" t="inlineStr">
        <is>
          <t>sevilla:evidence:real-fabrica-de-artilleria-02</t>
        </is>
      </c>
      <c r="B229" s="29" t="inlineStr">
        <is>
          <t>sevilla</t>
        </is>
      </c>
      <c r="C229" s="29" t="inlineStr">
        <is>
          <t>sevilla:photo:real-fabrica-de-artilleria-02</t>
        </is>
      </c>
      <c r="D229" s="29" t="inlineStr">
        <is>
          <t>https://commons.wikimedia.org/wiki/File:Portada_de_la_Real_F%C3%A1brica_de_Artiller%C3%ADa_de_Sevilla.JPG</t>
        </is>
      </c>
      <c r="E229" s="29" t="inlineStr">
        <is>
          <t>File:Portada de la Real Fábrica de Artillería de Sevilla.JPG</t>
        </is>
      </c>
      <c r="F229" s="29" t="inlineStr">
        <is>
          <t>CarlosVdeHabsburgo</t>
        </is>
      </c>
      <c r="G229" s="29" t="inlineStr">
        <is>
          <t>CC BY-SA 3.0</t>
        </is>
      </c>
      <c r="H229" s="29" t="inlineStr">
        <is>
          <t>https://creativecommons.org/licenses/by-sa/3.0/</t>
        </is>
      </c>
      <c r="I229" s="29" t="inlineStr">
        <is>
          <t>Creative Commons Attribution-Share Alike 3.0</t>
        </is>
      </c>
      <c r="J229" s="29" t="inlineStr">
        <is>
          <t>CarlosVdeHabsburgo · CC BY-SA 3.0 · Wikimedia Commons</t>
        </is>
      </c>
      <c r="K229" s="29" t="n"/>
      <c r="L229" s="49" t="n">
        <v>46320</v>
      </c>
      <c r="M229" s="29" t="inlineStr">
        <is>
          <t>Bekliyor</t>
        </is>
      </c>
      <c r="N229" s="29" t="inlineStr">
        <is>
          <t>Bekliyor</t>
        </is>
      </c>
      <c r="O229" s="29" t="inlineStr">
        <is>
          <t>Fotoğraflar/sevilla_real-fabrica-de-artilleria_02.jpg</t>
        </is>
      </c>
      <c r="P229" s="29" t="inlineStr">
        <is>
          <t>Real Fábrica de Artillería'nın saat kuleli barok giriş kapısı.</t>
        </is>
      </c>
      <c r="Q229" s="29" t="inlineStr">
        <is>
          <t>Bekliyor</t>
        </is>
      </c>
      <c r="R229" s="29" t="inlineStr">
        <is>
          <t>Wikimedia Commons dosya sayfasındaki lisans: CC BY-SA 3.0</t>
        </is>
      </c>
      <c r="S229" s="29" t="inlineStr">
        <is>
          <t>Lisans kanıtları/real-fabrica-de-artilleria-02.source-evidence.json</t>
        </is>
      </c>
      <c r="T229" s="29" t="inlineStr">
        <is>
          <t>31219f76192fe831104257104c854f519f5baad7cf0e47baf2555e102896eb45</t>
        </is>
      </c>
      <c r="U229" s="29" t="inlineStr">
        <is>
          <t>Lisans kanıtları/real-fabrica-de-artilleria-02.license-evidence.json</t>
        </is>
      </c>
      <c r="V229" s="29" t="inlineStr">
        <is>
          <t>f565fd5d1139d92830ae15b163ab1f2f551e664a32e9e9c771d09a2d35e31f1c</t>
        </is>
      </c>
      <c r="W229" s="29" t="inlineStr">
        <is>
          <t>{"source_url": "https://commons.wikimedia.org/wiki/File:Portada_de_la_Real_F%C3%A1brica_de_Artiller%C3%ADa_de_Sevilla.JPG", "author": "CarlosVdeHabsburgo", "license": "CC BY-SA 3.0", "license_url": "https://creativecommons.org/licenses/by-sa/3.0/", "original_api_record": {"size": 1796999, "width": 2304, "height": 3072, "thumburl": "https://thumb.wikimedia.org/wikipedia/commons/thumb/6/69/Portada_de_la_Real_F%C3%A1brica_de_Artiller%C3%ADa_de_Sevilla.JPG/1280px-Portada_de_la_Real_F%C3%A1brica_de_Artiller%C3%ADa_de_Sevilla.JPG", "thumbwidth": 1280, "thumbheight": 1707, "responsiveUrls": {"2": "https://upload.wikimedia.org/wikipedia/commons/6/69/Portada_de_la_Real_F%C3%A1brica_de_Artiller%C3%ADa_de_Sevilla.JPG"}, "thumbattribs": {"src": "https://thumb.wikimedia.org/wikipedia/commons/thumb/6/69/Portada_de_la_Real_F%C3%A1brica_de_Artiller%C3%ADa_de_Sevilla.JPG/1280px-Portada_de_la_Real_F%C3%A1brica_de_Artiller%C3%ADa_de_Sevilla.JPG", "decoding": "async", "loading": "lazy", "width": 1280, "height": 1707, "srcset": "https://upload.wikimedia.org/wikipedia/commons/6/69/Portada_de_la_Real_F%C3%A1brica_de_Artiller%C3%ADa_de_Sevilla.JPG 2x"}, "url": "https://upload.wikimedia.org/wikipedia/commons/6/69/Portada_de_la_Real_F%C3%A1brica_de_Artiller%C3%ADa_de_Sevilla.JPG", "descriptionurl": "https://commons.wikimedia.org/wiki/File:Portada_de_la_Real_F%C3%A1brica_de_Artiller%C3%ADa_de_Sevilla.JPG", "descriptionshorturl": "https://commons.wikimedia.org/w/index.php?curid=26414389", "sha1": "8c7f23b453825645130a03e698cffe40263e30bc", "extmetadata": {"DateTime": {"value": "2013-05-30 22:42:27", "source": "mediawiki-metadata", "hidden": ""}, "ObjectName": {"value": "Portada de la Real Fábrica de Artillería de Sevilla", "source": "mediawiki-metadata"}, "CommonsMetadataExtension": {"value": 1.2, "source": "extension", "hidden": ""}, "Categories": {"value": "Real Fábrica de Artillería, Seville|Self-published work|Cultural heritage monuments in Spain with known IDs|Cultural heritage monuments in Spain missing SDC location of creation|Cultural heritage monuments in Spain missing SDC depicts", "source": "commons-categories", "hidden": ""}, "Assessments": {"value": "", "source": "commons-categories", "hidden": ""}, "ImageDescription": {"value": "Portada de la Real Fábrica de Artillería de Sevilla. A los lados de la puerta están los nombres de Daoiz y Velarde, héroes del 2 de Mayo, además de ser los apodos de los dos leones del Congreso de los Diputados de España, que fueron realizados en esta fábrica.", "source": "commons-desc-page"}, "DateTimeOriginal": {"value": "2013",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"https://thumb.wikimedia.org/wikipedia/commons/thumb/6/69/Portada_de_la_Real_F%C3%A1brica_de_Artiller%C3%ADa_de_Sevilla.JPG/1280px-Portada_de_la_Real_F%C3%A1brica_de_Artiller%C3%ADa_de_Sevilla.JPG"}, "retrieved_on": "2026-10-25"}</t>
        </is>
      </c>
    </row>
    <row r="230" ht="54" customHeight="1">
      <c r="A230" s="29" t="inlineStr">
        <is>
          <t>sevilla:evidence:real-fabrica-de-artilleria-03</t>
        </is>
      </c>
      <c r="B230" s="29" t="inlineStr">
        <is>
          <t>sevilla</t>
        </is>
      </c>
      <c r="C230" s="29" t="inlineStr">
        <is>
          <t>sevilla:photo:real-fabrica-de-artilleria-03</t>
        </is>
      </c>
      <c r="D230" s="29" t="inlineStr">
        <is>
          <t>https://commons.wikimedia.org/wiki/File:Real_F%C3%A1brica_de_Artiller%C3%ADa_de_Sevilla.jpg</t>
        </is>
      </c>
      <c r="E230" s="29" t="inlineStr">
        <is>
          <t>File:Real Fábrica de Artillería de Sevilla.jpg</t>
        </is>
      </c>
      <c r="F230" s="29" t="inlineStr">
        <is>
          <t>CarlosVdeHabsburgo</t>
        </is>
      </c>
      <c r="G230" s="29" t="inlineStr">
        <is>
          <t>CC BY-SA 3.0</t>
        </is>
      </c>
      <c r="H230" s="29" t="inlineStr">
        <is>
          <t>https://creativecommons.org/licenses/by-sa/3.0/</t>
        </is>
      </c>
      <c r="I230" s="29" t="inlineStr">
        <is>
          <t>Creative Commons Attribution-Share Alike 3.0</t>
        </is>
      </c>
      <c r="J230" s="29" t="inlineStr">
        <is>
          <t>CarlosVdeHabsburgo · CC BY-SA 3.0 · Wikimedia Commons</t>
        </is>
      </c>
      <c r="K230" s="29" t="n"/>
      <c r="L230" s="49" t="n">
        <v>46320</v>
      </c>
      <c r="M230" s="29" t="inlineStr">
        <is>
          <t>Bekliyor</t>
        </is>
      </c>
      <c r="N230" s="29" t="inlineStr">
        <is>
          <t>Bekliyor</t>
        </is>
      </c>
      <c r="O230" s="29" t="inlineStr">
        <is>
          <t>Fotoğraflar/sevilla_real-fabrica-de-artilleria_03.jpg</t>
        </is>
      </c>
      <c r="P230" s="29" t="inlineStr">
        <is>
          <t>Real Fábrica de Artillería'nın bayraklı kulesi ve ağaçlar.</t>
        </is>
      </c>
      <c r="Q230" s="29" t="inlineStr">
        <is>
          <t>Bekliyor</t>
        </is>
      </c>
      <c r="R230" s="29" t="inlineStr">
        <is>
          <t>Wikimedia Commons dosya sayfasındaki lisans: CC BY-SA 3.0</t>
        </is>
      </c>
      <c r="S230" s="29" t="inlineStr">
        <is>
          <t>Lisans kanıtları/real-fabrica-de-artilleria-03.source-evidence.json</t>
        </is>
      </c>
      <c r="T230" s="29" t="inlineStr">
        <is>
          <t>586f683cde60c1678c35d5b753daa183c5a57b7cc2860fb814124b182244574c</t>
        </is>
      </c>
      <c r="U230" s="29" t="inlineStr">
        <is>
          <t>Lisans kanıtları/real-fabrica-de-artilleria-03.license-evidence.json</t>
        </is>
      </c>
      <c r="V230" s="29" t="inlineStr">
        <is>
          <t>2413f07b4ed087e49fb82c64859ac555742da56eb36119f4be3e6ce233dd9ba6</t>
        </is>
      </c>
      <c r="W230" s="29" t="inlineStr">
        <is>
          <t>{"source_url": "https://commons.wikimedia.org/wiki/File:Real_F%C3%A1brica_de_Artiller%C3%ADa_de_Sevilla.jpg", "author": "CarlosVdeHabsburgo", "license": "CC BY-SA 3.0", "license_url": "https://creativecommons.org/licenses/by-sa/3.0/", "original_api_record": {"size": 1283209, "width": 2304, "height": 2245, "thumburl": "https://thumb.wikimedia.org/wikipedia/commons/thumb/e/e1/Real_F%C3%A1brica_de_Artiller%C3%ADa_de_Sevilla.jpg/1280px-Real_F%C3%A1brica_de_Artiller%C3%ADa_de_Sevilla.jpg", "thumbwidth": 1280, "thumbheight": 1247, "responsiveUrls": {"2": "https://upload.wikimedia.org/wikipedia/commons/e/e1/Real_F%C3%A1brica_de_Artiller%C3%ADa_de_Sevilla.jpg"}, "thumbattribs": {"src": "https://thumb.wikimedia.org/wikipedia/commons/thumb/e/e1/Real_F%C3%A1brica_de_Artiller%C3%ADa_de_Sevilla.jpg/1280px-Real_F%C3%A1brica_de_Artiller%C3%ADa_de_Sevilla.jpg", "decoding": "async", "loading": "lazy", "width": 1280, "height": 1247, "srcset": "https://upload.wikimedia.org/wikipedia/commons/e/e1/Real_F%C3%A1brica_de_Artiller%C3%ADa_de_Sevilla.jpg 2x"}, "url": "https://upload.wikimedia.org/wikipedia/commons/e/e1/Real_F%C3%A1brica_de_Artiller%C3%ADa_de_Sevilla.jpg", "descriptionurl": "https://commons.wikimedia.org/wiki/File:Real_F%C3%A1brica_de_Artiller%C3%ADa_de_Sevilla.jpg", "descriptionshorturl": "https://commons.wikimedia.org/w/index.php?curid=26422521", "sha1": "46e5af598bde90c94b4c840e3ce9c2b63fd65ace", "extmetadata": {"DateTime": {"value": "2013-05-31 11:00:47", "source": "mediawiki-metadata", "hidden": ""}, "ObjectName": {"value": "Real Fábrica de Artillería de Sevilla", "source": "mediawiki-metadata"}, "CommonsMetadataExtension": {"value": 1.2, "source": "extension", "hidden": ""}, "Categories": {"value": "Real Fábrica de Artillería, Seville|Self-published work|2013 in Seville", "source": "commons-categories", "hidden": ""}, "Assessments": {"value": "", "source": "commons-categories", "hidden": ""}, "ImageDescription": {"value": "Vista de parte de la fachada delantera de la Real Fábrica de Artillería de Sevilla, en la calle Eduardo Dato", "source": "commons-desc-page"}, "DateTimeOriginal": {"value": "2013",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"https://thumb.wikimedia.org/wikipedia/commons/thumb/e/e1/Real_F%C3%A1brica_de_Artiller%C3%ADa_de_Sevilla.jpg/1280px-Real_F%C3%A1brica_de_Artiller%C3%ADa_de_Sevilla.jpg"}, "retrieved_on": "2026-10-25"}</t>
        </is>
      </c>
    </row>
    <row r="231" ht="54" customHeight="1">
      <c r="A231" s="29" t="inlineStr">
        <is>
          <t>sevilla:evidence:convento-de-santa-paula-03</t>
        </is>
      </c>
      <c r="B231" s="29" t="inlineStr">
        <is>
          <t>sevilla</t>
        </is>
      </c>
      <c r="C231" s="29" t="inlineStr">
        <is>
          <t>sevilla:photo:convento-de-santa-paula-03</t>
        </is>
      </c>
      <c r="D231" s="29" t="inlineStr">
        <is>
          <t>https://commons.wikimedia.org/wiki/File:Convento_de_Santa_Paula,_Sevilla._Espada%C3%B1a.jpg</t>
        </is>
      </c>
      <c r="E231" s="29" t="inlineStr">
        <is>
          <t>File:Convento de Santa Paula, Sevilla. Espadaña.jpg</t>
        </is>
      </c>
      <c r="F231" s="29" t="inlineStr">
        <is>
          <t>José Luis Filpo Cabana</t>
        </is>
      </c>
      <c r="G231" s="29" t="inlineStr">
        <is>
          <t>CC BY 4.0</t>
        </is>
      </c>
      <c r="H231" s="29" t="inlineStr">
        <is>
          <t>https://creativecommons.org/licenses/by/4.0/</t>
        </is>
      </c>
      <c r="I231" s="29" t="inlineStr">
        <is>
          <t>Creative Commons Attribution 4.0</t>
        </is>
      </c>
      <c r="J231" s="29" t="inlineStr">
        <is>
          <t>José Luis Filpo Cabana · CC BY 4.0 · Wikimedia Commons</t>
        </is>
      </c>
      <c r="K231" s="29" t="n"/>
      <c r="L231" s="49" t="n">
        <v>46320</v>
      </c>
      <c r="M231" s="29" t="inlineStr">
        <is>
          <t>Bekliyor</t>
        </is>
      </c>
      <c r="N231" s="29" t="inlineStr">
        <is>
          <t>Bekliyor</t>
        </is>
      </c>
      <c r="O231" s="29" t="inlineStr">
        <is>
          <t>Fotoğraflar/sevilla_convento-de-santa-paula_03.jpg</t>
        </is>
      </c>
      <c r="P231" s="29" t="inlineStr">
        <is>
          <t>Santa Paula Manastırı'nın tuğla çan tepeliği.</t>
        </is>
      </c>
      <c r="Q231" s="29" t="inlineStr">
        <is>
          <t>Bekliyor</t>
        </is>
      </c>
      <c r="R231" s="29" t="inlineStr">
        <is>
          <t>Wikimedia Commons dosya sayfasındaki lisans: CC BY 4.0</t>
        </is>
      </c>
      <c r="S231" s="29" t="inlineStr">
        <is>
          <t>Lisans kanıtları/convento-de-santa-paula-03.source-evidence.json</t>
        </is>
      </c>
      <c r="T231" s="29" t="inlineStr">
        <is>
          <t>f909902fb88b6f733f215725f1e265911108f141eafd4978b1e69893ab0d1357</t>
        </is>
      </c>
      <c r="U231" s="29" t="inlineStr">
        <is>
          <t>Lisans kanıtları/convento-de-santa-paula-03.license-evidence.json</t>
        </is>
      </c>
      <c r="V231" s="29" t="inlineStr">
        <is>
          <t>e4b51208808cd91dd32c1bd372dd7db152054b079699bf2316bd585d9fdac4e4</t>
        </is>
      </c>
      <c r="W231" s="29" t="inlineStr">
        <is>
          <t>{"source_url": "https://commons.wikimedia.org/wiki/File:Convento_de_Santa_Paula,_Sevilla._Espada%C3%B1a.jpg", "author": "José Luis Filpo Cabana", "license": "CC BY 4.0", "license_url": "https://creativecommons.org/licenses/by/4.0/", "original_api_record": {"size": 4009565, "width": 2601, "height": 3468, "thumburl": "https://thumb.wikimedia.org/wikipedia/commons/thumb/6/6a/Convento_de_Santa_Paula%2C_Sevilla._Espada%C3%B1a.jpg/1280px-Convento_de_Santa_Paula%2C_Sevilla._Espada%C3%B1a.jpg", "thumbwidth": 1280, "thumbheight": 1707, "responsiveUrls": {"2": "https://upload.wikimedia.org/wikipedia/commons/6/6a/Convento_de_Santa_Paula%2C_Sevilla._Espada%C3%B1a.jpg"}, "thumbattribs": {"src": "https://thumb.wikimedia.org/wikipedia/commons/thumb/6/6a/Convento_de_Santa_Paula%2C_Sevilla._Espada%C3%B1a.jpg/1280px-Convento_de_Santa_Paula%2C_Sevilla._Espada%C3%B1a.jpg", "decoding": "async", "loading": "lazy", "width": 1280, "height": 1707, "srcset": "https://upload.wikimedia.org/wikipedia/commons/6/6a/Convento_de_Santa_Paula%2C_Sevilla._Espada%C3%B1a.jpg 2x"}, "url": "https://upload.wikimedia.org/wikipedia/commons/6/6a/Convento_de_Santa_Paula%2C_Sevilla._Espada%C3%B1a.jpg", "descriptionurl": "https://commons.wikimedia.org/wiki/File:Convento_de_Santa_Paula,_Sevilla._Espada%C3%B1a.jpg", "descriptionshorturl": "https://commons.wikimedia.org/w/index.php?curid=49353803", "sha1": "d87dacf5c3cab948a577407590af59e26ea05e9b", "extmetadata": {"DateTime": {"value": "2022-02-04 07:42:35", "source": "mediawiki-metadata", "hidden": ""}, "ObjectName": {"value": "Convento de Santa Paula, Sevilla. Espadaña", "source": "mediawiki-metadata"}, "CommonsMetadataExtension": {"value": 1.2, "source": "extension", "hidden": ""}, "Categories": {"value": "GFDL|Exterior of the Convento de Santa Paula, Sevilla|License migration redundant|Self-published work|Bell gables in the province of Seville|Files with coordinates missing SDC location of creation", "source": "commons-categories", "hidden": ""}, "Assessments": {"value": "", "source": "commons-categories", "hidden": ""}, "GPSLatitude": {"value": "37.396178", "source": "commons-desc-page"}, "GPSLongitude": {"value": "-5.985986", "source": "commons-desc-page"}, "GPSMapDatum": {"value": "WGS-84", "source": "commons-desc-page", "hidden": ""}, "ImageDescription": {"value": "Obra de &lt;a href=\"https://es.wikipedia.org/wiki/Diego_L%C3%B3pez_Bueno\" class=\"extiw\" title=\"es:Diego López Bueno\"&gt;Diego López Bueno&lt;/a&gt; (h. 1623)", "source": "commons-desc-page"}, "DateTimeOriginal": {"value": "2016-05", "source": "commons-desc-page"}, "Credit": {"value": "&lt;span class=\"int-own-work\" lang=\"en\"&gt;Own work&lt;/span&gt;", "source": "commons-desc-page"}, "Artist": {"value": "José Luis Filpo Cabana", "source": "commons-desc-page"}, "LicenseShortName": {"value": "CC BY 4.0", "source": "commons-desc-page", "hidden": ""}, "UsageTerms": {"value": "Creative Commons Attribution 4.0", "source": "commons-desc-page"}, "AttributionRequired": {"value": "true", "source": "commons-desc-page", "hidden": ""}, "LicenseUrl": {"value": "https://creativecommons.org/licenses/by/4.0", "source": "commons-desc-page"}, "Copyrighted": {"value": "True", "source": "commons-desc-page", "hidden": ""}, "Restrictions": {"value": "", "source": "commons-desc-page", "hidden": ""}, "License": {"value": "cc-by-4.0", "source": "commons-templates", "hidden": ""}}, "mime": "image/jpeg"}, "delivered_file": {"url": "https://thumb.wikimedia.org/wikipedia/commons/thumb/6/6a/Convento_de_Santa_Paula%2C_Sevilla._Espada%C3%B1a.jpg/1280px-Convento_de_Santa_Paula%2C_Sevilla._Espada%C3%B1a.jpg"}, "retrieved_on": "2026-10-25"}</t>
        </is>
      </c>
    </row>
    <row r="232" ht="54" customHeight="1">
      <c r="A232" s="29" t="inlineStr">
        <is>
          <t>sevilla:evidence:iglesia-de-san-roman-03</t>
        </is>
      </c>
      <c r="B232" s="29" t="inlineStr">
        <is>
          <t>sevilla</t>
        </is>
      </c>
      <c r="C232" s="29" t="inlineStr">
        <is>
          <t>sevilla:photo:iglesia-de-san-roman-03</t>
        </is>
      </c>
      <c r="D232" s="29" t="inlineStr">
        <is>
          <t>https://commons.wikimedia.org/wiki/File:Iglesia_de_san_roman_2018001.jpg</t>
        </is>
      </c>
      <c r="E232" s="29" t="inlineStr">
        <is>
          <t>File:Iglesia de san roman 2018001.jpg</t>
        </is>
      </c>
      <c r="F232" s="29" t="inlineStr">
        <is>
          <t>Anual</t>
        </is>
      </c>
      <c r="G232" s="29" t="inlineStr">
        <is>
          <t>CC BY-SA 4.0</t>
        </is>
      </c>
      <c r="H232" s="29" t="inlineStr">
        <is>
          <t>https://creativecommons.org/licenses/by-sa/4.0/</t>
        </is>
      </c>
      <c r="I232" s="29" t="inlineStr">
        <is>
          <t>Creative Commons Attribution-Share Alike 4.0</t>
        </is>
      </c>
      <c r="J232" s="29" t="inlineStr">
        <is>
          <t>Anual · CC BY-SA 4.0 · Wikimedia Commons</t>
        </is>
      </c>
      <c r="K232" s="29" t="n"/>
      <c r="L232" s="49" t="n">
        <v>46320</v>
      </c>
      <c r="M232" s="29" t="inlineStr">
        <is>
          <t>Bekliyor</t>
        </is>
      </c>
      <c r="N232" s="29" t="inlineStr">
        <is>
          <t>Bekliyor</t>
        </is>
      </c>
      <c r="O232" s="29" t="inlineStr">
        <is>
          <t>Fotoğraflar/sevilla_iglesia-de-san-roman_03.jpg</t>
        </is>
      </c>
      <c r="P232" s="29" t="inlineStr">
        <is>
          <t>San Román Kilisesi'nin taş cephesi, gül penceresi ve kulesi.</t>
        </is>
      </c>
      <c r="Q232" s="29" t="inlineStr">
        <is>
          <t>Bekliyor</t>
        </is>
      </c>
      <c r="R232" s="29" t="inlineStr">
        <is>
          <t>Wikimedia Commons dosya sayfasındaki lisans: CC BY-SA 4.0</t>
        </is>
      </c>
      <c r="S232" s="29" t="inlineStr">
        <is>
          <t>Lisans kanıtları/iglesia-de-san-roman-03.source-evidence.json</t>
        </is>
      </c>
      <c r="T232" s="29" t="inlineStr">
        <is>
          <t>289989b22c34814b8337aee91eb9e8f106258d0b2e5d1f119c6a3e56873ff8ec</t>
        </is>
      </c>
      <c r="U232" s="29" t="inlineStr">
        <is>
          <t>Lisans kanıtları/iglesia-de-san-roman-03.license-evidence.json</t>
        </is>
      </c>
      <c r="V232" s="29" t="inlineStr">
        <is>
          <t>6c71f635811c78c4387b491b7aa5aae8b042f50e312f15210e48c57897df13b6</t>
        </is>
      </c>
      <c r="W232" s="29" t="inlineStr">
        <is>
          <t>{"source_url": "https://commons.wikimedia.org/wiki/File:Iglesia_de_san_roman_2018001.jpg", "author": "Anual", "license": "CC BY-SA 4.0", "license_url": "https://creativecommons.org/licenses/by-sa/4.0/", "original_api_record": {"size": 9672979, "width": 6000, "height": 4000, "thumburl": "https://thumb.wikimedia.org/wikipedia/commons/thumb/f/f8/Iglesia_de_san_roman_2018001.jpg/1280px-Iglesia_de_san_roman_2018001.jpg", "thumbwidth": 1280, "thumbheight": 853, "responsiveUrls": {"2": "https://thumb.wikimedia.org/wikipedia/commons/thumb/f/f8/Iglesia_de_san_roman_2018001.jpg/3840px-Iglesia_de_san_roman_2018001.jpg"}, "thumbattribs": {"src": "https://thumb.wikimedia.org/wikipedia/commons/thumb/f/f8/Iglesia_de_san_roman_2018001.jpg/1280px-Iglesia_de_san_roman_2018001.jpg", "decoding": "async", "loading": "lazy", "width": 1280, "height": 853, "srcset": "https://thumb.wikimedia.org/wikipedia/commons/thumb/f/f8/Iglesia_de_san_roman_2018001.jpg/3840px-Iglesia_de_san_roman_2018001.jpg 2x"}, "url": "https://upload.wikimedia.org/wikipedia/commons/f/f8/Iglesia_de_san_roman_2018001.jpg", "descriptionurl": "https://commons.wikimedia.org/wiki/File:Iglesia_de_san_roman_2018001.jpg", "descriptionshorturl": "https://commons.wikimedia.org/w/index.php?curid=67847992", "sha1": "3abbb545793dbf66fbd812deb7ddba2be9944d02", "extmetadata": {"DateTime": {"value": "2018-03-30 17:15:33", "source": "mediawiki-metadata", "hidden": ""}, "ObjectName": {"value": "Iglesia de san roman 2018001", "source": "mediawiki-metadata"}, "CommonsMetadataExtension": {"value": 1.2, "source": "extension", "hidden": ""}, "Categories": {"value": "Self-published work|March 2018 in Seville|Exterior of the Iglesia de San Román (Sevilla)", "source": "commons-categories", "hidden": ""}, "Assessments": {"value": "", "source": "commons-categories", "hidden": ""}, "ImageDescription": {"value": "Exterior de la iglesia de San Román de Sevilla.", "source": "commons-desc-page"}, "DateTimeOriginal": {"value": "2018-03-30", "source": "commons-desc-page"}, "Credit": {"value": "&lt;span class=\"int-own-work\" lang=\"en\"&gt;Own work&lt;/span&gt;", "source": "commons-desc-page"}, "Artist": {"value": "&lt;a href=\"//commons.wikimedia.org/wiki/User:Anual\" title=\"User:Anual\"&gt;Anual&lt;/a&gt;",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"https://thumb.wikimedia.org/wikipedia/commons/thumb/f/f8/Iglesia_de_san_roman_2018001.jpg/1280px-Iglesia_de_san_roman_2018001.jpg"}, "retrieved_on": "2026-10-25"}</t>
        </is>
      </c>
    </row>
    <row r="233" ht="54" customHeight="1">
      <c r="A233" s="29" t="inlineStr">
        <is>
          <t>sevilla:evidence:santa-cruz-03</t>
        </is>
      </c>
      <c r="B233" s="29" t="inlineStr">
        <is>
          <t>sevilla</t>
        </is>
      </c>
      <c r="C233" s="29" t="inlineStr">
        <is>
          <t>sevilla:photo:santa-cruz-03</t>
        </is>
      </c>
      <c r="D233" s="29" t="inlineStr">
        <is>
          <t>https://commons.wikimedia.org/wiki/File:Patio_Seville_-_panoramio.jpg</t>
        </is>
      </c>
      <c r="E233" s="29" t="inlineStr">
        <is>
          <t>File:Patio Seville - panoramio.jpg</t>
        </is>
      </c>
      <c r="F233" s="29" t="inlineStr">
        <is>
          <t>Rogier Want</t>
        </is>
      </c>
      <c r="G233" s="29" t="inlineStr">
        <is>
          <t>CC BY-SA 3.0</t>
        </is>
      </c>
      <c r="H233" s="29" t="inlineStr">
        <is>
          <t>https://creativecommons.org/licenses/by-sa/3.0/</t>
        </is>
      </c>
      <c r="I233" s="29" t="inlineStr">
        <is>
          <t>Creative Commons Attribution-Share Alike 3.0</t>
        </is>
      </c>
      <c r="J233" s="29" t="inlineStr">
        <is>
          <t>Rogier Want · CC BY-SA 3.0 · Wikimedia Commons</t>
        </is>
      </c>
      <c r="K233" s="29" t="n"/>
      <c r="L233" s="49" t="n">
        <v>46320</v>
      </c>
      <c r="M233" s="29" t="inlineStr">
        <is>
          <t>Bekliyor</t>
        </is>
      </c>
      <c r="N233" s="29" t="inlineStr">
        <is>
          <t>Bekliyor</t>
        </is>
      </c>
      <c r="O233" s="29" t="inlineStr">
        <is>
          <t>Fotoğraflar/sevilla_santa-cruz_03.jpg</t>
        </is>
      </c>
      <c r="P233" s="29" t="inlineStr">
        <is>
          <t>Santa Cruz'da saksı çiçekleriyle dolu bir iç avlu.</t>
        </is>
      </c>
      <c r="Q233" s="29" t="inlineStr">
        <is>
          <t>Bekliyor</t>
        </is>
      </c>
      <c r="R233" s="29" t="inlineStr">
        <is>
          <t>Wikimedia Commons dosya sayfasındaki lisans: CC BY-SA 3.0</t>
        </is>
      </c>
      <c r="S233" s="29" t="inlineStr">
        <is>
          <t>Lisans kanıtları/santa-cruz-03.source-evidence.json</t>
        </is>
      </c>
      <c r="T233" s="29" t="inlineStr">
        <is>
          <t>2bcf3fd41b30eb95067d33e8f710927b57f6ab0dd75a8b746fd263562e081687</t>
        </is>
      </c>
      <c r="U233" s="29" t="inlineStr">
        <is>
          <t>Lisans kanıtları/santa-cruz-03.license-evidence.json</t>
        </is>
      </c>
      <c r="V233" s="29" t="inlineStr">
        <is>
          <t>633a2176d56967ebe8065e03f6810d68af4e02a72ce8ca27332cea8e822d0519</t>
        </is>
      </c>
      <c r="W233" s="29" t="inlineStr">
        <is>
          <t>{"source_url": "https://commons.wikimedia.org/wiki/File:Patio_Seville_-_panoramio.jpg", "author": "Rogier Want", "license": "CC BY-SA 3.0", "license_url": "https://creativecommons.org/licenses/by-sa/3.0/", "original_api_record": {"size": 2040002, "width": 4000, "height": 3000, "thumburl": "https://thumb.wikimedia.org/wikipedia/commons/thumb/c/c4/Patio_Seville_-_panoramio.jpg/1280px-Patio_Seville_-_panoramio.jpg", "thumbwidth": 1280, "thumbheight": 960, "responsiveUrls": {"2": "https://thumb.wikimedia.org/wikipedia/commons/thumb/c/c4/Patio_Seville_-_panoramio.jpg/3840px-Patio_Seville_-_panoramio.jpg"}, "thumbattribs": {"src": "https://thumb.wikimedia.org/wikipedia/commons/thumb/c/c4/Patio_Seville_-_panoramio.jpg/1280px-Patio_Seville_-_panoramio.jpg", "decoding": "async", "loading": "lazy", "width": 1280, "height": 960, "srcset": "https://thumb.wikimedia.org/wikipedia/commons/thumb/c/c4/Patio_Seville_-_panoramio.jpg/3840px-Patio_Seville_-_panoramio.jpg 2x"}, "url": "https://upload.wikimedia.org/wikipedia/commons/c/c4/Patio_Seville_-_panoramio.jpg", "descriptionurl": "https://commons.wikimedia.org/wiki/File:Patio_Seville_-_panoramio.jpg", "descriptionshorturl": "https://commons.wikimedia.org/w/index.php?curid=59027356", "sha1": "72df9a51c23e5c26c5cc98644efd8f42d9a544c5", "extmetadata": {"DateTime": {"value": "2017-05-18 09:54:13", "source": "mediawiki-metadata", "hidden": ""}, "ObjectName": {"value": "Patio Seville - panoramio", "source": "mediawiki-metadata"}, "CommonsMetadataExtension": {"value": 1.2, "source": "extension", "hidden": ""}, "Categories": {"value": "Santa Cruz, Seville|Panoramio files uploaded by Panoramio upload bot|Callejón del Agua, Seville|Panoramio images reviewed by trusted users|Photos from Panoramio|Files with coordinates missing SDC location of creation|Spain photographs taken on 2013-11-09|Photos from Panoramio ID 7020820", "source": "commons-categories", "hidden": ""}, "Assessments": {"value": "", "source": "commons-categories", "hidden": ""}, "GPSLatitude": {"value": "37.384562", "source": "commons-desc-page"}, "GPSLongitude": {"value": "-5.989330", "source": "commons-desc-page"}, "GPSMapDatum": {"value": "WGS-84", "source": "commons-desc-page", "hidden": ""}, "ImageDescription": {"value": "Patio Seville", "source": "commons-desc-page"}, "DateTimeOriginal": {"value": "Taken on 9 November 2013", "source": "commons-desc-page"}, "Credit": {"value": "&lt;a rel=\"nofollow\" class=\"external free\" href=\"https://web.archive.org/web/20161102201114/http://www.panoramio.com/photo/115602274\"&gt;https://web.archive.org/web/20161102201114/http://www.panoramio.com/photo/115602274&lt;/a&gt;", "source": "commons-desc-page"}, "Artist": {"value": "&lt;a rel=\"nofollow\" class=\"external text\" href=\"https://web.archive.org/web/20161102201115/http://www.panoramio.com/user/7020820?with_photo_id=115602274\"&gt;Rogier Want&lt;/a&gt;", "source": "commons-desc-page"}, "Permission": {"value": "&lt;div class=\"responsive-license-cc layouttemplate licensetpl\" dir=\"ltr\" lang=\"en\"&gt;&lt;div class=\"rlicense-icons\"&gt;&lt;span class=\"skin-invert\" typeof=\"mw:File\"&gt;&lt;span title=\"w:en:Creative Commons\"&gt;&lt;img alt=\"w:en:Creative Commons\" src=\"https://thumb.wikimedia.org/wikipedia/commons/thumb/7/79/CC_some_rights_reserved.svg/120px-CC_some_rights_reserved.svg.png?utm_source=commons.wikimedia.org&amp;amp;utm_campaign=parser&amp;amp;utm_content=thumbnail\" decoding=\"async\" loading=\"lazy\" width=\"90\" height=\"36\" class=\"mw-file-element\" srcset=\"https://thumb.wikimedia.org/wikipedia/commons/thumb/7/79/CC_some_rights_reserved.svg/250px-CC_some_rights_reserved.svg.png?utm_source=commons.wikimedia.org&amp;amp;utm_campaign=parser&amp;amp;utm_content=thumbnail 2x\" data-file-width=\"744\" data-file-height=\"300\"&gt;&lt;/span&gt;&lt;/span&gt;&lt;br&gt;\n&lt;span class=\"skin-invert\" typeof=\"mw:File\"&gt;&lt;span title=\"attribution\"&gt;&lt;img alt=\"attribution\" src=\"https://thumb.wikimedia.org/wikipedia/commons/thumb/1/11/Cc-by_new_white.svg/40px-Cc-by_new_white.svg.png?utm_source=commons.wikimedia.org&amp;amp;utm_campaign=parser&amp;amp;utm_content=thumbnail\" decoding=\"async\" loading=\"lazy\" width=\"24\" height=\"24\" class=\"mw-file-element\" srcset=\"https://thumb.wikimedia.org/wikipedia/commons/thumb/1/11/Cc-by_new_white.svg/60px-Cc-by_new_white.svg.png?utm_source=commons.wikimedia.org&amp;amp;utm_campaign=parser&amp;amp;utm_content=thumbnail 2x\" data-file-width=\"64\" data-file-height=\"64\"&gt;&lt;/span&gt;&lt;/span&gt; &lt;span class=\"skin-invert\" typeof=\"mw:File\"&gt;&lt;span title=\"share alike\"&gt;&lt;img alt=\"share alike\" src=\"https://thumb.wikimedia.org/wikipedia/commons/thumb/d/df/Cc-sa_white.svg/40px-Cc-sa_white.svg.png?utm_source=commons.wikimedia.org&amp;amp;utm_campaign=parser&amp;amp;utm_content=thumbnail\" decoding=\"async\" loading=\"lazy\" width=\"24\" height=\"24\" class=\"mw-file-element\" srcset=\"https://thumb.wikimedia.org/wikipedia/commons/thumb/d/df/Cc-sa_white.svg/60px-Cc-sa_white.svg.png?utm_source=commons.wikimedia.org&amp;amp;utm_campaign=parser&amp;amp;utm_content=thumbnail 2x\" data-file-width=\"64\" data-file-height=\"64\"&gt;&lt;/span&gt;&lt;/span&gt;&lt;/div&gt;&lt;div class=\"rlicense-text\"&gt;&lt;div class=\"rlicense-declaration\"&gt;This file is licensed under the &lt;a href=\"https://en.wikipedia.org/wiki/en:Creative_Commons\" class=\"extiw\" title=\"w:en:Creative Commons\"&gt;Creative Commons&lt;/a&gt; &lt;a href=\"//creativecommons.org/licenses/by-sa/3.0/deed.en\" class=\"extiw\" title=\"creativecommons:by-sa/3.0/deed.en\"&gt;Attribution-Share Alike 3.0 Unported&lt;/a&gt; license.&lt;/div&gt;&lt;div class=\"rlicense-attr\" style=\"font-weight: bold;\"&gt;Attribution: &lt;div style=\"display:inline;font-size:larger;\" class=\"licensetpl_attr\"&gt;Rogier Want&lt;/div&gt;&lt;/div&gt;&lt;div class=\"rlicense-desc\" style=\"text-align:start;\" lang=\"en\"&gt;\n&lt;dl&gt;&lt;dd&gt;You are free:\n&lt;ul&gt;&lt;li&gt;&lt;b&gt;to share&lt;/b&gt; – to copy, distribute and transmit the work&lt;/li&gt;\n&lt;li&gt;&lt;b&gt;to remix&lt;/b&gt; – to adapt the work&lt;/li&gt;&lt;/ul&gt;&lt;/dd&gt;\n&lt;dd&gt;Under the following conditions:\n&lt;ul&gt;&lt;li&gt;&lt;b&gt;attribution&lt;/b&gt; – You must give appropriate credit, provide a link to the license, and indicate if changes were made. You may do so in any reasonable manner, but not in any way that suggests the licensor endorses you or your use.&lt;/li&gt;\n&lt;li&gt;&lt;b&gt;share alike&lt;/b&gt; – If you remix, transform, or build upon the material, you must distribute your contributions under the &lt;a href=\"https://creativecommons.org/share-your-work/licensing-considerations/compatible-licenses\" class=\"extiw\" title=\"ccorg:share-your-work/licensing-considerations/compatible-licenses\"&gt;same or compatible license&lt;/a&gt; as the original.&lt;/li&gt;&lt;/ul&gt;&lt;/dd&gt;&lt;/dl&gt;&lt;/div&gt;&lt;span class=\"licensetpl_link\" style=\"display:none;\"&gt;https://creativecommons.org/licenses/by-sa/3.0&lt;/span&gt;&lt;span class=\"licensetpl_short\" style=\"display:none;\"&gt;CC BY-SA 3.0 &lt;/span&gt;&lt;span class=\"licensetpl_long\" style=\"display:none;\"&gt;Creative Commons Attribution-Share Alike 3.0 &lt;/span&gt;&lt;span class=\"licensetpl_link_req\" style=\"display:none;\"&gt;true&lt;/span&gt;&lt;span class=\"licensetpl_attr_req\" style=\"display:none;\"&gt;true&lt;/span&gt;&lt;/div&gt;&lt;/div&gt;\n&lt;style data-mw-deduplicate=\"TemplateStyles:r901585720\"&gt;.mw-parser-output .panoramioreview{width:100%;margin:0.5em 0;background-color:var(--background-color-warning-subtle,#fffff0);padding:5px;border:1px solid var(--border-color-warning,#aa8);color:inherit}.mw-parser-output .panoramioreview-failed{background-color:var(--background-color-error-subtle,#fcc);color:inherit}.mw-parser-output .panoramioreview-passed{background-color:var(--background-color-success-subtle,#efe);color:inherit}&lt;/style&gt;\n&lt;table class=\"panoramioreview panoramioreview-passed\" lang=\"en\" dir=\"ltr\"&gt;\n\n&lt;tbody&gt;&lt;tr&gt;\n&lt;td&gt;&lt;span typeof=\"mw:File\"&gt;&lt;span&gt;&lt;img alt=\"\" src=\"https://thumb.wikimedia.org/wikipedia/commons/thumb/9/95/Checked_copyright_icon.svg/60px-Checked_copyright_icon.svg.png?utm_source=commons.wikimedia.org&amp;amp;utm_campaign=parser&amp;amp;utm_content=thumbnail\" decoding=\"async\" loading=\"lazy\" width=\"50\" height=\"48\" class=\"mw-file-element\" srcset=\"https://thumb.wikimedia.org/wikipedia/commons/thumb/9/95/Checked_copyright_icon.svg/120px-Checked_copyright_icon.svg.png?utm_source=commons.wikimedia.org&amp;amp;utm_campaign=parser&amp;amp;utm_content=thumbnail 2x\" data-file-width=\"160\" data-file-height=\"153\"&gt;&lt;/span&gt;&lt;/span&gt;\n&lt;/td&gt;\n&lt;td&gt;This image, which was originally posted to &lt;b&gt;&lt;span lang=\"en\" dir=\"ltr\"&gt;&lt;a href=\"https://en.wikipedia.org/wiki/Panoramio\" class=\"extiw\" title=\"en:Panoramio\"&gt;Panoramio&lt;/a&gt;&lt;/span&gt;&lt;/b&gt;, was automatically reviewed on 18 May 2017 by &lt;b&gt;&lt;a href=\"//commons.wikimedia.org/wiki/User:Panoramio_upload_bot\" title=\"User:Panoramio upload bot\"&gt;Panoramio upload bot&lt;/a&gt;&lt;/b&gt;, who confirmed that it was available on Panoramio under the above license on that date.\n&lt;/td&gt;\n&lt;td&gt;&lt;span typeof=\"mw:File\"&gt;&lt;a href=\"//commons.wikimedia.org/wiki/File:Star_and_ring.svg\" class=\"mw-file-description\"&gt;&lt;img src=\"https://thumb.wikimedia.org/wikipedia/commons/thumb/9/98/Star_and_ring.svg/60px-Star_and_ring.svg.png?utm_source=commons.wikimedia.org&amp;amp;utm_campaign=parser&amp;amp;utm_content=thumbnail\" decoding=\"async\" loading=\"lazy\" width=\"50\" height=\"50\" class=\"mw-file-element\" srcset=\"https://thumb.wikimedia.org/wikipedia/commons/thumb/9/98/Star_and_ring.svg/120px-Star_and_ring.svg.png?utm_source=commons.wikimedia.org&amp;amp;utm_campaign=parser&amp;amp;utm_content=thumbnail 2x\" data-file-width=\"75\" data-file-height=\"75\"&gt;&lt;/a&gt;&lt;/span&gt;\n&lt;/td&gt;&lt;/tr&gt;&lt;/tbody&gt;&lt;/table&gt;", "source": "commons-desc-page", "hidden": ""}, "LicenseShortName": {"value": "CC BY-SA 3.0", "source": "commons-desc-page", "hidden": ""}, "UsageTerms": {"value": "Creative Commons Attribution-Share Alike 3.0", "source": "commons-desc-page"}, "AttributionRequired": {"value": "true", "source": "commons-desc-page", "hidden": ""}, "Attribution": {"value": "Rogier Want",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"https://thumb.wikimedia.org/wikipedia/commons/thumb/c/c4/Patio_Seville_-_panoramio.jpg/1280px-Patio_Seville_-_panoramio.jpg"}, "retrieved_on": "2026-10-25"}</t>
        </is>
      </c>
    </row>
    <row r="234" ht="54" customHeight="1">
      <c r="A234" s="29" t="inlineStr">
        <is>
          <t>sevilla:evidence:el-arenal-03</t>
        </is>
      </c>
      <c r="B234" s="29" t="inlineStr">
        <is>
          <t>sevilla</t>
        </is>
      </c>
      <c r="C234" s="29" t="inlineStr">
        <is>
          <t>sevilla:photo:el-arenal-03</t>
        </is>
      </c>
      <c r="D234" s="29" t="inlineStr">
        <is>
          <t>https://commons.wikimedia.org/wiki/File:Sevilla_Barrio_Santa_Cruz_(25574119).jpeg</t>
        </is>
      </c>
      <c r="E234" s="29" t="inlineStr">
        <is>
          <t>File:Sevilla Barrio Santa Cruz (25574119).jpeg</t>
        </is>
      </c>
      <c r="F234" s="29" t="inlineStr">
        <is>
          <t>Heinz Joerg Kretschmer</t>
        </is>
      </c>
      <c r="G234" s="29" t="inlineStr">
        <is>
          <t>CC BY 3.0</t>
        </is>
      </c>
      <c r="H234" s="29" t="inlineStr">
        <is>
          <t>https://creativecommons.org/licenses/by/3.0/</t>
        </is>
      </c>
      <c r="I234" s="29" t="inlineStr">
        <is>
          <t>Creative Commons Attribution 3.0</t>
        </is>
      </c>
      <c r="J234" s="29" t="inlineStr">
        <is>
          <t>Heinz Joerg Kretschmer · CC BY 3.0 · Wikimedia Commons</t>
        </is>
      </c>
      <c r="K234" s="29" t="n"/>
      <c r="L234" s="49" t="n">
        <v>46320</v>
      </c>
      <c r="M234" s="29" t="inlineStr">
        <is>
          <t>Bekliyor</t>
        </is>
      </c>
      <c r="N234" s="29" t="inlineStr">
        <is>
          <t>Bekliyor</t>
        </is>
      </c>
      <c r="O234" s="29" t="inlineStr">
        <is>
          <t>Fotoğraflar/sevilla_el-arenal_03.jpg</t>
        </is>
      </c>
      <c r="P234" s="29" t="inlineStr">
        <is>
          <t>El Arenal'de beyaz-sarı evler ve palmiye ağacıyla bir sokak.</t>
        </is>
      </c>
      <c r="Q234" s="29" t="inlineStr">
        <is>
          <t>Bekliyor</t>
        </is>
      </c>
      <c r="R234" s="29" t="inlineStr">
        <is>
          <t>Wikimedia Commons dosya sayfasındaki lisans: CC BY 3.0</t>
        </is>
      </c>
      <c r="S234" s="29" t="inlineStr">
        <is>
          <t>Lisans kanıtları/el-arenal-03.source-evidence.json</t>
        </is>
      </c>
      <c r="T234" s="29" t="inlineStr">
        <is>
          <t>2e33765e6177a7af2aaf2a2e19340328c946dd08125b38f545f228c68602cbed</t>
        </is>
      </c>
      <c r="U234" s="29" t="inlineStr">
        <is>
          <t>Lisans kanıtları/el-arenal-03.license-evidence.json</t>
        </is>
      </c>
      <c r="V234" s="29" t="inlineStr">
        <is>
          <t>6a473fed2e2e15ae6241148cc57e0540a21ce7c8efb2437d5e42bee0b1fdfde3</t>
        </is>
      </c>
      <c r="W234" s="29" t="inlineStr">
        <is>
          <t>{"source_url": "https://commons.wikimedia.org/wiki/File:Sevilla_Barrio_Santa_Cruz_(25574119).jpeg", "author": "Heinz Joerg Kretschmer", "license": "CC BY 3.0", "license_url": "https://creativecommons.org/licenses/by/3.0/", "original_api_record": {"size": 546961, "width": 2048, "height": 1536, "thumburl": "https://thumb.wikimedia.org/wikipedia/commons/thumb/f/f5/Sevilla_Barrio_Santa_Cruz_%2825574119%29.jpeg/1280px-Sevilla_Barrio_Santa_Cruz_%2825574119%29.jpeg", "thumbwidth": 1280, "thumbheight": 960, "responsiveUrls": {"2": "https://upload.wikimedia.org/wikipedia/commons/f/f5/Sevilla_Barrio_Santa_Cruz_%2825574119%29.jpeg"}, "thumbattribs": {"src": "https://thumb.wikimedia.org/wikipedia/commons/thumb/f/f5/Sevilla_Barrio_Santa_Cruz_%2825574119%29.jpeg/1280px-Sevilla_Barrio_Santa_Cruz_%2825574119%29.jpeg", "decoding": "async", "loading": "lazy", "width": 1280, "height": 960, "srcset": "https://upload.wikimedia.org/wikipedia/commons/f/f5/Sevilla_Barrio_Santa_Cruz_%2825574119%29.jpeg 2x"}, "url": "https://upload.wikimedia.org/wikipedia/commons/f/f5/Sevilla_Barrio_Santa_Cruz_%2825574119%29.jpeg", "descriptionurl": "https://commons.wikimedia.org/wiki/File:Sevilla_Barrio_Santa_Cruz_(25574119).jpeg", "descriptionshorturl": "https://commons.wikimedia.org/w/index.php?curid=71303242", "sha1": "c2e492b1caeebae0517e5c045b0c5b3071f219d0", "extmetadata": {"DateTime": {"value": "2018-08-03 12:10:11", "source": "mediawiki-metadata", "hidden": ""}, "ObjectName": {"value": "&lt;div class=\"fn\"&gt;\nSevilla Barrio Santa Cruz&lt;/div&gt;", "source": "commons-desc-page"}, "CommonsMetadataExtension": {"value": 1.2, "source": "extension", "hidden": ""}, "Categories": {"value": "El Arenal, Seville|Files with coordinates missing SDC location of creation|Photos imported with import-500px", "source": "commons-categories", "hidden": ""}, "Assessments": {"value": "", "source": "commons-categories", "hidden": ""}, "GPSLatitude": {"value": "37.387250", "source": "commons-desc-page"}, "GPSLongitude": {"value": "-5.995560", "source": "commons-desc-page"}, "GPSMapDatum": {"value": "WGS-84", "source": "commons-desc-page", "hidden": ""}, "Artist": {"value": "&lt;div class=\"fn value\"&gt;\n&lt;a rel=\"nofollow\" class=\"external text\" href=\"https://500px.com/hjkret\"&gt;Heinz Joerg Kretschmer&lt;/a&gt;&lt;/div&gt;", "source": "commons-desc-page"}, "ImageDescription": {"value": "&lt;div class=\"description\"&gt;\n500px provided description: Sevilla Barrio Santa Cruz [#Spain ,#Andalucia ,#Sevilla ,#Andalusia ,#Andalusien]&lt;/div&gt;", "source": "commons-desc-page"}, "DateTimeOriginal": {"value": "10 April 2007, 18:20:13 (UTC)", "source": "commons-desc-page"}, "Credit": {"value": "Imported from &lt;a rel=\"nofollow\" class=\"external text\" href=\"https://500px.com/photo/25574119/sevilla-barrio-santa-cruz-by-heinz-joerg-kretschmer\"&gt;500px&lt;/a&gt; (&lt;a rel=\"nofollow\" class=\"external text\" href=\"https://web.archive.org/web/201807id_/https://drscdn.500px.org/photo/25574119/m%3D2048/v2?webp=true&amp;amp;sig=45d5577263732d481c872688e5e34680b35d0fce52b73956b46b1a0601c251e9\"&gt;archived version&lt;/a&gt;) by &lt;a rel=\"nofollow\" class=\"external text\" href=\"https://www.archiveteam.org/index.php?title=500px\"&gt;the Archive Team&lt;/a&gt;. (&lt;a href=\"https://iw.toolforge.org/import-500px/photo/25574119\" class=\"extiw\" title=\"toolforge:import-500px/photo/25574119\"&gt;detail page&lt;/a&gt;)", "source": "commons-desc-page"}, "Permission": {"value": "&lt;div class=\"responsive-license-cc layouttemplate licensetpl\" dir=\"ltr\" lang=\"en\"&gt;&lt;div class=\"rlicense-icons\"&gt;&lt;span class=\"skin-invert\" typeof=\"mw:File\"&gt;&lt;span title=\"w:en:Creative Commons\"&gt;&lt;img alt=\"w:en:Creative Commons\" src=\"https://thumb.wikimedia.org/wikipedia/commons/thumb/7/79/CC_some_rights_reserved.svg/120px-CC_some_rights_reserved.svg.png?utm_source=commons.wikimedia.org&amp;amp;utm_campaign=parser&amp;amp;utm_content=thumbnail\" decoding=\"async\" loading=\"lazy\" width=\"90\" height=\"36\" class=\"mw-file-element\" srcset=\"https://thumb.wikimedia.org/wikipedia/commons/thumb/7/79/CC_some_rights_reserved.svg/250px-CC_some_rights_reserved.svg.png?utm_source=commons.wikimedia.org&amp;amp;utm_campaign=parser&amp;amp;utm_content=thumbnail 2x\" data-file-width=\"744\" data-file-height=\"300\"&gt;&lt;/span&gt;&lt;/span&gt;&lt;br&gt;\n&lt;span class=\"skin-invert\" typeof=\"mw:File\"&gt;&lt;span title=\"attribution\"&gt;&lt;img alt=\"attribution\" src=\"https://thumb.wikimedia.org/wikipedia/commons/thumb/1/11/Cc-by_new_white.svg/40px-Cc-by_new_white.svg.png?utm_source=commons.wikimedia.org&amp;amp;utm_campaign=parser&amp;amp;utm_content=thumbnail\" decoding=\"async\" loading=\"lazy\" width=\"24\" height=\"24\" class=\"mw-file-element\" srcset=\"https://thumb.wikimedia.org/wikipedia/commons/thumb/1/11/Cc-by_new_white.svg/60px-Cc-by_new_white.svg.png?utm_source=commons.wikimedia.org&amp;amp;utm_campaign=parser&amp;amp;utm_content=thumbnail 2x\" data-file-width=\"64\" data-file-height=\"64\"&gt;&lt;/span&gt;&lt;/span&gt;&lt;/div&gt;&lt;div class=\"rlicense-text\"&gt;&lt;div class=\"rlicense-declaration\"&gt;This file is licensed under the &lt;a href=\"https://en.wikipedia.org/wiki/en:Creative_Commons\" class=\"extiw\" title=\"w:en:Creative Commons\"&gt;Creative Commons&lt;/a&gt; &lt;a href=\"//creativecommons.org/licenses/by/3.0/deed.en\" class=\"extiw\" title=\"creativecommons:by/3.0/deed.en\"&gt;Attribution 3.0 Unported&lt;/a&gt; license.&lt;/div&gt;&lt;div class=\"rlicense-desc\" style=\"text-align:start;\" dir=\"ltr\" lang=\"en\"&gt;\n&lt;dl&gt;&lt;dd&gt;You are free:\n&lt;ul&gt;&lt;li&gt;&lt;b&gt;to share&lt;/b&gt; – to copy, distribute and transmit the work&lt;/li&gt;\n&lt;li&gt;&lt;b&gt;to remix&lt;/b&gt; – to adapt the work&lt;/li&gt;&lt;/ul&gt;&lt;/dd&gt;\n&lt;dd&gt;Under the following conditions:\n&lt;ul&gt;&lt;li&gt;&lt;b&gt;attribution&lt;/b&gt; – You must give appropriate credit, provide a link to the license, and indicate if changes were made. You may do so in any reasonable manner, but not in any way that suggests the licensor endorses you or your use.&lt;/li&gt;&lt;/ul&gt;&lt;/dd&gt;&lt;/dl&gt;\n&lt;/div&gt;&lt;span class=\"licensetpl_link\" style=\"display:none;\"&gt;https://creativecommons.org/licenses/by/3.0&lt;/span&gt;&lt;span class=\"licensetpl_short\" style=\"display:none;\"&gt;CC BY 3.0 &lt;/span&gt;&lt;span class=\"licensetpl_long\" style=\"display:none;\"&gt;Creative Commons Attribution 3.0 &lt;/span&gt;&lt;span class=\"licensetpl_link_req\" style=\"display:none;\"&gt;true&lt;/span&gt;&lt;span class=\"licensetpl_attr_req\" style=\"display:none;\"&gt;true&lt;/span&gt;&lt;/div&gt;&lt;/div&gt;", "source": "commons-desc-page", "hidden": ""},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"https://thumb.wikimedia.org/wikipedia/commons/thumb/f/f5/Sevilla_Barrio_Santa_Cruz_%2825574119%29.jpeg/1280px-Sevilla_Barrio_Santa_Cruz_%2825574119%29.jpeg"}, "retrieved_on": "2026-10-25"}</t>
        </is>
      </c>
    </row>
    <row r="235" ht="54" customHeight="1">
      <c r="A235" s="29" t="inlineStr">
        <is>
          <t>sevilla:evidence:la-macarena-03</t>
        </is>
      </c>
      <c r="B235" s="29" t="inlineStr">
        <is>
          <t>sevilla</t>
        </is>
      </c>
      <c r="C235" s="29" t="inlineStr">
        <is>
          <t>sevilla:photo:la-macarena-03</t>
        </is>
      </c>
      <c r="D235" s="29" t="inlineStr">
        <is>
          <t>https://commons.wikimedia.org/wiki/File:Centuria_Macarena_Square_(Seville,_Spain).jpg</t>
        </is>
      </c>
      <c r="E235" s="29" t="inlineStr">
        <is>
          <t>File:Centuria Macarena Square (Seville, Spain).jpg</t>
        </is>
      </c>
      <c r="F235" s="29" t="inlineStr">
        <is>
          <t>El Mono Español</t>
        </is>
      </c>
      <c r="G235" s="29" t="inlineStr">
        <is>
          <t>CC BY-SA 4.0</t>
        </is>
      </c>
      <c r="H235" s="29" t="inlineStr">
        <is>
          <t>https://creativecommons.org/licenses/by-sa/4.0/</t>
        </is>
      </c>
      <c r="I235" s="29" t="inlineStr">
        <is>
          <t>Creative Commons Attribution-Share Alike 4.0</t>
        </is>
      </c>
      <c r="J235" s="29" t="inlineStr">
        <is>
          <t>El Mono Español · CC BY-SA 4.0 · Wikimedia Commons</t>
        </is>
      </c>
      <c r="K235" s="29" t="n"/>
      <c r="L235" s="49" t="n">
        <v>46320</v>
      </c>
      <c r="M235" s="29" t="inlineStr">
        <is>
          <t>Bekliyor</t>
        </is>
      </c>
      <c r="N235" s="29" t="inlineStr">
        <is>
          <t>Bekliyor</t>
        </is>
      </c>
      <c r="O235" s="29" t="inlineStr">
        <is>
          <t>Fotoğraflar/sevilla_la-macarena_03.jpg</t>
        </is>
      </c>
      <c r="P235" s="29" t="inlineStr">
        <is>
          <t>Macarena'da portakal ağaçlı, beyaz evli dar bir meydan.</t>
        </is>
      </c>
      <c r="Q235" s="29" t="inlineStr">
        <is>
          <t>Bekliyor</t>
        </is>
      </c>
      <c r="R235" s="29" t="inlineStr">
        <is>
          <t>Wikimedia Commons dosya sayfasındaki lisans: CC BY-SA 4.0</t>
        </is>
      </c>
      <c r="S235" s="29" t="inlineStr">
        <is>
          <t>Lisans kanıtları/la-macarena-03.source-evidence.json</t>
        </is>
      </c>
      <c r="T235" s="29" t="inlineStr">
        <is>
          <t>c9794a76690e5e8b49eff19a98905003247a115cd1b91994da4a9ef6c1409889</t>
        </is>
      </c>
      <c r="U235" s="29" t="inlineStr">
        <is>
          <t>Lisans kanıtları/la-macarena-03.license-evidence.json</t>
        </is>
      </c>
      <c r="V235" s="29" t="inlineStr">
        <is>
          <t>3103553e554e7d6a668b0be908747ba8cd51704805906ca676ef04688f298f6c</t>
        </is>
      </c>
      <c r="W235" s="29" t="inlineStr">
        <is>
          <t>{"source_url": "https://commons.wikimedia.org/wiki/File:Centuria_Macarena_Square_(Seville,_Spain).jpg", "author": "El Mono Español", "license": "CC BY-SA 4.0", "license_url": "https://creativecommons.org/licenses/by-sa/4.0/", "original_api_record": {"size": 8454919, "width": 4032, "height": 3024, "thumburl": "https://thumb.wikimedia.org/wikipedia/commons/thumb/b/bb/Centuria_Macarena_Square_%28Seville%2C_Spain%29.jpg/1280px-Centuria_Macarena_Square_%28Seville%2C_Spain%29.jpg", "thumbwidth": 1280, "thumbheight": 960, "responsiveUrls": {"2": "https://thumb.wikimedia.org/wikipedia/commons/thumb/b/bb/Centuria_Macarena_Square_%28Seville%2C_Spain%29.jpg/3840px-Centuria_Macarena_Square_%28Seville%2C_Spain%29.jpg"}, "thumbattribs": {"src": "https://thumb.wikimedia.org/wikipedia/commons/thumb/b/bb/Centuria_Macarena_Square_%28Seville%2C_Spain%29.jpg/1280px-Centuria_Macarena_Square_%28Seville%2C_Spain%29.jpg", "decoding": "async", "loading": "lazy", "width": 1280, "height": 960, "srcset": "https://thumb.wikimedia.org/wikipedia/commons/thumb/b/bb/Centuria_Macarena_Square_%28Seville%2C_Spain%29.jpg/3840px-Centuria_Macarena_Square_%28Seville%2C_Spain%29.jpg 2x"}, "url": "https://upload.wikimedia.org/wikipedia/commons/b/bb/Centuria_Macarena_Square_%28Seville%2C_Spain%29.jpg", "descriptionurl": "https://commons.wikimedia.org/wiki/File:Centuria_Macarena_Square_(Seville,_Spain).jpg", "descriptionshorturl": "https://commons.wikimedia.org/w/index.php?curid=158918433", "sha1": "5c37a120a2a7acb42a24c7167fb33a8df33fea4b", "extmetadata": {"DateTime": {"value": "2025-02-01 15:21:05", "source": "mediawiki-metadata", "hidden": ""}, "ObjectName": {"value": "Centuria Macarena Square (Seville, Spain)", "source": "mediawiki-metadata"}, "CommonsMetadataExtension": {"value": 1.2, "source": "extension", "hidden": ""}, "Categories": {"value": "Urban squares in Seville|Self-published work|Pictures taken by User:El Mono Español|Arrabal de la Macarena", "source": "commons-categories", "hidden": ""}, "Assessments": {"value": "", "source": "commons-categories", "hidden": ""}, "ImageDescription": {"value": "Plaza Centuria Macarena (Sevilla, España). Paseo por el Arrabal de la Macarena.", "source": "commons-desc-page"}, "DateTimeOriginal": {"value": "2025-01-31 08:36:24", "source": "commons-desc-page"}, "Credit": {"value": "&lt;span class=\"int-own-work\" lang=\"en\"&gt;Own work&lt;/span&gt;", "source": "commons-desc-page"}, "Artist": {"value": "&lt;a href=\"//commons.wikimedia.org/wiki/User:El_Mono_Espa%C3%B1ol\" title=\"User:El Mono Español\"&gt;El Mono Español&lt;/a&gt;",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"https://thumb.wikimedia.org/wikipedia/commons/thumb/b/bb/Centuria_Macarena_Square_%28Seville%2C_Spain%29.jpg/1280px-Centuria_Macarena_Square_%28Seville%2C_Spain%29.jpg"}, "retrieved_on": "2026-10-25"}</t>
        </is>
      </c>
    </row>
    <row r="236" ht="54" customHeight="1">
      <c r="A236" s="29" t="inlineStr">
        <is>
          <t>sevilla:evidence:sevilla-este-01</t>
        </is>
      </c>
      <c r="B236" s="29" t="inlineStr">
        <is>
          <t>sevilla</t>
        </is>
      </c>
      <c r="C236" s="29" t="inlineStr">
        <is>
          <t>sevilla:photo:sevilla-este-01</t>
        </is>
      </c>
      <c r="D236" s="29" t="inlineStr">
        <is>
          <t>https://commons.wikimedia.org/wiki/File:Carril_bici,_Sevilla_Este,_Sevilla,_Espa%C3%B1a,_2015_01.JPG</t>
        </is>
      </c>
      <c r="E236" s="29" t="inlineStr">
        <is>
          <t>File:Carril bici, Sevilla Este, Sevilla, España, 2015 01.JPG</t>
        </is>
      </c>
      <c r="F236" s="29" t="inlineStr">
        <is>
          <t>Benjamín Núñez González</t>
        </is>
      </c>
      <c r="G236" s="29" t="inlineStr">
        <is>
          <t>CC BY-SA 4.0</t>
        </is>
      </c>
      <c r="H236" s="29" t="inlineStr">
        <is>
          <t>https://creativecommons.org/licenses/by-sa/4.0/</t>
        </is>
      </c>
      <c r="I236" s="29" t="inlineStr">
        <is>
          <t>Creative Commons Attribution-Share Alike 4.0</t>
        </is>
      </c>
      <c r="J236" s="29" t="inlineStr">
        <is>
          <t>Benjamín Núñez González · CC BY-SA 4.0 · Wikimedia Commons</t>
        </is>
      </c>
      <c r="K236" s="29" t="n"/>
      <c r="L236" s="49" t="n">
        <v>46320</v>
      </c>
      <c r="M236" s="29" t="inlineStr">
        <is>
          <t>Bekliyor</t>
        </is>
      </c>
      <c r="N236" s="29" t="inlineStr">
        <is>
          <t>Bekliyor</t>
        </is>
      </c>
      <c r="O236" s="29" t="inlineStr">
        <is>
          <t>Fotoğraflar/sevilla_sevilla-este_01.jpg</t>
        </is>
      </c>
      <c r="P236" s="29" t="inlineStr">
        <is>
          <t>Sevilla Este'de çimenler ve ağaçlar arasından geçen yeşil bisiklet yolu.</t>
        </is>
      </c>
      <c r="Q236" s="29" t="inlineStr">
        <is>
          <t>Bekliyor</t>
        </is>
      </c>
      <c r="R236" s="29" t="inlineStr">
        <is>
          <t>Wikimedia Commons dosya sayfasındaki lisans: CC BY-SA 4.0</t>
        </is>
      </c>
      <c r="S236" s="29" t="inlineStr">
        <is>
          <t>Lisans kanıtları/sevilla-este-01.source-evidence.json</t>
        </is>
      </c>
      <c r="T236" s="29" t="inlineStr">
        <is>
          <t>d7ab3ccf05e8261b00474de3b1d8af35329e5cbae732ec3c7acf20f6c0e5c008</t>
        </is>
      </c>
      <c r="U236" s="29" t="inlineStr">
        <is>
          <t>Lisans kanıtları/sevilla-este-01.license-evidence.json</t>
        </is>
      </c>
      <c r="V236" s="29" t="inlineStr">
        <is>
          <t>ea69c67bb2be0ba5c91bc91527fcba0a8372a4a8563ea920eb3a6214cd704737</t>
        </is>
      </c>
      <c r="W236" s="29" t="inlineStr">
        <is>
          <t>{"source_url": "https://commons.wikimedia.org/wiki/File:Carril_bici,_Sevilla_Este,_Sevilla,_Espa%C3%B1a,_2015_01.JPG", "author": "Benjamín Núñez González", "license": "CC BY-SA 4.0", "license_url": "https://creativecommons.org/licenses/by-sa/4.0/", "original_api_record": {"size": 5283840, "width": 4000, "height": 3000, "thumburl": "https://thumb.wikimedia.org/wikipedia/commons/thumb/c/c1/Carril_bici%2C_Sevilla_Este%2C_Sevilla%2C_Espa%C3%B1a%2C_2015_01.JPG/1280px-Carril_bici%2C_Sevilla_Este%2C_Sevilla%2C_Espa%C3%B1a%2C_2015_01.JPG", "thumbwidth": 1280, "thumbheight": 960, "responsiveUrls": {"2": "https://thumb.wikimedia.org/wikipedia/commons/thumb/c/c1/Carril_bici%2C_Sevilla_Este%2C_Sevilla%2C_Espa%C3%B1a%2C_2015_01.JPG/3840px-Carril_bici%2C_Sevilla_Este%2C_Sevilla%2C_Espa%C3%B1a%2C_2015_01.JPG"}, "thumbattribs": {"src": "https://thumb.wikimedia.org/wikipedia/commons/thumb/c/c1/Carril_bici%2C_Sevilla_Este%2C_Sevilla%2C_Espa%C3%B1a%2C_2015_01.JPG/1280px-Carril_bici%2C_Sevilla_Este%2C_Sevilla%2C_Espa%C3%B1a%2C_2015_01.JPG", "decoding": "async", "loading": "lazy", "width": 1280, "height": 960, "srcset": "https://thumb.wikimedia.org/wikipedia/commons/thumb/c/c1/Carril_bici%2C_Sevilla_Este%2C_Sevilla%2C_Espa%C3%B1a%2C_2015_01.JPG/3840px-Carril_bici%2C_Sevilla_Este%2C_Sevilla%2C_Espa%C3%B1a%2C_2015_01.JPG 2x"}, "url": "https://upload.wikimedia.org/wikipedia/commons/c/c1/Carril_bici%2C_Sevilla_Este%2C_Sevilla%2C_Espa%C3%B1a%2C_2015_01.JPG", "descriptionurl": "https://commons.wikimedia.org/wiki/File:Carril_bici,_Sevilla_Este,_Sevilla,_Espa%C3%B1a,_2015_01.JPG", "descriptionshorturl": "https://commons.wikimedia.org/w/index.php?curid=46027653", "sha1": "c485419a4bcc255b02fcbdd260cb68752ab1d576", "extmetadata": {"DateTime": {"value": "2016-01-01 15:35:00", "source": "mediawiki-metadata", "hidden": ""}, "ObjectName": {"value": "Carril bici, Sevilla Este, Sevilla, España, 2015 01", "source": "mediawiki-metadata"}, "CommonsMetadataExtension": {"value": 1.2, "source": "extension", "hidden": ""}, "Categories": {"value": "Este-Alcosa-Torreblanca|Self-published work|Bikeway in Sevilla Este", "source": "commons-categories", "hidden": ""}, "Assessments": {"value": "", "source": "commons-categories", "hidden": ""}, "ImageDescription": {"value": "Carril bici, Sevilla Este", "source": "commons-desc-page"}, "DateTimeOriginal": {"value": "2016-01-01 16:04:06", "source": "commons-desc-page"}, "Credit": {"value": "&lt;span class=\"int-own-work\" lang=\"en\"&gt;Own work&lt;/span&gt;", "source": "commons-desc-page"}, "Artist": {"value": "&lt;a href=\"//commons.wikimedia.org/wiki/User:Benjam%C3%ADn_N%C3%BA%C3%B1ez_Gonz%C3%A1lez\" title=\"User:Benjamín Núñez González\"&gt;Benjamín Núñez González&lt;/a&gt;",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"https://thumb.wikimedia.org/wikipedia/commons/thumb/c/c1/Carril_bici%2C_Sevilla_Este%2C_Sevilla%2C_Espa%C3%B1a%2C_2015_01.JPG/1280px-Carril_bici%2C_Sevilla_Este%2C_Sevilla%2C_Espa%C3%B1a%2C_2015_01.JPG"}, "retrieved_on": "2026-10-25"}</t>
        </is>
      </c>
    </row>
    <row r="237" ht="54" customHeight="1">
      <c r="A237" s="29" t="inlineStr">
        <is>
          <t>sevilla:evidence:hospital-de-las-cinco-llagas-01</t>
        </is>
      </c>
      <c r="B237" s="29" t="inlineStr">
        <is>
          <t>sevilla</t>
        </is>
      </c>
      <c r="C237" s="29" t="inlineStr">
        <is>
          <t>sevilla:photo:hospital-de-las-cinco-llagas-01</t>
        </is>
      </c>
      <c r="D237" s="29" t="inlineStr">
        <is>
          <t>https://commons.wikimedia.org/wiki/File:Hospital_5_llagas_2017001.jpg</t>
        </is>
      </c>
      <c r="E237" s="29" t="inlineStr">
        <is>
          <t>File:Hospital 5 llagas 2017001.jpg</t>
        </is>
      </c>
      <c r="F237" s="29" t="inlineStr">
        <is>
          <t>Anual</t>
        </is>
      </c>
      <c r="G237" s="29" t="inlineStr">
        <is>
          <t>CC BY-SA 4.0</t>
        </is>
      </c>
      <c r="H237" s="29" t="inlineStr">
        <is>
          <t>https://creativecommons.org/licenses/by-sa/4.0/</t>
        </is>
      </c>
      <c r="I237" s="29" t="inlineStr">
        <is>
          <t>Creative Commons Attribution-Share Alike 4.0</t>
        </is>
      </c>
      <c r="J237" s="29" t="inlineStr">
        <is>
          <t>Anual · CC BY-SA 4.0 · Wikimedia Commons</t>
        </is>
      </c>
      <c r="K237" s="29" t="n"/>
      <c r="L237" s="49" t="n">
        <v>46320</v>
      </c>
      <c r="M237" s="29" t="inlineStr">
        <is>
          <t>Bekliyor</t>
        </is>
      </c>
      <c r="N237" s="29" t="inlineStr">
        <is>
          <t>Bekliyor</t>
        </is>
      </c>
      <c r="O237" s="29" t="inlineStr">
        <is>
          <t>Fotoğraflar/sevilla_hospital-de-las-cinco-llagas_01.jpg</t>
        </is>
      </c>
      <c r="P237" s="29" t="inlineStr">
        <is>
          <t>Parlamento binası olan eski Cinco Llagas Hastanesi'nin uzun Rönesans cephesi ve palmiyeler.</t>
        </is>
      </c>
      <c r="Q237" s="29" t="inlineStr">
        <is>
          <t>Bekliyor</t>
        </is>
      </c>
      <c r="R237" s="29" t="inlineStr">
        <is>
          <t>Wikimedia Commons dosya sayfasındaki lisans: CC BY-SA 4.0</t>
        </is>
      </c>
      <c r="S237" s="29" t="inlineStr">
        <is>
          <t>Lisans kanıtları/hospital-de-las-cinco-llagas-01.source-evidence.json</t>
        </is>
      </c>
      <c r="T237" s="29" t="inlineStr">
        <is>
          <t>040e00a59fb3e6480e15825d44775d7b6706dcd1f50ab5c1208bbc72959a3c33</t>
        </is>
      </c>
      <c r="U237" s="29" t="inlineStr">
        <is>
          <t>Lisans kanıtları/hospital-de-las-cinco-llagas-01.license-evidence.json</t>
        </is>
      </c>
      <c r="V237" s="29" t="inlineStr">
        <is>
          <t>9ec86586cc3aa70029c1f19d8f19c9b69455927a8fe53ac76013b8a071b5f58f</t>
        </is>
      </c>
      <c r="W237" s="29" t="inlineStr">
        <is>
          <t>{"source_url": "https://commons.wikimedia.org/wiki/File:Hospital_5_llagas_2017001.jpg", "author": "Anual", "license": "CC BY-SA 4.0", "license_url": "https://creativecommons.org/licenses/by-sa/4.0/", "original_api_record": {"size": 7288928, "width": 4568, "height": 3045, "thumburl": "https://thumb.wikimedia.org/wikipedia/commons/thumb/3/36/Hospital_5_llagas_2017001.jpg/1280px-Hospital_5_llagas_2017001.jpg", "thumbwidth": 1280, "thumbheight": 853, "responsiveUrls": {"2": "https://thumb.wikimedia.org/wikipedia/commons/thumb/3/36/Hospital_5_llagas_2017001.jpg/3840px-Hospital_5_llagas_2017001.jpg"}, "thumbattribs": {"src": "https://thumb.wikimedia.org/wikipedia/commons/thumb/3/36/Hospital_5_llagas_2017001.jpg/1280px-Hospital_5_llagas_2017001.jpg", "decoding": "async", "loading": "lazy", "width": 1280, "height": 853, "srcset": "https://thumb.wikimedia.org/wikipedia/commons/thumb/3/36/Hospital_5_llagas_2017001.jpg/3840px-Hospital_5_llagas_2017001.jpg 2x"}, "url": "https://upload.wikimedia.org/wikipedia/commons/3/36/Hospital_5_llagas_2017001.jpg", "descriptionurl": "https://commons.wikimedia.org/wiki/File:Hospital_5_llagas_2017001.jpg", "descriptionshorturl": "https://commons.wikimedia.org/w/index.php?curid=65188910", "sha1": "25b09c57a0c3f730cc0aed59908d3289ab523cc0", "extmetadata": {"DateTime": {"value": "2018-01-01 23:26:50", "source": "mediawiki-metadata", "hidden": ""}, "ObjectName": {"value": "Hospital 5 llagas 2017001", "source": "mediawiki-metadata"}, "CommonsMetadataExtension": {"value": 1.2, "source": "extension", "hidden": ""}, "Categories": {"value": "Hospital de las Cinco Llagas|Self-published work|December 2017 in Seville", "source": "commons-categories", "hidden": ""}, "Assessments": {"value": "", "source": "commons-categories", "hidden": ""}, "ImageDescription": {"value": "Parlamento de Andalucía. (Antiguo Hospital de las cinco llagas)", "source": "commons-desc-page"}, "DateTimeOriginal": {"value": "2018-12-31", "source": "commons-desc-page"}, "Credit": {"value": "&lt;span class=\"int-own-work\" lang=\"en\"&gt;Own work&lt;/span&gt;", "source": "commons-desc-page"}, "Artist": {"value": "&lt;a href=\"//commons.wikimedia.org/wiki/User:Anual\" title=\"User:Anual\"&gt;Anual&lt;/a&gt;",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"https://thumb.wikimedia.org/wikipedia/commons/thumb/3/36/Hospital_5_llagas_2017001.jpg/1280px-Hospital_5_llagas_2017001.jpg"}, "retrieved_on": "2026-10-25"}</t>
        </is>
      </c>
    </row>
    <row r="238" ht="54" customHeight="1">
      <c r="A238" s="29" t="inlineStr">
        <is>
          <t>sevilla:evidence:hospital-de-las-cinco-llagas-02</t>
        </is>
      </c>
      <c r="B238" s="29" t="inlineStr">
        <is>
          <t>sevilla</t>
        </is>
      </c>
      <c r="C238" s="29" t="inlineStr">
        <is>
          <t>sevilla:photo:hospital-de-las-cinco-llagas-02</t>
        </is>
      </c>
      <c r="D238" s="29" t="inlineStr">
        <is>
          <t>https://commons.wikimedia.org/wiki/File:Hospital_de_las_Cinco_Llagas_(Sevilla)._B%C3%B3veda.jpg</t>
        </is>
      </c>
      <c r="E238" s="29" t="inlineStr">
        <is>
          <t>File:Hospital de las Cinco Llagas (Sevilla). Bóveda.jpg</t>
        </is>
      </c>
      <c r="F238" s="29" t="inlineStr">
        <is>
          <t>José Luis Filpo Cabana</t>
        </is>
      </c>
      <c r="G238" s="29" t="inlineStr">
        <is>
          <t>CC BY 3.0</t>
        </is>
      </c>
      <c r="H238" s="29" t="inlineStr">
        <is>
          <t>https://creativecommons.org/licenses/by/3.0/</t>
        </is>
      </c>
      <c r="I238" s="29" t="inlineStr">
        <is>
          <t>Creative Commons Attribution 3.0</t>
        </is>
      </c>
      <c r="J238" s="29" t="inlineStr">
        <is>
          <t>José Luis Filpo Cabana · CC BY 3.0 · Wikimedia Commons</t>
        </is>
      </c>
      <c r="K238" s="29" t="n"/>
      <c r="L238" s="49" t="n">
        <v>46320</v>
      </c>
      <c r="M238" s="29" t="inlineStr">
        <is>
          <t>Bekliyor</t>
        </is>
      </c>
      <c r="N238" s="29" t="inlineStr">
        <is>
          <t>Bekliyor</t>
        </is>
      </c>
      <c r="O238" s="29" t="inlineStr">
        <is>
          <t>Fotoğraflar/sevilla_hospital-de-las-cinco-llagas_02.jpg</t>
        </is>
      </c>
      <c r="P238" s="29" t="inlineStr">
        <is>
          <t>Cinco Llagas binasında kasetli, yuvarlak taş kubbe tavan.</t>
        </is>
      </c>
      <c r="Q238" s="29" t="inlineStr">
        <is>
          <t>Bekliyor</t>
        </is>
      </c>
      <c r="R238" s="29" t="inlineStr">
        <is>
          <t>Wikimedia Commons dosya sayfasındaki lisans: CC BY 3.0</t>
        </is>
      </c>
      <c r="S238" s="29" t="inlineStr">
        <is>
          <t>Lisans kanıtları/hospital-de-las-cinco-llagas-02.source-evidence.json</t>
        </is>
      </c>
      <c r="T238" s="29" t="inlineStr">
        <is>
          <t>e0a473baef528a501cf1157c345d73c0cadcd2311b727bfd06be1613d168f5ad</t>
        </is>
      </c>
      <c r="U238" s="29" t="inlineStr">
        <is>
          <t>Lisans kanıtları/hospital-de-las-cinco-llagas-02.license-evidence.json</t>
        </is>
      </c>
      <c r="V238" s="29" t="inlineStr">
        <is>
          <t>519b127bdbdcdb28657700be262534de3331e06dfc61709baa1f1641d0f9e568</t>
        </is>
      </c>
      <c r="W238" s="29" t="inlineStr">
        <is>
          <t>{"source_url": "https://commons.wikimedia.org/wiki/File:Hospital_de_las_Cinco_Llagas_(Sevilla)._B%C3%B3veda.jpg", "author": "José Luis Filpo Cabana", "license": "CC BY 3.0", "license_url": "https://creativecommons.org/licenses/by/3.0/", "original_api_record": {"size": 4793248, "width": 3338, "height": 2225, "thumburl": "https://thumb.wikimedia.org/wikipedia/commons/thumb/d/d2/Hospital_de_las_Cinco_Llagas_%28Sevilla%29._B%C3%B3veda.jpg/1280px-Hospital_de_las_Cinco_Llagas_%28Sevilla%29._B%C3%B3veda.jpg", "thumbwidth": 1280, "thumbheight": 853, "responsiveUrls": {"2": "https://upload.wikimedia.org/wikipedia/commons/d/d2/Hospital_de_las_Cinco_Llagas_%28Sevilla%29._B%C3%B3veda.jpg"}, "thumbattribs": {"src": "https://thumb.wikimedia.org/wikipedia/commons/thumb/d/d2/Hospital_de_las_Cinco_Llagas_%28Sevilla%29._B%C3%B3veda.jpg/1280px-Hospital_de_las_Cinco_Llagas_%28Sevilla%29._B%C3%B3veda.jpg", "decoding": "async", "loading": "lazy", "width": 1280, "height": 853, "srcset": "https://upload.wikimedia.org/wikipedia/commons/d/d2/Hospital_de_las_Cinco_Llagas_%28Sevilla%29._B%C3%B3veda.jpg 2x"}, "url": "https://upload.wikimedia.org/wikipedia/commons/d/d2/Hospital_de_las_Cinco_Llagas_%28Sevilla%29._B%C3%B3veda.jpg", "descriptionurl": "https://commons.wikimedia.org/wiki/File:Hospital_de_las_Cinco_Llagas_(Sevilla)._B%C3%B3veda.jpg", "descriptionshorturl": "https://commons.wikimedia.org/w/index.php?curid=36738870", "sha1": "cd5df41ab32d5856f3ebefc819c0c8b78a05bb64", "extmetadata": {"DateTime": {"value": "2014-11-12 13:35:01", "source": "mediawiki-metadata", "hidden": ""}, "ObjectName": {"value": "Hospital de las Cinco Llagas (Sevilla). Bóveda", "source": "mediawiki-metadata"}, "CommonsMetadataExtension": {"value": 1.2, "source": "extension", "hidden": ""}, "Categories": {"value": "GFDL|Hospital de las Cinco Llagas|License migration redundant|Martín de Gainza|Self-published work|Buildings in the province of Seville photographed in 2014|Files with coordinates missing SDC location of creation|Renaissance vaults in Andalusia", "source": "commons-categories", "hidden": ""}, "Assessments": {"value": "", "source": "commons-categories", "hidden": ""}, "GPSLatitude": {"value": "37.405158", "source": "commons-desc-page"}, "GPSLongitude": {"value": "-5.988866", "source": "commons-desc-page"}, "GPSMapDatum": {"value": "WGS-84", "source": "commons-desc-page", "hidden": ""}, "ImageDescription": {"value": "Bóveda del crucero de la naves de mujeres. &lt;a href=\"https://es.wikipedia.org/wiki/Mart%C3%ADn_de_Gainza\" class=\"extiw\" title=\"es:Martín de Gainza\"&gt;Martín de Gainza&lt;/a&gt;, maestro mayor del hospital, realiza una magnífica bóveda esférica casetonada.", "source": "commons-desc-page"}, "DateTimeOriginal": {"value": "2014-10", "source": "commons-desc-page"}, "Credit": {"value": "&lt;span class=\"int-own-work\" lang=\"en\"&gt;Own work&lt;/span&gt;", "source": "commons-desc-page"}, "Artist": {"value": "José Luis Filpo Cabana",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"https://thumb.wikimedia.org/wikipedia/commons/thumb/d/d2/Hospital_de_las_Cinco_Llagas_%28Sevilla%29._B%C3%B3veda.jpg/1280px-Hospital_de_las_Cinco_Llagas_%28Sevilla%29._B%C3%B3veda.jpg"}, "retrieved_on": "2026-10-25"}</t>
        </is>
      </c>
    </row>
    <row r="239" ht="54" customHeight="1">
      <c r="A239" s="29" t="inlineStr">
        <is>
          <t>sevilla:evidence:hospital-de-las-cinco-llagas-03</t>
        </is>
      </c>
      <c r="B239" s="29" t="inlineStr">
        <is>
          <t>sevilla</t>
        </is>
      </c>
      <c r="C239" s="29" t="inlineStr">
        <is>
          <t>sevilla:photo:hospital-de-las-cinco-llagas-03</t>
        </is>
      </c>
      <c r="D239" s="29" t="inlineStr">
        <is>
          <t>https://commons.wikimedia.org/wiki/File:Parlamento_de_Andaluc%C3%ADa_(3508393367).jpg</t>
        </is>
      </c>
      <c r="E239" s="29" t="inlineStr">
        <is>
          <t>File:Parlamento de Andalucía (3508393367).jpg</t>
        </is>
      </c>
      <c r="F239" s="29" t="inlineStr">
        <is>
          <t>Pinkitt</t>
        </is>
      </c>
      <c r="G239" s="29" t="inlineStr">
        <is>
          <t>CC BY 2.0</t>
        </is>
      </c>
      <c r="H239" s="29" t="inlineStr">
        <is>
          <t>https://creativecommons.org/licenses/by/2.0/</t>
        </is>
      </c>
      <c r="I239" s="29" t="inlineStr">
        <is>
          <t>Creative Commons Attribution 2.0</t>
        </is>
      </c>
      <c r="J239" s="29" t="inlineStr">
        <is>
          <t>Pinkitt · CC BY 2.0 · Wikimedia Commons</t>
        </is>
      </c>
      <c r="K239" s="29" t="n"/>
      <c r="L239" s="49" t="n">
        <v>46320</v>
      </c>
      <c r="M239" s="29" t="inlineStr">
        <is>
          <t>Bekliyor</t>
        </is>
      </c>
      <c r="N239" s="29" t="inlineStr">
        <is>
          <t>Bekliyor</t>
        </is>
      </c>
      <c r="O239" s="29" t="inlineStr">
        <is>
          <t>Fotoğraflar/sevilla_hospital-de-las-cinco-llagas_03.jpg</t>
        </is>
      </c>
      <c r="P239" s="29" t="inlineStr">
        <is>
          <t>Palmiyeli geniş yolun sonunda Endülüs Parlamentosu'nun bulunduğu Cinco Llagas binası.</t>
        </is>
      </c>
      <c r="Q239" s="29" t="inlineStr">
        <is>
          <t>Bekliyor</t>
        </is>
      </c>
      <c r="R239" s="29" t="inlineStr">
        <is>
          <t>Wikimedia Commons dosya sayfasındaki lisans: CC BY 2.0</t>
        </is>
      </c>
      <c r="S239" s="29" t="inlineStr">
        <is>
          <t>Lisans kanıtları/hospital-de-las-cinco-llagas-03.source-evidence.json</t>
        </is>
      </c>
      <c r="T239" s="29" t="inlineStr">
        <is>
          <t>327c301829521f8a50da5e23579b2f08b665edbfea58b1610ed46a14b8876752</t>
        </is>
      </c>
      <c r="U239" s="29" t="inlineStr">
        <is>
          <t>Lisans kanıtları/hospital-de-las-cinco-llagas-03.license-evidence.json</t>
        </is>
      </c>
      <c r="V239" s="29" t="inlineStr">
        <is>
          <t>0773eb32b7fcdc9eb03507ba2791801ce2b94696f9427f9a3db3c122dadc1cf1</t>
        </is>
      </c>
      <c r="W239" s="29" t="inlineStr">
        <is>
          <t>{"source_url": "https://commons.wikimedia.org/wiki/File:Parlamento_de_Andaluc%C3%ADa_(3508393367).jpg", "author": "Pinkitt", "license": "CC BY 2.0", "license_url": "https://creativecommons.org/licenses/by/2.0/", "original_api_record": {"size": 1196488, "width": 2848, "height": 2134, "thumburl": "https://thumb.wikimedia.org/wikipedia/commons/thumb/b/b2/Parlamento_de_Andaluc%C3%ADa_%283508393367%29.jpg/1280px-Parlamento_de_Andaluc%C3%ADa_%283508393367%29.jpg", "thumbwidth": 1280, "thumbheight": 959, "responsiveUrls": {"2": "https://upload.wikimedia.org/wikipedia/commons/b/b2/Parlamento_de_Andaluc%C3%ADa_%283508393367%29.jpg"}, "thumbattribs": {"src": "https://thumb.wikimedia.org/wikipedia/commons/thumb/b/b2/Parlamento_de_Andaluc%C3%ADa_%283508393367%29.jpg/1280px-Parlamento_de_Andaluc%C3%ADa_%283508393367%29.jpg", "decoding": "async", "loading": "lazy", "width": 1280, "height": 959, "srcset": "https://upload.wikimedia.org/wikipedia/commons/b/b2/Parlamento_de_Andaluc%C3%ADa_%283508393367%29.jpg 2x"}, "url": "https://upload.wikimedia.org/wikipedia/commons/b/b2/Parlamento_de_Andaluc%C3%ADa_%283508393367%29.jpg", "descriptionurl": "https://commons.wikimedia.org/wiki/File:Parlamento_de_Andaluc%C3%ADa_(3508393367).jpg", "descriptionshorturl": "https://commons.wikimedia.org/w/index.php?curid=37647562", "sha1": "081db01825277efec1b53fe0484a10cc789977ac", "extmetadata": {"DateTime": {"value": "2015-01-03 02:42:40", "source": "mediawiki-metadata", "hidden": ""}, "ObjectName": {"value": "Parlamento de Andalucía (3508393367)", "source": "mediawiki-metadata"}, "CommonsMetadataExtension": {"value": 1.2, "source": "extension", "hidden": ""}, "Categories": {"value": "Taken with Kodak EasyShare C613|Hospital de las Cinco Llagas|2009 photographs of Spain|Flickr images reviewed by FlickreviewR|April 2009 in Andalusia", "source": "commons-categories", "hidden": ""}, "Assessments": {"value": "", "source": "commons-categories", "hidden": ""}, "ImageDescription": {"value": "Parlamento de Andalucía", "source": "commons-desc-page"}, "DateTimeOriginal": {"value": "2009-04-18 13:18", "source": "commons-desc-page"}, "Credit": {"value": "&lt;a rel=\"nofollow\" class=\"external text\" href=\"https://www.flickr.com/photos/pinkitt/3508393367/\"&gt;Parlamento de Andalucía&lt;/a&gt;", "source": "commons-desc-page"}, "Artist": {"value": "&lt;a rel=\"nofollow\" class=\"external text\" href=\"https://www.flickr.com/people/11010911@N03\"&gt;Pinkitt&lt;/a&gt;",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 "delivered_file": {"url": "https://thumb.wikimedia.org/wikipedia/commons/thumb/b/b2/Parlamento_de_Andaluc%C3%ADa_%283508393367%29.jpg/1280px-Parlamento_de_Andaluc%C3%ADa_%283508393367%29.jpg"}, "retrieved_on": "2026-10-25"}</t>
        </is>
      </c>
    </row>
    <row r="240" ht="54" customHeight="1">
      <c r="A240" s="29" t="inlineStr">
        <is>
          <t>sevilla:evidence:convento-de-santa-ines-01</t>
        </is>
      </c>
      <c r="B240" s="29" t="inlineStr">
        <is>
          <t>sevilla</t>
        </is>
      </c>
      <c r="C240" s="29" t="inlineStr">
        <is>
          <t>sevilla:photo:convento-de-santa-ines-01</t>
        </is>
      </c>
      <c r="D240" s="29" t="inlineStr">
        <is>
          <t>https://commons.wikimedia.org/wiki/File:Atrio_del_Convento_de_Santa_In%C3%A9s,_Sevilla.jpg</t>
        </is>
      </c>
      <c r="E240" s="29" t="inlineStr">
        <is>
          <t>File:Atrio del Convento de Santa Inés, Sevilla.jpg</t>
        </is>
      </c>
      <c r="F240" s="29" t="inlineStr">
        <is>
          <t>Jl FilpoC</t>
        </is>
      </c>
      <c r="G240" s="29" t="inlineStr">
        <is>
          <t>CC BY-SA 4.0</t>
        </is>
      </c>
      <c r="H240" s="29" t="inlineStr">
        <is>
          <t>https://creativecommons.org/licenses/by-sa/4.0/</t>
        </is>
      </c>
      <c r="I240" s="29" t="inlineStr">
        <is>
          <t>Creative Commons Attribution-Share Alike 4.0</t>
        </is>
      </c>
      <c r="J240" s="29" t="inlineStr">
        <is>
          <t>Jl FilpoC · CC BY-SA 4.0 · Wikimedia Commons</t>
        </is>
      </c>
      <c r="K240" s="29" t="n"/>
      <c r="L240" s="49" t="n">
        <v>46320</v>
      </c>
      <c r="M240" s="29" t="inlineStr">
        <is>
          <t>Bekliyor</t>
        </is>
      </c>
      <c r="N240" s="29" t="inlineStr">
        <is>
          <t>Bekliyor</t>
        </is>
      </c>
      <c r="O240" s="29" t="inlineStr">
        <is>
          <t>Fotoğraflar/sevilla_convento-de-santa-ines_01.jpg</t>
        </is>
      </c>
      <c r="P240" s="29" t="inlineStr">
        <is>
          <t>Santa Inés Manastırı'nın sütunlu girişi ve beyaz avlusu.</t>
        </is>
      </c>
      <c r="Q240" s="29" t="inlineStr">
        <is>
          <t>Bekliyor</t>
        </is>
      </c>
      <c r="R240" s="29" t="inlineStr">
        <is>
          <t>Wikimedia Commons dosya sayfasındaki lisans: CC BY-SA 4.0</t>
        </is>
      </c>
      <c r="S240" s="29" t="inlineStr">
        <is>
          <t>Lisans kanıtları/convento-de-santa-ines-01.source-evidence.json</t>
        </is>
      </c>
      <c r="T240" s="29" t="inlineStr">
        <is>
          <t>333f7b13b707ae9a4b245d900ed7f3c696240c226fb6f406c7dd8607855f7663</t>
        </is>
      </c>
      <c r="U240" s="29" t="inlineStr">
        <is>
          <t>Lisans kanıtları/convento-de-santa-ines-01.license-evidence.json</t>
        </is>
      </c>
      <c r="V240" s="29" t="inlineStr">
        <is>
          <t>ba9e4fcb492a904caaa7d8c935316e80610091a4564eed0c94f18ed075b98e9e</t>
        </is>
      </c>
      <c r="W240" s="29" t="inlineStr">
        <is>
          <t>{"source_url": "https://commons.wikimedia.org/wiki/File:Atrio_del_Convento_de_Santa_In%C3%A9s,_Sevilla.jpg", "author": "Jl FilpoC", "license": "CC BY-SA 4.0", "license_url": "https://creativecommons.org/licenses/by-sa/4.0/", "original_api_record": {"size": 5113514, "width": 4224, "height": 2376, "thumburl": "https://thumb.wikimedia.org/wikipedia/commons/thumb/f/f1/Atrio_del_Convento_de_Santa_In%C3%A9s%2C_Sevilla.jpg/1280px-Atrio_del_Convento_de_Santa_In%C3%A9s%2C_Sevilla.jpg", "thumbwidth": 1280, "thumbheight": 720, "responsiveUrls": {"2": "https://thumb.wikimedia.org/wikipedia/commons/thumb/f/f1/Atrio_del_Convento_de_Santa_In%C3%A9s%2C_Sevilla.jpg/3840px-Atrio_del_Convento_de_Santa_In%C3%A9s%2C_Sevilla.jpg"}, "thumbattribs": {"src": "https://thumb.wikimedia.org/wikipedia/commons/thumb/f/f1/Atrio_del_Convento_de_Santa_In%C3%A9s%2C_Sevilla.jpg/1280px-Atrio_del_Convento_de_Santa_In%C3%A9s%2C_Sevilla.jpg", "decoding": "async", "loading": "lazy", "width": 1280, "height": 720, "srcset": "https://thumb.wikimedia.org/wikipedia/commons/thumb/f/f1/Atrio_del_Convento_de_Santa_In%C3%A9s%2C_Sevilla.jpg/3840px-Atrio_del_Convento_de_Santa_In%C3%A9s%2C_Sevilla.jpg 2x"}, "url": "https://upload.wikimedia.org/wikipedia/commons/f/f1/Atrio_del_Convento_de_Santa_In%C3%A9s%2C_Sevilla.jpg", "descriptionurl": "https://commons.wikimedia.org/wiki/File:Atrio_del_Convento_de_Santa_In%C3%A9s,_Sevilla.jpg", "descriptionshorturl": "https://commons.wikimedia.org/w/index.php?curid=111232804", "sha1": "b57bd0c3bb0c77771a59c0d043955e37e260f837", "extmetadata": {"DateTime": {"value": "2021-10-18 17:01:37", "source": "mediawiki-metadata", "hidden": ""}, "ObjectName": {"value": "Atrio del Convento de Santa Inés, Sevilla", "source": "mediawiki-metadata"}, "CommonsMetadataExtension": {"value": 1.2, "source": "extension", "hidden": ""}, "Categories": {"value": "Convent of Santa Inés, Seville|Self-published work|Files with coordinates missing SDC location of creation", "source": "commons-categories", "hidden": ""}, "Assessments": {"value": "", "source": "commons-categories", "hidden": ""}, "GPSLatitude": {"value": "37.393230", "source": "commons-desc-page"}, "GPSLongitude": {"value": "-5.989820", "source": "commons-desc-page"}, "GPSMapDatum": {"value": "WGS-84", "source": "commons-desc-page", "hidden": ""}, "ImageDescription": {"value": "Detalle del atrio del &lt;a href=\"https://es.wikipedia.org/wiki/Convento_de_Santa_In%C3%A9s_(Sevilla)\" class=\"extiw\" title=\"es:Convento de Santa Inés (Sevilla)\"&gt;Convento de Santa Inés (Sevilla)&lt;/a&gt;.", "source": "commons-desc-page"}, "DateTimeOriginal": {"value": "2007-11-30", "source": "commons-desc-page"}, "Credit": {"value": "&lt;span class=\"int-own-work\" lang=\"en\"&gt;Own work&lt;/span&gt;", "source": "commons-desc-page"}, "Artist": {"value": "&lt;a href=\"//commons.wikimedia.org/wiki/User:Jl_FilpoC\" title=\"User:Jl FilpoC\"&gt;Jl FilpoC&lt;/a&gt;",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"https://thumb.wikimedia.org/wikipedia/commons/thumb/f/f1/Atrio_del_Convento_de_Santa_In%C3%A9s%2C_Sevilla.jpg/1280px-Atrio_del_Convento_de_Santa_In%C3%A9s%2C_Sevilla.jpg"}, "retrieved_on": "2026-10-25"}</t>
        </is>
      </c>
    </row>
    <row r="241" ht="54" customHeight="1">
      <c r="A241" s="29" t="inlineStr">
        <is>
          <t>sevilla:evidence:convento-de-santa-ines-02</t>
        </is>
      </c>
      <c r="B241" s="29" t="inlineStr">
        <is>
          <t>sevilla</t>
        </is>
      </c>
      <c r="C241" s="29" t="inlineStr">
        <is>
          <t>sevilla:photo:convento-de-santa-ines-02</t>
        </is>
      </c>
      <c r="D241" s="29" t="inlineStr">
        <is>
          <t>https://commons.wikimedia.org/wiki/File:Comp%C3%A1s_del_Convento_de_Santa_In%C3%A9s_(Sevilla).jpg</t>
        </is>
      </c>
      <c r="E241" s="29" t="inlineStr">
        <is>
          <t>File:Compás del Convento de Santa Inés (Sevilla).jpg</t>
        </is>
      </c>
      <c r="F241" s="29" t="inlineStr">
        <is>
          <t>Jl FilpoC</t>
        </is>
      </c>
      <c r="G241" s="29" t="inlineStr">
        <is>
          <t>CC BY-SA 4.0</t>
        </is>
      </c>
      <c r="H241" s="29" t="inlineStr">
        <is>
          <t>https://creativecommons.org/licenses/by-sa/4.0/</t>
        </is>
      </c>
      <c r="I241" s="29" t="inlineStr">
        <is>
          <t>Creative Commons Attribution-Share Alike 4.0</t>
        </is>
      </c>
      <c r="J241" s="29" t="inlineStr">
        <is>
          <t>Jl FilpoC · CC BY-SA 4.0 · Wikimedia Commons</t>
        </is>
      </c>
      <c r="K241" s="29" t="n"/>
      <c r="L241" s="49" t="n">
        <v>46320</v>
      </c>
      <c r="M241" s="29" t="inlineStr">
        <is>
          <t>Bekliyor</t>
        </is>
      </c>
      <c r="N241" s="29" t="inlineStr">
        <is>
          <t>Bekliyor</t>
        </is>
      </c>
      <c r="O241" s="29" t="inlineStr">
        <is>
          <t>Fotoğraflar/sevilla_convento-de-santa-ines_02.jpg</t>
        </is>
      </c>
      <c r="P241" s="29" t="inlineStr">
        <is>
          <t>Santa Inés Manastırı'nın avlusu (compás) ve ahşap balkonlu binası.</t>
        </is>
      </c>
      <c r="Q241" s="29" t="inlineStr">
        <is>
          <t>Bekliyor</t>
        </is>
      </c>
      <c r="R241" s="29" t="inlineStr">
        <is>
          <t>Wikimedia Commons dosya sayfasındaki lisans: CC BY-SA 4.0</t>
        </is>
      </c>
      <c r="S241" s="29" t="inlineStr">
        <is>
          <t>Lisans kanıtları/convento-de-santa-ines-02.source-evidence.json</t>
        </is>
      </c>
      <c r="T241" s="29" t="inlineStr">
        <is>
          <t>e74daef0acedf1094fb407765112df1f513747ff6679f2723e224358870308b1</t>
        </is>
      </c>
      <c r="U241" s="29" t="inlineStr">
        <is>
          <t>Lisans kanıtları/convento-de-santa-ines-02.license-evidence.json</t>
        </is>
      </c>
      <c r="V241" s="29" t="inlineStr">
        <is>
          <t>78643cd0b26cd851b598c93878ce22e30d44c41af3590c93913709d33648a6bf</t>
        </is>
      </c>
      <c r="W241" s="29" t="inlineStr">
        <is>
          <t>{"source_url": "https://commons.wikimedia.org/wiki/File:Comp%C3%A1s_del_Convento_de_Santa_In%C3%A9s_(Sevilla).jpg", "author": "Jl FilpoC", "license": "CC BY-SA 4.0", "license_url": "https://creativecommons.org/licenses/by-sa/4.0/", "original_api_record": {"size": 5793923, "width": 3088, "height": 4112, "thumburl": "https://thumb.wikimedia.org/wikipedia/commons/thumb/2/2e/Comp%C3%A1s_del_Convento_de_Santa_In%C3%A9s_%28Sevilla%29.jpg/1280px-Comp%C3%A1s_del_Convento_de_Santa_In%C3%A9s_%28Sevilla%29.jpg", "thumbwidth": 1280, "thumbheight": 1704, "responsiveUrls": {"2": "https://upload.wikimedia.org/wikipedia/commons/2/2e/Comp%C3%A1s_del_Convento_de_Santa_In%C3%A9s_%28Sevilla%29.jpg"}, "thumbattribs": {"src": "https://thumb.wikimedia.org/wikipedia/commons/thumb/2/2e/Comp%C3%A1s_del_Convento_de_Santa_In%C3%A9s_%28Sevilla%29.jpg/1280px-Comp%C3%A1s_del_Convento_de_Santa_In%C3%A9s_%28Sevilla%29.jpg", "decoding": "async", "loading": "lazy", "width": 1280, "height": 1704, "srcset": "https://upload.wikimedia.org/wikipedia/commons/2/2e/Comp%C3%A1s_del_Convento_de_Santa_In%C3%A9s_%28Sevilla%29.jpg 2x"}, "url": "https://upload.wikimedia.org/wikipedia/commons/2/2e/Comp%C3%A1s_del_Convento_de_Santa_In%C3%A9s_%28Sevilla%29.jpg", "descriptionurl": "https://commons.wikimedia.org/wiki/File:Comp%C3%A1s_del_Convento_de_Santa_In%C3%A9s_(Sevilla).jpg", "descriptionshorturl": "https://commons.wikimedia.org/w/index.php?curid=84096289", "sha1": "caf9cc28fc1583a6ff645a24f8fee9c6c9558674", "extmetadata": {"DateTime": {"value": "2019-11-18 06:45:13", "source": "mediawiki-metadata", "hidden": ""}, "ObjectName": {"value": "Compás del Convento de Santa Inés (Sevilla)", "source": "mediawiki-metadata"}, "CommonsMetadataExtension": {"value": 1.2, "source": "extension", "hidden": ""}, "Categories": {"value": "Convent of Santa Inés, Seville|Self-published work", "source": "commons-categories", "hidden": ""}, "Assessments": {"value": "", "source": "commons-categories", "hidden": ""}, "ImageDescription": {"value": "Estado actual del atrio.", "source": "commons-desc-page"}, "DateTimeOriginal": {"value": "2019-11-13", "source": "commons-desc-page"}, "Credit": {"value": "&lt;span class=\"int-own-work\" lang=\"en\"&gt;Own work&lt;/span&gt;", "source": "commons-desc-page"}, "Artist": {"value": "&lt;a href=\"//commons.wikimedia.org/wiki/User:Jl_FilpoC\" title=\"User:Jl FilpoC\"&gt;Jl FilpoC&lt;/a&gt;",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"https://thumb.wikimedia.org/wikipedia/commons/thumb/2/2e/Comp%C3%A1s_del_Convento_de_Santa_In%C3%A9s_%28Sevilla%29.jpg/1280px-Comp%C3%A1s_del_Convento_de_Santa_In%C3%A9s_%28Sevilla%29.jpg"}, "retrieved_on": "2026-10-25"}</t>
        </is>
      </c>
    </row>
    <row r="242" ht="54" customHeight="1">
      <c r="A242" s="29" t="inlineStr">
        <is>
          <t>sevilla:evidence:convento-de-santa-ines-03</t>
        </is>
      </c>
      <c r="B242" s="29" t="inlineStr">
        <is>
          <t>sevilla</t>
        </is>
      </c>
      <c r="C242" s="29" t="inlineStr">
        <is>
          <t>sevilla:photo:convento-de-santa-ines-03</t>
        </is>
      </c>
      <c r="D242" s="29" t="inlineStr">
        <is>
          <t>https://commons.wikimedia.org/wiki/File:Comp%C3%A1s_y_portada_de_la_iglesia_del_Convento_de_Santa_In%C3%A9s,_Sevilla.jpg</t>
        </is>
      </c>
      <c r="E242" s="29" t="inlineStr">
        <is>
          <t>File:Compás y portada de la iglesia del Convento de Santa Inés, Sevilla.jpg</t>
        </is>
      </c>
      <c r="F242" s="29" t="inlineStr">
        <is>
          <t>Jl FilpoC</t>
        </is>
      </c>
      <c r="G242" s="29" t="inlineStr">
        <is>
          <t>CC BY-SA 4.0</t>
        </is>
      </c>
      <c r="H242" s="29" t="inlineStr">
        <is>
          <t>https://creativecommons.org/licenses/by-sa/4.0/</t>
        </is>
      </c>
      <c r="I242" s="29" t="inlineStr">
        <is>
          <t>Creative Commons Attribution-Share Alike 4.0</t>
        </is>
      </c>
      <c r="J242" s="29" t="inlineStr">
        <is>
          <t>Jl FilpoC · CC BY-SA 4.0 · Wikimedia Commons</t>
        </is>
      </c>
      <c r="K242" s="29" t="n"/>
      <c r="L242" s="49" t="n">
        <v>46320</v>
      </c>
      <c r="M242" s="29" t="inlineStr">
        <is>
          <t>Bekliyor</t>
        </is>
      </c>
      <c r="N242" s="29" t="inlineStr">
        <is>
          <t>Bekliyor</t>
        </is>
      </c>
      <c r="O242" s="29" t="inlineStr">
        <is>
          <t>Fotoğraflar/sevilla_convento-de-santa-ines_03.jpg</t>
        </is>
      </c>
      <c r="P242" s="29" t="inlineStr">
        <is>
          <t>Santa Inés Manastırı'nda kilisenin taş portali ve avludaki sütun.</t>
        </is>
      </c>
      <c r="Q242" s="29" t="inlineStr">
        <is>
          <t>Bekliyor</t>
        </is>
      </c>
      <c r="R242" s="29" t="inlineStr">
        <is>
          <t>Wikimedia Commons dosya sayfasındaki lisans: CC BY-SA 4.0</t>
        </is>
      </c>
      <c r="S242" s="29" t="inlineStr">
        <is>
          <t>Lisans kanıtları/convento-de-santa-ines-03.source-evidence.json</t>
        </is>
      </c>
      <c r="T242" s="29" t="inlineStr">
        <is>
          <t>22bb9424129c7ba4c20933790717b0b8955bc0cf871e02d6e38a3f1b47d2a8ef</t>
        </is>
      </c>
      <c r="U242" s="29" t="inlineStr">
        <is>
          <t>Lisans kanıtları/convento-de-santa-ines-03.license-evidence.json</t>
        </is>
      </c>
      <c r="V242" s="29" t="inlineStr">
        <is>
          <t>e69705e1496a846d9fb4e56b547ca02a1cee8dd5c44ebc27ae692749b057d3aa</t>
        </is>
      </c>
      <c r="W242" s="29" t="inlineStr">
        <is>
          <t>{"source_url": "https://commons.wikimedia.org/wiki/File:Comp%C3%A1s_y_portada_de_la_iglesia_del_Convento_de_Santa_In%C3%A9s,_Sevilla.jpg", "author": "Jl FilpoC", "license": "CC BY-SA 4.0", "license_url": "https://creativecommons.org/licenses/by-sa/4.0/", "original_api_record": {"size": 10547302, "width": 3552, "height": 4736, "thumburl": "https://thumb.wikimedia.org/wikipedia/commons/thumb/3/36/Comp%C3%A1s_y_portada_de_la_iglesia_del_Convento_de_Santa_In%C3%A9s%2C_Sevilla.jpg/1280px-Comp%C3%A1s_y_portada_de_la_iglesia_del_Convento_de_Santa_In%C3%A9s%2C_Sevilla.jpg", "thumbwidth": 1280, "thumbheight": 1707, "responsiveUrls": {"2": "https://upload.wikimedia.org/wikipedia/commons/3/36/Comp%C3%A1s_y_portada_de_la_iglesia_del_Convento_de_Santa_In%C3%A9s%2C_Sevilla.jpg"}, "thumbattribs": {"src": "https://thumb.wikimedia.org/wikipedia/commons/thumb/3/36/Comp%C3%A1s_y_portada_de_la_iglesia_del_Convento_de_Santa_In%C3%A9s%2C_Sevilla.jpg/1280px-Comp%C3%A1s_y_portada_de_la_iglesia_del_Convento_de_Santa_In%C3%A9s%2C_Sevilla.jpg", "decoding": "async", "loading": "lazy", "width": 1280, "height": 1707, "srcset": "https://upload.wikimedia.org/wikipedia/commons/3/36/Comp%C3%A1s_y_portada_de_la_iglesia_del_Convento_de_Santa_In%C3%A9s%2C_Sevilla.jpg 2x"}, "url": "https://upload.wikimedia.org/wikipedia/commons/3/36/Comp%C3%A1s_y_portada_de_la_iglesia_del_Convento_de_Santa_In%C3%A9s%2C_Sevilla.jpg", "descriptionurl": "https://commons.wikimedia.org/wiki/File:Comp%C3%A1s_y_portada_de_la_iglesia_del_Convento_de_Santa_In%C3%A9s,_Sevilla.jpg", "descriptionshorturl": "https://commons.wikimedia.org/w/index.php?curid=180938399", "sha1": "b9448ea8699ef06e2985c76704514d283112365d", "extmetadata": {"DateTime": {"value": "2025-12-30 05:32:32", "source": "mediawiki-metadata", "hidden": ""}, "ObjectName": {"value": "Compás y portada de la iglesia del Convento de Santa Inés, Sevilla", "source": "mediawiki-metadata"}, "CommonsMetadataExtension": {"value": 1.2, "source": "extension", "hidden": ""}, "Categories": {"value": "Convent of Santa Inés, Seville|Self-published work", "source": "commons-categories", "hidden": ""}, "Assessments": {"value": "", "source": "commons-categories", "hidden": ""}, "ImageDescription": {"value": "Portada situada en el muro meridional de la iglesia del &lt;a href=\"https://es.wikipedia.org/wiki/Convento_de_Santa_In%C3%A9s_(Sevilla)\" class=\"extiw\" title=\"es:Convento de Santa Inés (Sevilla)\"&gt;Convento de Santa Inés (Sevilla)&lt;/a&gt; (s. XVII).", "source": "commons-desc-page"}, "DateTimeOriginal": {"value": "2025-12-03", "source": "commons-desc-page"}, "Credit": {"value": "&lt;span class=\"int-own-work\" lang=\"en\"&gt;Own work&lt;/span&gt;", "source": "commons-desc-page"}, "Artist": {"value": "&lt;a href=\"//commons.wikimedia.org/wiki/User:Jl_FilpoC\" title=\"User:Jl FilpoC\"&gt;Jl FilpoC&lt;/a&gt;",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"https://thumb.wikimedia.org/wikipedia/commons/thumb/3/36/Comp%C3%A1s_y_portada_de_la_iglesia_del_Convento_de_Santa_In%C3%A9s%2C_Sevilla.jpg/1280px-Comp%C3%A1s_y_portada_de_la_iglesia_del_Convento_de_Santa_In%C3%A9s%2C_Sevilla.jpg"}, "retrieved_on": "2026-10-25"}</t>
        </is>
      </c>
    </row>
    <row r="243" ht="54" customHeight="1">
      <c r="A243" s="29" t="inlineStr">
        <is>
          <t>sevilla:evidence:monasterio-de-san-clemente-01</t>
        </is>
      </c>
      <c r="B243" s="29" t="inlineStr">
        <is>
          <t>sevilla</t>
        </is>
      </c>
      <c r="C243" s="29" t="inlineStr">
        <is>
          <t>sevilla:photo:monasterio-de-san-clemente-01</t>
        </is>
      </c>
      <c r="D243" s="29" t="inlineStr">
        <is>
          <t>https://commons.wikimedia.org/wiki/File:Monasterio_de_San_Clemente_(Sevilla)_01.jpg</t>
        </is>
      </c>
      <c r="E243" s="29" t="inlineStr">
        <is>
          <t>File:Monasterio de San Clemente (Sevilla) 01.jpg</t>
        </is>
      </c>
      <c r="F243" s="29" t="inlineStr">
        <is>
          <t>CarlosVdeHabsburgo</t>
        </is>
      </c>
      <c r="G243" s="29" t="inlineStr">
        <is>
          <t>CC BY-SA 4.0</t>
        </is>
      </c>
      <c r="H243" s="29" t="inlineStr">
        <is>
          <t>https://creativecommons.org/licenses/by-sa/4.0/</t>
        </is>
      </c>
      <c r="I243" s="29" t="inlineStr">
        <is>
          <t>Creative Commons Attribution-Share Alike 4.0</t>
        </is>
      </c>
      <c r="J243" s="29" t="inlineStr">
        <is>
          <t>CarlosVdeHabsburgo · CC BY-SA 4.0 · Wikimedia Commons</t>
        </is>
      </c>
      <c r="K243" s="29" t="n"/>
      <c r="L243" s="49" t="n">
        <v>46320</v>
      </c>
      <c r="M243" s="29" t="inlineStr">
        <is>
          <t>Bekliyor</t>
        </is>
      </c>
      <c r="N243" s="29" t="inlineStr">
        <is>
          <t>Bekliyor</t>
        </is>
      </c>
      <c r="O243" s="29" t="inlineStr">
        <is>
          <t>Fotoğraflar/sevilla_monasterio-de-san-clemente_01.jpg</t>
        </is>
      </c>
      <c r="P243" s="29" t="inlineStr">
        <is>
          <t>San Clemente Manastırı'nın beyaz dış duvarları ve yol kenarı.</t>
        </is>
      </c>
      <c r="Q243" s="29" t="inlineStr">
        <is>
          <t>Bekliyor</t>
        </is>
      </c>
      <c r="R243" s="29" t="inlineStr">
        <is>
          <t>Wikimedia Commons dosya sayfasındaki lisans: CC BY-SA 4.0</t>
        </is>
      </c>
      <c r="S243" s="29" t="inlineStr">
        <is>
          <t>Lisans kanıtları/monasterio-de-san-clemente-01.source-evidence.json</t>
        </is>
      </c>
      <c r="T243" s="29" t="inlineStr">
        <is>
          <t>31182af826c06699aa1ab1ad159edcfbd23396ca1eccca92b942993b4068adf7</t>
        </is>
      </c>
      <c r="U243" s="29" t="inlineStr">
        <is>
          <t>Lisans kanıtları/monasterio-de-san-clemente-01.license-evidence.json</t>
        </is>
      </c>
      <c r="V243" s="29" t="inlineStr">
        <is>
          <t>9058c7c0ec82664f24d44fffe111071793562e2e6990db0b2a0e7bec233c77f9</t>
        </is>
      </c>
      <c r="W243" s="29" t="inlineStr">
        <is>
          <t>{"source_url": "https://commons.wikimedia.org/wiki/File:Monasterio_de_San_Clemente_(Sevilla)_01.jpg", "author": "CarlosVdeHabsburgo", "license": "CC BY-SA 4.0", "license_url": "https://creativecommons.org/licenses/by-sa/4.0/", "original_api_record": {"size": 5753927, "width": 4320, "height": 3240, "thumburl": "https://thumb.wikimedia.org/wikipedia/commons/thumb/e/e9/Monasterio_de_San_Clemente_%28Sevilla%29_01.jpg/1280px-Monasterio_de_San_Clemente_%28Sevilla%29_01.jpg", "thumbwidth": 1280, "thumbheight": 960, "responsiveUrls": {"2": "https://thumb.wikimedia.org/wikipedia/commons/thumb/e/e9/Monasterio_de_San_Clemente_%28Sevilla%29_01.jpg/3840px-Monasterio_de_San_Clemente_%28Sevilla%29_01.jpg"}, "thumbattribs": {"src": "https://thumb.wikimedia.org/wikipedia/commons/thumb/e/e9/Monasterio_de_San_Clemente_%28Sevilla%29_01.jpg/1280px-Monasterio_de_San_Clemente_%28Sevilla%29_01.jpg", "decoding": "async", "loading": "lazy", "width": 1280, "height": 960, "srcset": "https://thumb.wikimedia.org/wikipedia/commons/thumb/e/e9/Monasterio_de_San_Clemente_%28Sevilla%29_01.jpg/3840px-Monasterio_de_San_Clemente_%28Sevilla%29_01.jpg 2x"}, "url": "https://upload.wikimedia.org/wikipedia/commons/e/e9/Monasterio_de_San_Clemente_%28Sevilla%29_01.jpg", "descriptionurl": "https://commons.wikimedia.org/wiki/File:Monasterio_de_San_Clemente_(Sevilla)_01.jpg", "descriptionshorturl": "https://commons.wikimedia.org/w/index.php?curid=65586029", "sha1": "265469335e9a0a97b0ec8118970448aecc6ec399", "extmetadata": {"DateTime": {"value": "2018-01-16 23:57:29", "source": "mediawiki-metadata", "hidden": ""}, "ObjectName": {"value": "Monasterio de San Clemente (Sevilla) 01", "source": "mediawiki-metadata"}, "CommonsMetadataExtension": {"value": 1.2, "source": "extension", "hidden": ""}, "Categories": {"value": "Exterior of the Monasterio de San Clemente, Seville|Self-published work|January 2018 in Seville", "source": "commons-categories", "hidden": ""}, "Assessments": {"value": "", "source": "commons-categories", "hidden": ""}, "ImageDescription": {"value": "Monasterio de San Clemente. Sevilla. Andalucía, España.", "source": "commons-desc-page"}, "DateTimeOriginal": {"value": "2018-01-16 16:49:03",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"https://thumb.wikimedia.org/wikipedia/commons/thumb/e/e9/Monasterio_de_San_Clemente_%28Sevilla%29_01.jpg/1280px-Monasterio_de_San_Clemente_%28Sevilla%29_01.jpg"}, "retrieved_on": "2026-10-25"}</t>
        </is>
      </c>
    </row>
    <row r="244" ht="54" customHeight="1">
      <c r="A244" s="29" t="inlineStr">
        <is>
          <t>sevilla:evidence:monasterio-de-san-clemente-02</t>
        </is>
      </c>
      <c r="B244" s="29" t="inlineStr">
        <is>
          <t>sevilla</t>
        </is>
      </c>
      <c r="C244" s="29" t="inlineStr">
        <is>
          <t>sevilla:photo:monasterio-de-san-clemente-02</t>
        </is>
      </c>
      <c r="D244" s="29" t="inlineStr">
        <is>
          <t>https://commons.wikimedia.org/wiki/File:Monasterio_de_San_Clemente_(Sevilla)._Claustro.jpg</t>
        </is>
      </c>
      <c r="E244" s="29" t="inlineStr">
        <is>
          <t>File:Monasterio de San Clemente (Sevilla). Claustro.jpg</t>
        </is>
      </c>
      <c r="F244" s="29" t="inlineStr">
        <is>
          <t>Jose Luis Filpo Cabana</t>
        </is>
      </c>
      <c r="G244" s="29" t="inlineStr">
        <is>
          <t>CC BY 3.0</t>
        </is>
      </c>
      <c r="H244" s="29" t="inlineStr">
        <is>
          <t>https://creativecommons.org/licenses/by/3.0/</t>
        </is>
      </c>
      <c r="I244" s="29" t="inlineStr">
        <is>
          <t>Creative Commons Attribution 3.0</t>
        </is>
      </c>
      <c r="J244" s="29" t="inlineStr">
        <is>
          <t>Jose Luis Filpo Cabana · CC BY 3.0 · Wikimedia Commons</t>
        </is>
      </c>
      <c r="K244" s="29" t="n"/>
      <c r="L244" s="49" t="n">
        <v>46320</v>
      </c>
      <c r="M244" s="29" t="inlineStr">
        <is>
          <t>Bekliyor</t>
        </is>
      </c>
      <c r="N244" s="29" t="inlineStr">
        <is>
          <t>Bekliyor</t>
        </is>
      </c>
      <c r="O244" s="29" t="inlineStr">
        <is>
          <t>Fotoğraflar/sevilla_monasterio-de-san-clemente_02.jpg</t>
        </is>
      </c>
      <c r="P244" s="29" t="inlineStr">
        <is>
          <t>San Clemente Manastırı'nın sütunlu, bahçeli klostrosu.</t>
        </is>
      </c>
      <c r="Q244" s="29" t="inlineStr">
        <is>
          <t>Bekliyor</t>
        </is>
      </c>
      <c r="R244" s="29" t="inlineStr">
        <is>
          <t>Wikimedia Commons dosya sayfasındaki lisans: CC BY 3.0</t>
        </is>
      </c>
      <c r="S244" s="29" t="inlineStr">
        <is>
          <t>Lisans kanıtları/monasterio-de-san-clemente-02.source-evidence.json</t>
        </is>
      </c>
      <c r="T244" s="29" t="inlineStr">
        <is>
          <t>93ed9ddd05c9ac9aaf1c1699aaf0bad3cd4298926d394d4b6cfcb270af77ef2c</t>
        </is>
      </c>
      <c r="U244" s="29" t="inlineStr">
        <is>
          <t>Lisans kanıtları/monasterio-de-san-clemente-02.license-evidence.json</t>
        </is>
      </c>
      <c r="V244" s="29" t="inlineStr">
        <is>
          <t>fa527a11322a7afc55f6b68e0c3512b62e3a712967d6d2506a8fc8905e8d6503</t>
        </is>
      </c>
      <c r="W244" s="29" t="inlineStr">
        <is>
          <t>{"source_url": "https://commons.wikimedia.org/wiki/File:Monasterio_de_San_Clemente_(Sevilla)._Claustro.jpg", "author": "Jose Luis Filpo Cabana", "license": "CC BY 3.0", "license_url": "https://creativecommons.org/licenses/by/3.0/", "original_api_record": {"size": 7546642, "width": 3968, "height": 2232, "thumburl": "https://thumb.wikimedia.org/wikipedia/commons/thumb/1/14/Monasterio_de_San_Clemente_%28Sevilla%29._Claustro.jpg/1280px-Monasterio_de_San_Clemente_%28Sevilla%29._Claustro.jpg", "thumbwidth": 1280, "thumbheight": 720, "responsiveUrls": {"2": "https://thumb.wikimedia.org/wikipedia/commons/thumb/1/14/Monasterio_de_San_Clemente_%28Sevilla%29._Claustro.jpg/3840px-Monasterio_de_San_Clemente_%28Sevilla%29._Claustro.jpg"}, "thumbattribs": {"src": "https://thumb.wikimedia.org/wikipedia/commons/thumb/1/14/Monasterio_de_San_Clemente_%28Sevilla%29._Claustro.jpg/1280px-Monasterio_de_San_Clemente_%28Sevilla%29._Claustro.jpg", "decoding": "async", "loading": "lazy", "width": 1280, "height": 720, "srcset": "https://thumb.wikimedia.org/wikipedia/commons/thumb/1/14/Monasterio_de_San_Clemente_%28Sevilla%29._Claustro.jpg/3840px-Monasterio_de_San_Clemente_%28Sevilla%29._Claustro.jpg 2x"}, "url": "https://upload.wikimedia.org/wikipedia/commons/1/14/Monasterio_de_San_Clemente_%28Sevilla%29._Claustro.jpg", "descriptionurl": "https://commons.wikimedia.org/wiki/File:Monasterio_de_San_Clemente_(Sevilla)._Claustro.jpg", "descriptionshorturl": "https://commons.wikimedia.org/w/index.php?curid=30514461", "sha1": "9d19ceee9dc23063f5153f78cc067e8dd238ba1b", "extmetadata": {"DateTime": {"value": "2014-01-07 08:10:27", "source": "mediawiki-metadata", "hidden": ""}, "ObjectName": {"value": "Monasterio de San Clemente (Sevilla). Claustro", "source": "mediawiki-metadata"}, "CommonsMetadataExtension": {"value": 1.2, "source": "extension", "hidden": ""}, "Categories": {"value": "GFDL|License migration redundant|Self-published work|Files with coordinates missing SDC location of creation|Cloister of the Monasterio de San Clemente, Seville", "source": "commons-categories", "hidden": ""}, "Assessments": {"value": "", "source": "commons-categories", "hidden": ""}, "GPSLatitude": {"value": "37.402583", "source": "commons-desc-page"}, "GPSLongitude": {"value": "-5.995778", "source": "commons-desc-page"}, "GPSMapDatum": {"value": "WGS-84", "source": "commons-desc-page", "hidden": ""}, "ImageDescription": {"value": "&lt;a href=\"https://es.wikipedia.org/wiki/Diego_L%C3%B3pez_Bueno\" class=\"extiw\" title=\"es:Diego López Bueno\"&gt;Diego López Bueno&lt;/a&gt; y &lt;a href=\"https://es.wikipedia.org/wiki/Miguel_de_Zum%C3%A1rraga\" class=\"extiw\" title=\"es:Miguel de Zumárraga\"&gt;Miguel de Zumárraga&lt;/a&gt; proyectaron este gran claustro (1617), interviniendo &lt;a href=\"https://es.wikipedia.org/wiki/Diego_G%C3%B3mez_(arquitecto)\" class=\"extiw\" title=\"es:Diego Gómez (arquitecto)\"&gt;Diego Gómez&lt;/a&gt;, arquitectura que sería precedente para otros cenobios sevillanos.", "source": "commons-desc-page"}, "DateTimeOriginal": {"value": "2012-04", "source": "commons-desc-page"}, "Credit": {"value": "&lt;span class=\"int-own-work\" lang=\"en\"&gt;Own work&lt;/span&gt;", "source": "commons-desc-page"}, "Artist": {"value": "Jose Luis Filpo Cabana", "source": "commons-desc-page"}, "Permission": {"value": "You may select the license of your choice.", "source": "commons-desc-page", "hidden": ""},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"https://thumb.wikimedia.org/wikipedia/commons/thumb/1/14/Monasterio_de_San_Clemente_%28Sevilla%29._Claustro.jpg/1280px-Monasterio_de_San_Clemente_%28Sevilla%29._Claustro.jpg"}, "retrieved_on": "2026-10-25"}</t>
        </is>
      </c>
    </row>
    <row r="245" ht="54" customHeight="1">
      <c r="A245" s="29" t="inlineStr">
        <is>
          <t>sevilla:evidence:monasterio-de-san-clemente-03</t>
        </is>
      </c>
      <c r="B245" s="29" t="inlineStr">
        <is>
          <t>sevilla</t>
        </is>
      </c>
      <c r="C245" s="29" t="inlineStr">
        <is>
          <t>sevilla:photo:monasterio-de-san-clemente-03</t>
        </is>
      </c>
      <c r="D245" s="29" t="inlineStr">
        <is>
          <t>https://commons.wikimedia.org/wiki/File:Monasterio_de_San_Clemente_(Sevilla)._Iglesia.jpg</t>
        </is>
      </c>
      <c r="E245" s="29" t="inlineStr">
        <is>
          <t>File:Monasterio de San Clemente (Sevilla). Iglesia.jpg</t>
        </is>
      </c>
      <c r="F245" s="29" t="inlineStr">
        <is>
          <t>Jose Luis Filpo Cabana</t>
        </is>
      </c>
      <c r="G245" s="29" t="inlineStr">
        <is>
          <t>CC BY 3.0</t>
        </is>
      </c>
      <c r="H245" s="29" t="inlineStr">
        <is>
          <t>https://creativecommons.org/licenses/by/3.0/</t>
        </is>
      </c>
      <c r="I245" s="29" t="inlineStr">
        <is>
          <t>Creative Commons Attribution 3.0</t>
        </is>
      </c>
      <c r="J245" s="29" t="inlineStr">
        <is>
          <t>Jose Luis Filpo Cabana · CC BY 3.0 · Wikimedia Commons</t>
        </is>
      </c>
      <c r="K245" s="29" t="n"/>
      <c r="L245" s="49" t="n">
        <v>46320</v>
      </c>
      <c r="M245" s="29" t="inlineStr">
        <is>
          <t>Bekliyor</t>
        </is>
      </c>
      <c r="N245" s="29" t="inlineStr">
        <is>
          <t>Bekliyor</t>
        </is>
      </c>
      <c r="O245" s="29" t="inlineStr">
        <is>
          <t>Fotoğraflar/sevilla_monasterio-de-san-clemente_03.jpg</t>
        </is>
      </c>
      <c r="P245" s="29" t="inlineStr">
        <is>
          <t>San Clemente Manastırı kilisesinde altın yaldızlı sunak ve sıralar.</t>
        </is>
      </c>
      <c r="Q245" s="29" t="inlineStr">
        <is>
          <t>Bekliyor</t>
        </is>
      </c>
      <c r="R245" s="29" t="inlineStr">
        <is>
          <t>Wikimedia Commons dosya sayfasındaki lisans: CC BY 3.0</t>
        </is>
      </c>
      <c r="S245" s="29" t="inlineStr">
        <is>
          <t>Lisans kanıtları/monasterio-de-san-clemente-03.source-evidence.json</t>
        </is>
      </c>
      <c r="T245" s="29" t="inlineStr">
        <is>
          <t>56d83c4c287d4a3236ff49bfc4c04572c7308ac2d210738043f932e8196ccefa</t>
        </is>
      </c>
      <c r="U245" s="29" t="inlineStr">
        <is>
          <t>Lisans kanıtları/monasterio-de-san-clemente-03.license-evidence.json</t>
        </is>
      </c>
      <c r="V245" s="29" t="inlineStr">
        <is>
          <t>9eac9d13daeb1768d0904b88f053196cc6cfc3f4364fc4fa4b9dea5975dfc449</t>
        </is>
      </c>
      <c r="W245" s="29" t="inlineStr">
        <is>
          <t>{"source_url": "https://commons.wikimedia.org/wiki/File:Monasterio_de_San_Clemente_(Sevilla)._Iglesia.jpg", "author": "Jose Luis Filpo Cabana", "license": "CC BY 3.0", "license_url": "https://creativecommons.org/licenses/by/3.0/", "original_api_record": {"size": 6361414, "width": 2471, "height": 2471, "thumburl": "https://thumb.wikimedia.org/wikipedia/commons/thumb/7/7f/Monasterio_de_San_Clemente_%28Sevilla%29._Iglesia.jpg/1280px-Monasterio_de_San_Clemente_%28Sevilla%29._Iglesia.jpg", "thumbwidth": 1280, "thumbheight": 1280, "responsiveUrls": {"2": "https://upload.wikimedia.org/wikipedia/commons/7/7f/Monasterio_de_San_Clemente_%28Sevilla%29._Iglesia.jpg"}, "thumbattribs": {"src": "https://thumb.wikimedia.org/wikipedia/commons/thumb/7/7f/Monasterio_de_San_Clemente_%28Sevilla%29._Iglesia.jpg/1280px-Monasterio_de_San_Clemente_%28Sevilla%29._Iglesia.jpg", "decoding": "async", "loading": "lazy", "width": 1280, "height": 1280, "srcset": "https://upload.wikimedia.org/wikipedia/commons/7/7f/Monasterio_de_San_Clemente_%28Sevilla%29._Iglesia.jpg 2x"}, "url": "https://upload.wikimedia.org/wikipedia/commons/7/7f/Monasterio_de_San_Clemente_%28Sevilla%29._Iglesia.jpg", "descriptionurl": "https://commons.wikimedia.org/wiki/File:Monasterio_de_San_Clemente_(Sevilla)._Iglesia.jpg", "descriptionshorturl": "https://commons.wikimedia.org/w/index.php?curid=30099364", "sha1": "d6190bd5df7c669eaef39d90334045ece11cf764", "extmetadata": {"DateTime": {"value": "2021-04-07 16:07:59", "source": "mediawiki-metadata", "hidden": ""}, "ObjectName": {"value": "Monasterio de San Clemente (Sevilla). Iglesia", "source": "mediawiki-metadata"}, "CommonsMetadataExtension": {"value": 1.2, "source": "extension", "hidden": ""}, "Categories": {"value": "GFDL|Images with annotations|License migration redundant|Self-published work|Files with coordinates missing SDC location of creation|Main altarpiece of the church of the Real Monasterio de San Clemente, Sevilla", "source": "commons-categories", "hidden": ""}, "Assessments": {"value": "", "source": "commons-categories", "hidden": ""}, "GPSLatitude": {"value": "37.402460", "source": "commons-desc-page"}, "GPSLongitude": {"value": "-5.995580", "source": "commons-desc-page"}, "GPSMapDatum": {"value": "WGS-84", "source": "commons-desc-page", "hidden": ""}, "ImageDescription": {"value": "Durante los siglos XVII y XVIII el monasterio se reforma debido al estado de conservación. La iglesia responde a la arquitectura monacal con única nave. Importantes artistas contribuyen en ella, principalmente &lt;a href=\"https://es.wikipedia.org/wiki/Felipe_de_Ribas\" class=\"extiw\" title=\"es:Felipe de Ribas\"&gt;Felipe de Ribas&lt;/a&gt; y su hermano Gaspar con el retablo mayor (1639-1647), siendo policromado por &lt;a href=\"https://es.wikipedia.org/wiki/Vald%C3%A9s_Leal\" class=\"extiw\" title=\"es:Valdés Leal\"&gt;Valdés Leal&lt;/a&gt; (1680).", "source": "commons-desc-page"}, "DateTimeOriginal": {"value": "2013-12", "source": "commons-desc-page"}, "Credit": {"value": "&lt;span class=\"int-own-work\" lang=\"en\"&gt;Own work&lt;/span&gt;", "source": "commons-desc-page"}, "Artist": {"value": "Jose Luis Filpo Cabana", "source": "commons-desc-page"}, "Permission": {"value": "You may select the license of your choice.", "source": "commons-desc-page", "hidden": ""},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"https://thumb.wikimedia.org/wikipedia/commons/thumb/7/7f/Monasterio_de_San_Clemente_%28Sevilla%29._Iglesia.jpg/1280px-Monasterio_de_San_Clemente_%28Sevilla%29._Iglesia.jpg"}, "retrieved_on": "2026-10-25"}</t>
        </is>
      </c>
    </row>
    <row r="246" ht="54" customHeight="1">
      <c r="A246" s="29" t="inlineStr">
        <is>
          <t>sevilla:evidence:real-fabrica-de-tabacos-rectorado-01</t>
        </is>
      </c>
      <c r="B246" s="29" t="inlineStr">
        <is>
          <t>sevilla</t>
        </is>
      </c>
      <c r="C246" s="29" t="inlineStr">
        <is>
          <t>sevilla:photo:real-fabrica-de-tabacos-rectorado-01</t>
        </is>
      </c>
      <c r="D246" s="29" t="inlineStr">
        <is>
          <t>https://commons.wikimedia.org/wiki/File:Fabrique_Royale_Tabac_-_S%C3%A9ville_(ES61)_-_2023-04-25_-_1.jpg</t>
        </is>
      </c>
      <c r="E246" s="29" t="inlineStr">
        <is>
          <t>File:Fabrique Royale Tabac - Séville (ES61) - 2023-04-25 - 1.jpg</t>
        </is>
      </c>
      <c r="F246" s="29" t="inlineStr">
        <is>
          <t>Chabe01</t>
        </is>
      </c>
      <c r="G246" s="29" t="inlineStr">
        <is>
          <t>CC BY-SA 4.0</t>
        </is>
      </c>
      <c r="H246" s="29" t="inlineStr">
        <is>
          <t>https://creativecommons.org/licenses/by-sa/4.0/</t>
        </is>
      </c>
      <c r="I246" s="29" t="inlineStr">
        <is>
          <t>Creative Commons Attribution-Share Alike 4.0</t>
        </is>
      </c>
      <c r="J246" s="29" t="inlineStr">
        <is>
          <t>Chabe01 · CC BY-SA 4.0 · Wikimedia Commons</t>
        </is>
      </c>
      <c r="K246" s="29" t="n"/>
      <c r="L246" s="49" t="n">
        <v>46320</v>
      </c>
      <c r="M246" s="29" t="inlineStr">
        <is>
          <t>Bekliyor</t>
        </is>
      </c>
      <c r="N246" s="29" t="inlineStr">
        <is>
          <t>Bekliyor</t>
        </is>
      </c>
      <c r="O246" s="29" t="inlineStr">
        <is>
          <t>Fotoğraflar/sevilla_real-fabrica-de-tabacos-rectorado_01.jpg</t>
        </is>
      </c>
      <c r="P246" s="29" t="inlineStr">
        <is>
          <t>Eski Kraliyet Tütün Fabrikası'nın, bugün üniversite rektörlüğü, bahçeli uzun taş cephesi.</t>
        </is>
      </c>
      <c r="Q246" s="29" t="inlineStr">
        <is>
          <t>Bekliyor</t>
        </is>
      </c>
      <c r="R246" s="29" t="inlineStr">
        <is>
          <t>Wikimedia Commons dosya sayfasındaki lisans: CC BY-SA 4.0</t>
        </is>
      </c>
      <c r="S246" s="29" t="inlineStr">
        <is>
          <t>Lisans kanıtları/real-fabrica-de-tabacos-rectorado-01.source-evidence.json</t>
        </is>
      </c>
      <c r="T246" s="29" t="inlineStr">
        <is>
          <t>d8911fe2873f8bab264f289c6e748b69ba472655ef62c822a62670d964902f77</t>
        </is>
      </c>
      <c r="U246" s="29" t="inlineStr">
        <is>
          <t>Lisans kanıtları/real-fabrica-de-tabacos-rectorado-01.license-evidence.json</t>
        </is>
      </c>
      <c r="V246" s="29" t="inlineStr">
        <is>
          <t>d1291240b767eed2bd45a9bb55d557151cc631809bacaf1cf7e13de67915418b</t>
        </is>
      </c>
      <c r="W246" s="29" t="inlineStr">
        <is>
          <t>{"source_url": "https://commons.wikimedia.org/wiki/File:Fabrique_Royale_Tabac_-_S%C3%A9ville_(ES61)_-_2023-04-25_-_1.jpg", "author": "Chabe01", "license": "CC BY-SA 4.0", "license_url": "https://creativecommons.org/licenses/by-sa/4.0/", "original_api_record": {"size": 4675524, "width": 4032, "height": 3024, "thumburl": "https://thumb.wikimedia.org/wikipedia/commons/thumb/5/5a/Fabrique_Royale_Tabac_-_S%C3%A9ville_%28ES61%29_-_2023-04-25_-_1.jpg/1280px-Fabrique_Royale_Tabac_-_S%C3%A9ville_%28ES61%29_-_2023-04-25_-_1.jpg", "thumbwidth": 1280, "thumbheight": 960, "responsiveUrls": {"2": "https://thumb.wikimedia.org/wikipedia/commons/thumb/5/5a/Fabrique_Royale_Tabac_-_S%C3%A9ville_%28ES61%29_-_2023-04-25_-_1.jpg/3840px-Fabrique_Royale_Tabac_-_S%C3%A9ville_%28ES61%29_-_2023-04-25_-_1.jpg"}, "thumbattribs": {"src": "https://thumb.wikimedia.org/wikipedia/commons/thumb/5/5a/Fabrique_Royale_Tabac_-_S%C3%A9ville_%28ES61%29_-_2023-04-25_-_1.jpg/1280px-Fabrique_Royale_Tabac_-_S%C3%A9ville_%28ES61%29_-_2023-04-25_-_1.jpg", "decoding": "async", "loading": "lazy", "width": 1280, "height": 960, "srcset": "https://thumb.wikimedia.org/wikipedia/commons/thumb/5/5a/Fabrique_Royale_Tabac_-_S%C3%A9ville_%28ES61%29_-_2023-04-25_-_1.jpg/3840px-Fabrique_Royale_Tabac_-_S%C3%A9ville_%28ES61%29_-_2023-04-25_-_1.jpg 2x"}, "url": "https://upload.wikimedia.org/wikipedia/commons/5/5a/Fabrique_Royale_Tabac_-_S%C3%A9ville_%28ES61%29_-_2023-04-25_-_1.jpg", "descriptionurl": "https://commons.wikimedia.org/wiki/File:Fabrique_Royale_Tabac_-_S%C3%A9ville_(ES61)_-_2023-04-25_-_1.jpg", "descriptionshorturl": "https://commons.wikimedia.org/w/index.php?curid=131296918", "sha1": "117c18d6ed4ce82bdbf728bca550469ef5a8c6c8", "extmetadata": {"DateTime": {"value": "2023-04-28 21:41:15", "source": "mediawiki-metadata", "hidden": ""}, "ObjectName": {"value": "Fabrique Royale Tabac - Séville (ES61) - 2023-04-25 - 1", "source": "mediawiki-metadata"}, "CommonsMetadataExtension": {"value": 1.2, "source": "extension", "hidden": ""}, "Categories": {"value": "Real Fábrica de Tabacos de Sevilla|Self-published work|Files with coordinates missing SDC location of creation|Spain photographs taken on 2023-04-25|April 2023 in Seville|Images by Chabe01 taken with iPhone 13 Pro|Images of Seville by Chabe01", "source": "commons-categories", "hidden": ""}, "Assessments": {"value": "", "source": "commons-categories", "hidden": ""}, "GPSLatitude": {"value": "37.381772", "source": "commons-desc-page"}, "GPSLongitude": {"value": "-5.991047", "source": "commons-desc-page"}, "GPSMapDatum": {"value": "WGS-84", "source": "commons-desc-page", "hidden": ""}, "ImageDescription": {"value": "Fabrique royale de Tabac, Séville.", "source": "commons-desc-page"}, "DateTimeOriginal": {"value": "2023-04-25 14:48:14", "source": "commons-desc-page"}, "Credit": {"value": "&lt;span class=\"int-own-work\" lang=\"en\"&gt;Own work&lt;/span&gt;", "source": "commons-desc-page"}, "Artist": {"value": "&lt;a href=\"//commons.wikimedia.org/wiki/User:Chabe01\" title=\"User:Chabe01\"&gt;Chabe01&lt;/a&gt;",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"https://thumb.wikimedia.org/wikipedia/commons/thumb/5/5a/Fabrique_Royale_Tabac_-_S%C3%A9ville_%28ES61%29_-_2023-04-25_-_1.jpg/1280px-Fabrique_Royale_Tabac_-_S%C3%A9ville_%28ES61%29_-_2023-04-25_-_1.jpg"}, "retrieved_on": "2026-10-25"}</t>
        </is>
      </c>
    </row>
    <row r="247" ht="54" customHeight="1">
      <c r="A247" s="29" t="inlineStr">
        <is>
          <t>sevilla:evidence:real-fabrica-de-tabacos-rectorado-02</t>
        </is>
      </c>
      <c r="B247" s="29" t="inlineStr">
        <is>
          <t>sevilla</t>
        </is>
      </c>
      <c r="C247" s="29" t="inlineStr">
        <is>
          <t>sevilla:photo:real-fabrica-de-tabacos-rectorado-02</t>
        </is>
      </c>
      <c r="D247" s="29" t="inlineStr">
        <is>
          <t>https://commons.wikimedia.org/wiki/File:Fabrique_Royale_Tabac_-_S%C3%A9ville_(ES61)_-_2023-04-25_-_2.jpg</t>
        </is>
      </c>
      <c r="E247" s="29" t="inlineStr">
        <is>
          <t>File:Fabrique Royale Tabac - Séville (ES61) - 2023-04-25 - 2.jpg</t>
        </is>
      </c>
      <c r="F247" s="29" t="inlineStr">
        <is>
          <t>Chabe01</t>
        </is>
      </c>
      <c r="G247" s="29" t="inlineStr">
        <is>
          <t>CC BY-SA 4.0</t>
        </is>
      </c>
      <c r="H247" s="29" t="inlineStr">
        <is>
          <t>https://creativecommons.org/licenses/by-sa/4.0/</t>
        </is>
      </c>
      <c r="I247" s="29" t="inlineStr">
        <is>
          <t>Creative Commons Attribution-Share Alike 4.0</t>
        </is>
      </c>
      <c r="J247" s="29" t="inlineStr">
        <is>
          <t>Chabe01 · CC BY-SA 4.0 · Wikimedia Commons</t>
        </is>
      </c>
      <c r="K247" s="29" t="n"/>
      <c r="L247" s="49" t="n">
        <v>46320</v>
      </c>
      <c r="M247" s="29" t="inlineStr">
        <is>
          <t>Bekliyor</t>
        </is>
      </c>
      <c r="N247" s="29" t="inlineStr">
        <is>
          <t>Bekliyor</t>
        </is>
      </c>
      <c r="O247" s="29" t="inlineStr">
        <is>
          <t>Fotoğraflar/sevilla_real-fabrica-de-tabacos-rectorado_02.jpg</t>
        </is>
      </c>
      <c r="P247" s="29" t="inlineStr">
        <is>
          <t>Kraliyet Tütün Fabrikası'nın barok giriş cephesi ve meydanı.</t>
        </is>
      </c>
      <c r="Q247" s="29" t="inlineStr">
        <is>
          <t>Bekliyor</t>
        </is>
      </c>
      <c r="R247" s="29" t="inlineStr">
        <is>
          <t>Wikimedia Commons dosya sayfasındaki lisans: CC BY-SA 4.0</t>
        </is>
      </c>
      <c r="S247" s="29" t="inlineStr">
        <is>
          <t>Lisans kanıtları/real-fabrica-de-tabacos-rectorado-02.source-evidence.json</t>
        </is>
      </c>
      <c r="T247" s="29" t="inlineStr">
        <is>
          <t>4b0af29672500a154586a03e6a2b1ee3ce1be05481b13a0b1fa0abf7ca89fb23</t>
        </is>
      </c>
      <c r="U247" s="29" t="inlineStr">
        <is>
          <t>Lisans kanıtları/real-fabrica-de-tabacos-rectorado-02.license-evidence.json</t>
        </is>
      </c>
      <c r="V247" s="29" t="inlineStr">
        <is>
          <t>64304c04250d8918fdd4a8aad0c9ca59d04b7a04d740d8ebd919f551e68fc329</t>
        </is>
      </c>
      <c r="W247" s="29" t="inlineStr">
        <is>
          <t>{"source_url": "https://commons.wikimedia.org/wiki/File:Fabrique_Royale_Tabac_-_S%C3%A9ville_(ES61)_-_2023-04-25_-_2.jpg", "author": "Chabe01", "license": "CC BY-SA 4.0", "license_url": "https://creativecommons.org/licenses/by-sa/4.0/", "original_api_record": {"size": 3384677, "width": 4032, "height": 3024, "thumburl": "https://thumb.wikimedia.org/wikipedia/commons/thumb/1/1f/Fabrique_Royale_Tabac_-_S%C3%A9ville_%28ES61%29_-_2023-04-25_-_2.jpg/1280px-Fabrique_Royale_Tabac_-_S%C3%A9ville_%28ES61%29_-_2023-04-25_-_2.jpg", "thumbwidth": 1280, "thumbheight": 960, "responsiveUrls": {"2": "https://thumb.wikimedia.org/wikipedia/commons/thumb/1/1f/Fabrique_Royale_Tabac_-_S%C3%A9ville_%28ES61%29_-_2023-04-25_-_2.jpg/3840px-Fabrique_Royale_Tabac_-_S%C3%A9ville_%28ES61%29_-_2023-04-25_-_2.jpg"}, "thumbattribs": {"src": "https://thumb.wikimedia.org/wikipedia/commons/thumb/1/1f/Fabrique_Royale_Tabac_-_S%C3%A9ville_%28ES61%29_-_2023-04-25_-_2.jpg/1280px-Fabrique_Royale_Tabac_-_S%C3%A9ville_%28ES61%29_-_2023-04-25_-_2.jpg", "decoding": "async", "loading": "lazy", "width": 1280, "height": 960, "srcset": "https://thumb.wikimedia.org/wikipedia/commons/thumb/1/1f/Fabrique_Royale_Tabac_-_S%C3%A9ville_%28ES61%29_-_2023-04-25_-_2.jpg/3840px-Fabrique_Royale_Tabac_-_S%C3%A9ville_%28ES61%29_-_2023-04-25_-_2.jpg 2x"}, "url": "https://upload.wikimedia.org/wikipedia/commons/1/1f/Fabrique_Royale_Tabac_-_S%C3%A9ville_%28ES61%29_-_2023-04-25_-_2.jpg", "descriptionurl": "https://commons.wikimedia.org/wiki/File:Fabrique_Royale_Tabac_-_S%C3%A9ville_(ES61)_-_2023-04-25_-_2.jpg", "descriptionshorturl": "https://commons.wikimedia.org/w/index.php?curid=131296920", "sha1": "550737558ec3dec8464a3fd8bcbdcb4721a6f2a9", "extmetadata": {"DateTime": {"value": "2023-04-28 21:41:23", "source": "mediawiki-metadata", "hidden": ""}, "ObjectName": {"value": "Fabrique Royale Tabac - Séville (ES61) - 2023-04-25 - 2", "source": "mediawiki-metadata"}, "CommonsMetadataExtension": {"value": 1.2, "source": "extension", "hidden": ""}, "Categories": {"value": "Real Fábrica de Tabacos de Sevilla|Self-published work|Files with coordinates missing SDC location of creation|Spain photographs taken on 2023-04-25|April 2023 in Seville|Images by Chabe01 taken with iPhone 13 Pro|Images of Seville by Chabe01", "source": "commons-categories", "hidden": ""}, "Assessments": {"value": "", "source": "commons-categories", "hidden": ""}, "GPSLatitude": {"value": "37.381600", "source": "commons-desc-page"}, "GPSLongitude": {"value": "-5.990539", "source": "commons-desc-page"}, "GPSMapDatum": {"value": "WGS-84", "source": "commons-desc-page", "hidden": ""}, "ImageDescription": {"value": "Fabrique royale de Tabac, Séville.", "source": "commons-desc-page"}, "DateTimeOriginal": {"value": "2023-04-25 14:49:10", "source": "commons-desc-page"}, "Credit": {"value": "&lt;span class=\"int-own-work\" lang=\"en\"&gt;Own work&lt;/span&gt;", "source": "commons-desc-page"}, "Artist": {"value": "&lt;a href=\"//commons.wikimedia.org/wiki/User:Chabe01\" title=\"User:Chabe01\"&gt;Chabe01&lt;/a&gt;",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"https://thumb.wikimedia.org/wikipedia/commons/thumb/1/1f/Fabrique_Royale_Tabac_-_S%C3%A9ville_%28ES61%29_-_2023-04-25_-_2.jpg/1280px-Fabrique_Royale_Tabac_-_S%C3%A9ville_%28ES61%29_-_2023-04-25_-_2.jpg"}, "retrieved_on": "2026-10-25"}</t>
        </is>
      </c>
    </row>
    <row r="248" ht="54" customHeight="1">
      <c r="A248" s="29" t="inlineStr">
        <is>
          <t>sevilla:evidence:real-fabrica-de-tabacos-rectorado-03</t>
        </is>
      </c>
      <c r="B248" s="29" t="inlineStr">
        <is>
          <t>sevilla</t>
        </is>
      </c>
      <c r="C248" s="29" t="inlineStr">
        <is>
          <t>sevilla:photo:real-fabrica-de-tabacos-rectorado-03</t>
        </is>
      </c>
      <c r="D248" s="29" t="inlineStr">
        <is>
          <t>https://commons.wikimedia.org/wiki/File:Fabrique_Royale_Tabac_-_S%C3%A9ville_(ES61)_-_2023-04-25_-_4.jpg</t>
        </is>
      </c>
      <c r="E248" s="29" t="inlineStr">
        <is>
          <t>File:Fabrique Royale Tabac - Séville (ES61) - 2023-04-25 - 4.jpg</t>
        </is>
      </c>
      <c r="F248" s="29" t="inlineStr">
        <is>
          <t>Chabe01</t>
        </is>
      </c>
      <c r="G248" s="29" t="inlineStr">
        <is>
          <t>CC BY-SA 4.0</t>
        </is>
      </c>
      <c r="H248" s="29" t="inlineStr">
        <is>
          <t>https://creativecommons.org/licenses/by-sa/4.0/</t>
        </is>
      </c>
      <c r="I248" s="29" t="inlineStr">
        <is>
          <t>Creative Commons Attribution-Share Alike 4.0</t>
        </is>
      </c>
      <c r="J248" s="29" t="inlineStr">
        <is>
          <t>Chabe01 · CC BY-SA 4.0 · Wikimedia Commons</t>
        </is>
      </c>
      <c r="K248" s="29" t="n"/>
      <c r="L248" s="49" t="n">
        <v>46320</v>
      </c>
      <c r="M248" s="29" t="inlineStr">
        <is>
          <t>Bekliyor</t>
        </is>
      </c>
      <c r="N248" s="29" t="inlineStr">
        <is>
          <t>Bekliyor</t>
        </is>
      </c>
      <c r="O248" s="29" t="inlineStr">
        <is>
          <t>Fotoğraflar/sevilla_real-fabrica-de-tabacos-rectorado_03.jpg</t>
        </is>
      </c>
      <c r="P248" s="29" t="inlineStr">
        <is>
          <t>Kraliyet Tütün Fabrikası'nın kapı üstündeki heykelli barok alınlığı.</t>
        </is>
      </c>
      <c r="Q248" s="29" t="inlineStr">
        <is>
          <t>Bekliyor</t>
        </is>
      </c>
      <c r="R248" s="29" t="inlineStr">
        <is>
          <t>Wikimedia Commons dosya sayfasındaki lisans: CC BY-SA 4.0</t>
        </is>
      </c>
      <c r="S248" s="29" t="inlineStr">
        <is>
          <t>Lisans kanıtları/real-fabrica-de-tabacos-rectorado-03.source-evidence.json</t>
        </is>
      </c>
      <c r="T248" s="29" t="inlineStr">
        <is>
          <t>84d1b3a7c294a03ebff2116c9de3e8d15deff9eee4fea47bb02c3e44346ed712</t>
        </is>
      </c>
      <c r="U248" s="29" t="inlineStr">
        <is>
          <t>Lisans kanıtları/real-fabrica-de-tabacos-rectorado-03.license-evidence.json</t>
        </is>
      </c>
      <c r="V248" s="29" t="inlineStr">
        <is>
          <t>fc211da308debeb5d1b5f8ece06e5f089a97303ca91eff4654e8c29e11230e63</t>
        </is>
      </c>
      <c r="W248" s="29" t="inlineStr">
        <is>
          <t>{"source_url": "https://commons.wikimedia.org/wiki/File:Fabrique_Royale_Tabac_-_S%C3%A9ville_(ES61)_-_2023-04-25_-_4.jpg", "author": "Chabe01", "license": "CC BY-SA 4.0", "license_url": "https://creativecommons.org/licenses/by-sa/4.0/", "original_api_record": {"size": 2869280, "width": 4032, "height": 3024, "thumburl": "https://thumb.wikimedia.org/wikipedia/commons/thumb/c/ce/Fabrique_Royale_Tabac_-_S%C3%A9ville_%28ES61%29_-_2023-04-25_-_4.jpg/1280px-Fabrique_Royale_Tabac_-_S%C3%A9ville_%28ES61%29_-_2023-04-25_-_4.jpg", "thumbwidth": 1280, "thumbheight": 960, "responsiveUrls": {"2": "https://thumb.wikimedia.org/wikipedia/commons/thumb/c/ce/Fabrique_Royale_Tabac_-_S%C3%A9ville_%28ES61%29_-_2023-04-25_-_4.jpg/3840px-Fabrique_Royale_Tabac_-_S%C3%A9ville_%28ES61%29_-_2023-04-25_-_4.jpg"}, "thumbattribs": {"src": "https://thumb.wikimedia.org/wikipedia/commons/thumb/c/ce/Fabrique_Royale_Tabac_-_S%C3%A9ville_%28ES61%29_-_2023-04-25_-_4.jpg/1280px-Fabrique_Royale_Tabac_-_S%C3%A9ville_%28ES61%29_-_2023-04-25_-_4.jpg", "decoding": "async", "loading": "lazy", "width": 1280, "height": 960, "srcset": "https://thumb.wikimedia.org/wikipedia/commons/thumb/c/ce/Fabrique_Royale_Tabac_-_S%C3%A9ville_%28ES61%29_-_2023-04-25_-_4.jpg/3840px-Fabrique_Royale_Tabac_-_S%C3%A9ville_%28ES61%29_-_2023-04-25_-_4.jpg 2x"}, "url": "https://upload.wikimedia.org/wikipedia/commons/c/ce/Fabrique_Royale_Tabac_-_S%C3%A9ville_%28ES61%29_-_2023-04-25_-_4.jpg", "descriptionurl": "https://commons.wikimedia.org/wiki/File:Fabrique_Royale_Tabac_-_S%C3%A9ville_(ES61)_-_2023-04-25_-_4.jpg", "descriptionshorturl": "https://commons.wikimedia.org/w/index.php?curid=131296926", "sha1": "d3b39e1f90efb70d53894a2fd1d1a9087c011b8d", "extmetadata": {"DateTime": {"value": "2023-04-28 21:41:49", "source": "mediawiki-metadata", "hidden": ""}, "ObjectName": {"value": "Fabrique Royale Tabac - Séville (ES61) - 2023-04-25 - 4", "source": "mediawiki-metadata"}, "CommonsMetadataExtension": {"value": 1.2, "source": "extension", "hidden": ""}, "Categories": {"value": "Real Fábrica de Tabacos de Sevilla|Self-published work|Files with coordinates missing SDC location of creation|Spain photographs taken on 2023-04-25|April 2023 in Seville|Images by Chabe01 taken with iPhone 13 Pro|Images of Seville by Chabe01", "source": "commons-categories", "hidden": ""}, "Assessments": {"value": "", "source": "commons-categories", "hidden": ""}, "GPSLatitude": {"value": "37.381600", "source": "commons-desc-page"}, "GPSLongitude": {"value": "-5.990544", "source": "commons-desc-page"}, "GPSMapDatum": {"value": "WGS-84", "source": "commons-desc-page", "hidden": ""}, "ImageDescription": {"value": "Fabrique royale de Tabac, Séville.", "source": "commons-desc-page"}, "DateTimeOriginal": {"value": "2023-04-25 14:49:17", "source": "commons-desc-page"}, "Credit": {"value": "&lt;span class=\"int-own-work\" lang=\"en\"&gt;Own work&lt;/span&gt;", "source": "commons-desc-page"}, "Artist": {"value": "&lt;a href=\"//commons.wikimedia.org/wiki/User:Chabe01\" title=\"User:Chabe01\"&gt;Chabe01&lt;/a&gt;",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"https://thumb.wikimedia.org/wikipedia/commons/thumb/c/ce/Fabrique_Royale_Tabac_-_S%C3%A9ville_%28ES61%29_-_2023-04-25_-_4.jpg/1280px-Fabrique_Royale_Tabac_-_S%C3%A9ville_%28ES61%29_-_2023-04-25_-_4.jpg"}, "retrieved_on": "2026-10-25"}</t>
        </is>
      </c>
    </row>
    <row r="249" ht="54" customHeight="1">
      <c r="A249" s="29" t="inlineStr">
        <is>
          <t>sevilla:evidence:parroquia-de-san-jacinto-01</t>
        </is>
      </c>
      <c r="B249" s="29" t="inlineStr">
        <is>
          <t>sevilla</t>
        </is>
      </c>
      <c r="C249" s="29" t="inlineStr">
        <is>
          <t>sevilla:photo:parroquia-de-san-jacinto-01</t>
        </is>
      </c>
      <c r="D249" s="29" t="inlineStr">
        <is>
          <t>https://commons.wikimedia.org/wiki/File:Ficus_Centenario_de_San_Jacinto.jpg</t>
        </is>
      </c>
      <c r="E249" s="29" t="inlineStr">
        <is>
          <t>File:Ficus Centenario de San Jacinto.jpg</t>
        </is>
      </c>
      <c r="F249" s="29" t="inlineStr">
        <is>
          <t>Thomas Dahlstrøm Nielsen</t>
        </is>
      </c>
      <c r="G249" s="29" t="inlineStr">
        <is>
          <t>CC BY-SA 4.0</t>
        </is>
      </c>
      <c r="H249" s="29" t="inlineStr">
        <is>
          <t>https://creativecommons.org/licenses/by-sa/4.0/</t>
        </is>
      </c>
      <c r="I249" s="29" t="inlineStr">
        <is>
          <t>Creative Commons Attribution-Share Alike 4.0</t>
        </is>
      </c>
      <c r="J249" s="29" t="inlineStr">
        <is>
          <t>Thomas Dahlstrøm Nielsen · CC BY-SA 4.0 · Wikimedia Commons</t>
        </is>
      </c>
      <c r="K249" s="29" t="n"/>
      <c r="L249" s="49" t="n">
        <v>46320</v>
      </c>
      <c r="M249" s="29" t="inlineStr">
        <is>
          <t>Bekliyor</t>
        </is>
      </c>
      <c r="N249" s="29" t="inlineStr">
        <is>
          <t>Bekliyor</t>
        </is>
      </c>
      <c r="O249" s="29" t="inlineStr">
        <is>
          <t>Fotoğraflar/sevilla_parroquia-de-san-jacinto_01.jpg</t>
        </is>
      </c>
      <c r="P249" s="29" t="inlineStr">
        <is>
          <t>Triana'da San Jacinto Kilisesi'nin kırmızı tuğla cephesi ve önündeki yaya yolu.</t>
        </is>
      </c>
      <c r="Q249" s="29" t="inlineStr">
        <is>
          <t>Bekliyor</t>
        </is>
      </c>
      <c r="R249" s="29" t="inlineStr">
        <is>
          <t>Wikimedia Commons dosya sayfasındaki lisans: CC BY-SA 4.0</t>
        </is>
      </c>
      <c r="S249" s="29" t="inlineStr">
        <is>
          <t>Lisans kanıtları/parroquia-de-san-jacinto-01.source-evidence.json</t>
        </is>
      </c>
      <c r="T249" s="29" t="inlineStr">
        <is>
          <t>eaad28362e28ed18a90e51c519bcabff521c6038e84cff834c95dd3d59971041</t>
        </is>
      </c>
      <c r="U249" s="29" t="inlineStr">
        <is>
          <t>Lisans kanıtları/parroquia-de-san-jacinto-01.license-evidence.json</t>
        </is>
      </c>
      <c r="V249" s="29" t="inlineStr">
        <is>
          <t>3aecf83be3d820074db8da3639f5e892806dc7bba1bbe3b1b013304939065f7d</t>
        </is>
      </c>
      <c r="W249" s="29" t="inlineStr">
        <is>
          <t>{"source_url": "https://commons.wikimedia.org/wiki/File:Ficus_Centenario_de_San_Jacinto.jpg", "author": "Thomas Dahlstrøm Nielsen", "license": "CC BY-SA 4.0", "license_url": "https://creativecommons.org/licenses/by-sa/4.0/", "original_api_record": {"size": 15105984, "width": 6000, "height": 4000, "thumburl": "https://thumb.wikimedia.org/wikipedia/commons/thumb/a/a0/Ficus_Centenario_de_San_Jacinto.jpg/1280px-Ficus_Centenario_de_San_Jacinto.jpg", "thumbwidth": 1280, "thumbheight": 853, "responsiveUrls": {"2": "https://thumb.wikimedia.org/wikipedia/commons/thumb/a/a0/Ficus_Centenario_de_San_Jacinto.jpg/3840px-Ficus_Centenario_de_San_Jacinto.jpg"}, "thumbattribs": {"src": "https://thumb.wikimedia.org/wikipedia/commons/thumb/a/a0/Ficus_Centenario_de_San_Jacinto.jpg/1280px-Ficus_Centenario_de_San_Jacinto.jpg", "decoding": "async", "loading": "lazy", "width": 1280, "height": 853, "srcset": "https://thumb.wikimedia.org/wikipedia/commons/thumb/a/a0/Ficus_Centenario_de_San_Jacinto.jpg/3840px-Ficus_Centenario_de_San_Jacinto.jpg 2x"}, "url": "https://upload.wikimedia.org/wikipedia/commons/a/a0/Ficus_Centenario_de_San_Jacinto.jpg", "descriptionurl": "https://commons.wikimedia.org/wiki/File:Ficus_Centenario_de_San_Jacinto.jpg", "descriptionshorturl": "https://commons.wikimedia.org/w/index.php?curid=125323541", "sha1": "ac2aa800cd10042702609f2c01fa7bf30c9767c3", "extmetadata": {"DateTime": {"value": "2022-11-12 10:18:16", "source": "mediawiki-metadata", "hidden": ""}, "ObjectName": {"value": "Ficus Centenario de San Jacinto", "source": "mediawiki-metadata"}, "CommonsMetadataExtension": {"value": 1.2, "source": "extension", "hidden": ""}, "Categories": {"value": "Self-published work|Files with coordinates missing SDC location of creation|October 2022 in Seville", "source": "commons-categories", "hidden": ""}, "Assessments": {"value": "", "source": "commons-categories", "hidden": ""}, "GPSLatitude": {"value": "37.383390", "source": "commons-desc-page"}, "GPSLongitude": {"value": "-6.005260", "source": "commons-desc-page"}, "GPSMapDatum": {"value": "WGS-84", "source": "commons-desc-page", "hidden": ""}, "ImageDescription": {"value": "Ficus Centenario de San Jacinto", "source": "commons-desc-page"}, "DateTimeOriginal": {"value": "2022-10-24 16:11:25", "source": "commons-desc-page"}, "Credit": {"value": "&lt;span class=\"int-own-work\" lang=\"en\"&gt;Own work&lt;/span&gt;", "source": "commons-desc-page"}, "Artist": {"value": "&lt;a href=\"//commons.wikimedia.org/wiki/User:Tdn70\" title=\"User:Tdn70\"&gt;Thomas Dahlstrøm Nielsen&lt;/a&gt;",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"https://thumb.wikimedia.org/wikipedia/commons/thumb/a/a0/Ficus_Centenario_de_San_Jacinto.jpg/1280px-Ficus_Centenario_de_San_Jacinto.jpg"}, "retrieved_on": "2026-10-25"}</t>
        </is>
      </c>
    </row>
    <row r="250" ht="54" customHeight="1">
      <c r="A250" s="29" t="inlineStr">
        <is>
          <t>sevilla:evidence:parroquia-de-san-jacinto-02</t>
        </is>
      </c>
      <c r="B250" s="29" t="inlineStr">
        <is>
          <t>sevilla</t>
        </is>
      </c>
      <c r="C250" s="29" t="inlineStr">
        <is>
          <t>sevilla:photo:parroquia-de-san-jacinto-02</t>
        </is>
      </c>
      <c r="D250" s="29" t="inlineStr">
        <is>
          <t>https://commons.wikimedia.org/wiki/File:San_jacinto_2016001.jpg</t>
        </is>
      </c>
      <c r="E250" s="29" t="inlineStr">
        <is>
          <t>File:San jacinto 2016001.jpg</t>
        </is>
      </c>
      <c r="F250" s="29" t="inlineStr">
        <is>
          <t>Anual</t>
        </is>
      </c>
      <c r="G250" s="29" t="inlineStr">
        <is>
          <t>CC BY-SA 4.0</t>
        </is>
      </c>
      <c r="H250" s="29" t="inlineStr">
        <is>
          <t>https://creativecommons.org/licenses/by-sa/4.0/</t>
        </is>
      </c>
      <c r="I250" s="29" t="inlineStr">
        <is>
          <t>Creative Commons Attribution-Share Alike 4.0</t>
        </is>
      </c>
      <c r="J250" s="29" t="inlineStr">
        <is>
          <t>Anual · CC BY-SA 4.0 · Wikimedia Commons</t>
        </is>
      </c>
      <c r="K250" s="29" t="n"/>
      <c r="L250" s="49" t="n">
        <v>46320</v>
      </c>
      <c r="M250" s="29" t="inlineStr">
        <is>
          <t>Bekliyor</t>
        </is>
      </c>
      <c r="N250" s="29" t="inlineStr">
        <is>
          <t>Bekliyor</t>
        </is>
      </c>
      <c r="O250" s="29" t="inlineStr">
        <is>
          <t>Fotoğraflar/sevilla_parroquia-de-san-jacinto_02.jpg</t>
        </is>
      </c>
      <c r="P250" s="29" t="inlineStr">
        <is>
          <t>San Jacinto Kilisesi'nin cephesi ve önündeki ağaçlar ile çiçekler.</t>
        </is>
      </c>
      <c r="Q250" s="29" t="inlineStr">
        <is>
          <t>Bekliyor</t>
        </is>
      </c>
      <c r="R250" s="29" t="inlineStr">
        <is>
          <t>Wikimedia Commons dosya sayfasındaki lisans: CC BY-SA 4.0</t>
        </is>
      </c>
      <c r="S250" s="29" t="inlineStr">
        <is>
          <t>Lisans kanıtları/parroquia-de-san-jacinto-02.source-evidence.json</t>
        </is>
      </c>
      <c r="T250" s="29" t="inlineStr">
        <is>
          <t>bcf65fc61030360ee3b0f708b1dc00ba13d79e6988b4d616b1067a70d861c83d</t>
        </is>
      </c>
      <c r="U250" s="29" t="inlineStr">
        <is>
          <t>Lisans kanıtları/parroquia-de-san-jacinto-02.license-evidence.json</t>
        </is>
      </c>
      <c r="V250" s="29" t="inlineStr">
        <is>
          <t>b3af0f7b85078c4d8e5d08c041413937b1660a6ceb605c7e21b3f4adb44136f4</t>
        </is>
      </c>
      <c r="W250" s="29" t="inlineStr">
        <is>
          <t>{"source_url": "https://commons.wikimedia.org/wiki/File:San_jacinto_2016001.jpg", "author": "Anual", "license": "CC BY-SA 4.0", "license_url": "https://creativecommons.org/licenses/by-sa/4.0/", "original_api_record": {"size": 11359777, "width": 5678, "height": 3785, "thumburl": "https://thumb.wikimedia.org/wikipedia/commons/thumb/4/47/San_jacinto_2016001.jpg/1280px-San_jacinto_2016001.jpg", "thumbwidth": 1280, "thumbheight": 853, "responsiveUrls": {"2": "https://thumb.wikimedia.org/wikipedia/commons/thumb/4/47/San_jacinto_2016001.jpg/3840px-San_jacinto_2016001.jpg"}, "thumbattribs": {"src": "https://thumb.wikimedia.org/wikipedia/commons/thumb/4/47/San_jacinto_2016001.jpg/1280px-San_jacinto_2016001.jpg", "decoding": "async", "loading": "lazy", "width": 1280, "height": 853, "srcset": "https://thumb.wikimedia.org/wikipedia/commons/thumb/4/47/San_jacinto_2016001.jpg/3840px-San_jacinto_2016001.jpg 2x"}, "url": "https://upload.wikimedia.org/wikipedia/commons/4/47/San_jacinto_2016001.jpg", "descriptionurl": "https://commons.wikimedia.org/wiki/File:San_jacinto_2016001.jpg", "descriptionshorturl": "https://commons.wikimedia.org/w/index.php?curid=51380810", "sha1": "09af09853bbe371304d01218d05f55d0cdbffc13", "extmetadata": {"DateTime": {"value": "2016-09-13 18:34:55", "source": "mediawiki-metadata", "hidden": ""}, "ObjectName": {"value": "San jacinto 2016001", "source": "mediawiki-metadata"}, "CommonsMetadataExtension": {"value": 1.2, "source": "extension", "hidden": ""}, "Categories": {"value": "Self-published work|Church facades in the province of Seville|Exterior of the Iglesia de San Jacinto, Sevilla", "source": "commons-categories", "hidden": ""}, "Assessments": {"value": "", "source": "commons-categories", "hidden": ""}, "ImageDescription": {"value": "Iglesia de San Jacinto de Sevilla.", "source": "commons-desc-page"}, "DateTimeOriginal": {"value": "2016-09-11", "source": "commons-desc-page"}, "Credit": {"value": "&lt;span class=\"int-own-work\" lang=\"en\"&gt;Own work&lt;/span&gt;", "source": "commons-desc-page"}, "Artist": {"value": "&lt;a href=\"//commons.wikimedia.org/wiki/User:Anual\" title=\"User:Anual\"&gt;Anual&lt;/a&gt;",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"https://thumb.wikimedia.org/wikipedia/commons/thumb/4/47/San_jacinto_2016001.jpg/1280px-San_jacinto_2016001.jpg"}, "retrieved_on": "2026-10-25"}</t>
        </is>
      </c>
    </row>
    <row r="251" ht="54" customHeight="1">
      <c r="A251" s="29" t="inlineStr">
        <is>
          <t>sevilla:evidence:capilla-del-carmen-triana-01</t>
        </is>
      </c>
      <c r="B251" s="29" t="inlineStr">
        <is>
          <t>sevilla</t>
        </is>
      </c>
      <c r="C251" s="29" t="inlineStr">
        <is>
          <t>sevilla:photo:capilla-del-carmen-triana-01</t>
        </is>
      </c>
      <c r="D251" s="29" t="inlineStr">
        <is>
          <t>https://commons.wikimedia.org/wiki/File:20120810_4503v02.JPG</t>
        </is>
      </c>
      <c r="E251" s="29" t="inlineStr">
        <is>
          <t>File:20120810 4503v02.JPG</t>
        </is>
      </c>
      <c r="F251" s="29" t="inlineStr">
        <is>
          <t>Anual</t>
        </is>
      </c>
      <c r="G251" s="29" t="inlineStr">
        <is>
          <t>CC BY-SA 3.0</t>
        </is>
      </c>
      <c r="H251" s="29" t="inlineStr">
        <is>
          <t>https://creativecommons.org/licenses/by-sa/3.0/</t>
        </is>
      </c>
      <c r="I251" s="29" t="inlineStr">
        <is>
          <t>Creative Commons Attribution-Share Alike 3.0</t>
        </is>
      </c>
      <c r="J251" s="29" t="inlineStr">
        <is>
          <t>Anual · CC BY-SA 3.0 · Wikimedia Commons</t>
        </is>
      </c>
      <c r="K251" s="29" t="n"/>
      <c r="L251" s="49" t="n">
        <v>46320</v>
      </c>
      <c r="M251" s="29" t="inlineStr">
        <is>
          <t>Bekliyor</t>
        </is>
      </c>
      <c r="N251" s="29" t="inlineStr">
        <is>
          <t>Bekliyor</t>
        </is>
      </c>
      <c r="O251" s="29" t="inlineStr">
        <is>
          <t>Fotoğraflar/sevilla_capilla-del-carmen-triana_01.jpg</t>
        </is>
      </c>
      <c r="P251" s="29" t="inlineStr">
        <is>
          <t>Triana Köprüsü'nün başındaki Capilla del Carmen'in tuğla kulesi ve kubbesi.</t>
        </is>
      </c>
      <c r="Q251" s="29" t="inlineStr">
        <is>
          <t>Bekliyor</t>
        </is>
      </c>
      <c r="R251" s="29" t="inlineStr">
        <is>
          <t>Wikimedia Commons dosya sayfasındaki lisans: CC BY-SA 3.0</t>
        </is>
      </c>
      <c r="S251" s="29" t="inlineStr">
        <is>
          <t>Lisans kanıtları/capilla-del-carmen-triana-01.source-evidence.json</t>
        </is>
      </c>
      <c r="T251" s="29" t="inlineStr">
        <is>
          <t>dac30918f38daaeb001c535f546ba3962550aa7eb82265c045470d8b95b364f1</t>
        </is>
      </c>
      <c r="U251" s="29" t="inlineStr">
        <is>
          <t>Lisans kanıtları/capilla-del-carmen-triana-01.license-evidence.json</t>
        </is>
      </c>
      <c r="V251" s="29" t="inlineStr">
        <is>
          <t>8044771f058fefe06868ce24d477b796012633bfaede4c228de85e60e41f29ff</t>
        </is>
      </c>
      <c r="W251" s="29" t="inlineStr">
        <is>
          <t>{"source_url": "https://commons.wikimedia.org/wiki/File:20120810_4503v02.JPG", "author": "Anual", "license": "CC BY-SA 3.0", "license_url": "https://creativecommons.org/licenses/by-sa/3.0/", "original_api_record": {"size": 6561511, "width": 3552, "height": 2368, "thumburl": "https://thumb.wikimedia.org/wikipedia/commons/thumb/d/df/20120810_4503v02.JPG/1280px-20120810_4503v02.JPG", "thumbwidth": 1280, "thumbheight": 853, "responsiveUrls": {"2": "https://upload.wikimedia.org/wikipedia/commons/d/df/20120810_4503v02.JPG"}, "thumbattribs": {"src": "https://thumb.wikimedia.org/wikipedia/commons/thumb/d/df/20120810_4503v02.JPG/1280px-20120810_4503v02.JPG", "decoding": "async", "loading": "lazy", "width": 1280, "height": 853, "srcset": "https://upload.wikimedia.org/wikipedia/commons/d/df/20120810_4503v02.JPG 2x"}, "url": "https://upload.wikimedia.org/wikipedia/commons/d/df/20120810_4503v02.JPG", "descriptionurl": "https://commons.wikimedia.org/wiki/File:20120810_4503v02.JPG", "descriptionshorturl": "https://commons.wikimedia.org/w/index.php?curid=20652965", "sha1": "107fe21fc22dad21781369779439fda8c69b53db", "extmetadata": {"DateTime": {"value": "2012-08-13 19:38:59", "source": "mediawiki-metadata", "hidden": ""}, "ObjectName": {"value": "20120810 4503v02", "source": "mediawiki-metadata"}, "CommonsMetadataExtension": {"value": 1.2, "source": "extension", "hidden": ""}, "Categories": {"value": "Capilla del Carmen (Sevilla)|Self-published work|August 2012 photographs", "source": "commons-categories", "hidden": ""}, "Assessments": {"value": "", "source": "commons-categories", "hidden": ""}, "ImageDescription": {"value": "Capilla del Carmen, Sevilla.", "source": "commons-desc-page"}, "DateTimeOriginal": {"value": "2012-08-13", "source": "commons-desc-page"}, "Credit": {"value": "&lt;span class=\"int-own-work\" lang=\"en\"&gt;Own work&lt;/span&gt;", "source": "commons-desc-page"}, "Artist": {"value": "&lt;a href=\"//commons.wikimedia.org/wiki/User:Anual\" title=\"User:Anual\"&gt;Anual&lt;/a&gt;",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"https://thumb.wikimedia.org/wikipedia/commons/thumb/d/df/20120810_4503v02.JPG/1280px-20120810_4503v02.JPG"}, "retrieved_on": "2026-10-25"}</t>
        </is>
      </c>
    </row>
    <row r="252" ht="54" customHeight="1">
      <c r="A252" s="29" t="inlineStr">
        <is>
          <t>sevilla:evidence:capilla-del-carmen-triana-02</t>
        </is>
      </c>
      <c r="B252" s="29" t="inlineStr">
        <is>
          <t>sevilla</t>
        </is>
      </c>
      <c r="C252" s="29" t="inlineStr">
        <is>
          <t>sevilla:photo:capilla-del-carmen-triana-02</t>
        </is>
      </c>
      <c r="D252" s="29" t="inlineStr">
        <is>
          <t>https://commons.wikimedia.org/wiki/File:Capilla_Virgen_del_Carmen,_2022.jpg</t>
        </is>
      </c>
      <c r="E252" s="29" t="inlineStr">
        <is>
          <t>File:Capilla Virgen del Carmen, 2022.jpg</t>
        </is>
      </c>
      <c r="F252" s="29" t="inlineStr">
        <is>
          <t>Thomas Dahlstrøm Nielsen</t>
        </is>
      </c>
      <c r="G252" s="29" t="inlineStr">
        <is>
          <t>CC BY-SA 4.0</t>
        </is>
      </c>
      <c r="H252" s="29" t="inlineStr">
        <is>
          <t>https://creativecommons.org/licenses/by-sa/4.0/</t>
        </is>
      </c>
      <c r="I252" s="29" t="inlineStr">
        <is>
          <t>Creative Commons Attribution-Share Alike 4.0</t>
        </is>
      </c>
      <c r="J252" s="29" t="inlineStr">
        <is>
          <t>Thomas Dahlstrøm Nielsen · CC BY-SA 4.0 · Wikimedia Commons</t>
        </is>
      </c>
      <c r="K252" s="29" t="n"/>
      <c r="L252" s="49" t="n">
        <v>46320</v>
      </c>
      <c r="M252" s="29" t="inlineStr">
        <is>
          <t>Bekliyor</t>
        </is>
      </c>
      <c r="N252" s="29" t="inlineStr">
        <is>
          <t>Bekliyor</t>
        </is>
      </c>
      <c r="O252" s="29" t="inlineStr">
        <is>
          <t>Fotoğraflar/sevilla_capilla-del-carmen-triana_02.jpg</t>
        </is>
      </c>
      <c r="P252" s="29" t="inlineStr">
        <is>
          <t>Capilla del Carmen'in kuleleri ve köprü başındaki meydan.</t>
        </is>
      </c>
      <c r="Q252" s="29" t="inlineStr">
        <is>
          <t>Bekliyor</t>
        </is>
      </c>
      <c r="R252" s="29" t="inlineStr">
        <is>
          <t>Wikimedia Commons dosya sayfasındaki lisans: CC BY-SA 4.0</t>
        </is>
      </c>
      <c r="S252" s="29" t="inlineStr">
        <is>
          <t>Lisans kanıtları/capilla-del-carmen-triana-02.source-evidence.json</t>
        </is>
      </c>
      <c r="T252" s="29" t="inlineStr">
        <is>
          <t>3385d7a044179c844410bda7ca827a12f67d3bdc9d63a031012e8cbe02501e28</t>
        </is>
      </c>
      <c r="U252" s="29" t="inlineStr">
        <is>
          <t>Lisans kanıtları/capilla-del-carmen-triana-02.license-evidence.json</t>
        </is>
      </c>
      <c r="V252" s="29" t="inlineStr">
        <is>
          <t>bc2136aecbb14485eaa3fa98b0191b68f3a5861ad76f7cd0ffc4974afd7eb15d</t>
        </is>
      </c>
      <c r="W252" s="29" t="inlineStr">
        <is>
          <t>{"source_url": "https://commons.wikimedia.org/wiki/File:Capilla_Virgen_del_Carmen,_2022.jpg", "author": "Thomas Dahlstrøm Nielsen", "license": "CC BY-SA 4.0", "license_url": "https://creativecommons.org/licenses/by-sa/4.0/", "original_api_record": {"size": 14890415, "width": 6000, "height": 4000, "thumburl": "https://thumb.wikimedia.org/wikipedia/commons/thumb/9/95/Capilla_Virgen_del_Carmen%2C_2022.jpg/1280px-Capilla_Virgen_del_Carmen%2C_2022.jpg", "thumbwidth": 1280, "thumbheight": 853, "responsiveUrls": {"2": "https://thumb.wikimedia.org/wikipedia/commons/thumb/9/95/Capilla_Virgen_del_Carmen%2C_2022.jpg/3840px-Capilla_Virgen_del_Carmen%2C_2022.jpg"}, "thumbattribs": {"src": "https://thumb.wikimedia.org/wikipedia/commons/thumb/9/95/Capilla_Virgen_del_Carmen%2C_2022.jpg/1280px-Capilla_Virgen_del_Carmen%2C_2022.jpg", "decoding": "async", "loading": "lazy", "width": 1280, "height": 853, "srcset": "https://thumb.wikimedia.org/wikipedia/commons/thumb/9/95/Capilla_Virgen_del_Carmen%2C_2022.jpg/3840px-Capilla_Virgen_del_Carmen%2C_2022.jpg 2x"}, "url": "https://upload.wikimedia.org/wikipedia/commons/9/95/Capilla_Virgen_del_Carmen%2C_2022.jpg", "descriptionurl": "https://commons.wikimedia.org/wiki/File:Capilla_Virgen_del_Carmen,_2022.jpg", "descriptionshorturl": "https://commons.wikimedia.org/w/index.php?curid=125324051", "sha1": "4f484304f9bf13ab493aefc1da193f1b3294024a", "extmetadata": {"DateTime": {"value": "2022-11-12 10:29:19", "source": "mediawiki-metadata", "hidden": ""}, "ObjectName": {"value": "Capilla Virgen del Carmen, 2022", "source": "mediawiki-metadata"}, "CommonsMetadataExtension": {"value": 1.2, "source": "extension", "hidden": ""}, "Categories": {"value": "Capilla del Carmen (Sevilla)|Self-published work|Files with coordinates missing SDC location of creation|October 2022 in Seville", "source": "commons-categories", "hidden": ""}, "Assessments": {"value": "", "source": "commons-categories", "hidden": ""}, "GPSLatitude": {"value": "37.385720", "source": "commons-desc-page"}, "GPSLongitude": {"value": "-6.003050", "source": "commons-desc-page"}, "GPSMapDatum": {"value": "WGS-84", "source": "commons-desc-page", "hidden": ""}, "ImageDescription": {"value": "Capilla Virgen del Carmen, 2022", "source": "commons-desc-page"}, "DateTimeOriginal": {"value": "2022-10-24 16:40:52", "source": "commons-desc-page"}, "Credit": {"value": "&lt;span class=\"int-own-work\" lang=\"en\"&gt;Own work&lt;/span&gt;", "source": "commons-desc-page"}, "Artist": {"value": "&lt;a href=\"//commons.wikimedia.org/wiki/User:Tdn70\" title=\"User:Tdn70\"&gt;Thomas Dahlstrøm Nielsen&lt;/a&gt;",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"https://thumb.wikimedia.org/wikipedia/commons/thumb/9/95/Capilla_Virgen_del_Carmen%2C_2022.jpg/1280px-Capilla_Virgen_del_Carmen%2C_2022.jpg"}, "retrieved_on": "2026-10-25"}</t>
        </is>
      </c>
    </row>
    <row r="253" ht="54" customHeight="1">
      <c r="A253" s="29" t="inlineStr">
        <is>
          <t>sevilla:evidence:capilla-del-carmen-triana-03</t>
        </is>
      </c>
      <c r="B253" s="29" t="inlineStr">
        <is>
          <t>sevilla</t>
        </is>
      </c>
      <c r="C253" s="29" t="inlineStr">
        <is>
          <t>sevilla:photo:capilla-del-carmen-triana-03</t>
        </is>
      </c>
      <c r="D253" s="29" t="inlineStr">
        <is>
          <t>https://commons.wikimedia.org/wiki/File:Capilla_del_Carmen_001.jpg</t>
        </is>
      </c>
      <c r="E253" s="29" t="inlineStr">
        <is>
          <t>File:Capilla del Carmen 001.jpg</t>
        </is>
      </c>
      <c r="F253" s="29" t="inlineStr">
        <is>
          <t>Anual</t>
        </is>
      </c>
      <c r="G253" s="29" t="inlineStr">
        <is>
          <t>CC BY 3.0</t>
        </is>
      </c>
      <c r="H253" s="29" t="inlineStr">
        <is>
          <t>https://creativecommons.org/licenses/by/3.0/</t>
        </is>
      </c>
      <c r="I253" s="29" t="inlineStr">
        <is>
          <t>Creative Commons Attribution 3.0</t>
        </is>
      </c>
      <c r="J253" s="29" t="inlineStr">
        <is>
          <t>Anual · CC BY 3.0 · Wikimedia Commons</t>
        </is>
      </c>
      <c r="K253" s="29" t="n"/>
      <c r="L253" s="49" t="n">
        <v>46320</v>
      </c>
      <c r="M253" s="29" t="inlineStr">
        <is>
          <t>Bekliyor</t>
        </is>
      </c>
      <c r="N253" s="29" t="inlineStr">
        <is>
          <t>Bekliyor</t>
        </is>
      </c>
      <c r="O253" s="29" t="inlineStr">
        <is>
          <t>Fotoğraflar/sevilla_capilla-del-carmen-triana_03.jpg</t>
        </is>
      </c>
      <c r="P253" s="29" t="inlineStr">
        <is>
          <t>Capilla del Carmen'in çinili kubbesi ve tepesindeki haç.</t>
        </is>
      </c>
      <c r="Q253" s="29" t="inlineStr">
        <is>
          <t>Bekliyor</t>
        </is>
      </c>
      <c r="R253" s="29" t="inlineStr">
        <is>
          <t>Wikimedia Commons dosya sayfasındaki lisans: CC BY 3.0</t>
        </is>
      </c>
      <c r="S253" s="29" t="inlineStr">
        <is>
          <t>Lisans kanıtları/capilla-del-carmen-triana-03.source-evidence.json</t>
        </is>
      </c>
      <c r="T253" s="29" t="inlineStr">
        <is>
          <t>bb453fb391ec6dd027788a8fc114861e5fdefd3dad258a9e8a9d752597bde688</t>
        </is>
      </c>
      <c r="U253" s="29" t="inlineStr">
        <is>
          <t>Lisans kanıtları/capilla-del-carmen-triana-03.license-evidence.json</t>
        </is>
      </c>
      <c r="V253" s="29" t="inlineStr">
        <is>
          <t>e99e6696d58b0e8a6a051372c26f741cbc059eb530eb70f996174ab5691be4f9</t>
        </is>
      </c>
      <c r="W253" s="29" t="inlineStr">
        <is>
          <t>{"source_url": "https://commons.wikimedia.org/wiki/File:Capilla_del_Carmen_001.jpg", "author": "Anual", "license": "CC BY 3.0", "license_url": "https://creativecommons.org/licenses/by/3.0/", "original_api_record": {"size": 4306300, "width": 2592, "height": 3872, "thumburl": "https://thumb.wikimedia.org/wikipedia/commons/thumb/d/d7/Capilla_del_Carmen_001.jpg/1280px-Capilla_del_Carmen_001.jpg", "thumbwidth": 1280, "thumbheight": 1912, "responsiveUrls": {"2": "https://upload.wikimedia.org/wikipedia/commons/d/d7/Capilla_del_Carmen_001.jpg"}, "thumbattribs": {"src": "https://thumb.wikimedia.org/wikipedia/commons/thumb/d/d7/Capilla_del_Carmen_001.jpg/1280px-Capilla_del_Carmen_001.jpg", "decoding": "async", "loading": "lazy", "width": 1280, "height": 1912, "srcset": "https://upload.wikimedia.org/wikipedia/commons/d/d7/Capilla_del_Carmen_001.jpg 2x"}, "url": "https://upload.wikimedia.org/wikipedia/commons/d/d7/Capilla_del_Carmen_001.jpg", "descriptionurl": "https://commons.wikimedia.org/wiki/File:Capilla_del_Carmen_001.jpg", "descriptionshorturl": "https://commons.wikimedia.org/w/index.php?curid=5109896", "sha1": "82f1a35c68e1b065c9d608816c9ba4afaff4ac4d", "extmetadata": {"DateTime": {"value": "2008-11-01 09:21:51", "source": "mediawiki-metadata", "hidden": ""}, "ObjectName": {"value": "Capilla del Carmen 001", "source": "mediawiki-metadata"}, "CommonsMetadataExtension": {"value": 1.2, "source": "extension", "hidden": ""}, "Categories": {"value": "GFDL|Taken with Nikon D80|Capilla del Carmen (Sevilla)|License migration redundant|Self-published work|Christian crosses in Spain", "source": "commons-categories", "hidden": ""}, "Assessments": {"value": "", "source": "commons-categories", "hidden": ""}, "ImageDescription": {"value": "Chapel of Carmen, Sevilla", "source": "commons-desc-page"}, "DateTimeOriginal": {"value": "26 de octubre", "source": "commons-desc-page"}, "Credit": {"value": "&lt;span class=\"int-own-work\" lang=\"en\"&gt;Own work&lt;/span&gt;", "source": "commons-desc-page"}, "Artist": {"value": "&lt;a href=\"//commons.wikimedia.org/wiki/User:Anual\" title=\"User:Anual\"&gt;Anual&lt;/a&gt;",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"https://thumb.wikimedia.org/wikipedia/commons/thumb/d/d7/Capilla_del_Carmen_001.jpg/1280px-Capilla_del_Carmen_001.jpg"}, "retrieved_on": "2026-10-25"}</t>
        </is>
      </c>
    </row>
    <row r="254" ht="54" customHeight="1">
      <c r="A254" s="29" t="inlineStr">
        <is>
          <t>sevilla:evidence:iglesia-de-santa-maria-la-blanca-01</t>
        </is>
      </c>
      <c r="B254" s="29" t="inlineStr">
        <is>
          <t>sevilla</t>
        </is>
      </c>
      <c r="C254" s="29" t="inlineStr">
        <is>
          <t>sevilla:photo:iglesia-de-santa-maria-la-blanca-01</t>
        </is>
      </c>
      <c r="D254" s="29" t="inlineStr">
        <is>
          <t>https://commons.wikimedia.org/wiki/File:Iglesia_de_Santa_Mar%C3%ADa_la_Blanca_(Sevilla).jpg</t>
        </is>
      </c>
      <c r="E254" s="29" t="inlineStr">
        <is>
          <t>File:Iglesia de Santa María la Blanca (Sevilla).jpg</t>
        </is>
      </c>
      <c r="F254" s="29" t="inlineStr">
        <is>
          <t>CarlosVdeHabsburgo</t>
        </is>
      </c>
      <c r="G254" s="29" t="inlineStr">
        <is>
          <t>CC BY-SA 4.0</t>
        </is>
      </c>
      <c r="H254" s="29" t="inlineStr">
        <is>
          <t>https://creativecommons.org/licenses/by-sa/4.0/</t>
        </is>
      </c>
      <c r="I254" s="29" t="inlineStr">
        <is>
          <t>Creative Commons Attribution-Share Alike 4.0</t>
        </is>
      </c>
      <c r="J254" s="29" t="inlineStr">
        <is>
          <t>CarlosVdeHabsburgo · CC BY-SA 4.0 · Wikimedia Commons</t>
        </is>
      </c>
      <c r="K254" s="29" t="n"/>
      <c r="L254" s="49" t="n">
        <v>46320</v>
      </c>
      <c r="M254" s="29" t="inlineStr">
        <is>
          <t>Bekliyor</t>
        </is>
      </c>
      <c r="N254" s="29" t="inlineStr">
        <is>
          <t>Bekliyor</t>
        </is>
      </c>
      <c r="O254" s="29" t="inlineStr">
        <is>
          <t>Fotoğraflar/sevilla_iglesia-de-santa-maria-la-blanca_01.jpg</t>
        </is>
      </c>
      <c r="P254" s="29" t="inlineStr">
        <is>
          <t>Santa María la Blanca Kilisesi'nin sarı cephesi, çan kulesi ve dar sokak.</t>
        </is>
      </c>
      <c r="Q254" s="29" t="inlineStr">
        <is>
          <t>Bekliyor</t>
        </is>
      </c>
      <c r="R254" s="29" t="inlineStr">
        <is>
          <t>Wikimedia Commons dosya sayfasındaki lisans: CC BY-SA 4.0</t>
        </is>
      </c>
      <c r="S254" s="29" t="inlineStr">
        <is>
          <t>Lisans kanıtları/iglesia-de-santa-maria-la-blanca-01.source-evidence.json</t>
        </is>
      </c>
      <c r="T254" s="29" t="inlineStr">
        <is>
          <t>8de6190c6ba71723e0855398b04b7cd99935297904a6a3e6c591c315cfb6fd45</t>
        </is>
      </c>
      <c r="U254" s="29" t="inlineStr">
        <is>
          <t>Lisans kanıtları/iglesia-de-santa-maria-la-blanca-01.license-evidence.json</t>
        </is>
      </c>
      <c r="V254" s="29" t="inlineStr">
        <is>
          <t>5c811d33c32b76eb1643b9996bbace17f3e001465369cbc6bfe2686d4497a98e</t>
        </is>
      </c>
      <c r="W254" s="29" t="inlineStr">
        <is>
          <t>{"source_url": "https://commons.wikimedia.org/wiki/File:Iglesia_de_Santa_Mar%C3%ADa_la_Blanca_(Sevilla).jpg", "author": "CarlosVdeHabsburgo", "license": "CC BY-SA 4.0", "license_url": "https://creativecommons.org/licenses/by-sa/4.0/", "original_api_record": {"size": 3759281, "width": 2278, "height": 3038, "thumburl": "https://thumb.wikimedia.org/wikipedia/commons/thumb/8/89/Iglesia_de_Santa_Mar%C3%ADa_la_Blanca_%28Sevilla%29.jpg/1280px-Iglesia_de_Santa_Mar%C3%ADa_la_Blanca_%28Sevilla%29.jpg", "thumbwidth": 1280, "thumbheight": 1707, "responsiveUrls": {"2": "https://upload.wikimedia.org/wikipedia/commons/8/89/Iglesia_de_Santa_Mar%C3%ADa_la_Blanca_%28Sevilla%29.jpg"}, "thumbattribs": {"src": "https://thumb.wikimedia.org/wikipedia/commons/thumb/8/89/Iglesia_de_Santa_Mar%C3%ADa_la_Blanca_%28Sevilla%29.jpg/1280px-Iglesia_de_Santa_Mar%C3%ADa_la_Blanca_%28Sevilla%29.jpg", "decoding": "async", "loading": "lazy", "width": 1280, "height": 1707, "srcset": "https://upload.wikimedia.org/wikipedia/commons/8/89/Iglesia_de_Santa_Mar%C3%ADa_la_Blanca_%28Sevilla%29.jpg 2x"}, "url": "https://upload.wikimedia.org/wikipedia/commons/8/89/Iglesia_de_Santa_Mar%C3%ADa_la_Blanca_%28Sevilla%29.jpg", "descriptionurl": "https://commons.wikimedia.org/wiki/File:Iglesia_de_Santa_Mar%C3%ADa_la_Blanca_(Sevilla).jpg", "descriptionshorturl": "https://commons.wikimedia.org/w/index.php?curid=81704384", "sha1": "ce3473947e4c5726618a17f0de9e272887434cd1", "extmetadata": {"DateTime": {"value": "2019-08-29 19:44:41", "source": "mediawiki-metadata", "hidden": ""}, "ObjectName": {"value": "Iglesia de Santa María la Blanca (Sevilla)", "source": "mediawiki-metadata"}, "CommonsMetadataExtension": {"value": 1.2, "source": "extension", "hidden": ""}, "Categories": {"value": "Self-published work|Files with coordinates missing SDC location of creation|Church facades in Seville|Iglesia de Santa María la Blanca, Seville", "source": "commons-categories", "hidden": ""}, "Assessments": {"value": "", "source": "commons-categories", "hidden": ""}, "GPSLatitude": {"value": "37.386759", "source": "commons-desc-page"}, "GPSLongitude": {"value": "-5.987209", "source": "commons-desc-page"}, "GPSMapDatum": {"value": "WGS-84", "source": "commons-desc-page", "hidden": ""}, "ImageDescription": {"value": "Iglesia de Santa María la Blanca. Sevilla, Andalucía, España.", "source": "commons-desc-page"}, "DateTimeOriginal": {"value": "2019-08-25 19:23:46",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"https://thumb.wikimedia.org/wikipedia/commons/thumb/8/89/Iglesia_de_Santa_Mar%C3%ADa_la_Blanca_%28Sevilla%29.jpg/1280px-Iglesia_de_Santa_Mar%C3%ADa_la_Blanca_%28Sevilla%29.jpg"}, "retrieved_on": "2026-10-25"}</t>
        </is>
      </c>
    </row>
    <row r="255" ht="54" customHeight="1">
      <c r="A255" s="29" t="inlineStr">
        <is>
          <t>sevilla:evidence:iglesia-de-santa-maria-la-blanca-02</t>
        </is>
      </c>
      <c r="B255" s="29" t="inlineStr">
        <is>
          <t>sevilla</t>
        </is>
      </c>
      <c r="C255" s="29" t="inlineStr">
        <is>
          <t>sevilla:photo:iglesia-de-santa-maria-la-blanca-02</t>
        </is>
      </c>
      <c r="D255" s="29" t="inlineStr">
        <is>
          <t>https://commons.wikimedia.org/wiki/File:Iglesia_de_Santa_Mar%C3%ADa_la_Blanca,_Sevilla.jpg</t>
        </is>
      </c>
      <c r="E255" s="29" t="inlineStr">
        <is>
          <t>File:Iglesia de Santa María la Blanca, Sevilla.jpg</t>
        </is>
      </c>
      <c r="F255" s="29" t="inlineStr">
        <is>
          <t>Anual</t>
        </is>
      </c>
      <c r="G255" s="29" t="inlineStr">
        <is>
          <t>CC BY 3.0</t>
        </is>
      </c>
      <c r="H255" s="29" t="inlineStr">
        <is>
          <t>https://creativecommons.org/licenses/by/3.0/</t>
        </is>
      </c>
      <c r="I255" s="29" t="inlineStr">
        <is>
          <t>Creative Commons Attribution 3.0</t>
        </is>
      </c>
      <c r="J255" s="29" t="inlineStr">
        <is>
          <t>Anual · CC BY 3.0 · Wikimedia Commons</t>
        </is>
      </c>
      <c r="K255" s="29" t="n"/>
      <c r="L255" s="49" t="n">
        <v>46320</v>
      </c>
      <c r="M255" s="29" t="inlineStr">
        <is>
          <t>Bekliyor</t>
        </is>
      </c>
      <c r="N255" s="29" t="inlineStr">
        <is>
          <t>Bekliyor</t>
        </is>
      </c>
      <c r="O255" s="29" t="inlineStr">
        <is>
          <t>Fotoğraflar/sevilla_iglesia-de-santa-maria-la-blanca_02.jpg</t>
        </is>
      </c>
      <c r="P255" s="29" t="inlineStr">
        <is>
          <t>Santa María la Blanca Kilisesi'nin gotik kapısı ve çan tepeliği.</t>
        </is>
      </c>
      <c r="Q255" s="29" t="inlineStr">
        <is>
          <t>Bekliyor</t>
        </is>
      </c>
      <c r="R255" s="29" t="inlineStr">
        <is>
          <t>Wikimedia Commons dosya sayfasındaki lisans: CC BY 3.0</t>
        </is>
      </c>
      <c r="S255" s="29" t="inlineStr">
        <is>
          <t>Lisans kanıtları/iglesia-de-santa-maria-la-blanca-02.source-evidence.json</t>
        </is>
      </c>
      <c r="T255" s="29" t="inlineStr">
        <is>
          <t>722a92070a7d6070196fdd1f596f408f84429aa5913ccca148a2d05fdc5c063c</t>
        </is>
      </c>
      <c r="U255" s="29" t="inlineStr">
        <is>
          <t>Lisans kanıtları/iglesia-de-santa-maria-la-blanca-02.license-evidence.json</t>
        </is>
      </c>
      <c r="V255" s="29" t="inlineStr">
        <is>
          <t>0217300694bb871944fce8e18f7aa6a2cbcdeab427c4aa8ad3b431107fa3baec</t>
        </is>
      </c>
      <c r="W255" s="29" t="inlineStr">
        <is>
          <t>{"source_url": "https://commons.wikimedia.org/wiki/File:Iglesia_de_Santa_Mar%C3%ADa_la_Blanca,_Sevilla.jpg", "author": "Anual", "license": "CC BY 3.0", "license_url": "https://creativecommons.org/licenses/by/3.0/", "original_api_record": {"size": 5609429, "width": 2436, "height": 3778, "thumburl": "https://thumb.wikimedia.org/wikipedia/commons/thumb/a/a7/Iglesia_de_Santa_Mar%C3%ADa_la_Blanca%2C_Sevilla.jpg/1280px-Iglesia_de_Santa_Mar%C3%ADa_la_Blanca%2C_Sevilla.jpg", "thumbwidth": 1280, "thumbheight": 1985, "responsiveUrls": {"2": "https://upload.wikimedia.org/wikipedia/commons/a/a7/Iglesia_de_Santa_Mar%C3%ADa_la_Blanca%2C_Sevilla.jpg"}, "thumbattribs": {"src": "https://thumb.wikimedia.org/wikipedia/commons/thumb/a/a7/Iglesia_de_Santa_Mar%C3%ADa_la_Blanca%2C_Sevilla.jpg/1280px-Iglesia_de_Santa_Mar%C3%ADa_la_Blanca%2C_Sevilla.jpg", "decoding": "async", "loading": "lazy", "width": 1280, "height": 1985, "srcset": "https://upload.wikimedia.org/wikipedia/commons/a/a7/Iglesia_de_Santa_Mar%C3%ADa_la_Blanca%2C_Sevilla.jpg 2x"}, "url": "https://upload.wikimedia.org/wikipedia/commons/a/a7/Iglesia_de_Santa_Mar%C3%ADa_la_Blanca%2C_Sevilla.jpg", "descriptionurl": "https://commons.wikimedia.org/wiki/File:Iglesia_de_Santa_Mar%C3%ADa_la_Blanca,_Sevilla.jpg", "descriptionshorturl": "https://commons.wikimedia.org/w/index.php?curid=5025713", "sha1": "9ab0ad48cb975efdaaa3a7579310517bfdf0632f", "extmetadata": {"DateTime": {"value": "2008-10-19 16:48:35", "source": "mediawiki-metadata", "hidden": ""}, "ObjectName": {"value": "Iglesia de Santa María la Blanca, Sevilla", "source": "mediawiki-metadata"}, "CommonsMetadataExtension": {"value": 1.2, "source": "extension", "hidden": ""}, "Categories": {"value": "GFDL|License migration redundant|Self-published work|Cultural heritage monuments in Spain with known IDs|Cultural heritage monuments in Spain missing SDC location of creation|Cultural heritage monuments in Spain missing SDC depicts|Church facades in Seville|Iglesia de Santa María la Blanca, Seville", "source": "commons-categories", "hidden": ""}, "Assessments": {"value": "", "source": "commons-categories", "hidden": ""}, "ImageDescription": {"value": "Church of Santa María la Blanca, Seville", "source": "commons-desc-page"}, "DateTimeOriginal": {"value": "2008-10-19", "source": "commons-desc-page"}, "Credit": {"value": "&lt;span class=\"int-own-work\" lang=\"en\"&gt;Own work&lt;/span&gt;", "source": "commons-desc-page"}, "Artist": {"value": "&lt;a href=\"//commons.wikimedia.org/wiki/User:Anual\" title=\"User:Anual\"&gt;Anual&lt;/a&gt;",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 "delivered_file": {"url": "https://thumb.wikimedia.org/wikipedia/commons/thumb/a/a7/Iglesia_de_Santa_Mar%C3%ADa_la_Blanca%2C_Sevilla.jpg/1280px-Iglesia_de_Santa_Mar%C3%ADa_la_Blanca%2C_Sevilla.jpg"}, "retrieved_on": "2026-10-25"}</t>
        </is>
      </c>
    </row>
    <row r="256" ht="54" customHeight="1">
      <c r="A256" s="29" t="inlineStr">
        <is>
          <t>sevilla:evidence:iglesia-de-san-pedro-01</t>
        </is>
      </c>
      <c r="B256" s="29" t="inlineStr">
        <is>
          <t>sevilla</t>
        </is>
      </c>
      <c r="C256" s="29" t="inlineStr">
        <is>
          <t>sevilla:photo:iglesia-de-san-pedro-01</t>
        </is>
      </c>
      <c r="D256" s="29" t="inlineStr">
        <is>
          <t>https://commons.wikimedia.org/wiki/File:Altar_de_la_Iglesia_de_San_Pedro_de_Alc%C3%A1ntara,_Sevilla.jpg</t>
        </is>
      </c>
      <c r="E256" s="29" t="inlineStr">
        <is>
          <t>File:Altar de la Iglesia de San Pedro de Alcántara, Sevilla.jpg</t>
        </is>
      </c>
      <c r="F256" s="29" t="inlineStr">
        <is>
          <t>Jl FilpoC</t>
        </is>
      </c>
      <c r="G256" s="29" t="inlineStr">
        <is>
          <t>CC BY-SA 4.0</t>
        </is>
      </c>
      <c r="H256" s="29" t="inlineStr">
        <is>
          <t>https://creativecommons.org/licenses/by-sa/4.0/</t>
        </is>
      </c>
      <c r="I256" s="29" t="inlineStr">
        <is>
          <t>Creative Commons Attribution-Share Alike 4.0</t>
        </is>
      </c>
      <c r="J256" s="29" t="inlineStr">
        <is>
          <t>Jl FilpoC · CC BY-SA 4.0 · Wikimedia Commons</t>
        </is>
      </c>
      <c r="K256" s="29" t="n"/>
      <c r="L256" s="49" t="n">
        <v>46320</v>
      </c>
      <c r="M256" s="29" t="inlineStr">
        <is>
          <t>Bekliyor</t>
        </is>
      </c>
      <c r="N256" s="29" t="inlineStr">
        <is>
          <t>Bekliyor</t>
        </is>
      </c>
      <c r="O256" s="29" t="inlineStr">
        <is>
          <t>Fotoğraflar/sevilla_iglesia-de-san-pedro_01.jpg</t>
        </is>
      </c>
      <c r="P256" s="29" t="inlineStr">
        <is>
          <t>San Pedro Kilisesi'nde çinili duvarlar ve yan sunak.</t>
        </is>
      </c>
      <c r="Q256" s="29" t="inlineStr">
        <is>
          <t>Bekliyor</t>
        </is>
      </c>
      <c r="R256" s="29" t="inlineStr">
        <is>
          <t>Wikimedia Commons dosya sayfasındaki lisans: CC BY-SA 4.0</t>
        </is>
      </c>
      <c r="S256" s="29" t="inlineStr">
        <is>
          <t>Lisans kanıtları/iglesia-de-san-pedro-01.source-evidence.json</t>
        </is>
      </c>
      <c r="T256" s="29" t="inlineStr">
        <is>
          <t>f5c0cac0f6ca70f4de5e7d0c59f982f1cb0604894578495f735041afaa2695bb</t>
        </is>
      </c>
      <c r="U256" s="29" t="inlineStr">
        <is>
          <t>Lisans kanıtları/iglesia-de-san-pedro-01.license-evidence.json</t>
        </is>
      </c>
      <c r="V256" s="29" t="inlineStr">
        <is>
          <t>0e21265fa7723f12caf4696b7f0f6fc4c5c70de71d70db20ead5c860d76fac03</t>
        </is>
      </c>
      <c r="W256" s="29" t="inlineStr">
        <is>
          <t>{"source_url": "https://commons.wikimedia.org/wiki/File:Altar_de_la_Iglesia_de_San_Pedro_de_Alc%C3%A1ntara,_Sevilla.jpg", "author": "Jl FilpoC", "license": "CC BY-SA 4.0", "license_url": "https://creativecommons.org/licenses/by-sa/4.0/", "original_api_record": {"size": 8050644, "width": 2879, "height": 3839, "thumburl": "https://thumb.wikimedia.org/wikipedia/commons/thumb/3/3c/Altar_de_la_Iglesia_de_San_Pedro_de_Alc%C3%A1ntara%2C_Sevilla.jpg/1280px-Altar_de_la_Iglesia_de_San_Pedro_de_Alc%C3%A1ntara%2C_Sevilla.jpg", "thumbwidth": 1280, "thumbheight": 1707, "responsiveUrls": {"2": "https://upload.wikimedia.org/wikipedia/commons/3/3c/Altar_de_la_Iglesia_de_San_Pedro_de_Alc%C3%A1ntara%2C_Sevilla.jpg"}, "thumbattribs": {"src": "https://thumb.wikimedia.org/wikipedia/commons/thumb/3/3c/Altar_de_la_Iglesia_de_San_Pedro_de_Alc%C3%A1ntara%2C_Sevilla.jpg/1280px-Altar_de_la_Iglesia_de_San_Pedro_de_Alc%C3%A1ntara%2C_Sevilla.jpg", "decoding": "async", "loading": "lazy", "width": 1280, "height": 1707, "srcset": "https://upload.wikimedia.org/wikipedia/commons/3/3c/Altar_de_la_Iglesia_de_San_Pedro_de_Alc%C3%A1ntara%2C_Sevilla.jpg 2x"}, "url": "https://upload.wikimedia.org/wikipedia/commons/3/3c/Altar_de_la_Iglesia_de_San_Pedro_de_Alc%C3%A1ntara%2C_Sevilla.jpg", "descriptionurl": "https://commons.wikimedia.org/wiki/File:Altar_de_la_Iglesia_de_San_Pedro_de_Alc%C3%A1ntara,_Sevilla.jpg", "descriptionshorturl": "https://commons.wikimedia.org/w/index.php?curid=129598690", "sha1": "01c9cf312b7050b843302a6ee9420ecbced61470", "extmetadata": {"DateTime": {"value": "2023-03-14 17:31:15", "source": "mediawiki-metadata", "hidden": ""}, "ObjectName": {"value": "Altar de la Iglesia de San Pedro de Alcántara, Sevilla", "source": "mediawiki-metadata"}, "CommonsMetadataExtension": {"value": 1.2, "source": "extension", "hidden": ""}, "Categories": {"value": "Images with annotations|Self-published work|Church of the Convent of San Pedro de Alcántara, Seville", "source": "commons-categories", "hidden": ""}, "Assessments": {"value": "", "source": "commons-categories", "hidden": ""}, "ImageDescription": {"value": "Transepto de la iglesia del &lt;a href=\"https://es.wikipedia.org/wiki/Convento_de_San_Pedro_de_Alc%C3%A1ntara_(Sevilla)\" class=\"extiw\" title=\"es:Convento de San Pedro de Alcántara (Sevilla)\"&gt;Convento de San Pedro de Alcántara (Sevilla)&lt;/a&gt;. La escultura del &lt;a href=\"https://es.wikipedia.org/wiki/Convento_de_San_Diego_(Sevilla)\" class=\"extiw\" title=\"es:Convento de San Diego (Sevilla)\"&gt;Convento de San Diego de Alcalá&lt;/a&gt;  se trasladó a éste convento.", "source": "commons-desc-page"}, "DateTimeOriginal": {"value": "2022-12-17", "source": "commons-desc-page"}, "Credit": {"value": "&lt;span class=\"int-own-work\" lang=\"en\"&gt;Own work&lt;/span&gt;", "source": "commons-desc-page"}, "Artist": {"value": "&lt;a href=\"//commons.wikimedia.org/wiki/User:Jl_FilpoC\" title=\"User:Jl FilpoC\"&gt;Jl FilpoC&lt;/a&gt;",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"https://thumb.wikimedia.org/wikipedia/commons/thumb/3/3c/Altar_de_la_Iglesia_de_San_Pedro_de_Alc%C3%A1ntara%2C_Sevilla.jpg/1280px-Altar_de_la_Iglesia_de_San_Pedro_de_Alc%C3%A1ntara%2C_Sevilla.jpg"}, "retrieved_on": "2026-10-25"}</t>
        </is>
      </c>
    </row>
    <row r="257" ht="54" customHeight="1">
      <c r="A257" s="29" t="inlineStr">
        <is>
          <t>sevilla:evidence:iglesia-de-san-pedro-02</t>
        </is>
      </c>
      <c r="B257" s="29" t="inlineStr">
        <is>
          <t>sevilla</t>
        </is>
      </c>
      <c r="C257" s="29" t="inlineStr">
        <is>
          <t>sevilla:photo:iglesia-de-san-pedro-02</t>
        </is>
      </c>
      <c r="D257" s="29" t="inlineStr">
        <is>
          <t>https://commons.wikimedia.org/wiki/File:Capilla_mayor_de_la_Iglesia_de_San_Pedro_(Sevilla).jpg</t>
        </is>
      </c>
      <c r="E257" s="29" t="inlineStr">
        <is>
          <t>File:Capilla mayor de la Iglesia de San Pedro (Sevilla).jpg</t>
        </is>
      </c>
      <c r="F257" s="29" t="inlineStr">
        <is>
          <t>Jl FilpoC</t>
        </is>
      </c>
      <c r="G257" s="29" t="inlineStr">
        <is>
          <t>CC BY-SA 4.0</t>
        </is>
      </c>
      <c r="H257" s="29" t="inlineStr">
        <is>
          <t>https://creativecommons.org/licenses/by-sa/4.0/</t>
        </is>
      </c>
      <c r="I257" s="29" t="inlineStr">
        <is>
          <t>Creative Commons Attribution-Share Alike 4.0</t>
        </is>
      </c>
      <c r="J257" s="29" t="inlineStr">
        <is>
          <t>Jl FilpoC · CC BY-SA 4.0 · Wikimedia Commons</t>
        </is>
      </c>
      <c r="K257" s="29" t="n"/>
      <c r="L257" s="49" t="n">
        <v>46320</v>
      </c>
      <c r="M257" s="29" t="inlineStr">
        <is>
          <t>Bekliyor</t>
        </is>
      </c>
      <c r="N257" s="29" t="inlineStr">
        <is>
          <t>Bekliyor</t>
        </is>
      </c>
      <c r="O257" s="29" t="inlineStr">
        <is>
          <t>Fotoğraflar/sevilla_iglesia-de-san-pedro_02.jpg</t>
        </is>
      </c>
      <c r="P257" s="29" t="inlineStr">
        <is>
          <t>San Pedro Kilisesi'nde altın yaldızlı ana sunak ve nef.</t>
        </is>
      </c>
      <c r="Q257" s="29" t="inlineStr">
        <is>
          <t>Bekliyor</t>
        </is>
      </c>
      <c r="R257" s="29" t="inlineStr">
        <is>
          <t>Wikimedia Commons dosya sayfasındaki lisans: CC BY-SA 4.0</t>
        </is>
      </c>
      <c r="S257" s="29" t="inlineStr">
        <is>
          <t>Lisans kanıtları/iglesia-de-san-pedro-02.source-evidence.json</t>
        </is>
      </c>
      <c r="T257" s="29" t="inlineStr">
        <is>
          <t>c8c6912fa920429f46ae3c5ab79ab487427668ac9a4e2600569f256cb5073e96</t>
        </is>
      </c>
      <c r="U257" s="29" t="inlineStr">
        <is>
          <t>Lisans kanıtları/iglesia-de-san-pedro-02.license-evidence.json</t>
        </is>
      </c>
      <c r="V257" s="29" t="inlineStr">
        <is>
          <t>5a87d6e6f3de7d47ac49c3a3d7b55d1a193e3d400a4fc0942ba7865f70327235</t>
        </is>
      </c>
      <c r="W257" s="29" t="inlineStr">
        <is>
          <t>{"source_url": "https://commons.wikimedia.org/wiki/File:Capilla_mayor_de_la_Iglesia_de_San_Pedro_(Sevilla).jpg", "author": "Jl FilpoC", "license": "CC BY-SA 4.0", "license_url": "https://creativecommons.org/licenses/by-sa/4.0/", "original_api_record": {"size": 5709998, "width": 3043, "height": 3043, "thumburl": "https://thumb.wikimedia.org/wikipedia/commons/thumb/a/a3/Capilla_mayor_de_la_Iglesia_de_San_Pedro_%28Sevilla%29.jpg/1280px-Capilla_mayor_de_la_Iglesia_de_San_Pedro_%28Sevilla%29.jpg", "thumbwidth": 1280, "thumbheight": 1280, "responsiveUrls": {"2": "https://upload.wikimedia.org/wikipedia/commons/a/a3/Capilla_mayor_de_la_Iglesia_de_San_Pedro_%28Sevilla%29.jpg"}, "thumbattribs": {"src": "https://thumb.wikimedia.org/wikipedia/commons/thumb/a/a3/Capilla_mayor_de_la_Iglesia_de_San_Pedro_%28Sevilla%29.jpg/1280px-Capilla_mayor_de_la_Iglesia_de_San_Pedro_%28Sevilla%29.jpg", "decoding": "async", "loading": "lazy", "width": 1280, "height": 1280, "srcset": "https://upload.wikimedia.org/wikipedia/commons/a/a3/Capilla_mayor_de_la_Iglesia_de_San_Pedro_%28Sevilla%29.jpg 2x"}, "url": "https://upload.wikimedia.org/wikipedia/commons/a/a3/Capilla_mayor_de_la_Iglesia_de_San_Pedro_%28Sevilla%29.jpg", "descriptionurl": "https://commons.wikimedia.org/wiki/File:Capilla_mayor_de_la_Iglesia_de_San_Pedro_(Sevilla).jpg", "descriptionshorturl": "https://commons.wikimedia.org/w/index.php?curid=83918024", "sha1": "d8655c3c79006bf72df0739637b82797beae39d2", "extmetadata": {"DateTime": {"value": "2019-11-13 12:17:53", "source": "mediawiki-metadata", "hidden": ""}, "ObjectName": {"value": "Capilla mayor de la Iglesia de San Pedro (Sevilla)", "source": "mediawiki-metadata"}, "CommonsMetadataExtension": {"value": 1.2, "source": "extension", "hidden": ""}, "Categories": {"value": "Images with annotations|Self-published work|Main altarpiece of the Iglesia de San Pedro, Sevilla", "source": "commons-categories", "hidden": ""}, "Assessments": {"value": "", "source": "commons-categories", "hidden": ""}, "ImageDescription": {"value": "&lt;a href=\"https://es.wikipedia.org/wiki/Iglesia_de_San_Pedro_(Sevilla)\" class=\"extiw\" title=\"es:Iglesia de San Pedro (Sevilla)\"&gt;Iglesia de San Pedro (Sevilla)&lt;/a&gt;. El retablo mayor es de &lt;a href=\"https://es.wikipedia.org/wiki/Felipe_de_Ribas\" class=\"extiw\" title=\"es:Felipe de Ribas\"&gt;Felipe de Ribas&lt;/a&gt; (1641), continuado por sus hermanos Dionisio y Gaspar (1656).", "source": "commons-desc-page"}, "DateTimeOriginal": {"value": "2019-11-11", "source": "commons-desc-page"}, "Credit": {"value": "&lt;span class=\"int-own-work\" lang=\"en\"&gt;Own work&lt;/span&gt;", "source": "commons-desc-page"}, "Artist": {"value": "&lt;a href=\"//commons.wikimedia.org/wiki/User:Jl_FilpoC\" title=\"User:Jl FilpoC\"&gt;Jl FilpoC&lt;/a&gt;",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"https://thumb.wikimedia.org/wikipedia/commons/thumb/a/a3/Capilla_mayor_de_la_Iglesia_de_San_Pedro_%28Sevilla%29.jpg/1280px-Capilla_mayor_de_la_Iglesia_de_San_Pedro_%28Sevilla%29.jpg"}, "retrieved_on": "2026-10-25"}</t>
        </is>
      </c>
    </row>
    <row r="258" ht="54" customHeight="1">
      <c r="A258" s="29" t="inlineStr">
        <is>
          <t>sevilla:evidence:kapak-01</t>
        </is>
      </c>
      <c r="B258" s="29" t="inlineStr">
        <is>
          <t>sevilla</t>
        </is>
      </c>
      <c r="C258" s="29" t="inlineStr">
        <is>
          <t>sevilla:photo:kapak-01</t>
        </is>
      </c>
      <c r="D258" s="29" t="inlineStr">
        <is>
          <t>https://commons.wikimedia.org/wiki/File:9._Mai_1929,_an_diesem_Tag_wurde_die_Iberoamerikanische_Ausstellung_in_Sevilla_er%C3%B6ffnet._01.jpg</t>
        </is>
      </c>
      <c r="E258" s="29" t="inlineStr">
        <is>
          <t>File:9. Mai 1929, an diesem Tag wurde die Iberoamerikanische Ausstellung in Sevilla eröffnet. 01.jpg</t>
        </is>
      </c>
      <c r="F258" s="29" t="inlineStr">
        <is>
          <t>Holger Uwe Schmitt</t>
        </is>
      </c>
      <c r="G258" s="29" t="inlineStr">
        <is>
          <t>CC BY-SA 4.0</t>
        </is>
      </c>
      <c r="H258" s="29" t="inlineStr">
        <is>
          <t>https://creativecommons.org/licenses/by-sa/4.0/</t>
        </is>
      </c>
      <c r="I258" s="29" t="inlineStr">
        <is>
          <t>Creative Commons Attribution-Share Alike 4.0</t>
        </is>
      </c>
      <c r="J258" s="29" t="inlineStr">
        <is>
          <t>Holger Uwe Schmitt · CC BY-SA 4.0 · Wikimedia Commons</t>
        </is>
      </c>
      <c r="K258" s="29" t="n"/>
      <c r="L258" s="49" t="n">
        <v>46320</v>
      </c>
      <c r="M258" s="29" t="inlineStr">
        <is>
          <t>Bekliyor</t>
        </is>
      </c>
      <c r="N258" s="29" t="inlineStr">
        <is>
          <t>Bekliyor</t>
        </is>
      </c>
      <c r="O258" s="29" t="inlineStr">
        <is>
          <t>Fotoğraflar/sevilla_kapak_01.jpg</t>
        </is>
      </c>
      <c r="P258" s="29" t="inlineStr">
        <is>
          <t>Sevilla'nın simgelerinden Plaza de España: tuğla galeriler, kuleler ve açık mavi gökyüzü.</t>
        </is>
      </c>
      <c r="Q258" s="29" t="inlineStr">
        <is>
          <t>Bekliyor</t>
        </is>
      </c>
      <c r="R258" s="29" t="inlineStr">
        <is>
          <t>Wikimedia Commons dosya sayfasındaki lisans: CC BY-SA 4.0</t>
        </is>
      </c>
      <c r="S258" s="29" t="inlineStr">
        <is>
          <t>Lisans kanıtları/kapak-01.source-evidence.json</t>
        </is>
      </c>
      <c r="T258" s="29" t="inlineStr">
        <is>
          <t>591bb5944afe2229e34c901d0129062c9710e51c15469760955afbe94e63ebc2</t>
        </is>
      </c>
      <c r="U258" s="29" t="inlineStr">
        <is>
          <t>Lisans kanıtları/kapak-01.license-evidence.json</t>
        </is>
      </c>
      <c r="V258" s="29" t="inlineStr">
        <is>
          <t>f0775e031bb84d05bba352064c2b0f43cef0adfe4dd12e698dce5441dcaf4267</t>
        </is>
      </c>
      <c r="W258" s="29" t="inlineStr">
        <is>
          <t>{"source_url": "https://commons.wikimedia.org/wiki/File:9._Mai_1929,_an_diesem_Tag_wurde_die_Iberoamerikanische_Ausstellung_in_Sevilla_er%C3%B6ffnet._01.jpg", "author": "Holger Uwe Schmitt", "license": "CC BY-SA 4.0", "license_url": "https://creativecommons.org/licenses/by-sa/4.0/", "original_api_record": {"size": 4058770, "width": 6677, "height": 2995, "thumburl": "https://thumb.wikimedia.org/wikipedia/commons/thumb/1/1d/9._Mai_1929%2C_an_diesem_Tag_wurde_die_Iberoamerikanische_Ausstellung_in_Sevilla_er%C3%B6ffnet._01.jpg/1280px-9._Mai_1929%2C_an_diesem_Tag_wurde_die_Iberoamerikanische_Ausstellung_in_Sevilla_er%C3%B6ffnet._01.jpg", "thumbwidth": 1280, "thumbheight": 574, "responsiveUrls": {"2": "https://thumb.wikimedia.org/wikipedia/commons/thumb/1/1d/9._Mai_1929%2C_an_diesem_Tag_wurde_die_Iberoamerikanische_Ausstellung_in_Sevilla_er%C3%B6ffnet._01.jpg/3840px-9._Mai_1929%2C_an_diesem_Tag_wurde_die_Iberoamerikanische_Ausstellung_in_Sevilla_er%C3%B6ffnet._01.jpg"}, "thumbattribs": {"src": "https://thumb.wikimedia.org/wikipedia/commons/thumb/1/1d/9._Mai_1929%2C_an_diesem_Tag_wurde_die_Iberoamerikanische_Ausstellung_in_Sevilla_er%C3%B6ffnet._01.jpg/1280px-9._Mai_1929%2C_an_diesem_Tag_wurde_die_Iberoamerikanische_Ausstellung_in_Sevilla_er%C3%B6ffnet._01.jpg", "decoding": "async", "loading": "lazy", "width": 1280, "height": 574, "srcset": "https://thumb.wikimedia.org/wikipedia/commons/thumb/1/1d/9._Mai_1929%2C_an_diesem_Tag_wurde_die_Iberoamerikanische_Ausstellung_in_Sevilla_er%C3%B6ffnet._01.jpg/3840px-9._Mai_1929%2C_an_diesem_Tag_wurde_die_Iberoamerikanische_Ausstellung_in_Sevilla_er%C3%B6ffnet._01.jpg 2x"}, "url": "https://upload.wikimedia.org/wikipedia/commons/1/1d/9._Mai_1929%2C_an_diesem_Tag_wurde_die_Iberoamerikanische_Ausstellung_in_Sevilla_er%C3%B6ffnet._01.jpg", "descriptionurl": "https://commons.wikimedia.org/wiki/File:9._Mai_1929,_an_diesem_Tag_wurde_die_Iberoamerikanische_Ausstellung_in_Sevilla_er%C3%B6ffnet._01.jpg", "descriptionshorturl": "https://commons.wikimedia.org/w/index.php?curid=114970540", "sha1": "3cf45405efeb349b68cb4d664b056873ff3d76a5", "extmetadata": {"DateTime": {"value": "2022-02-04 16:46:24", "source": "mediawiki-metadata", "hidden": ""}, "ObjectName": {"value": "9. Mai 1929, an diesem Tag wurde die Iberoamerikanische Ausstellung in Sevilla eröffnet. 01", "source": "mediawiki-metadata"}, "CommonsMetadataExtension": {"value": 1.2, "source": "extension", "hidden": ""}, "Categories": {"value": "Plaza de España, Seville|Self-published work", "source": "commons-categories", "hidden": ""}, "Assessments": {"value": "", "source": "commons-categories", "hidden": ""}, "ImageDescription": {"value": "Plaza of Spain Seville.", "source": "commons-desc-page"}, "DateTimeOriginal": {"value": "2021-12-30 17:17:12", "source": "commons-desc-page"}, "Credit": {"value": "&lt;span class=\"int-own-work\" lang=\"en\"&gt;Own work&lt;/span&gt;", "source": "commons-desc-page"}, "Artist": {"value": "&lt;a href=\"//commons.wikimedia.org/wiki/User:Holger_Uwe_Schmitt\" title=\"User:Holger Uwe Schmitt\"&gt;Holger Uwe Schmitt&lt;/a&gt;",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"https://thumb.wikimedia.org/wikipedia/commons/thumb/1/1d/9._Mai_1929%2C_an_diesem_Tag_wurde_die_Iberoamerikanische_Ausstellung_in_Sevilla_er%C3%B6ffnet._01.jpg/1280px-9._Mai_1929%2C_an_diesem_Tag_wurde_die_Iberoamerikanische_Ausstellung_in_Sevilla_er%C3%B6ffnet._01.jpg"}, "retrieved_on": "2026-10-25"}</t>
        </is>
      </c>
    </row>
    <row r="259" ht="54" customHeight="1">
      <c r="A259" s="29" t="inlineStr">
        <is>
          <t>sevilla:evidence:kapak-02</t>
        </is>
      </c>
      <c r="B259" s="29" t="inlineStr">
        <is>
          <t>sevilla</t>
        </is>
      </c>
      <c r="C259" s="29" t="inlineStr">
        <is>
          <t>sevilla:photo:kapak-02</t>
        </is>
      </c>
      <c r="D259" s="29" t="inlineStr">
        <is>
          <t>https://commons.wikimedia.org/wiki/File:CATEDRAL_DE_SEVILLA.jpg</t>
        </is>
      </c>
      <c r="E259" s="29" t="inlineStr">
        <is>
          <t>File:CATEDRAL DE SEVILLA.jpg</t>
        </is>
      </c>
      <c r="F259" s="29" t="inlineStr">
        <is>
          <t>PEPE GADEIRAS</t>
        </is>
      </c>
      <c r="G259" s="29" t="inlineStr">
        <is>
          <t>CC BY-SA 4.0</t>
        </is>
      </c>
      <c r="H259" s="29" t="inlineStr">
        <is>
          <t>https://creativecommons.org/licenses/by-sa/4.0/</t>
        </is>
      </c>
      <c r="I259" s="29" t="inlineStr">
        <is>
          <t>Creative Commons Attribution-Share Alike 4.0</t>
        </is>
      </c>
      <c r="J259" s="29" t="inlineStr">
        <is>
          <t>PEPE GADEIRAS · CC BY-SA 4.0 · Wikimedia Commons</t>
        </is>
      </c>
      <c r="K259" s="29" t="n"/>
      <c r="L259" s="49" t="n">
        <v>46320</v>
      </c>
      <c r="M259" s="29" t="inlineStr">
        <is>
          <t>Bekliyor</t>
        </is>
      </c>
      <c r="N259" s="29" t="inlineStr">
        <is>
          <t>Bekliyor</t>
        </is>
      </c>
      <c r="O259" s="29" t="inlineStr">
        <is>
          <t>Fotoğraflar/sevilla_kapak_02.jpg</t>
        </is>
      </c>
      <c r="P259" s="29" t="inlineStr">
        <is>
          <t>Sevilla'nın tarihî merkezinde katedral cephesi; meydanda atlı arabalar bekliyor.</t>
        </is>
      </c>
      <c r="Q259" s="29" t="inlineStr">
        <is>
          <t>Bekliyor</t>
        </is>
      </c>
      <c r="R259" s="29" t="inlineStr">
        <is>
          <t>Wikimedia Commons dosya sayfasındaki lisans: CC BY-SA 4.0</t>
        </is>
      </c>
      <c r="S259" s="29" t="inlineStr">
        <is>
          <t>Lisans kanıtları/kapak-02.source-evidence.json</t>
        </is>
      </c>
      <c r="T259" s="29" t="inlineStr">
        <is>
          <t>b02bc8b4edf1e5c348dacd38be9d3d3924280976d409682db6b33ac6741763a2</t>
        </is>
      </c>
      <c r="U259" s="29" t="inlineStr">
        <is>
          <t>Lisans kanıtları/kapak-02.license-evidence.json</t>
        </is>
      </c>
      <c r="V259" s="29" t="inlineStr">
        <is>
          <t>e5ee9ce22567a7d3042742939e3df9c05004eaf68c9764c3cc85736fc7ba5df6</t>
        </is>
      </c>
      <c r="W259" s="29" t="inlineStr">
        <is>
          <t>{"source_url": "https://commons.wikimedia.org/wiki/File:CATEDRAL_DE_SEVILLA.jpg", "author": "PEPE GADEIRAS", "license": "CC BY-SA 4.0", "license_url": "https://creativecommons.org/licenses/by-sa/4.0/", "original_api_record": {"size": 13639787, "width": 5184, "height": 3456, "thumburl": "https://thumb.wikimedia.org/wikipedia/commons/thumb/a/ab/CATEDRAL_DE_SEVILLA.jpg/1280px-CATEDRAL_DE_SEVILLA.jpg", "thumbwidth": 1280, "thumbheight": 853, "responsiveUrls": {"2": "https://thumb.wikimedia.org/wikipedia/commons/thumb/a/ab/CATEDRAL_DE_SEVILLA.jpg/3840px-CATEDRAL_DE_SEVILLA.jpg"}, "thumbattribs": {"src": "https://thumb.wikimedia.org/wikipedia/commons/thumb/a/ab/CATEDRAL_DE_SEVILLA.jpg/1280px-CATEDRAL_DE_SEVILLA.jpg", "decoding": "async", "loading": "lazy", "width": 1280, "height": 853, "srcset": "https://thumb.wikimedia.org/wikipedia/commons/thumb/a/ab/CATEDRAL_DE_SEVILLA.jpg/3840px-CATEDRAL_DE_SEVILLA.jpg 2x"}, "url": "https://upload.wikimedia.org/wikipedia/commons/a/ab/CATEDRAL_DE_SEVILLA.jpg", "descriptionurl": "https://commons.wikimedia.org/wiki/File:CATEDRAL_DE_SEVILLA.jpg", "descriptionshorturl": "https://commons.wikimedia.org/w/index.php?curid=178576135", "sha1": "ded8a4e578ec2d49e5f0f9e7ceefbe1f21d60b1c", "extmetadata": {"DateTime": {"value": "2025-11-16 18:14:46", "source": "mediawiki-metadata", "hidden": ""}, "ObjectName": {"value": "CATEDRAL DE SEVILLA", "source": "mediawiki-metadata"}, "CommonsMetadataExtension": {"value": 1.2, "source": "extension", "hidden": ""}, "Categories": {"value": "Avenida de la Constitución, Seville|Self-published work|Cathedral of Seville, facade south", "source": "commons-categories", "hidden": ""}, "Assessments": {"value": "", "source": "commons-categories", "hidden": ""}, "ImageDescription": {"value": "According to tradition, construction began in 1401, although there is no documentary evidence of the start of the work until 1433. The building was erected on the site left after the demolition of the old main mosque of Seville.", "source": "commons-desc-page"}, "DateTimeOriginal": {"value": "2018-01-21 11:48:39", "source": "commons-desc-page"}, "Credit": {"value": "&lt;span class=\"int-own-work\" lang=\"en\"&gt;Own work&lt;/span&gt;", "source": "commons-desc-page"}, "Artist": {"value": "&lt;a href=\"//commons.wikimedia.org/w/index.php?title=User:PEPE_GADEIRAS&amp;amp;action=edit&amp;amp;redlink=1\" class=\"new\" title=\"User:PEPE GADEIRAS (page does not exist)\"&gt;PEPE GADEIRAS&lt;/a&gt;",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"https://thumb.wikimedia.org/wikipedia/commons/thumb/a/ab/CATEDRAL_DE_SEVILLA.jpg/1280px-CATEDRAL_DE_SEVILLA.jpg"}, "retrieved_on": "2026-10-25"}</t>
        </is>
      </c>
    </row>
    <row r="260" ht="54" customHeight="1">
      <c r="A260" s="29" t="inlineStr">
        <is>
          <t>sevilla:evidence:kapak-03</t>
        </is>
      </c>
      <c r="B260" s="29" t="inlineStr">
        <is>
          <t>sevilla</t>
        </is>
      </c>
      <c r="C260" s="29" t="inlineStr">
        <is>
          <t>sevilla:photo:kapak-03</t>
        </is>
      </c>
      <c r="D260" s="29" t="inlineStr">
        <is>
          <t>https://commons.wikimedia.org/wiki/File:Bridge_with_Jacaranda_Tree_in_Bloom_-_Seville_-_Spain.jpg</t>
        </is>
      </c>
      <c r="E260" s="29" t="inlineStr">
        <is>
          <t>File:Bridge with Jacaranda Tree in Bloom - Seville - Spain.jpg</t>
        </is>
      </c>
      <c r="F260" s="29" t="inlineStr">
        <is>
          <t>Adam Jones, Ph.D.</t>
        </is>
      </c>
      <c r="G260" s="29" t="inlineStr">
        <is>
          <t>CC BY-SA 3.0</t>
        </is>
      </c>
      <c r="H260" s="29" t="inlineStr">
        <is>
          <t>https://creativecommons.org/licenses/by-sa/3.0/</t>
        </is>
      </c>
      <c r="I260" s="29" t="inlineStr">
        <is>
          <t>Creative Commons Attribution-Share Alike 3.0</t>
        </is>
      </c>
      <c r="J260" s="29" t="inlineStr">
        <is>
          <t>Adam Jones, Ph.D. · CC BY-SA 3.0 · Wikimedia Commons</t>
        </is>
      </c>
      <c r="K260" s="29" t="n"/>
      <c r="L260" s="49" t="n">
        <v>46320</v>
      </c>
      <c r="M260" s="29" t="inlineStr">
        <is>
          <t>Bekliyor</t>
        </is>
      </c>
      <c r="N260" s="29" t="inlineStr">
        <is>
          <t>Bekliyor</t>
        </is>
      </c>
      <c r="O260" s="29" t="inlineStr">
        <is>
          <t>Fotoğraflar/sevilla_kapak_03.jpg</t>
        </is>
      </c>
      <c r="P260" s="29" t="inlineStr">
        <is>
          <t>Sevilla'da baharda açan jakarandalar ve arkada Triana'ya geçen tarihî demir köprü.</t>
        </is>
      </c>
      <c r="Q260" s="29" t="inlineStr">
        <is>
          <t>Bekliyor</t>
        </is>
      </c>
      <c r="R260" s="29" t="inlineStr">
        <is>
          <t>Wikimedia Commons dosya sayfasındaki lisans: CC BY-SA 3.0</t>
        </is>
      </c>
      <c r="S260" s="29" t="inlineStr">
        <is>
          <t>Lisans kanıtları/kapak-03.source-evidence.json</t>
        </is>
      </c>
      <c r="T260" s="29" t="inlineStr">
        <is>
          <t>618de0208bf6107be67cfb8ee3c39b65f486ad356cadce76c80f44baa2d2937f</t>
        </is>
      </c>
      <c r="U260" s="29" t="inlineStr">
        <is>
          <t>Lisans kanıtları/kapak-03.license-evidence.json</t>
        </is>
      </c>
      <c r="V260" s="29" t="inlineStr">
        <is>
          <t>df0851b01d399077565700066935a3010b3d5f2cba0599526c3e98b54f087f13</t>
        </is>
      </c>
      <c r="W260" s="29" t="inlineStr">
        <is>
          <t>{"source_url": "https://commons.wikimedia.org/wiki/File:Bridge_with_Jacaranda_Tree_in_Bloom_-_Seville_-_Spain.jpg", "author": "Adam Jones, Ph.D.", "license": "CC BY-SA 3.0", "license_url": "https://creativecommons.org/licenses/by-sa/3.0/", "original_api_record": {"size": 3135692, "width": 3456, "height": 2304, "thumburl": "https://thumb.wikimedia.org/wikipedia/commons/thumb/f/fe/Bridge_with_Jacaranda_Tree_in_Bloom_-_Seville_-_Spain.jpg/1280px-Bridge_with_Jacaranda_Tree_in_Bloom_-_Seville_-_Spain.jpg", "thumbwidth": 1280, "thumbheight": 853, "responsiveUrls": {"2": "https://upload.wikimedia.org/wikipedia/commons/f/fe/Bridge_with_Jacaranda_Tree_in_Bloom_-_Seville_-_Spain.jpg"}, "thumbattribs": {"src": "https://thumb.wikimedia.org/wikipedia/commons/thumb/f/fe/Bridge_with_Jacaranda_Tree_in_Bloom_-_Seville_-_Spain.jpg/1280px-Bridge_with_Jacaranda_Tree_in_Bloom_-_Seville_-_Spain.jpg", "decoding": "async", "loading": "lazy", "width": 1280, "height": 853, "srcset": "https://upload.wikimedia.org/wikipedia/commons/f/fe/Bridge_with_Jacaranda_Tree_in_Bloom_-_Seville_-_Spain.jpg 2x"}, "url": "https://upload.wikimedia.org/wikipedia/commons/f/fe/Bridge_with_Jacaranda_Tree_in_Bloom_-_Seville_-_Spain.jpg", "descriptionurl": "https://commons.wikimedia.org/wiki/File:Bridge_with_Jacaranda_Tree_in_Bloom_-_Seville_-_Spain.jpg", "descriptionshorturl": "https://commons.wikimedia.org/w/index.php?curid=27824660", "sha1": "8b1d95e06aaff1ac9240a7e345931495bad0d447", "extmetadata": {"DateTime": {"value": "2013-08-22 04:32:26", "source": "mediawiki-metadata", "hidden": ""}, "ObjectName": {"value": "Bridge with Jacaranda Tree in Bloom - Seville - Spain", "source": "mediawiki-metadata"}, "CommonsMetadataExtension": {"value": 1.2, "source": "extension", "hidden": ""}, "Categories": {"value": "Taken with Sony DSC-HX1|Puente de Triana|Self-published work|Photographs by Adam Jones", "source": "commons-categories", "hidden": ""}, "Assessments": {"value": "", "source": "commons-categories", "hidden": ""}, "ImageDescription": {"value": "Bridge with Jacaranda Tree in Bloom - Seville - Spain", "source": "commons-desc-page"}, "DateTimeOriginal": {"value": "2010-05-14 05:03:46", "source": "commons-desc-page"}, "Credit": {"value": "&lt;span class=\"int-own-work\" lang=\"en\"&gt;Own work&lt;/span&gt;", "source": "commons-desc-page"}, "Artist": {"value": "&lt;a href=\"//commons.wikimedia.org/wiki/User:Adam63\" title=\"User:Adam63\"&gt;Adam Jones, Ph.D.&lt;/a&gt;",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 "delivered_file": {"url": "https://thumb.wikimedia.org/wikipedia/commons/thumb/f/fe/Bridge_with_Jacaranda_Tree_in_Bloom_-_Seville_-_Spain.jpg/1280px-Bridge_with_Jacaranda_Tree_in_Bloom_-_Seville_-_Spain.jpg"}, "retrieved_on": "2026-10-25"}</t>
        </is>
      </c>
    </row>
    <row r="261" ht="54" customHeight="1">
      <c r="A261" s="29" t="inlineStr">
        <is>
          <t>sevilla:evidence:kapak-04</t>
        </is>
      </c>
      <c r="B261" s="29" t="inlineStr">
        <is>
          <t>sevilla</t>
        </is>
      </c>
      <c r="C261" s="29" t="inlineStr">
        <is>
          <t>sevilla:photo:kapak-04</t>
        </is>
      </c>
      <c r="D261" s="29" t="inlineStr">
        <is>
          <t>https://commons.wikimedia.org/wiki/File:Andaluc%C3%ADa,_Sevilla,_plaza_de_America_(16488311286).jpg</t>
        </is>
      </c>
      <c r="E261" s="29" t="inlineStr">
        <is>
          <t>File:Andalucía, Sevilla, plaza de America (16488311286).jpg</t>
        </is>
      </c>
      <c r="F261" s="29" t="inlineStr">
        <is>
          <t>Максим Массалитин (Maxim Massalitin)</t>
        </is>
      </c>
      <c r="G261" s="29" t="inlineStr">
        <is>
          <t>CC BY 2.0</t>
        </is>
      </c>
      <c r="H261" s="29" t="inlineStr">
        <is>
          <t>https://creativecommons.org/licenses/by/2.0/</t>
        </is>
      </c>
      <c r="I261" s="29" t="inlineStr">
        <is>
          <t>Creative Commons Attribution 2.0</t>
        </is>
      </c>
      <c r="J261" s="29" t="inlineStr">
        <is>
          <t>Максим Массалитин (Maxim Massalitin) · CC BY 2.0 · Wikimedia Commons</t>
        </is>
      </c>
      <c r="K261" s="29" t="n"/>
      <c r="L261" s="49" t="n">
        <v>46320</v>
      </c>
      <c r="M261" s="29" t="inlineStr">
        <is>
          <t>Bekliyor</t>
        </is>
      </c>
      <c r="N261" s="29" t="inlineStr">
        <is>
          <t>Bekliyor</t>
        </is>
      </c>
      <c r="O261" s="29" t="inlineStr">
        <is>
          <t>Fotoğraflar/sevilla_kapak_04.jpg</t>
        </is>
      </c>
      <c r="P261" s="29" t="inlineStr">
        <is>
          <t>Sevilla'nın en bilinen parkında portakal ağaçları ve geometrik çit bahçeleri.</t>
        </is>
      </c>
      <c r="Q261" s="29" t="inlineStr">
        <is>
          <t>Bekliyor</t>
        </is>
      </c>
      <c r="R261" s="29" t="inlineStr">
        <is>
          <t>Wikimedia Commons dosya sayfasındaki lisans: CC BY 2.0</t>
        </is>
      </c>
      <c r="S261" s="29" t="inlineStr">
        <is>
          <t>Lisans kanıtları/kapak-04.source-evidence.json</t>
        </is>
      </c>
      <c r="T261" s="29" t="inlineStr">
        <is>
          <t>0db85b4788b17482cd0a76bb3a67443e4f2c787f26c34cc6830ae12f8f674496</t>
        </is>
      </c>
      <c r="U261" s="29" t="inlineStr">
        <is>
          <t>Lisans kanıtları/kapak-04.license-evidence.json</t>
        </is>
      </c>
      <c r="V261" s="29" t="inlineStr">
        <is>
          <t>7f67ae946d698fec0aa4c2a36fd682dfb0dc4ea59c9e255f1e5dc0d1fa4583e2</t>
        </is>
      </c>
      <c r="W261" s="29" t="inlineStr">
        <is>
          <t>{"source_url": "https://commons.wikimedia.org/wiki/File:Andaluc%C3%ADa,_Sevilla,_plaza_de_America_(16488311286).jpg", "author": "Максим Массалитин (Maxim Massalitin)", "license": "CC BY 2.0", "license_url": "https://creativecommons.org/licenses/by/2.0/", "original_api_record": {"size": 12991592, "width": 4928, "height": 3264, "thumburl": "https://thumb.wikimedia.org/wikipedia/commons/thumb/a/a1/Andaluc%C3%ADa%2C_Sevilla%2C_plaza_de_America_%2816488311286%29.jpg/1280px-Andaluc%C3%ADa%2C_Sevilla%2C_plaza_de_America_%2816488311286%29.jpg", "thumbwidth": 1280, "thumbheight": 848, "responsiveUrls": {"2": "https://thumb.wikimedia.org/wikipedia/commons/thumb/a/a1/Andaluc%C3%ADa%2C_Sevilla%2C_plaza_de_America_%2816488311286%29.jpg/3840px-Andaluc%C3%ADa%2C_Sevilla%2C_plaza_de_America_%2816488311286%29.jpg"}, "thumbattribs": {"src": "https://thumb.wikimedia.org/wikipedia/commons/thumb/a/a1/Andaluc%C3%ADa%2C_Sevilla%2C_plaza_de_America_%2816488311286%29.jpg/1280px-Andaluc%C3%ADa%2C_Sevilla%2C_plaza_de_America_%2816488311286%29.jpg", "decoding": "async", "loading": "lazy", "width": 1280, "height": 848, "srcset": "https://thumb.wikimedia.org/wikipedia/commons/thumb/a/a1/Andaluc%C3%ADa%2C_Sevilla%2C_plaza_de_America_%2816488311286%29.jpg/3840px-Andaluc%C3%ADa%2C_Sevilla%2C_plaza_de_America_%2816488311286%29.jpg 2x"}, "url": "https://upload.wikimedia.org/wikipedia/commons/a/a1/Andaluc%C3%ADa%2C_Sevilla%2C_plaza_de_America_%2816488311286%29.jpg", "descriptionurl": "https://commons.wikimedia.org/wiki/File:Andaluc%C3%ADa,_Sevilla,_plaza_de_America_(16488311286).jpg", "descriptionshorturl": "https://commons.wikimedia.org/w/index.php?curid=42748214", "sha1": "54bc1b528205666a633234f489611a2a5c56c7ac", "extmetadata": {"DateTime": {"value": "2015-08-29 13:51:45", "source": "mediawiki-metadata", "hidden": ""}, "ObjectName": {"value": "Andalucía, Sevilla, plaza de America (16488311286)", "source": "mediawiki-metadata"}, "CommonsMetadataExtension": {"value": 1.2, "source": "extension", "hidden": ""}, "Categories": {"value": "María Luisa Park|Plaza de América, Seville|Flickr images reviewed by FlickreviewR|Files with coordinates missing SDC location of creation|Photos in Flickr Explore|Orange trees in Andalusia|Files from Priest Maxim Massalitin Flickr stream", "source": "commons-categories", "hidden": ""}, "Assessments": {"value": "", "source": "commons-categories", "hidden": ""}, "GPSLatitude": {"value": "37.371944", "source": "commons-desc-page"}, "GPSLongitude": {"value": "-5.988334", "source": "commons-desc-page"}, "GPSMapDatum": {"value": "WGS-84", "source": "commons-desc-page", "hidden": ""}, "ImageDescription": {"value": "Андалусия, Севилья, площадь Америки.", "source": "commons-desc-page"}, "DateTimeOriginal": {"value": "2015-01-27 17:14", "source": "commons-desc-page"}, "Credit": {"value": "&lt;a rel=\"nofollow\" class=\"external text\" href=\"https://www.flickr.com/photos/massalim/16488311286/\"&gt;Andalucía, Sevilla, plaza de America&lt;/a&gt;", "source": "commons-desc-page"}, "Artist": {"value": "&lt;a href=\"//commons.wikimedia.org/wiki/User:Massalim\" title=\"User:Massalim\"&gt;Максим Массалитин&lt;/a&gt; (Maxim Massalitin)",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 "delivered_file": {"url": "https://thumb.wikimedia.org/wikipedia/commons/thumb/a/a1/Andaluc%C3%ADa%2C_Sevilla%2C_plaza_de_America_%2816488311286%29.jpg/1280px-Andaluc%C3%ADa%2C_Sevilla%2C_plaza_de_America_%2816488311286%29.jpg"}, "retrieved_on": "2026-10-25"}</t>
        </is>
      </c>
    </row>
    <row r="262" ht="54" customHeight="1">
      <c r="A262" s="29" t="inlineStr">
        <is>
          <t>sevilla:evidence:kapak-05</t>
        </is>
      </c>
      <c r="B262" s="29" t="inlineStr">
        <is>
          <t>sevilla</t>
        </is>
      </c>
      <c r="C262" s="29" t="inlineStr">
        <is>
          <t>sevilla:photo:kapak-05</t>
        </is>
      </c>
      <c r="D262" s="29" t="inlineStr">
        <is>
          <t>https://commons.wikimedia.org/wiki/File:Barcos_en_el_Guadalquivir.jpg</t>
        </is>
      </c>
      <c r="E262" s="29" t="inlineStr">
        <is>
          <t>File:Barcos en el Guadalquivir.jpg</t>
        </is>
      </c>
      <c r="F262" s="29" t="inlineStr">
        <is>
          <t>CarlosVdeHabsburgo</t>
        </is>
      </c>
      <c r="G262" s="29" t="inlineStr">
        <is>
          <t>CC BY-SA 4.0</t>
        </is>
      </c>
      <c r="H262" s="29" t="inlineStr">
        <is>
          <t>https://creativecommons.org/licenses/by-sa/4.0/</t>
        </is>
      </c>
      <c r="I262" s="29" t="inlineStr">
        <is>
          <t>Creative Commons Attribution-Share Alike 4.0</t>
        </is>
      </c>
      <c r="J262" s="29" t="inlineStr">
        <is>
          <t>CarlosVdeHabsburgo · CC BY-SA 4.0 · Wikimedia Commons</t>
        </is>
      </c>
      <c r="K262" s="29" t="n"/>
      <c r="L262" s="49" t="n">
        <v>46320</v>
      </c>
      <c r="M262" s="29" t="inlineStr">
        <is>
          <t>Bekliyor</t>
        </is>
      </c>
      <c r="N262" s="29" t="inlineStr">
        <is>
          <t>Bekliyor</t>
        </is>
      </c>
      <c r="O262" s="29" t="inlineStr">
        <is>
          <t>Fotoğraflar/sevilla_kapak_05.jpg</t>
        </is>
      </c>
      <c r="P262" s="29" t="inlineStr">
        <is>
          <t>Sevilla'yı ikiye bölen Guadalquivir; tekneler ve nehrin batı yakasında Triana evleri.</t>
        </is>
      </c>
      <c r="Q262" s="29" t="inlineStr">
        <is>
          <t>Bekliyor</t>
        </is>
      </c>
      <c r="R262" s="29" t="inlineStr">
        <is>
          <t>Wikimedia Commons dosya sayfasındaki lisans: CC BY-SA 4.0</t>
        </is>
      </c>
      <c r="S262" s="29" t="inlineStr">
        <is>
          <t>Lisans kanıtları/kapak-05.source-evidence.json</t>
        </is>
      </c>
      <c r="T262" s="29" t="inlineStr">
        <is>
          <t>95d4f4dc91d279ff6dfec9d779393d9ded05f909976cba530149498852033ac8</t>
        </is>
      </c>
      <c r="U262" s="29" t="inlineStr">
        <is>
          <t>Lisans kanıtları/kapak-05.license-evidence.json</t>
        </is>
      </c>
      <c r="V262" s="29" t="inlineStr">
        <is>
          <t>b2b0fd4ee5818f2684e629990211e54015fbb63bf29c101fb8fba3b47b84041b</t>
        </is>
      </c>
      <c r="W262" s="29" t="inlineStr">
        <is>
          <t>{"source_url": "https://commons.wikimedia.org/wiki/File:Barcos_en_el_Guadalquivir.jpg", "author": "CarlosVdeHabsburgo", "license": "CC BY-SA 4.0", "license_url": "https://creativecommons.org/licenses/by-sa/4.0/", "original_api_record": {"size": 6665570, "width": 4320, "height": 3240, "thumburl": "https://thumb.wikimedia.org/wikipedia/commons/thumb/1/1c/Barcos_en_el_Guadalquivir.jpg/1280px-Barcos_en_el_Guadalquivir.jpg", "thumbwidth": 1280, "thumbheight": 960, "responsiveUrls": {"2": "https://thumb.wikimedia.org/wikipedia/commons/thumb/1/1c/Barcos_en_el_Guadalquivir.jpg/3840px-Barcos_en_el_Guadalquivir.jpg"}, "thumbattribs": {"src": "https://thumb.wikimedia.org/wikipedia/commons/thumb/1/1c/Barcos_en_el_Guadalquivir.jpg/1280px-Barcos_en_el_Guadalquivir.jpg", "decoding": "async", "loading": "lazy", "width": 1280, "height": 960, "srcset": "https://thumb.wikimedia.org/wikipedia/commons/thumb/1/1c/Barcos_en_el_Guadalquivir.jpg/3840px-Barcos_en_el_Guadalquivir.jpg 2x"}, "url": "https://upload.wikimedia.org/wikipedia/commons/1/1c/Barcos_en_el_Guadalquivir.jpg", "descriptionurl": "https://commons.wikimedia.org/wiki/File:Barcos_en_el_Guadalquivir.jpg", "descriptionshorturl": "https://commons.wikimedia.org/w/index.php?curid=68317782", "sha1": "ed323c431ae3aa20abb685d406b328fbc5c883e3", "extmetadata": {"DateTime": {"value": "2018-04-14 00:47:27", "source": "mediawiki-metadata", "hidden": ""}, "ObjectName": {"value": "Barcos en el Guadalquivir", "source": "mediawiki-metadata"}, "CommonsMetadataExtension": {"value": 1.2, "source": "extension", "hidden": ""}, "Categories": {"value": "Triana District|Capilla del Carmen (Sevilla)|San Jorge Castle (Seville)|Canal de Alfonso XIII|Self-published work|Boats in Seville", "source": "commons-categories", "hidden": ""}, "Assessments": {"value": "", "source": "commons-categories", "hidden": ""}, "ImageDescription": {"value": "Barcos en el Guadalquivir, el castillo de San Jorge y la capilla del Carmen. Sevilla, Andalucía, España.", "source": "commons-desc-page"}, "DateTimeOriginal": {"value": "2018-04-13 17:28:49", "source": "commons-desc-page"}, "Credit": {"value": "&lt;span class=\"int-own-work\" lang=\"en\"&gt;Own work&lt;/span&gt;", "source": "commons-desc-page"}, "Artist": {"value": "&lt;a href=\"//commons.wikimedia.org/wiki/User:CarlosVdeHabsburgo\" title=\"User:CarlosVdeHabsburgo\"&gt;CarlosVdeHabsburgo&lt;/a&gt;",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"https://thumb.wikimedia.org/wikipedia/commons/thumb/1/1c/Barcos_en_el_Guadalquivir.jpg/1280px-Barcos_en_el_Guadalquivir.jpg"}, "retrieved_on": "2026-10-25"}</t>
        </is>
      </c>
    </row>
    <row r="263" ht="54" customHeight="1">
      <c r="A263" s="29" t="inlineStr">
        <is>
          <t>sevilla:evidence:kapak-06</t>
        </is>
      </c>
      <c r="B263" s="29" t="inlineStr">
        <is>
          <t>sevilla</t>
        </is>
      </c>
      <c r="C263" s="29" t="inlineStr">
        <is>
          <t>sevilla:photo:kapak-06</t>
        </is>
      </c>
      <c r="D263" s="29" t="inlineStr">
        <is>
          <t>https://commons.wikimedia.org/wiki/File:Andalucia-01-0062_(8086361611).jpg</t>
        </is>
      </c>
      <c r="E263" s="29" t="inlineStr">
        <is>
          <t>File:Andalucia-01-0062 (8086361611).jpg</t>
        </is>
      </c>
      <c r="F263" s="29" t="inlineStr">
        <is>
          <t>Andrei Dimofte from Stuttgart, Germany</t>
        </is>
      </c>
      <c r="G263" s="29" t="inlineStr">
        <is>
          <t>CC BY 2.0</t>
        </is>
      </c>
      <c r="H263" s="29" t="inlineStr">
        <is>
          <t>https://creativecommons.org/licenses/by/2.0/</t>
        </is>
      </c>
      <c r="I263" s="29" t="inlineStr">
        <is>
          <t>Creative Commons Attribution 2.0</t>
        </is>
      </c>
      <c r="J263" s="29" t="inlineStr">
        <is>
          <t>Andrei Dimofte from Stuttgart, Germany · CC BY 2.0 · Wikimedia Commons</t>
        </is>
      </c>
      <c r="K263" s="29" t="n"/>
      <c r="L263" s="49" t="n">
        <v>46320</v>
      </c>
      <c r="M263" s="29" t="inlineStr">
        <is>
          <t>Bekliyor</t>
        </is>
      </c>
      <c r="N263" s="29" t="inlineStr">
        <is>
          <t>Bekliyor</t>
        </is>
      </c>
      <c r="O263" s="29" t="inlineStr">
        <is>
          <t>Fotoğraflar/sevilla_kapak_06.jpg</t>
        </is>
      </c>
      <c r="P263" s="29" t="inlineStr">
        <is>
          <t>Sevilla'nın Arenal semtinde beyaz-sarı barok cepheli tarihî boğa arenası.</t>
        </is>
      </c>
      <c r="Q263" s="29" t="inlineStr">
        <is>
          <t>Bekliyor</t>
        </is>
      </c>
      <c r="R263" s="29" t="inlineStr">
        <is>
          <t>Wikimedia Commons dosya sayfasındaki lisans: CC BY 2.0</t>
        </is>
      </c>
      <c r="S263" s="29" t="inlineStr">
        <is>
          <t>Lisans kanıtları/kapak-06.source-evidence.json</t>
        </is>
      </c>
      <c r="T263" s="29" t="inlineStr">
        <is>
          <t>38070551d1eedaca8551c7c7ec6be10c6b298fc172bc53b3db4819cfe0d91013</t>
        </is>
      </c>
      <c r="U263" s="29" t="inlineStr">
        <is>
          <t>Lisans kanıtları/kapak-06.license-evidence.json</t>
        </is>
      </c>
      <c r="V263" s="29" t="inlineStr">
        <is>
          <t>081a7ba277e6dab5515a329ed77911c8118bd3613a5e904b6b964e699b6c69ed</t>
        </is>
      </c>
      <c r="W263" s="29" t="inlineStr">
        <is>
          <t>{"source_url": "https://commons.wikimedia.org/wiki/File:Andalucia-01-0062_(8086361611).jpg", "author": "Andrei Dimofte from Stuttgart, Germany", "license": "CC BY 2.0", "license_url": "https://creativecommons.org/licenses/by/2.0/", "original_api_record": {"size": 5236289, "width": 3872, "height": 2592, "thumburl": "https://thumb.wikimedia.org/wikipedia/commons/thumb/1/10/Andalucia-01-0062_%288086361611%29.jpg/1280px-Andalucia-01-0062_%288086361611%29.jpg", "thumbwidth": 1280, "thumbheight": 857, "responsiveUrls": {"2": "https://thumb.wikimedia.org/wikipedia/commons/thumb/1/10/Andalucia-01-0062_%288086361611%29.jpg/3840px-Andalucia-01-0062_%288086361611%29.jpg"}, "thumbattribs": {"src": "https://thumb.wikimedia.org/wikipedia/commons/thumb/1/10/Andalucia-01-0062_%288086361611%29.jpg/1280px-Andalucia-01-0062_%288086361611%29.jpg", "decoding": "async", "loading": "lazy", "width": 1280, "height": 857, "srcset": "https://thumb.wikimedia.org/wikipedia/commons/thumb/1/10/Andalucia-01-0062_%288086361611%29.jpg/3840px-Andalucia-01-0062_%288086361611%29.jpg 2x"}, "url": "https://upload.wikimedia.org/wikipedia/commons/1/10/Andalucia-01-0062_%288086361611%29.jpg", "descriptionurl": "https://commons.wikimedia.org/wiki/File:Andalucia-01-0062_(8086361611).jpg", "descriptionshorturl": "https://commons.wikimedia.org/w/index.php?curid=25981517", "sha1": "6237e271d164710c9412de4ec0a0cd9ade985542", "extmetadata": {"DateTime": {"value": "2013-05-09 14:21:53", "source": "mediawiki-metadata", "hidden": ""}, "ObjectName": {"value": "Andalucia-01-0062 (8086361611)", "source": "mediawiki-metadata"}, "CommonsMetadataExtension": {"value": 1.2, "source": "extension", "hidden": ""}, "Categories": {"value": "Taken with Nikon D80|Plaza de toros de la Maestranza|Flickr images reviewed by File Upload Bot (Magnus Manske)|Photographs by Andrei Dimofte", "source": "commons-categories", "hidden": ""}, "Assessments": {"value": "", "source": "commons-categories", "hidden": ""}, "ImageDescription": {"value": "Andalucia-01-0062", "source": "commons-desc-page"}, "DateTimeOriginal": {"value": "2012-10-10 18:58", "source": "commons-desc-page"}, "Credit": {"value": "&lt;a rel=\"nofollow\" class=\"external text\" href=\"https://www.flickr.com/photos/andrei_dimofte/8086361611/\"&gt;Andalucia-01-0062&lt;/a&gt;", "source": "commons-desc-page"}, "Artist": {"value": "&lt;a rel=\"nofollow\" class=\"external text\" href=\"https://www.flickr.com/people/32248854@N00\"&gt;Andrei Dimofte&lt;/a&gt; from Stuttgart, Germany",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 "delivered_file": {"url": "https://thumb.wikimedia.org/wikipedia/commons/thumb/1/10/Andalucia-01-0062_%288086361611%29.jpg/1280px-Andalucia-01-0062_%288086361611%29.jpg"}, "retrieved_on": "2026-10-25"}</t>
        </is>
      </c>
    </row>
    <row r="264" ht="54" customHeight="1">
      <c r="A264" s="29" t="inlineStr">
        <is>
          <t>sevilla:evidence:kapak-07</t>
        </is>
      </c>
      <c r="B264" s="29" t="inlineStr">
        <is>
          <t>sevilla</t>
        </is>
      </c>
      <c r="C264" s="29" t="inlineStr">
        <is>
          <t>sevilla:photo:kapak-07</t>
        </is>
      </c>
      <c r="D264" s="29" t="inlineStr">
        <is>
          <t>https://commons.wikimedia.org/wiki/File:Palacio_San_Telmo_de_Sevilla.jpg</t>
        </is>
      </c>
      <c r="E264" s="29" t="inlineStr">
        <is>
          <t>File:Palacio San Telmo de Sevilla.jpg</t>
        </is>
      </c>
      <c r="F264" s="29" t="inlineStr">
        <is>
          <t>PEPE GADEIRAS</t>
        </is>
      </c>
      <c r="G264" s="29" t="inlineStr">
        <is>
          <t>CC BY-SA 4.0</t>
        </is>
      </c>
      <c r="H264" s="29" t="inlineStr">
        <is>
          <t>https://creativecommons.org/licenses/by-sa/4.0/</t>
        </is>
      </c>
      <c r="I264" s="29" t="inlineStr">
        <is>
          <t>Creative Commons Attribution-Share Alike 4.0</t>
        </is>
      </c>
      <c r="J264" s="29" t="inlineStr">
        <is>
          <t>PEPE GADEIRAS · CC BY-SA 4.0 · Wikimedia Commons</t>
        </is>
      </c>
      <c r="K264" s="29" t="n"/>
      <c r="L264" s="49" t="n">
        <v>46320</v>
      </c>
      <c r="M264" s="29" t="inlineStr">
        <is>
          <t>Bekliyor</t>
        </is>
      </c>
      <c r="N264" s="29" t="inlineStr">
        <is>
          <t>Bekliyor</t>
        </is>
      </c>
      <c r="O264" s="29" t="inlineStr">
        <is>
          <t>Fotoğraflar/sevilla_kapak_07.jpg</t>
        </is>
      </c>
      <c r="P264" s="29" t="inlineStr">
        <is>
          <t>Sevilla'da nehir kıyısına yakın, kırmızı-sarı cepheli barok San Telmo Sarayı.</t>
        </is>
      </c>
      <c r="Q264" s="29" t="inlineStr">
        <is>
          <t>Bekliyor</t>
        </is>
      </c>
      <c r="R264" s="29" t="inlineStr">
        <is>
          <t>Wikimedia Commons dosya sayfasındaki lisans: CC BY-SA 4.0</t>
        </is>
      </c>
      <c r="S264" s="29" t="inlineStr">
        <is>
          <t>Lisans kanıtları/kapak-07.source-evidence.json</t>
        </is>
      </c>
      <c r="T264" s="29" t="inlineStr">
        <is>
          <t>18c4e83bf6c08472ecaa81f121148144566f9569e903ddafeba5da61a4a9d408</t>
        </is>
      </c>
      <c r="U264" s="29" t="inlineStr">
        <is>
          <t>Lisans kanıtları/kapak-07.license-evidence.json</t>
        </is>
      </c>
      <c r="V264" s="29" t="inlineStr">
        <is>
          <t>5161cd6b4d96fc7cf0c952b511179a9bb885f148b41d55cc04b103c8f38203a5</t>
        </is>
      </c>
      <c r="W264" s="29" t="inlineStr">
        <is>
          <t>{"source_url": "https://commons.wikimedia.org/wiki/File:Palacio_San_Telmo_de_Sevilla.jpg", "author": "PEPE GADEIRAS", "license": "CC BY-SA 4.0", "license_url": "https://creativecommons.org/licenses/by-sa/4.0/", "original_api_record": {"size": 11715617, "width": 5184, "height": 3456, "thumburl": "https://thumb.wikimedia.org/wikipedia/commons/thumb/1/16/Palacio_San_Telmo_de_Sevilla.jpg/1280px-Palacio_San_Telmo_de_Sevilla.jpg", "thumbwidth": 1280, "thumbheight": 853, "responsiveUrls": {"2": "https://thumb.wikimedia.org/wikipedia/commons/thumb/1/16/Palacio_San_Telmo_de_Sevilla.jpg/3840px-Palacio_San_Telmo_de_Sevilla.jpg"}, "thumbattribs": {"src": "https://thumb.wikimedia.org/wikipedia/commons/thumb/1/16/Palacio_San_Telmo_de_Sevilla.jpg/1280px-Palacio_San_Telmo_de_Sevilla.jpg", "decoding": "async", "loading": "lazy", "width": 1280, "height": 853, "srcset": "https://thumb.wikimedia.org/wikipedia/commons/thumb/1/16/Palacio_San_Telmo_de_Sevilla.jpg/3840px-Palacio_San_Telmo_de_Sevilla.jpg 2x"}, "url": "https://upload.wikimedia.org/wikipedia/commons/1/16/Palacio_San_Telmo_de_Sevilla.jpg", "descriptionurl": "https://commons.wikimedia.org/wiki/File:Palacio_San_Telmo_de_Sevilla.jpg", "descriptionshorturl": "https://commons.wikimedia.org/w/index.php?curid=179739979", "sha1": "3c101a803805e5db4b0dc9bcb5d1f232c08db93d", "extmetadata": {"DateTime": {"value": "2025-12-11 21:44:38", "source": "mediawiki-metadata", "hidden": ""}, "ObjectName": {"value": "Palacio San Telmo de Sevilla", "source": "mediawiki-metadata"}, "CommonsMetadataExtension": {"value": 1.2, "source": "extension", "hidden": ""}, "Categories": {"value": "Palacio de San Telmo|Self-published work", "source": "commons-categories", "hidden": ""}, "Assessments": {"value": "", "source": "commons-categories", "hidden": ""}, "ImageDescription": {"value": "The San Telmo Palace is the seat of the Presidency of the Andalusian Government. It is a Baroque building located in Seville, built between the 17th and 18th centuries to serve as the headquarters of a school for sailors.", "source": "commons-desc-page"}, "DateTimeOriginal": {"value": "2011-04-17 14:32:08", "source": "commons-desc-page"}, "Credit": {"value": "&lt;span class=\"int-own-work\" lang=\"en\"&gt;Own work&lt;/span&gt;", "source": "commons-desc-page"}, "Artist": {"value": "&lt;a href=\"//commons.wikimedia.org/w/index.php?title=User:PEPE_GADEIRAS&amp;amp;action=edit&amp;amp;redlink=1\" class=\"new\" title=\"User:PEPE GADEIRAS (page does not exist)\"&gt;PEPE GADEIRAS&lt;/a&gt;",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"https://thumb.wikimedia.org/wikipedia/commons/thumb/1/16/Palacio_San_Telmo_de_Sevilla.jpg/1280px-Palacio_San_Telmo_de_Sevilla.jpg"}, "retrieved_on": "2026-10-25"}</t>
        </is>
      </c>
    </row>
    <row r="265" ht="54" customHeight="1">
      <c r="A265" s="29" t="inlineStr">
        <is>
          <t>sevilla:evidence:kapak-08</t>
        </is>
      </c>
      <c r="B265" s="29" t="inlineStr">
        <is>
          <t>sevilla</t>
        </is>
      </c>
      <c r="C265" s="29" t="inlineStr">
        <is>
          <t>sevilla:photo:kapak-08</t>
        </is>
      </c>
      <c r="D265" s="29" t="inlineStr">
        <is>
          <t>https://commons.wikimedia.org/wiki/File:Alameda_H%C3%A9rcules_-_S%C3%A9ville_(ES-SE)_-_2023-04-24_-_1.jpg</t>
        </is>
      </c>
      <c r="E265" s="29" t="inlineStr">
        <is>
          <t>File:Alameda Hércules - Séville (ES-SE) - 2023-04-24 - 1.jpg</t>
        </is>
      </c>
      <c r="F265" s="29" t="inlineStr">
        <is>
          <t>Chabe01</t>
        </is>
      </c>
      <c r="G265" s="29" t="inlineStr">
        <is>
          <t>CC BY-SA 4.0</t>
        </is>
      </c>
      <c r="H265" s="29" t="inlineStr">
        <is>
          <t>https://creativecommons.org/licenses/by-sa/4.0/</t>
        </is>
      </c>
      <c r="I265" s="29" t="inlineStr">
        <is>
          <t>Creative Commons Attribution-Share Alike 4.0</t>
        </is>
      </c>
      <c r="J265" s="29" t="inlineStr">
        <is>
          <t>Chabe01 · CC BY-SA 4.0 · Wikimedia Commons</t>
        </is>
      </c>
      <c r="K265" s="29" t="n"/>
      <c r="L265" s="49" t="n">
        <v>46320</v>
      </c>
      <c r="M265" s="29" t="inlineStr">
        <is>
          <t>Bekliyor</t>
        </is>
      </c>
      <c r="N265" s="29" t="inlineStr">
        <is>
          <t>Bekliyor</t>
        </is>
      </c>
      <c r="O265" s="29" t="inlineStr">
        <is>
          <t>Fotoğraflar/sevilla_kapak_08.jpg</t>
        </is>
      </c>
      <c r="P265" s="29" t="inlineStr">
        <is>
          <t>Sevilla'nın kuzeyindeki Alameda'da ağaç gölgesinde kafeler ve geniş yaya meydanı.</t>
        </is>
      </c>
      <c r="Q265" s="29" t="inlineStr">
        <is>
          <t>Bekliyor</t>
        </is>
      </c>
      <c r="R265" s="29" t="inlineStr">
        <is>
          <t>Wikimedia Commons dosya sayfasındaki lisans: CC BY-SA 4.0</t>
        </is>
      </c>
      <c r="S265" s="29" t="inlineStr">
        <is>
          <t>Lisans kanıtları/kapak-08.source-evidence.json</t>
        </is>
      </c>
      <c r="T265" s="29" t="inlineStr">
        <is>
          <t>dc0aaa8f60872453ec1cf316043286bbbed8e0c03ba6998388177b75040a8748</t>
        </is>
      </c>
      <c r="U265" s="29" t="inlineStr">
        <is>
          <t>Lisans kanıtları/kapak-08.license-evidence.json</t>
        </is>
      </c>
      <c r="V265" s="29" t="inlineStr">
        <is>
          <t>367304572a5014eae582665a820f531e9f078ef0fff74e5bea15cedd53cd16b0</t>
        </is>
      </c>
      <c r="W265" s="29" t="inlineStr">
        <is>
          <t>{"source_url": "https://commons.wikimedia.org/wiki/File:Alameda_H%C3%A9rcules_-_S%C3%A9ville_(ES-SE)_-_2023-04-24_-_1.jpg", "author": "Chabe01", "license": "CC BY-SA 4.0", "license_url": "https://creativecommons.org/licenses/by-sa/4.0/", "original_api_record": {"size": 5780577, "width": 4032, "height": 3024, "thumburl": "https://thumb.wikimedia.org/wikipedia/commons/thumb/d/d2/Alameda_H%C3%A9rcules_-_S%C3%A9ville_%28ES-SE%29_-_2023-04-24_-_1.jpg/1280px-Alameda_H%C3%A9rcules_-_S%C3%A9ville_%28ES-SE%29_-_2023-04-24_-_1.jpg", "thumbwidth": 1280, "thumbheight": 960, "responsiveUrls": {"2": "https://thumb.wikimedia.org/wikipedia/commons/thumb/d/d2/Alameda_H%C3%A9rcules_-_S%C3%A9ville_%28ES-SE%29_-_2023-04-24_-_1.jpg/3840px-Alameda_H%C3%A9rcules_-_S%C3%A9ville_%28ES-SE%29_-_2023-04-24_-_1.jpg"}, "thumbattribs": {"src": "https://thumb.wikimedia.org/wikipedia/commons/thumb/d/d2/Alameda_H%C3%A9rcules_-_S%C3%A9ville_%28ES-SE%29_-_2023-04-24_-_1.jpg/1280px-Alameda_H%C3%A9rcules_-_S%C3%A9ville_%28ES-SE%29_-_2023-04-24_-_1.jpg", "decoding": "async", "loading": "lazy", "width": 1280, "height": 960, "srcset": "https://thumb.wikimedia.org/wikipedia/commons/thumb/d/d2/Alameda_H%C3%A9rcules_-_S%C3%A9ville_%28ES-SE%29_-_2023-04-24_-_1.jpg/3840px-Alameda_H%C3%A9rcules_-_S%C3%A9ville_%28ES-SE%29_-_2023-04-24_-_1.jpg 2x"}, "url": "https://upload.wikimedia.org/wikipedia/commons/d/d2/Alameda_H%C3%A9rcules_-_S%C3%A9ville_%28ES-SE%29_-_2023-04-24_-_1.jpg", "descriptionurl": "https://commons.wikimedia.org/wiki/File:Alameda_H%C3%A9rcules_-_S%C3%A9ville_(ES-SE)_-_2023-04-24_-_1.jpg", "descriptionshorturl": "https://commons.wikimedia.org/w/index.php?curid=131159143", "sha1": "9657947277800bf2407027e218b407579e68d682", "extmetadata": {"DateTime": {"value": "2023-04-25 23:59:04", "source": "mediawiki-metadata", "hidden": ""}, "ObjectName": {"value": "Alameda Hércules - Séville (ES-SE) - 2023-04-24 - 1", "source": "mediawiki-metadata"}, "CommonsMetadataExtension": {"value": 1.2, "source": "extension", "hidden": ""}, "Categories": {"value": "Alameda de Hércules|Self-published work|Files with coordinates missing SDC location of creation|Spain photographs taken on 2023-04-24|April 2023 in Seville|Images by Chabe01 taken with iPhone 13 Pro|Images of Seville by Chabe01", "source": "commons-categories", "hidden": ""}, "Assessments": {"value": "", "source": "commons-categories", "hidden": ""}, "GPSLatitude": {"value": "37.400136", "source": "commons-desc-page"}, "GPSLongitude": {"value": "-5.993536", "source": "commons-desc-page"}, "GPSMapDatum": {"value": "WGS-84", "source": "commons-desc-page", "hidden": ""}, "ImageDescription": {"value": "Alameda de Hércules, Séville.", "source": "commons-desc-page"}, "DateTimeOriginal": {"value": "2023-04-24 12:03:13", "source": "commons-desc-page"}, "Credit": {"value": "&lt;span class=\"int-own-work\" lang=\"en\"&gt;Own work&lt;/span&gt;", "source": "commons-desc-page"}, "Artist": {"value": "&lt;a href=\"//commons.wikimedia.org/wiki/User:Chabe01\" title=\"User:Chabe01\"&gt;Chabe01&lt;/a&gt;",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 "delivered_file": {"url": "https://thumb.wikimedia.org/wikipedia/commons/thumb/d/d2/Alameda_H%C3%A9rcules_-_S%C3%A9ville_%28ES-SE%29_-_2023-04-24_-_1.jpg/1280px-Alameda_H%C3%A9rcules_-_S%C3%A9ville_%28ES-SE%29_-_2023-04-24_-_1.jpg"}, "retrieved_on": "2026-10-25"}</t>
        </is>
      </c>
    </row>
    <row r="266" ht="54" customHeight="1">
      <c r="A266" s="29" t="n"/>
      <c r="B266" s="29" t="n"/>
      <c r="C266" s="29" t="n"/>
      <c r="D266" s="29" t="n"/>
      <c r="E266" s="29" t="n"/>
      <c r="F266" s="29" t="n"/>
      <c r="G266" s="29" t="n"/>
      <c r="H266" s="29" t="n"/>
      <c r="I266" s="29" t="n"/>
      <c r="J266" s="29" t="n"/>
      <c r="K266" s="29" t="n"/>
      <c r="L266" s="49" t="n"/>
      <c r="M266" s="29" t="n"/>
      <c r="N266" s="29" t="n"/>
      <c r="O266" s="29" t="n"/>
      <c r="P266" s="29" t="n"/>
      <c r="Q266" s="29" t="n"/>
      <c r="R266" s="29" t="n"/>
      <c r="S266" s="29" t="n"/>
      <c r="T266" s="29" t="n"/>
      <c r="U266" s="29" t="n"/>
      <c r="V266" s="29" t="n"/>
      <c r="W266" s="29" t="n"/>
    </row>
    <row r="267" ht="54" customHeight="1">
      <c r="A267" s="29" t="n"/>
      <c r="B267" s="29" t="n"/>
      <c r="C267" s="29" t="n"/>
      <c r="D267" s="29" t="n"/>
      <c r="E267" s="29" t="n"/>
      <c r="F267" s="29" t="n"/>
      <c r="G267" s="29" t="n"/>
      <c r="H267" s="29" t="n"/>
      <c r="I267" s="29" t="n"/>
      <c r="J267" s="29" t="n"/>
      <c r="K267" s="29" t="n"/>
      <c r="L267" s="49" t="n"/>
      <c r="M267" s="29" t="n"/>
      <c r="N267" s="29" t="n"/>
      <c r="O267" s="29" t="n"/>
      <c r="P267" s="29" t="n"/>
      <c r="Q267" s="29" t="n"/>
      <c r="R267" s="29" t="n"/>
      <c r="S267" s="29" t="n"/>
      <c r="T267" s="29" t="n"/>
      <c r="U267" s="29" t="n"/>
      <c r="V267" s="29" t="n"/>
      <c r="W267" s="29" t="n"/>
    </row>
    <row r="268" ht="54" customHeight="1">
      <c r="A268" s="29" t="n"/>
      <c r="B268" s="29" t="n"/>
      <c r="C268" s="29" t="n"/>
      <c r="D268" s="29" t="n"/>
      <c r="E268" s="29" t="n"/>
      <c r="F268" s="29" t="n"/>
      <c r="G268" s="29" t="n"/>
      <c r="H268" s="29" t="n"/>
      <c r="I268" s="29" t="n"/>
      <c r="J268" s="29" t="n"/>
      <c r="K268" s="29" t="n"/>
      <c r="L268" s="49" t="n"/>
      <c r="M268" s="29" t="n"/>
      <c r="N268" s="29" t="n"/>
      <c r="O268" s="29" t="n"/>
      <c r="P268" s="29" t="n"/>
      <c r="Q268" s="29" t="n"/>
      <c r="R268" s="29" t="n"/>
      <c r="S268" s="29" t="n"/>
      <c r="T268" s="29" t="n"/>
      <c r="U268" s="29" t="n"/>
      <c r="V268" s="29" t="n"/>
      <c r="W268" s="29" t="n"/>
    </row>
    <row r="269" ht="54" customHeight="1">
      <c r="A269" s="29" t="n"/>
      <c r="B269" s="29" t="n"/>
      <c r="C269" s="29" t="n"/>
      <c r="D269" s="29" t="n"/>
      <c r="E269" s="29" t="n"/>
      <c r="F269" s="29" t="n"/>
      <c r="G269" s="29" t="n"/>
      <c r="H269" s="29" t="n"/>
      <c r="I269" s="29" t="n"/>
      <c r="J269" s="29" t="n"/>
      <c r="K269" s="29" t="n"/>
      <c r="L269" s="49" t="n"/>
      <c r="M269" s="29" t="n"/>
      <c r="N269" s="29" t="n"/>
      <c r="O269" s="29" t="n"/>
      <c r="P269" s="29" t="n"/>
      <c r="Q269" s="29" t="n"/>
      <c r="R269" s="29" t="n"/>
      <c r="S269" s="29" t="n"/>
      <c r="T269" s="29" t="n"/>
      <c r="U269" s="29" t="n"/>
      <c r="V269" s="29" t="n"/>
      <c r="W269" s="29" t="n"/>
    </row>
    <row r="270" ht="54" customHeight="1">
      <c r="A270" s="29" t="n"/>
      <c r="B270" s="29" t="n"/>
      <c r="C270" s="29" t="n"/>
      <c r="D270" s="29" t="n"/>
      <c r="E270" s="29" t="n"/>
      <c r="F270" s="29" t="n"/>
      <c r="G270" s="29" t="n"/>
      <c r="H270" s="29" t="n"/>
      <c r="I270" s="29" t="n"/>
      <c r="J270" s="29" t="n"/>
      <c r="K270" s="29" t="n"/>
      <c r="L270" s="49" t="n"/>
      <c r="M270" s="29" t="n"/>
      <c r="N270" s="29" t="n"/>
      <c r="O270" s="29" t="n"/>
      <c r="P270" s="29" t="n"/>
      <c r="Q270" s="29" t="n"/>
      <c r="R270" s="29" t="n"/>
      <c r="S270" s="29" t="n"/>
      <c r="T270" s="29" t="n"/>
      <c r="U270" s="29" t="n"/>
      <c r="V270" s="29" t="n"/>
      <c r="W270" s="29" t="n"/>
    </row>
    <row r="271" ht="54" customHeight="1">
      <c r="A271" s="29" t="n"/>
      <c r="B271" s="29" t="n"/>
      <c r="C271" s="29" t="n"/>
      <c r="D271" s="29" t="n"/>
      <c r="E271" s="29" t="n"/>
      <c r="F271" s="29" t="n"/>
      <c r="G271" s="29" t="n"/>
      <c r="H271" s="29" t="n"/>
      <c r="I271" s="29" t="n"/>
      <c r="J271" s="29" t="n"/>
      <c r="K271" s="29" t="n"/>
      <c r="L271" s="49" t="n"/>
      <c r="M271" s="29" t="n"/>
      <c r="N271" s="29" t="n"/>
      <c r="O271" s="29" t="n"/>
      <c r="P271" s="29" t="n"/>
      <c r="Q271" s="29" t="n"/>
      <c r="R271" s="29" t="n"/>
      <c r="S271" s="29" t="n"/>
      <c r="T271" s="29" t="n"/>
      <c r="U271" s="29" t="n"/>
      <c r="V271" s="29" t="n"/>
      <c r="W271" s="29" t="n"/>
    </row>
    <row r="272" ht="54" customHeight="1">
      <c r="A272" s="29" t="n"/>
      <c r="B272" s="29" t="n"/>
      <c r="C272" s="29" t="n"/>
      <c r="D272" s="29" t="n"/>
      <c r="E272" s="29" t="n"/>
      <c r="F272" s="29" t="n"/>
      <c r="G272" s="29" t="n"/>
      <c r="H272" s="29" t="n"/>
      <c r="I272" s="29" t="n"/>
      <c r="J272" s="29" t="n"/>
      <c r="K272" s="29" t="n"/>
      <c r="L272" s="49" t="n"/>
      <c r="M272" s="29" t="n"/>
      <c r="N272" s="29" t="n"/>
      <c r="O272" s="29" t="n"/>
      <c r="P272" s="29" t="n"/>
      <c r="Q272" s="29" t="n"/>
      <c r="R272" s="29" t="n"/>
      <c r="S272" s="29" t="n"/>
      <c r="T272" s="29" t="n"/>
      <c r="U272" s="29" t="n"/>
      <c r="V272" s="29" t="n"/>
      <c r="W272" s="29" t="n"/>
    </row>
    <row r="273" ht="54" customHeight="1">
      <c r="A273" s="29" t="n"/>
      <c r="B273" s="29" t="n"/>
      <c r="C273" s="29" t="n"/>
      <c r="D273" s="29" t="n"/>
      <c r="E273" s="29" t="n"/>
      <c r="F273" s="29" t="n"/>
      <c r="G273" s="29" t="n"/>
      <c r="H273" s="29" t="n"/>
      <c r="I273" s="29" t="n"/>
      <c r="J273" s="29" t="n"/>
      <c r="K273" s="29" t="n"/>
      <c r="L273" s="49" t="n"/>
      <c r="M273" s="29" t="n"/>
      <c r="N273" s="29" t="n"/>
      <c r="O273" s="29" t="n"/>
      <c r="P273" s="29" t="n"/>
      <c r="Q273" s="29" t="n"/>
      <c r="R273" s="29" t="n"/>
      <c r="S273" s="29" t="n"/>
      <c r="T273" s="29" t="n"/>
      <c r="U273" s="29" t="n"/>
      <c r="V273" s="29" t="n"/>
      <c r="W273" s="29" t="n"/>
    </row>
    <row r="274" ht="54" customHeight="1">
      <c r="A274" s="29" t="n"/>
      <c r="B274" s="29" t="n"/>
      <c r="C274" s="29" t="n"/>
      <c r="D274" s="29" t="n"/>
      <c r="E274" s="29" t="n"/>
      <c r="F274" s="29" t="n"/>
      <c r="G274" s="29" t="n"/>
      <c r="H274" s="29" t="n"/>
      <c r="I274" s="29" t="n"/>
      <c r="J274" s="29" t="n"/>
      <c r="K274" s="29" t="n"/>
      <c r="L274" s="49" t="n"/>
      <c r="M274" s="29" t="n"/>
      <c r="N274" s="29" t="n"/>
      <c r="O274" s="29" t="n"/>
      <c r="P274" s="29" t="n"/>
      <c r="Q274" s="29" t="n"/>
      <c r="R274" s="29" t="n"/>
      <c r="S274" s="29" t="n"/>
      <c r="T274" s="29" t="n"/>
      <c r="U274" s="29" t="n"/>
      <c r="V274" s="29" t="n"/>
      <c r="W274" s="29" t="n"/>
    </row>
    <row r="275" ht="54" customHeight="1">
      <c r="A275" s="29" t="n"/>
      <c r="B275" s="29" t="n"/>
      <c r="C275" s="29" t="n"/>
      <c r="D275" s="29" t="n"/>
      <c r="E275" s="29" t="n"/>
      <c r="F275" s="29" t="n"/>
      <c r="G275" s="29" t="n"/>
      <c r="H275" s="29" t="n"/>
      <c r="I275" s="29" t="n"/>
      <c r="J275" s="29" t="n"/>
      <c r="K275" s="29" t="n"/>
      <c r="L275" s="49" t="n"/>
      <c r="M275" s="29" t="n"/>
      <c r="N275" s="29" t="n"/>
      <c r="O275" s="29" t="n"/>
      <c r="P275" s="29" t="n"/>
      <c r="Q275" s="29" t="n"/>
      <c r="R275" s="29" t="n"/>
      <c r="S275" s="29" t="n"/>
      <c r="T275" s="29" t="n"/>
      <c r="U275" s="29" t="n"/>
      <c r="V275" s="29" t="n"/>
      <c r="W275" s="29" t="n"/>
    </row>
    <row r="276" ht="54" customHeight="1">
      <c r="A276" s="29" t="n"/>
      <c r="B276" s="29" t="n"/>
      <c r="C276" s="29" t="n"/>
      <c r="D276" s="29" t="n"/>
      <c r="E276" s="29" t="n"/>
      <c r="F276" s="29" t="n"/>
      <c r="G276" s="29" t="n"/>
      <c r="H276" s="29" t="n"/>
      <c r="I276" s="29" t="n"/>
      <c r="J276" s="29" t="n"/>
      <c r="K276" s="29" t="n"/>
      <c r="L276" s="49" t="n"/>
      <c r="M276" s="29" t="n"/>
      <c r="N276" s="29" t="n"/>
      <c r="O276" s="29" t="n"/>
      <c r="P276" s="29" t="n"/>
      <c r="Q276" s="29" t="n"/>
      <c r="R276" s="29" t="n"/>
      <c r="S276" s="29" t="n"/>
      <c r="T276" s="29" t="n"/>
      <c r="U276" s="29" t="n"/>
      <c r="V276" s="29" t="n"/>
      <c r="W276" s="29" t="n"/>
    </row>
    <row r="277" ht="54" customHeight="1">
      <c r="A277" s="29" t="n"/>
      <c r="B277" s="29" t="n"/>
      <c r="C277" s="29" t="n"/>
      <c r="D277" s="29" t="n"/>
      <c r="E277" s="29" t="n"/>
      <c r="F277" s="29" t="n"/>
      <c r="G277" s="29" t="n"/>
      <c r="H277" s="29" t="n"/>
      <c r="I277" s="29" t="n"/>
      <c r="J277" s="29" t="n"/>
      <c r="K277" s="29" t="n"/>
      <c r="L277" s="49" t="n"/>
      <c r="M277" s="29" t="n"/>
      <c r="N277" s="29" t="n"/>
      <c r="O277" s="29" t="n"/>
      <c r="P277" s="29" t="n"/>
      <c r="Q277" s="29" t="n"/>
      <c r="R277" s="29" t="n"/>
      <c r="S277" s="29" t="n"/>
      <c r="T277" s="29" t="n"/>
      <c r="U277" s="29" t="n"/>
      <c r="V277" s="29" t="n"/>
      <c r="W277" s="29" t="n"/>
    </row>
    <row r="278" ht="54" customHeight="1">
      <c r="A278" s="29" t="n"/>
      <c r="B278" s="29" t="n"/>
      <c r="C278" s="29" t="n"/>
      <c r="D278" s="29" t="n"/>
      <c r="E278" s="29" t="n"/>
      <c r="F278" s="29" t="n"/>
      <c r="G278" s="29" t="n"/>
      <c r="H278" s="29" t="n"/>
      <c r="I278" s="29" t="n"/>
      <c r="J278" s="29" t="n"/>
      <c r="K278" s="29" t="n"/>
      <c r="L278" s="49" t="n"/>
      <c r="M278" s="29" t="n"/>
      <c r="N278" s="29" t="n"/>
      <c r="O278" s="29" t="n"/>
      <c r="P278" s="29" t="n"/>
      <c r="Q278" s="29" t="n"/>
      <c r="R278" s="29" t="n"/>
      <c r="S278" s="29" t="n"/>
      <c r="T278" s="29" t="n"/>
      <c r="U278" s="29" t="n"/>
      <c r="V278" s="29" t="n"/>
      <c r="W278" s="29" t="n"/>
    </row>
    <row r="279" ht="54" customHeight="1">
      <c r="A279" s="29" t="n"/>
      <c r="B279" s="29" t="n"/>
      <c r="C279" s="29" t="n"/>
      <c r="D279" s="29" t="n"/>
      <c r="E279" s="29" t="n"/>
      <c r="F279" s="29" t="n"/>
      <c r="G279" s="29" t="n"/>
      <c r="H279" s="29" t="n"/>
      <c r="I279" s="29" t="n"/>
      <c r="J279" s="29" t="n"/>
      <c r="K279" s="29" t="n"/>
      <c r="L279" s="49" t="n"/>
      <c r="M279" s="29" t="n"/>
      <c r="N279" s="29" t="n"/>
      <c r="O279" s="29" t="n"/>
      <c r="P279" s="29" t="n"/>
      <c r="Q279" s="29" t="n"/>
      <c r="R279" s="29" t="n"/>
      <c r="S279" s="29" t="n"/>
      <c r="T279" s="29" t="n"/>
      <c r="U279" s="29" t="n"/>
      <c r="V279" s="29" t="n"/>
      <c r="W279" s="29" t="n"/>
    </row>
    <row r="280" ht="54" customHeight="1">
      <c r="A280" s="29" t="n"/>
      <c r="B280" s="29" t="n"/>
      <c r="C280" s="29" t="n"/>
      <c r="D280" s="29" t="n"/>
      <c r="E280" s="29" t="n"/>
      <c r="F280" s="29" t="n"/>
      <c r="G280" s="29" t="n"/>
      <c r="H280" s="29" t="n"/>
      <c r="I280" s="29" t="n"/>
      <c r="J280" s="29" t="n"/>
      <c r="K280" s="29" t="n"/>
      <c r="L280" s="49" t="n"/>
      <c r="M280" s="29" t="n"/>
      <c r="N280" s="29" t="n"/>
      <c r="O280" s="29" t="n"/>
      <c r="P280" s="29" t="n"/>
      <c r="Q280" s="29" t="n"/>
      <c r="R280" s="29" t="n"/>
      <c r="S280" s="29" t="n"/>
      <c r="T280" s="29" t="n"/>
      <c r="U280" s="29" t="n"/>
      <c r="V280" s="29" t="n"/>
      <c r="W280" s="29" t="n"/>
    </row>
    <row r="281" ht="54" customHeight="1">
      <c r="A281" s="29" t="n"/>
      <c r="B281" s="29" t="n"/>
      <c r="C281" s="29" t="n"/>
      <c r="D281" s="29" t="n"/>
      <c r="E281" s="29" t="n"/>
      <c r="F281" s="29" t="n"/>
      <c r="G281" s="29" t="n"/>
      <c r="H281" s="29" t="n"/>
      <c r="I281" s="29" t="n"/>
      <c r="J281" s="29" t="n"/>
      <c r="K281" s="29" t="n"/>
      <c r="L281" s="49" t="n"/>
      <c r="M281" s="29" t="n"/>
      <c r="N281" s="29" t="n"/>
      <c r="O281" s="29" t="n"/>
      <c r="P281" s="29" t="n"/>
      <c r="Q281" s="29" t="n"/>
      <c r="R281" s="29" t="n"/>
      <c r="S281" s="29" t="n"/>
      <c r="T281" s="29" t="n"/>
      <c r="U281" s="29" t="n"/>
      <c r="V281" s="29" t="n"/>
      <c r="W281" s="29" t="n"/>
    </row>
    <row r="282" ht="54" customHeight="1">
      <c r="A282" s="29" t="n"/>
      <c r="B282" s="29" t="n"/>
      <c r="C282" s="29" t="n"/>
      <c r="D282" s="29" t="n"/>
      <c r="E282" s="29" t="n"/>
      <c r="F282" s="29" t="n"/>
      <c r="G282" s="29" t="n"/>
      <c r="H282" s="29" t="n"/>
      <c r="I282" s="29" t="n"/>
      <c r="J282" s="29" t="n"/>
      <c r="K282" s="29" t="n"/>
      <c r="L282" s="49" t="n"/>
      <c r="M282" s="29" t="n"/>
      <c r="N282" s="29" t="n"/>
      <c r="O282" s="29" t="n"/>
      <c r="P282" s="29" t="n"/>
      <c r="Q282" s="29" t="n"/>
      <c r="R282" s="29" t="n"/>
      <c r="S282" s="29" t="n"/>
      <c r="T282" s="29" t="n"/>
      <c r="U282" s="29" t="n"/>
      <c r="V282" s="29" t="n"/>
      <c r="W282" s="29" t="n"/>
    </row>
    <row r="283" ht="54" customHeight="1">
      <c r="A283" s="29" t="n"/>
      <c r="B283" s="29" t="n"/>
      <c r="C283" s="29" t="n"/>
      <c r="D283" s="29" t="n"/>
      <c r="E283" s="29" t="n"/>
      <c r="F283" s="29" t="n"/>
      <c r="G283" s="29" t="n"/>
      <c r="H283" s="29" t="n"/>
      <c r="I283" s="29" t="n"/>
      <c r="J283" s="29" t="n"/>
      <c r="K283" s="29" t="n"/>
      <c r="L283" s="49" t="n"/>
      <c r="M283" s="29" t="n"/>
      <c r="N283" s="29" t="n"/>
      <c r="O283" s="29" t="n"/>
      <c r="P283" s="29" t="n"/>
      <c r="Q283" s="29" t="n"/>
      <c r="R283" s="29" t="n"/>
      <c r="S283" s="29" t="n"/>
      <c r="T283" s="29" t="n"/>
      <c r="U283" s="29" t="n"/>
      <c r="V283" s="29" t="n"/>
      <c r="W283" s="29" t="n"/>
    </row>
    <row r="284" ht="54" customHeight="1">
      <c r="A284" s="29" t="n"/>
      <c r="B284" s="29" t="n"/>
      <c r="C284" s="29" t="n"/>
      <c r="D284" s="29" t="n"/>
      <c r="E284" s="29" t="n"/>
      <c r="F284" s="29" t="n"/>
      <c r="G284" s="29" t="n"/>
      <c r="H284" s="29" t="n"/>
      <c r="I284" s="29" t="n"/>
      <c r="J284" s="29" t="n"/>
      <c r="K284" s="29" t="n"/>
      <c r="L284" s="49" t="n"/>
      <c r="M284" s="29" t="n"/>
      <c r="N284" s="29" t="n"/>
      <c r="O284" s="29" t="n"/>
      <c r="P284" s="29" t="n"/>
      <c r="Q284" s="29" t="n"/>
      <c r="R284" s="29" t="n"/>
      <c r="S284" s="29" t="n"/>
      <c r="T284" s="29" t="n"/>
      <c r="U284" s="29" t="n"/>
      <c r="V284" s="29" t="n"/>
      <c r="W284" s="29" t="n"/>
    </row>
    <row r="285" ht="54" customHeight="1">
      <c r="A285" s="29" t="n"/>
      <c r="B285" s="29" t="n"/>
      <c r="C285" s="29" t="n"/>
      <c r="D285" s="29" t="n"/>
      <c r="E285" s="29" t="n"/>
      <c r="F285" s="29" t="n"/>
      <c r="G285" s="29" t="n"/>
      <c r="H285" s="29" t="n"/>
      <c r="I285" s="29" t="n"/>
      <c r="J285" s="29" t="n"/>
      <c r="K285" s="29" t="n"/>
      <c r="L285" s="49" t="n"/>
      <c r="M285" s="29" t="n"/>
      <c r="N285" s="29" t="n"/>
      <c r="O285" s="29" t="n"/>
      <c r="P285" s="29" t="n"/>
      <c r="Q285" s="29" t="n"/>
      <c r="R285" s="29" t="n"/>
      <c r="S285" s="29" t="n"/>
      <c r="T285" s="29" t="n"/>
      <c r="U285" s="29" t="n"/>
      <c r="V285" s="29" t="n"/>
      <c r="W285" s="29" t="n"/>
    </row>
    <row r="286" ht="54" customHeight="1">
      <c r="A286" s="29" t="n"/>
      <c r="B286" s="29" t="n"/>
      <c r="C286" s="29" t="n"/>
      <c r="D286" s="29" t="n"/>
      <c r="E286" s="29" t="n"/>
      <c r="F286" s="29" t="n"/>
      <c r="G286" s="29" t="n"/>
      <c r="H286" s="29" t="n"/>
      <c r="I286" s="29" t="n"/>
      <c r="J286" s="29" t="n"/>
      <c r="K286" s="29" t="n"/>
      <c r="L286" s="49" t="n"/>
      <c r="M286" s="29" t="n"/>
      <c r="N286" s="29" t="n"/>
      <c r="O286" s="29" t="n"/>
      <c r="P286" s="29" t="n"/>
      <c r="Q286" s="29" t="n"/>
      <c r="R286" s="29" t="n"/>
      <c r="S286" s="29" t="n"/>
      <c r="T286" s="29" t="n"/>
      <c r="U286" s="29" t="n"/>
      <c r="V286" s="29" t="n"/>
      <c r="W286" s="29" t="n"/>
    </row>
    <row r="287" ht="54" customHeight="1">
      <c r="A287" s="29" t="n"/>
      <c r="B287" s="29" t="n"/>
      <c r="C287" s="29" t="n"/>
      <c r="D287" s="29" t="n"/>
      <c r="E287" s="29" t="n"/>
      <c r="F287" s="29" t="n"/>
      <c r="G287" s="29" t="n"/>
      <c r="H287" s="29" t="n"/>
      <c r="I287" s="29" t="n"/>
      <c r="J287" s="29" t="n"/>
      <c r="K287" s="29" t="n"/>
      <c r="L287" s="49" t="n"/>
      <c r="M287" s="29" t="n"/>
      <c r="N287" s="29" t="n"/>
      <c r="O287" s="29" t="n"/>
      <c r="P287" s="29" t="n"/>
      <c r="Q287" s="29" t="n"/>
      <c r="R287" s="29" t="n"/>
      <c r="S287" s="29" t="n"/>
      <c r="T287" s="29" t="n"/>
      <c r="U287" s="29" t="n"/>
      <c r="V287" s="29" t="n"/>
      <c r="W287" s="29" t="n"/>
    </row>
    <row r="288" ht="54" customHeight="1">
      <c r="A288" s="29" t="n"/>
      <c r="B288" s="29" t="n"/>
      <c r="C288" s="29" t="n"/>
      <c r="D288" s="29" t="n"/>
      <c r="E288" s="29" t="n"/>
      <c r="F288" s="29" t="n"/>
      <c r="G288" s="29" t="n"/>
      <c r="H288" s="29" t="n"/>
      <c r="I288" s="29" t="n"/>
      <c r="J288" s="29" t="n"/>
      <c r="K288" s="29" t="n"/>
      <c r="L288" s="49" t="n"/>
      <c r="M288" s="29" t="n"/>
      <c r="N288" s="29" t="n"/>
      <c r="O288" s="29" t="n"/>
      <c r="P288" s="29" t="n"/>
      <c r="Q288" s="29" t="n"/>
      <c r="R288" s="29" t="n"/>
      <c r="S288" s="29" t="n"/>
      <c r="T288" s="29" t="n"/>
      <c r="U288" s="29" t="n"/>
      <c r="V288" s="29" t="n"/>
      <c r="W288" s="29" t="n"/>
    </row>
    <row r="289" ht="54" customHeight="1">
      <c r="A289" s="29" t="n"/>
      <c r="B289" s="29" t="n"/>
      <c r="C289" s="29" t="n"/>
      <c r="D289" s="29" t="n"/>
      <c r="E289" s="29" t="n"/>
      <c r="F289" s="29" t="n"/>
      <c r="G289" s="29" t="n"/>
      <c r="H289" s="29" t="n"/>
      <c r="I289" s="29" t="n"/>
      <c r="J289" s="29" t="n"/>
      <c r="K289" s="29" t="n"/>
      <c r="L289" s="49" t="n"/>
      <c r="M289" s="29" t="n"/>
      <c r="N289" s="29" t="n"/>
      <c r="O289" s="29" t="n"/>
      <c r="P289" s="29" t="n"/>
      <c r="Q289" s="29" t="n"/>
      <c r="R289" s="29" t="n"/>
      <c r="S289" s="29" t="n"/>
      <c r="T289" s="29" t="n"/>
      <c r="U289" s="29" t="n"/>
      <c r="V289" s="29" t="n"/>
      <c r="W289" s="29" t="n"/>
    </row>
    <row r="290" ht="54" customHeight="1">
      <c r="A290" s="29" t="n"/>
      <c r="B290" s="29" t="n"/>
      <c r="C290" s="29" t="n"/>
      <c r="D290" s="29" t="n"/>
      <c r="E290" s="29" t="n"/>
      <c r="F290" s="29" t="n"/>
      <c r="G290" s="29" t="n"/>
      <c r="H290" s="29" t="n"/>
      <c r="I290" s="29" t="n"/>
      <c r="J290" s="29" t="n"/>
      <c r="K290" s="29" t="n"/>
      <c r="L290" s="49" t="n"/>
      <c r="M290" s="29" t="n"/>
      <c r="N290" s="29" t="n"/>
      <c r="O290" s="29" t="n"/>
      <c r="P290" s="29" t="n"/>
      <c r="Q290" s="29" t="n"/>
      <c r="R290" s="29" t="n"/>
      <c r="S290" s="29" t="n"/>
      <c r="T290" s="29" t="n"/>
      <c r="U290" s="29" t="n"/>
      <c r="V290" s="29" t="n"/>
      <c r="W290" s="29" t="n"/>
    </row>
    <row r="291" ht="54" customHeight="1">
      <c r="A291" s="29" t="n"/>
      <c r="B291" s="29" t="n"/>
      <c r="C291" s="29" t="n"/>
      <c r="D291" s="29" t="n"/>
      <c r="E291" s="29" t="n"/>
      <c r="F291" s="29" t="n"/>
      <c r="G291" s="29" t="n"/>
      <c r="H291" s="29" t="n"/>
      <c r="I291" s="29" t="n"/>
      <c r="J291" s="29" t="n"/>
      <c r="K291" s="29" t="n"/>
      <c r="L291" s="49" t="n"/>
      <c r="M291" s="29" t="n"/>
      <c r="N291" s="29" t="n"/>
      <c r="O291" s="29" t="n"/>
      <c r="P291" s="29" t="n"/>
      <c r="Q291" s="29" t="n"/>
      <c r="R291" s="29" t="n"/>
      <c r="S291" s="29" t="n"/>
      <c r="T291" s="29" t="n"/>
      <c r="U291" s="29" t="n"/>
      <c r="V291" s="29" t="n"/>
      <c r="W291" s="29" t="n"/>
    </row>
    <row r="292" ht="54" customHeight="1">
      <c r="A292" s="29" t="n"/>
      <c r="B292" s="29" t="n"/>
      <c r="C292" s="29" t="n"/>
      <c r="D292" s="29" t="n"/>
      <c r="E292" s="29" t="n"/>
      <c r="F292" s="29" t="n"/>
      <c r="G292" s="29" t="n"/>
      <c r="H292" s="29" t="n"/>
      <c r="I292" s="29" t="n"/>
      <c r="J292" s="29" t="n"/>
      <c r="K292" s="29" t="n"/>
      <c r="L292" s="49" t="n"/>
      <c r="M292" s="29" t="n"/>
      <c r="N292" s="29" t="n"/>
      <c r="O292" s="29" t="n"/>
      <c r="P292" s="29" t="n"/>
      <c r="Q292" s="29" t="n"/>
      <c r="R292" s="29" t="n"/>
      <c r="S292" s="29" t="n"/>
      <c r="T292" s="29" t="n"/>
      <c r="U292" s="29" t="n"/>
      <c r="V292" s="29" t="n"/>
      <c r="W292" s="29" t="n"/>
    </row>
    <row r="293" ht="54" customHeight="1">
      <c r="A293" s="29" t="n"/>
      <c r="B293" s="29" t="n"/>
      <c r="C293" s="29" t="n"/>
      <c r="D293" s="29" t="n"/>
      <c r="E293" s="29" t="n"/>
      <c r="F293" s="29" t="n"/>
      <c r="G293" s="29" t="n"/>
      <c r="H293" s="29" t="n"/>
      <c r="I293" s="29" t="n"/>
      <c r="J293" s="29" t="n"/>
      <c r="K293" s="29" t="n"/>
      <c r="L293" s="49" t="n"/>
      <c r="M293" s="29" t="n"/>
      <c r="N293" s="29" t="n"/>
      <c r="O293" s="29" t="n"/>
      <c r="P293" s="29" t="n"/>
      <c r="Q293" s="29" t="n"/>
      <c r="R293" s="29" t="n"/>
      <c r="S293" s="29" t="n"/>
      <c r="T293" s="29" t="n"/>
      <c r="U293" s="29" t="n"/>
      <c r="V293" s="29" t="n"/>
      <c r="W293" s="29" t="n"/>
    </row>
    <row r="294" ht="54" customHeight="1">
      <c r="A294" s="29" t="n"/>
      <c r="B294" s="29" t="n"/>
      <c r="C294" s="29" t="n"/>
      <c r="D294" s="29" t="n"/>
      <c r="E294" s="29" t="n"/>
      <c r="F294" s="29" t="n"/>
      <c r="G294" s="29" t="n"/>
      <c r="H294" s="29" t="n"/>
      <c r="I294" s="29" t="n"/>
      <c r="J294" s="29" t="n"/>
      <c r="K294" s="29" t="n"/>
      <c r="L294" s="49" t="n"/>
      <c r="M294" s="29" t="n"/>
      <c r="N294" s="29" t="n"/>
      <c r="O294" s="29" t="n"/>
      <c r="P294" s="29" t="n"/>
      <c r="Q294" s="29" t="n"/>
      <c r="R294" s="29" t="n"/>
      <c r="S294" s="29" t="n"/>
      <c r="T294" s="29" t="n"/>
      <c r="U294" s="29" t="n"/>
      <c r="V294" s="29" t="n"/>
      <c r="W294" s="29" t="n"/>
    </row>
    <row r="295" ht="54" customHeight="1">
      <c r="A295" s="29" t="n"/>
      <c r="B295" s="29" t="n"/>
      <c r="C295" s="29" t="n"/>
      <c r="D295" s="29" t="n"/>
      <c r="E295" s="29" t="n"/>
      <c r="F295" s="29" t="n"/>
      <c r="G295" s="29" t="n"/>
      <c r="H295" s="29" t="n"/>
      <c r="I295" s="29" t="n"/>
      <c r="J295" s="29" t="n"/>
      <c r="K295" s="29" t="n"/>
      <c r="L295" s="49" t="n"/>
      <c r="M295" s="29" t="n"/>
      <c r="N295" s="29" t="n"/>
      <c r="O295" s="29" t="n"/>
      <c r="P295" s="29" t="n"/>
      <c r="Q295" s="29" t="n"/>
      <c r="R295" s="29" t="n"/>
      <c r="S295" s="29" t="n"/>
      <c r="T295" s="29" t="n"/>
      <c r="U295" s="29" t="n"/>
      <c r="V295" s="29" t="n"/>
      <c r="W295" s="29" t="n"/>
    </row>
    <row r="296" ht="54" customHeight="1">
      <c r="A296" s="29" t="n"/>
      <c r="B296" s="29" t="n"/>
      <c r="C296" s="29" t="n"/>
      <c r="D296" s="29" t="n"/>
      <c r="E296" s="29" t="n"/>
      <c r="F296" s="29" t="n"/>
      <c r="G296" s="29" t="n"/>
      <c r="H296" s="29" t="n"/>
      <c r="I296" s="29" t="n"/>
      <c r="J296" s="29" t="n"/>
      <c r="K296" s="29" t="n"/>
      <c r="L296" s="49" t="n"/>
      <c r="M296" s="29" t="n"/>
      <c r="N296" s="29" t="n"/>
      <c r="O296" s="29" t="n"/>
      <c r="P296" s="29" t="n"/>
      <c r="Q296" s="29" t="n"/>
      <c r="R296" s="29" t="n"/>
      <c r="S296" s="29" t="n"/>
      <c r="T296" s="29" t="n"/>
      <c r="U296" s="29" t="n"/>
      <c r="V296" s="29" t="n"/>
      <c r="W296" s="29" t="n"/>
    </row>
    <row r="297" ht="54" customHeight="1">
      <c r="A297" s="29" t="n"/>
      <c r="B297" s="29" t="n"/>
      <c r="C297" s="29" t="n"/>
      <c r="D297" s="29" t="n"/>
      <c r="E297" s="29" t="n"/>
      <c r="F297" s="29" t="n"/>
      <c r="G297" s="29" t="n"/>
      <c r="H297" s="29" t="n"/>
      <c r="I297" s="29" t="n"/>
      <c r="J297" s="29" t="n"/>
      <c r="K297" s="29" t="n"/>
      <c r="L297" s="49" t="n"/>
      <c r="M297" s="29" t="n"/>
      <c r="N297" s="29" t="n"/>
      <c r="O297" s="29" t="n"/>
      <c r="P297" s="29" t="n"/>
      <c r="Q297" s="29" t="n"/>
      <c r="R297" s="29" t="n"/>
      <c r="S297" s="29" t="n"/>
      <c r="T297" s="29" t="n"/>
      <c r="U297" s="29" t="n"/>
      <c r="V297" s="29" t="n"/>
      <c r="W297" s="29" t="n"/>
    </row>
    <row r="298" ht="54" customHeight="1">
      <c r="A298" s="29" t="n"/>
      <c r="B298" s="29" t="n"/>
      <c r="C298" s="29" t="n"/>
      <c r="D298" s="29" t="n"/>
      <c r="E298" s="29" t="n"/>
      <c r="F298" s="29" t="n"/>
      <c r="G298" s="29" t="n"/>
      <c r="H298" s="29" t="n"/>
      <c r="I298" s="29" t="n"/>
      <c r="J298" s="29" t="n"/>
      <c r="K298" s="29" t="n"/>
      <c r="L298" s="49" t="n"/>
      <c r="M298" s="29" t="n"/>
      <c r="N298" s="29" t="n"/>
      <c r="O298" s="29" t="n"/>
      <c r="P298" s="29" t="n"/>
      <c r="Q298" s="29" t="n"/>
      <c r="R298" s="29" t="n"/>
      <c r="S298" s="29" t="n"/>
      <c r="T298" s="29" t="n"/>
      <c r="U298" s="29" t="n"/>
      <c r="V298" s="29" t="n"/>
      <c r="W298" s="29" t="n"/>
    </row>
    <row r="299" ht="54" customHeight="1">
      <c r="A299" s="29" t="n"/>
      <c r="B299" s="29" t="n"/>
      <c r="C299" s="29" t="n"/>
      <c r="D299" s="29" t="n"/>
      <c r="E299" s="29" t="n"/>
      <c r="F299" s="29" t="n"/>
      <c r="G299" s="29" t="n"/>
      <c r="H299" s="29" t="n"/>
      <c r="I299" s="29" t="n"/>
      <c r="J299" s="29" t="n"/>
      <c r="K299" s="29" t="n"/>
      <c r="L299" s="49" t="n"/>
      <c r="M299" s="29" t="n"/>
      <c r="N299" s="29" t="n"/>
      <c r="O299" s="29" t="n"/>
      <c r="P299" s="29" t="n"/>
      <c r="Q299" s="29" t="n"/>
      <c r="R299" s="29" t="n"/>
      <c r="S299" s="29" t="n"/>
      <c r="T299" s="29" t="n"/>
      <c r="U299" s="29" t="n"/>
      <c r="V299" s="29" t="n"/>
      <c r="W299" s="29" t="n"/>
    </row>
    <row r="300" ht="54" customHeight="1">
      <c r="A300" s="29" t="n"/>
      <c r="B300" s="29" t="n"/>
      <c r="C300" s="29" t="n"/>
      <c r="D300" s="29" t="n"/>
      <c r="E300" s="29" t="n"/>
      <c r="F300" s="29" t="n"/>
      <c r="G300" s="29" t="n"/>
      <c r="H300" s="29" t="n"/>
      <c r="I300" s="29" t="n"/>
      <c r="J300" s="29" t="n"/>
      <c r="K300" s="29" t="n"/>
      <c r="L300" s="49" t="n"/>
      <c r="M300" s="29" t="n"/>
      <c r="N300" s="29" t="n"/>
      <c r="O300" s="29" t="n"/>
      <c r="P300" s="29" t="n"/>
      <c r="Q300" s="29" t="n"/>
      <c r="R300" s="29" t="n"/>
      <c r="S300" s="29" t="n"/>
      <c r="T300" s="29" t="n"/>
      <c r="U300" s="29" t="n"/>
      <c r="V300" s="29" t="n"/>
      <c r="W300" s="29" t="n"/>
    </row>
    <row r="301" ht="54" customHeight="1">
      <c r="A301" s="29" t="n"/>
      <c r="B301" s="29" t="n"/>
      <c r="C301" s="29" t="n"/>
      <c r="D301" s="29" t="n"/>
      <c r="E301" s="29" t="n"/>
      <c r="F301" s="29" t="n"/>
      <c r="G301" s="29" t="n"/>
      <c r="H301" s="29" t="n"/>
      <c r="I301" s="29" t="n"/>
      <c r="J301" s="29" t="n"/>
      <c r="K301" s="29" t="n"/>
      <c r="L301" s="49" t="n"/>
      <c r="M301" s="29" t="n"/>
      <c r="N301" s="29" t="n"/>
      <c r="O301" s="29" t="n"/>
      <c r="P301" s="29" t="n"/>
      <c r="Q301" s="29" t="n"/>
      <c r="R301" s="29" t="n"/>
      <c r="S301" s="29" t="n"/>
      <c r="T301" s="29" t="n"/>
      <c r="U301" s="29" t="n"/>
      <c r="V301" s="29" t="n"/>
      <c r="W301" s="29" t="n"/>
    </row>
    <row r="302" ht="54" customHeight="1">
      <c r="A302" s="29" t="n"/>
      <c r="B302" s="29" t="n"/>
      <c r="C302" s="29" t="n"/>
      <c r="D302" s="29" t="n"/>
      <c r="E302" s="29" t="n"/>
      <c r="F302" s="29" t="n"/>
      <c r="G302" s="29" t="n"/>
      <c r="H302" s="29" t="n"/>
      <c r="I302" s="29" t="n"/>
      <c r="J302" s="29" t="n"/>
      <c r="K302" s="29" t="n"/>
      <c r="L302" s="49" t="n"/>
      <c r="M302" s="29" t="n"/>
      <c r="N302" s="29" t="n"/>
      <c r="O302" s="29" t="n"/>
      <c r="P302" s="29" t="n"/>
      <c r="Q302" s="29" t="n"/>
      <c r="R302" s="29" t="n"/>
      <c r="S302" s="29" t="n"/>
      <c r="T302" s="29" t="n"/>
      <c r="U302" s="29" t="n"/>
      <c r="V302" s="29" t="n"/>
      <c r="W302" s="29" t="n"/>
    </row>
    <row r="303" ht="54" customHeight="1">
      <c r="A303" s="29" t="n"/>
      <c r="B303" s="29" t="n"/>
      <c r="C303" s="29" t="n"/>
      <c r="D303" s="29" t="n"/>
      <c r="E303" s="29" t="n"/>
      <c r="F303" s="29" t="n"/>
      <c r="G303" s="29" t="n"/>
      <c r="H303" s="29" t="n"/>
      <c r="I303" s="29" t="n"/>
      <c r="J303" s="29" t="n"/>
      <c r="K303" s="29" t="n"/>
      <c r="L303" s="49" t="n"/>
      <c r="M303" s="29" t="n"/>
      <c r="N303" s="29" t="n"/>
      <c r="O303" s="29" t="n"/>
      <c r="P303" s="29" t="n"/>
      <c r="Q303" s="29" t="n"/>
      <c r="R303" s="29" t="n"/>
      <c r="S303" s="29" t="n"/>
      <c r="T303" s="29" t="n"/>
      <c r="U303" s="29" t="n"/>
      <c r="V303" s="29" t="n"/>
      <c r="W303" s="29" t="n"/>
    </row>
    <row r="304" ht="54" customHeight="1">
      <c r="A304" s="29" t="n"/>
      <c r="B304" s="29" t="n"/>
      <c r="C304" s="29" t="n"/>
      <c r="D304" s="29" t="n"/>
      <c r="E304" s="29" t="n"/>
      <c r="F304" s="29" t="n"/>
      <c r="G304" s="29" t="n"/>
      <c r="H304" s="29" t="n"/>
      <c r="I304" s="29" t="n"/>
      <c r="J304" s="29" t="n"/>
      <c r="K304" s="29" t="n"/>
      <c r="L304" s="49" t="n"/>
      <c r="M304" s="29" t="n"/>
      <c r="N304" s="29" t="n"/>
      <c r="O304" s="29" t="n"/>
      <c r="P304" s="29" t="n"/>
      <c r="Q304" s="29" t="n"/>
      <c r="R304" s="29" t="n"/>
      <c r="S304" s="29" t="n"/>
      <c r="T304" s="29" t="n"/>
      <c r="U304" s="29" t="n"/>
      <c r="V304" s="29" t="n"/>
      <c r="W304" s="29" t="n"/>
    </row>
    <row r="305" ht="54" customHeight="1">
      <c r="A305" s="29" t="n"/>
      <c r="B305" s="29" t="n"/>
      <c r="C305" s="29" t="n"/>
      <c r="D305" s="29" t="n"/>
      <c r="E305" s="29" t="n"/>
      <c r="F305" s="29" t="n"/>
      <c r="G305" s="29" t="n"/>
      <c r="H305" s="29" t="n"/>
      <c r="I305" s="29" t="n"/>
      <c r="J305" s="29" t="n"/>
      <c r="K305" s="29" t="n"/>
      <c r="L305" s="49" t="n"/>
      <c r="M305" s="29" t="n"/>
      <c r="N305" s="29" t="n"/>
      <c r="O305" s="29" t="n"/>
      <c r="P305" s="29" t="n"/>
      <c r="Q305" s="29" t="n"/>
      <c r="R305" s="29" t="n"/>
      <c r="S305" s="29" t="n"/>
      <c r="T305" s="29" t="n"/>
      <c r="U305" s="29" t="n"/>
      <c r="V305" s="29" t="n"/>
      <c r="W305" s="29" t="n"/>
    </row>
    <row r="306" ht="54" customHeight="1">
      <c r="A306" s="29" t="n"/>
      <c r="B306" s="29" t="n"/>
      <c r="C306" s="29" t="n"/>
      <c r="D306" s="29" t="n"/>
      <c r="E306" s="29" t="n"/>
      <c r="F306" s="29" t="n"/>
      <c r="G306" s="29" t="n"/>
      <c r="H306" s="29" t="n"/>
      <c r="I306" s="29" t="n"/>
      <c r="J306" s="29" t="n"/>
      <c r="K306" s="29" t="n"/>
      <c r="L306" s="49" t="n"/>
      <c r="M306" s="29" t="n"/>
      <c r="N306" s="29" t="n"/>
      <c r="O306" s="29" t="n"/>
      <c r="P306" s="29" t="n"/>
      <c r="Q306" s="29" t="n"/>
      <c r="R306" s="29" t="n"/>
      <c r="S306" s="29" t="n"/>
      <c r="T306" s="29" t="n"/>
      <c r="U306" s="29" t="n"/>
      <c r="V306" s="29" t="n"/>
      <c r="W306" s="29" t="n"/>
    </row>
    <row r="307" ht="54" customHeight="1">
      <c r="A307" s="29" t="n"/>
      <c r="B307" s="29" t="n"/>
      <c r="C307" s="29" t="n"/>
      <c r="D307" s="29" t="n"/>
      <c r="E307" s="29" t="n"/>
      <c r="F307" s="29" t="n"/>
      <c r="G307" s="29" t="n"/>
      <c r="H307" s="29" t="n"/>
      <c r="I307" s="29" t="n"/>
      <c r="J307" s="29" t="n"/>
      <c r="K307" s="29" t="n"/>
      <c r="L307" s="49" t="n"/>
      <c r="M307" s="29" t="n"/>
      <c r="N307" s="29" t="n"/>
      <c r="O307" s="29" t="n"/>
      <c r="P307" s="29" t="n"/>
      <c r="Q307" s="29" t="n"/>
      <c r="R307" s="29" t="n"/>
      <c r="S307" s="29" t="n"/>
      <c r="T307" s="29" t="n"/>
      <c r="U307" s="29" t="n"/>
      <c r="V307" s="29" t="n"/>
      <c r="W307" s="29" t="n"/>
    </row>
    <row r="308" ht="54" customHeight="1">
      <c r="A308" s="29" t="n"/>
      <c r="B308" s="29" t="n"/>
      <c r="C308" s="29" t="n"/>
      <c r="D308" s="29" t="n"/>
      <c r="E308" s="29" t="n"/>
      <c r="F308" s="29" t="n"/>
      <c r="G308" s="29" t="n"/>
      <c r="H308" s="29" t="n"/>
      <c r="I308" s="29" t="n"/>
      <c r="J308" s="29" t="n"/>
      <c r="K308" s="29" t="n"/>
      <c r="L308" s="49" t="n"/>
      <c r="M308" s="29" t="n"/>
      <c r="N308" s="29" t="n"/>
      <c r="O308" s="29" t="n"/>
      <c r="P308" s="29" t="n"/>
      <c r="Q308" s="29" t="n"/>
      <c r="R308" s="29" t="n"/>
      <c r="S308" s="29" t="n"/>
      <c r="T308" s="29" t="n"/>
      <c r="U308" s="29" t="n"/>
      <c r="V308" s="29" t="n"/>
      <c r="W308" s="29" t="n"/>
    </row>
    <row r="309" ht="54" customHeight="1">
      <c r="A309" s="29" t="n"/>
      <c r="B309" s="29" t="n"/>
      <c r="C309" s="29" t="n"/>
      <c r="D309" s="29" t="n"/>
      <c r="E309" s="29" t="n"/>
      <c r="F309" s="29" t="n"/>
      <c r="G309" s="29" t="n"/>
      <c r="H309" s="29" t="n"/>
      <c r="I309" s="29" t="n"/>
      <c r="J309" s="29" t="n"/>
      <c r="K309" s="29" t="n"/>
      <c r="L309" s="49" t="n"/>
      <c r="M309" s="29" t="n"/>
      <c r="N309" s="29" t="n"/>
      <c r="O309" s="29" t="n"/>
      <c r="P309" s="29" t="n"/>
      <c r="Q309" s="29" t="n"/>
      <c r="R309" s="29" t="n"/>
      <c r="S309" s="29" t="n"/>
      <c r="T309" s="29" t="n"/>
      <c r="U309" s="29" t="n"/>
      <c r="V309" s="29" t="n"/>
      <c r="W309" s="29" t="n"/>
    </row>
    <row r="310" ht="54" customHeight="1">
      <c r="A310" s="29" t="n"/>
      <c r="B310" s="29" t="n"/>
      <c r="C310" s="29" t="n"/>
      <c r="D310" s="29" t="n"/>
      <c r="E310" s="29" t="n"/>
      <c r="F310" s="29" t="n"/>
      <c r="G310" s="29" t="n"/>
      <c r="H310" s="29" t="n"/>
      <c r="I310" s="29" t="n"/>
      <c r="J310" s="29" t="n"/>
      <c r="K310" s="29" t="n"/>
      <c r="L310" s="49" t="n"/>
      <c r="M310" s="29" t="n"/>
      <c r="N310" s="29" t="n"/>
      <c r="O310" s="29" t="n"/>
      <c r="P310" s="29" t="n"/>
      <c r="Q310" s="29" t="n"/>
      <c r="R310" s="29" t="n"/>
      <c r="S310" s="29" t="n"/>
      <c r="T310" s="29" t="n"/>
      <c r="U310" s="29" t="n"/>
      <c r="V310" s="29" t="n"/>
      <c r="W310" s="29" t="n"/>
    </row>
    <row r="311" ht="54" customHeight="1">
      <c r="A311" s="29" t="n"/>
      <c r="B311" s="29" t="n"/>
      <c r="C311" s="29" t="n"/>
      <c r="D311" s="29" t="n"/>
      <c r="E311" s="29" t="n"/>
      <c r="F311" s="29" t="n"/>
      <c r="G311" s="29" t="n"/>
      <c r="H311" s="29" t="n"/>
      <c r="I311" s="29" t="n"/>
      <c r="J311" s="29" t="n"/>
      <c r="K311" s="29" t="n"/>
      <c r="L311" s="49" t="n"/>
      <c r="M311" s="29" t="n"/>
      <c r="N311" s="29" t="n"/>
      <c r="O311" s="29" t="n"/>
      <c r="P311" s="29" t="n"/>
      <c r="Q311" s="29" t="n"/>
      <c r="R311" s="29" t="n"/>
      <c r="S311" s="29" t="n"/>
      <c r="T311" s="29" t="n"/>
      <c r="U311" s="29" t="n"/>
      <c r="V311" s="29" t="n"/>
      <c r="W311" s="29" t="n"/>
    </row>
    <row r="312" ht="54" customHeight="1">
      <c r="A312" s="29" t="n"/>
      <c r="B312" s="29" t="n"/>
      <c r="C312" s="29" t="n"/>
      <c r="D312" s="29" t="n"/>
      <c r="E312" s="29" t="n"/>
      <c r="F312" s="29" t="n"/>
      <c r="G312" s="29" t="n"/>
      <c r="H312" s="29" t="n"/>
      <c r="I312" s="29" t="n"/>
      <c r="J312" s="29" t="n"/>
      <c r="K312" s="29" t="n"/>
      <c r="L312" s="49" t="n"/>
      <c r="M312" s="29" t="n"/>
      <c r="N312" s="29" t="n"/>
      <c r="O312" s="29" t="n"/>
      <c r="P312" s="29" t="n"/>
      <c r="Q312" s="29" t="n"/>
      <c r="R312" s="29" t="n"/>
      <c r="S312" s="29" t="n"/>
      <c r="T312" s="29" t="n"/>
      <c r="U312" s="29" t="n"/>
      <c r="V312" s="29" t="n"/>
      <c r="W312" s="29" t="n"/>
    </row>
    <row r="313" ht="54" customHeight="1">
      <c r="A313" s="29" t="n"/>
      <c r="B313" s="29" t="n"/>
      <c r="C313" s="29" t="n"/>
      <c r="D313" s="29" t="n"/>
      <c r="E313" s="29" t="n"/>
      <c r="F313" s="29" t="n"/>
      <c r="G313" s="29" t="n"/>
      <c r="H313" s="29" t="n"/>
      <c r="I313" s="29" t="n"/>
      <c r="J313" s="29" t="n"/>
      <c r="K313" s="29" t="n"/>
      <c r="L313" s="49" t="n"/>
      <c r="M313" s="29" t="n"/>
      <c r="N313" s="29" t="n"/>
      <c r="O313" s="29" t="n"/>
      <c r="P313" s="29" t="n"/>
      <c r="Q313" s="29" t="n"/>
      <c r="R313" s="29" t="n"/>
      <c r="S313" s="29" t="n"/>
      <c r="T313" s="29" t="n"/>
      <c r="U313" s="29" t="n"/>
      <c r="V313" s="29" t="n"/>
      <c r="W313" s="29" t="n"/>
    </row>
    <row r="314" ht="54" customHeight="1">
      <c r="A314" s="29" t="n"/>
      <c r="B314" s="29" t="n"/>
      <c r="C314" s="29" t="n"/>
      <c r="D314" s="29" t="n"/>
      <c r="E314" s="29" t="n"/>
      <c r="F314" s="29" t="n"/>
      <c r="G314" s="29" t="n"/>
      <c r="H314" s="29" t="n"/>
      <c r="I314" s="29" t="n"/>
      <c r="J314" s="29" t="n"/>
      <c r="K314" s="29" t="n"/>
      <c r="L314" s="49" t="n"/>
      <c r="M314" s="29" t="n"/>
      <c r="N314" s="29" t="n"/>
      <c r="O314" s="29" t="n"/>
      <c r="P314" s="29" t="n"/>
      <c r="Q314" s="29" t="n"/>
      <c r="R314" s="29" t="n"/>
      <c r="S314" s="29" t="n"/>
      <c r="T314" s="29" t="n"/>
      <c r="U314" s="29" t="n"/>
      <c r="V314" s="29" t="n"/>
      <c r="W314" s="29" t="n"/>
    </row>
    <row r="315" ht="54" customHeight="1">
      <c r="A315" s="29" t="n"/>
      <c r="B315" s="29" t="n"/>
      <c r="C315" s="29" t="n"/>
      <c r="D315" s="29" t="n"/>
      <c r="E315" s="29" t="n"/>
      <c r="F315" s="29" t="n"/>
      <c r="G315" s="29" t="n"/>
      <c r="H315" s="29" t="n"/>
      <c r="I315" s="29" t="n"/>
      <c r="J315" s="29" t="n"/>
      <c r="K315" s="29" t="n"/>
      <c r="L315" s="49" t="n"/>
      <c r="M315" s="29" t="n"/>
      <c r="N315" s="29" t="n"/>
      <c r="O315" s="29" t="n"/>
      <c r="P315" s="29" t="n"/>
      <c r="Q315" s="29" t="n"/>
      <c r="R315" s="29" t="n"/>
      <c r="S315" s="29" t="n"/>
      <c r="T315" s="29" t="n"/>
      <c r="U315" s="29" t="n"/>
      <c r="V315" s="29" t="n"/>
      <c r="W315" s="29" t="n"/>
    </row>
    <row r="316" ht="54" customHeight="1">
      <c r="A316" s="29" t="n"/>
      <c r="B316" s="29" t="n"/>
      <c r="C316" s="29" t="n"/>
      <c r="D316" s="29" t="n"/>
      <c r="E316" s="29" t="n"/>
      <c r="F316" s="29" t="n"/>
      <c r="G316" s="29" t="n"/>
      <c r="H316" s="29" t="n"/>
      <c r="I316" s="29" t="n"/>
      <c r="J316" s="29" t="n"/>
      <c r="K316" s="29" t="n"/>
      <c r="L316" s="49" t="n"/>
      <c r="M316" s="29" t="n"/>
      <c r="N316" s="29" t="n"/>
      <c r="O316" s="29" t="n"/>
      <c r="P316" s="29" t="n"/>
      <c r="Q316" s="29" t="n"/>
      <c r="R316" s="29" t="n"/>
      <c r="S316" s="29" t="n"/>
      <c r="T316" s="29" t="n"/>
      <c r="U316" s="29" t="n"/>
      <c r="V316" s="29" t="n"/>
      <c r="W316" s="29" t="n"/>
    </row>
    <row r="317" ht="54" customHeight="1">
      <c r="A317" s="29" t="n"/>
      <c r="B317" s="29" t="n"/>
      <c r="C317" s="29" t="n"/>
      <c r="D317" s="29" t="n"/>
      <c r="E317" s="29" t="n"/>
      <c r="F317" s="29" t="n"/>
      <c r="G317" s="29" t="n"/>
      <c r="H317" s="29" t="n"/>
      <c r="I317" s="29" t="n"/>
      <c r="J317" s="29" t="n"/>
      <c r="K317" s="29" t="n"/>
      <c r="L317" s="49" t="n"/>
      <c r="M317" s="29" t="n"/>
      <c r="N317" s="29" t="n"/>
      <c r="O317" s="29" t="n"/>
      <c r="P317" s="29" t="n"/>
      <c r="Q317" s="29" t="n"/>
      <c r="R317" s="29" t="n"/>
      <c r="S317" s="29" t="n"/>
      <c r="T317" s="29" t="n"/>
      <c r="U317" s="29" t="n"/>
      <c r="V317" s="29" t="n"/>
      <c r="W317" s="29" t="n"/>
    </row>
    <row r="318" ht="54" customHeight="1">
      <c r="A318" s="29" t="n"/>
      <c r="B318" s="29" t="n"/>
      <c r="C318" s="29" t="n"/>
      <c r="D318" s="29" t="n"/>
      <c r="E318" s="29" t="n"/>
      <c r="F318" s="29" t="n"/>
      <c r="G318" s="29" t="n"/>
      <c r="H318" s="29" t="n"/>
      <c r="I318" s="29" t="n"/>
      <c r="J318" s="29" t="n"/>
      <c r="K318" s="29" t="n"/>
      <c r="L318" s="49" t="n"/>
      <c r="M318" s="29" t="n"/>
      <c r="N318" s="29" t="n"/>
      <c r="O318" s="29" t="n"/>
      <c r="P318" s="29" t="n"/>
      <c r="Q318" s="29" t="n"/>
      <c r="R318" s="29" t="n"/>
      <c r="S318" s="29" t="n"/>
      <c r="T318" s="29" t="n"/>
      <c r="U318" s="29" t="n"/>
      <c r="V318" s="29" t="n"/>
      <c r="W318" s="29" t="n"/>
    </row>
    <row r="319" ht="54" customHeight="1">
      <c r="A319" s="29" t="n"/>
      <c r="B319" s="29" t="n"/>
      <c r="C319" s="29" t="n"/>
      <c r="D319" s="29" t="n"/>
      <c r="E319" s="29" t="n"/>
      <c r="F319" s="29" t="n"/>
      <c r="G319" s="29" t="n"/>
      <c r="H319" s="29" t="n"/>
      <c r="I319" s="29" t="n"/>
      <c r="J319" s="29" t="n"/>
      <c r="K319" s="29" t="n"/>
      <c r="L319" s="49" t="n"/>
      <c r="M319" s="29" t="n"/>
      <c r="N319" s="29" t="n"/>
      <c r="O319" s="29" t="n"/>
      <c r="P319" s="29" t="n"/>
      <c r="Q319" s="29" t="n"/>
      <c r="R319" s="29" t="n"/>
      <c r="S319" s="29" t="n"/>
      <c r="T319" s="29" t="n"/>
      <c r="U319" s="29" t="n"/>
      <c r="V319" s="29" t="n"/>
      <c r="W319" s="29" t="n"/>
    </row>
    <row r="320" ht="54" customHeight="1">
      <c r="A320" s="29" t="n"/>
      <c r="B320" s="29" t="n"/>
      <c r="C320" s="29" t="n"/>
      <c r="D320" s="29" t="n"/>
      <c r="E320" s="29" t="n"/>
      <c r="F320" s="29" t="n"/>
      <c r="G320" s="29" t="n"/>
      <c r="H320" s="29" t="n"/>
      <c r="I320" s="29" t="n"/>
      <c r="J320" s="29" t="n"/>
      <c r="K320" s="29" t="n"/>
      <c r="L320" s="49" t="n"/>
      <c r="M320" s="29" t="n"/>
      <c r="N320" s="29" t="n"/>
      <c r="O320" s="29" t="n"/>
      <c r="P320" s="29" t="n"/>
      <c r="Q320" s="29" t="n"/>
      <c r="R320" s="29" t="n"/>
      <c r="S320" s="29" t="n"/>
      <c r="T320" s="29" t="n"/>
      <c r="U320" s="29" t="n"/>
      <c r="V320" s="29" t="n"/>
      <c r="W320" s="29" t="n"/>
    </row>
    <row r="321" ht="54" customHeight="1">
      <c r="A321" s="29" t="n"/>
      <c r="B321" s="29" t="n"/>
      <c r="C321" s="29" t="n"/>
      <c r="D321" s="29" t="n"/>
      <c r="E321" s="29" t="n"/>
      <c r="F321" s="29" t="n"/>
      <c r="G321" s="29" t="n"/>
      <c r="H321" s="29" t="n"/>
      <c r="I321" s="29" t="n"/>
      <c r="J321" s="29" t="n"/>
      <c r="K321" s="29" t="n"/>
      <c r="L321" s="49" t="n"/>
      <c r="M321" s="29" t="n"/>
      <c r="N321" s="29" t="n"/>
      <c r="O321" s="29" t="n"/>
      <c r="P321" s="29" t="n"/>
      <c r="Q321" s="29" t="n"/>
      <c r="R321" s="29" t="n"/>
      <c r="S321" s="29" t="n"/>
      <c r="T321" s="29" t="n"/>
      <c r="U321" s="29" t="n"/>
      <c r="V321" s="29" t="n"/>
      <c r="W321" s="29" t="n"/>
    </row>
    <row r="322" ht="54" customHeight="1">
      <c r="A322" s="29" t="n"/>
      <c r="B322" s="29" t="n"/>
      <c r="C322" s="29" t="n"/>
      <c r="D322" s="29" t="n"/>
      <c r="E322" s="29" t="n"/>
      <c r="F322" s="29" t="n"/>
      <c r="G322" s="29" t="n"/>
      <c r="H322" s="29" t="n"/>
      <c r="I322" s="29" t="n"/>
      <c r="J322" s="29" t="n"/>
      <c r="K322" s="29" t="n"/>
      <c r="L322" s="49" t="n"/>
      <c r="M322" s="29" t="n"/>
      <c r="N322" s="29" t="n"/>
      <c r="O322" s="29" t="n"/>
      <c r="P322" s="29" t="n"/>
      <c r="Q322" s="29" t="n"/>
      <c r="R322" s="29" t="n"/>
      <c r="S322" s="29" t="n"/>
      <c r="T322" s="29" t="n"/>
      <c r="U322" s="29" t="n"/>
      <c r="V322" s="29" t="n"/>
      <c r="W322" s="29" t="n"/>
    </row>
    <row r="323" ht="54" customHeight="1">
      <c r="A323" s="29" t="n"/>
      <c r="B323" s="29" t="n"/>
      <c r="C323" s="29" t="n"/>
      <c r="D323" s="29" t="n"/>
      <c r="E323" s="29" t="n"/>
      <c r="F323" s="29" t="n"/>
      <c r="G323" s="29" t="n"/>
      <c r="H323" s="29" t="n"/>
      <c r="I323" s="29" t="n"/>
      <c r="J323" s="29" t="n"/>
      <c r="K323" s="29" t="n"/>
      <c r="L323" s="49" t="n"/>
      <c r="M323" s="29" t="n"/>
      <c r="N323" s="29" t="n"/>
      <c r="O323" s="29" t="n"/>
      <c r="P323" s="29" t="n"/>
      <c r="Q323" s="29" t="n"/>
      <c r="R323" s="29" t="n"/>
      <c r="S323" s="29" t="n"/>
      <c r="T323" s="29" t="n"/>
      <c r="U323" s="29" t="n"/>
      <c r="V323" s="29" t="n"/>
      <c r="W323" s="29" t="n"/>
    </row>
    <row r="324" ht="54" customHeight="1">
      <c r="A324" s="29" t="n"/>
      <c r="B324" s="29" t="n"/>
      <c r="C324" s="29" t="n"/>
      <c r="D324" s="29" t="n"/>
      <c r="E324" s="29" t="n"/>
      <c r="F324" s="29" t="n"/>
      <c r="G324" s="29" t="n"/>
      <c r="H324" s="29" t="n"/>
      <c r="I324" s="29" t="n"/>
      <c r="J324" s="29" t="n"/>
      <c r="K324" s="29" t="n"/>
      <c r="L324" s="49" t="n"/>
      <c r="M324" s="29" t="n"/>
      <c r="N324" s="29" t="n"/>
      <c r="O324" s="29" t="n"/>
      <c r="P324" s="29" t="n"/>
      <c r="Q324" s="29" t="n"/>
      <c r="R324" s="29" t="n"/>
      <c r="S324" s="29" t="n"/>
      <c r="T324" s="29" t="n"/>
      <c r="U324" s="29" t="n"/>
      <c r="V324" s="29" t="n"/>
      <c r="W324" s="29" t="n"/>
    </row>
    <row r="325" ht="54" customHeight="1">
      <c r="A325" s="29" t="n"/>
      <c r="B325" s="29" t="n"/>
      <c r="C325" s="29" t="n"/>
      <c r="D325" s="29" t="n"/>
      <c r="E325" s="29" t="n"/>
      <c r="F325" s="29" t="n"/>
      <c r="G325" s="29" t="n"/>
      <c r="H325" s="29" t="n"/>
      <c r="I325" s="29" t="n"/>
      <c r="J325" s="29" t="n"/>
      <c r="K325" s="29" t="n"/>
      <c r="L325" s="49" t="n"/>
      <c r="M325" s="29" t="n"/>
      <c r="N325" s="29" t="n"/>
      <c r="O325" s="29" t="n"/>
      <c r="P325" s="29" t="n"/>
      <c r="Q325" s="29" t="n"/>
      <c r="R325" s="29" t="n"/>
      <c r="S325" s="29" t="n"/>
      <c r="T325" s="29" t="n"/>
      <c r="U325" s="29" t="n"/>
      <c r="V325" s="29" t="n"/>
      <c r="W325" s="29" t="n"/>
    </row>
    <row r="326" ht="54" customHeight="1">
      <c r="A326" s="29" t="n"/>
      <c r="B326" s="29" t="n"/>
      <c r="C326" s="29" t="n"/>
      <c r="D326" s="29" t="n"/>
      <c r="E326" s="29" t="n"/>
      <c r="F326" s="29" t="n"/>
      <c r="G326" s="29" t="n"/>
      <c r="H326" s="29" t="n"/>
      <c r="I326" s="29" t="n"/>
      <c r="J326" s="29" t="n"/>
      <c r="K326" s="29" t="n"/>
      <c r="L326" s="49" t="n"/>
      <c r="M326" s="29" t="n"/>
      <c r="N326" s="29" t="n"/>
      <c r="O326" s="29" t="n"/>
      <c r="P326" s="29" t="n"/>
      <c r="Q326" s="29" t="n"/>
      <c r="R326" s="29" t="n"/>
      <c r="S326" s="29" t="n"/>
      <c r="T326" s="29" t="n"/>
      <c r="U326" s="29" t="n"/>
      <c r="V326" s="29" t="n"/>
      <c r="W326" s="29" t="n"/>
    </row>
    <row r="327" ht="54" customHeight="1">
      <c r="A327" s="29" t="n"/>
      <c r="B327" s="29" t="n"/>
      <c r="C327" s="29" t="n"/>
      <c r="D327" s="29" t="n"/>
      <c r="E327" s="29" t="n"/>
      <c r="F327" s="29" t="n"/>
      <c r="G327" s="29" t="n"/>
      <c r="H327" s="29" t="n"/>
      <c r="I327" s="29" t="n"/>
      <c r="J327" s="29" t="n"/>
      <c r="K327" s="29" t="n"/>
      <c r="L327" s="49" t="n"/>
      <c r="M327" s="29" t="n"/>
      <c r="N327" s="29" t="n"/>
      <c r="O327" s="29" t="n"/>
      <c r="P327" s="29" t="n"/>
      <c r="Q327" s="29" t="n"/>
      <c r="R327" s="29" t="n"/>
      <c r="S327" s="29" t="n"/>
      <c r="T327" s="29" t="n"/>
      <c r="U327" s="29" t="n"/>
      <c r="V327" s="29" t="n"/>
      <c r="W327" s="29" t="n"/>
    </row>
    <row r="328" ht="54" customHeight="1">
      <c r="A328" s="29" t="n"/>
      <c r="B328" s="29" t="n"/>
      <c r="C328" s="29" t="n"/>
      <c r="D328" s="29" t="n"/>
      <c r="E328" s="29" t="n"/>
      <c r="F328" s="29" t="n"/>
      <c r="G328" s="29" t="n"/>
      <c r="H328" s="29" t="n"/>
      <c r="I328" s="29" t="n"/>
      <c r="J328" s="29" t="n"/>
      <c r="K328" s="29" t="n"/>
      <c r="L328" s="49" t="n"/>
      <c r="M328" s="29" t="n"/>
      <c r="N328" s="29" t="n"/>
      <c r="O328" s="29" t="n"/>
      <c r="P328" s="29" t="n"/>
      <c r="Q328" s="29" t="n"/>
      <c r="R328" s="29" t="n"/>
      <c r="S328" s="29" t="n"/>
      <c r="T328" s="29" t="n"/>
      <c r="U328" s="29" t="n"/>
      <c r="V328" s="29" t="n"/>
      <c r="W328" s="29" t="n"/>
    </row>
    <row r="329" ht="54" customHeight="1">
      <c r="A329" s="29" t="n"/>
      <c r="B329" s="29" t="n"/>
      <c r="C329" s="29" t="n"/>
      <c r="D329" s="29" t="n"/>
      <c r="E329" s="29" t="n"/>
      <c r="F329" s="29" t="n"/>
      <c r="G329" s="29" t="n"/>
      <c r="H329" s="29" t="n"/>
      <c r="I329" s="29" t="n"/>
      <c r="J329" s="29" t="n"/>
      <c r="K329" s="29" t="n"/>
      <c r="L329" s="49" t="n"/>
      <c r="M329" s="29" t="n"/>
      <c r="N329" s="29" t="n"/>
      <c r="O329" s="29" t="n"/>
      <c r="P329" s="29" t="n"/>
      <c r="Q329" s="29" t="n"/>
      <c r="R329" s="29" t="n"/>
      <c r="S329" s="29" t="n"/>
      <c r="T329" s="29" t="n"/>
      <c r="U329" s="29" t="n"/>
      <c r="V329" s="29" t="n"/>
      <c r="W329" s="29" t="n"/>
    </row>
    <row r="330" ht="54" customHeight="1">
      <c r="A330" s="29" t="n"/>
      <c r="B330" s="29" t="n"/>
      <c r="C330" s="29" t="n"/>
      <c r="D330" s="29" t="n"/>
      <c r="E330" s="29" t="n"/>
      <c r="F330" s="29" t="n"/>
      <c r="G330" s="29" t="n"/>
      <c r="H330" s="29" t="n"/>
      <c r="I330" s="29" t="n"/>
      <c r="J330" s="29" t="n"/>
      <c r="K330" s="29" t="n"/>
      <c r="L330" s="49" t="n"/>
      <c r="M330" s="29" t="n"/>
      <c r="N330" s="29" t="n"/>
      <c r="O330" s="29" t="n"/>
      <c r="P330" s="29" t="n"/>
      <c r="Q330" s="29" t="n"/>
      <c r="R330" s="29" t="n"/>
      <c r="S330" s="29" t="n"/>
      <c r="T330" s="29" t="n"/>
      <c r="U330" s="29" t="n"/>
      <c r="V330" s="29" t="n"/>
      <c r="W330" s="29" t="n"/>
    </row>
    <row r="331" ht="54" customHeight="1">
      <c r="A331" s="29" t="n"/>
      <c r="B331" s="29" t="n"/>
      <c r="C331" s="29" t="n"/>
      <c r="D331" s="29" t="n"/>
      <c r="E331" s="29" t="n"/>
      <c r="F331" s="29" t="n"/>
      <c r="G331" s="29" t="n"/>
      <c r="H331" s="29" t="n"/>
      <c r="I331" s="29" t="n"/>
      <c r="J331" s="29" t="n"/>
      <c r="K331" s="29" t="n"/>
      <c r="L331" s="49" t="n"/>
      <c r="M331" s="29" t="n"/>
      <c r="N331" s="29" t="n"/>
      <c r="O331" s="29" t="n"/>
      <c r="P331" s="29" t="n"/>
      <c r="Q331" s="29" t="n"/>
      <c r="R331" s="29" t="n"/>
      <c r="S331" s="29" t="n"/>
      <c r="T331" s="29" t="n"/>
      <c r="U331" s="29" t="n"/>
      <c r="V331" s="29" t="n"/>
      <c r="W331" s="29" t="n"/>
    </row>
    <row r="332" ht="54" customHeight="1">
      <c r="A332" s="29" t="n"/>
      <c r="B332" s="29" t="n"/>
      <c r="C332" s="29" t="n"/>
      <c r="D332" s="29" t="n"/>
      <c r="E332" s="29" t="n"/>
      <c r="F332" s="29" t="n"/>
      <c r="G332" s="29" t="n"/>
      <c r="H332" s="29" t="n"/>
      <c r="I332" s="29" t="n"/>
      <c r="J332" s="29" t="n"/>
      <c r="K332" s="29" t="n"/>
      <c r="L332" s="49" t="n"/>
      <c r="M332" s="29" t="n"/>
      <c r="N332" s="29" t="n"/>
      <c r="O332" s="29" t="n"/>
      <c r="P332" s="29" t="n"/>
      <c r="Q332" s="29" t="n"/>
      <c r="R332" s="29" t="n"/>
      <c r="S332" s="29" t="n"/>
      <c r="T332" s="29" t="n"/>
      <c r="U332" s="29" t="n"/>
      <c r="V332" s="29" t="n"/>
      <c r="W332" s="29" t="n"/>
    </row>
    <row r="333" ht="54" customHeight="1">
      <c r="A333" s="29" t="n"/>
      <c r="B333" s="29" t="n"/>
      <c r="C333" s="29" t="n"/>
      <c r="D333" s="29" t="n"/>
      <c r="E333" s="29" t="n"/>
      <c r="F333" s="29" t="n"/>
      <c r="G333" s="29" t="n"/>
      <c r="H333" s="29" t="n"/>
      <c r="I333" s="29" t="n"/>
      <c r="J333" s="29" t="n"/>
      <c r="K333" s="29" t="n"/>
      <c r="L333" s="49" t="n"/>
      <c r="M333" s="29" t="n"/>
      <c r="N333" s="29" t="n"/>
      <c r="O333" s="29" t="n"/>
      <c r="P333" s="29" t="n"/>
      <c r="Q333" s="29" t="n"/>
      <c r="R333" s="29" t="n"/>
      <c r="S333" s="29" t="n"/>
      <c r="T333" s="29" t="n"/>
      <c r="U333" s="29" t="n"/>
      <c r="V333" s="29" t="n"/>
      <c r="W333" s="29" t="n"/>
    </row>
    <row r="334" ht="54" customHeight="1">
      <c r="A334" s="29" t="n"/>
      <c r="B334" s="29" t="n"/>
      <c r="C334" s="29" t="n"/>
      <c r="D334" s="29" t="n"/>
      <c r="E334" s="29" t="n"/>
      <c r="F334" s="29" t="n"/>
      <c r="G334" s="29" t="n"/>
      <c r="H334" s="29" t="n"/>
      <c r="I334" s="29" t="n"/>
      <c r="J334" s="29" t="n"/>
      <c r="K334" s="29" t="n"/>
      <c r="L334" s="49" t="n"/>
      <c r="M334" s="29" t="n"/>
      <c r="N334" s="29" t="n"/>
      <c r="O334" s="29" t="n"/>
      <c r="P334" s="29" t="n"/>
      <c r="Q334" s="29" t="n"/>
      <c r="R334" s="29" t="n"/>
      <c r="S334" s="29" t="n"/>
      <c r="T334" s="29" t="n"/>
      <c r="U334" s="29" t="n"/>
      <c r="V334" s="29" t="n"/>
      <c r="W334" s="29" t="n"/>
    </row>
    <row r="335" ht="54" customHeight="1">
      <c r="A335" s="29" t="n"/>
      <c r="B335" s="29" t="n"/>
      <c r="C335" s="29" t="n"/>
      <c r="D335" s="29" t="n"/>
      <c r="E335" s="29" t="n"/>
      <c r="F335" s="29" t="n"/>
      <c r="G335" s="29" t="n"/>
      <c r="H335" s="29" t="n"/>
      <c r="I335" s="29" t="n"/>
      <c r="J335" s="29" t="n"/>
      <c r="K335" s="29" t="n"/>
      <c r="L335" s="49" t="n"/>
      <c r="M335" s="29" t="n"/>
      <c r="N335" s="29" t="n"/>
      <c r="O335" s="29" t="n"/>
      <c r="P335" s="29" t="n"/>
      <c r="Q335" s="29" t="n"/>
      <c r="R335" s="29" t="n"/>
      <c r="S335" s="29" t="n"/>
      <c r="T335" s="29" t="n"/>
      <c r="U335" s="29" t="n"/>
      <c r="V335" s="29" t="n"/>
      <c r="W335" s="29" t="n"/>
    </row>
    <row r="336" ht="54" customHeight="1">
      <c r="A336" s="29" t="n"/>
      <c r="B336" s="29" t="n"/>
      <c r="C336" s="29" t="n"/>
      <c r="D336" s="29" t="n"/>
      <c r="E336" s="29" t="n"/>
      <c r="F336" s="29" t="n"/>
      <c r="G336" s="29" t="n"/>
      <c r="H336" s="29" t="n"/>
      <c r="I336" s="29" t="n"/>
      <c r="J336" s="29" t="n"/>
      <c r="K336" s="29" t="n"/>
      <c r="L336" s="49" t="n"/>
      <c r="M336" s="29" t="n"/>
      <c r="N336" s="29" t="n"/>
      <c r="O336" s="29" t="n"/>
      <c r="P336" s="29" t="n"/>
      <c r="Q336" s="29" t="n"/>
      <c r="R336" s="29" t="n"/>
      <c r="S336" s="29" t="n"/>
      <c r="T336" s="29" t="n"/>
      <c r="U336" s="29" t="n"/>
      <c r="V336" s="29" t="n"/>
      <c r="W336" s="29" t="n"/>
    </row>
    <row r="337" ht="54" customHeight="1">
      <c r="A337" s="29" t="n"/>
      <c r="B337" s="29" t="n"/>
      <c r="C337" s="29" t="n"/>
      <c r="D337" s="29" t="n"/>
      <c r="E337" s="29" t="n"/>
      <c r="F337" s="29" t="n"/>
      <c r="G337" s="29" t="n"/>
      <c r="H337" s="29" t="n"/>
      <c r="I337" s="29" t="n"/>
      <c r="J337" s="29" t="n"/>
      <c r="K337" s="29" t="n"/>
      <c r="L337" s="49" t="n"/>
      <c r="M337" s="29" t="n"/>
      <c r="N337" s="29" t="n"/>
      <c r="O337" s="29" t="n"/>
      <c r="P337" s="29" t="n"/>
      <c r="Q337" s="29" t="n"/>
      <c r="R337" s="29" t="n"/>
      <c r="S337" s="29" t="n"/>
      <c r="T337" s="29" t="n"/>
      <c r="U337" s="29" t="n"/>
      <c r="V337" s="29" t="n"/>
      <c r="W337" s="29" t="n"/>
    </row>
    <row r="338" ht="54" customHeight="1">
      <c r="A338" s="29" t="n"/>
      <c r="B338" s="29" t="n"/>
      <c r="C338" s="29" t="n"/>
      <c r="D338" s="29" t="n"/>
      <c r="E338" s="29" t="n"/>
      <c r="F338" s="29" t="n"/>
      <c r="G338" s="29" t="n"/>
      <c r="H338" s="29" t="n"/>
      <c r="I338" s="29" t="n"/>
      <c r="J338" s="29" t="n"/>
      <c r="K338" s="29" t="n"/>
      <c r="L338" s="49" t="n"/>
      <c r="M338" s="29" t="n"/>
      <c r="N338" s="29" t="n"/>
      <c r="O338" s="29" t="n"/>
      <c r="P338" s="29" t="n"/>
      <c r="Q338" s="29" t="n"/>
      <c r="R338" s="29" t="n"/>
      <c r="S338" s="29" t="n"/>
      <c r="T338" s="29" t="n"/>
      <c r="U338" s="29" t="n"/>
      <c r="V338" s="29" t="n"/>
      <c r="W338" s="29" t="n"/>
    </row>
    <row r="339" ht="54" customHeight="1">
      <c r="A339" s="29" t="n"/>
      <c r="B339" s="29" t="n"/>
      <c r="C339" s="29" t="n"/>
      <c r="D339" s="29" t="n"/>
      <c r="E339" s="29" t="n"/>
      <c r="F339" s="29" t="n"/>
      <c r="G339" s="29" t="n"/>
      <c r="H339" s="29" t="n"/>
      <c r="I339" s="29" t="n"/>
      <c r="J339" s="29" t="n"/>
      <c r="K339" s="29" t="n"/>
      <c r="L339" s="49" t="n"/>
      <c r="M339" s="29" t="n"/>
      <c r="N339" s="29" t="n"/>
      <c r="O339" s="29" t="n"/>
      <c r="P339" s="29" t="n"/>
      <c r="Q339" s="29" t="n"/>
      <c r="R339" s="29" t="n"/>
      <c r="S339" s="29" t="n"/>
      <c r="T339" s="29" t="n"/>
      <c r="U339" s="29" t="n"/>
      <c r="V339" s="29" t="n"/>
      <c r="W339" s="29" t="n"/>
    </row>
    <row r="340" ht="54" customHeight="1">
      <c r="A340" s="29" t="n"/>
      <c r="B340" s="29" t="n"/>
      <c r="C340" s="29" t="n"/>
      <c r="D340" s="29" t="n"/>
      <c r="E340" s="29" t="n"/>
      <c r="F340" s="29" t="n"/>
      <c r="G340" s="29" t="n"/>
      <c r="H340" s="29" t="n"/>
      <c r="I340" s="29" t="n"/>
      <c r="J340" s="29" t="n"/>
      <c r="K340" s="29" t="n"/>
      <c r="L340" s="49" t="n"/>
      <c r="M340" s="29" t="n"/>
      <c r="N340" s="29" t="n"/>
      <c r="O340" s="29" t="n"/>
      <c r="P340" s="29" t="n"/>
      <c r="Q340" s="29" t="n"/>
      <c r="R340" s="29" t="n"/>
      <c r="S340" s="29" t="n"/>
      <c r="T340" s="29" t="n"/>
      <c r="U340" s="29" t="n"/>
      <c r="V340" s="29" t="n"/>
      <c r="W340" s="29" t="n"/>
    </row>
    <row r="341" ht="54" customHeight="1">
      <c r="A341" s="29" t="n"/>
      <c r="B341" s="29" t="n"/>
      <c r="C341" s="29" t="n"/>
      <c r="D341" s="29" t="n"/>
      <c r="E341" s="29" t="n"/>
      <c r="F341" s="29" t="n"/>
      <c r="G341" s="29" t="n"/>
      <c r="H341" s="29" t="n"/>
      <c r="I341" s="29" t="n"/>
      <c r="J341" s="29" t="n"/>
      <c r="K341" s="29" t="n"/>
      <c r="L341" s="49" t="n"/>
      <c r="M341" s="29" t="n"/>
      <c r="N341" s="29" t="n"/>
      <c r="O341" s="29" t="n"/>
      <c r="P341" s="29" t="n"/>
      <c r="Q341" s="29" t="n"/>
      <c r="R341" s="29" t="n"/>
      <c r="S341" s="29" t="n"/>
      <c r="T341" s="29" t="n"/>
      <c r="U341" s="29" t="n"/>
      <c r="V341" s="29" t="n"/>
      <c r="W341" s="29" t="n"/>
    </row>
    <row r="342" ht="54" customHeight="1">
      <c r="A342" s="29" t="n"/>
      <c r="B342" s="29" t="n"/>
      <c r="C342" s="29" t="n"/>
      <c r="D342" s="29" t="n"/>
      <c r="E342" s="29" t="n"/>
      <c r="F342" s="29" t="n"/>
      <c r="G342" s="29" t="n"/>
      <c r="H342" s="29" t="n"/>
      <c r="I342" s="29" t="n"/>
      <c r="J342" s="29" t="n"/>
      <c r="K342" s="29" t="n"/>
      <c r="L342" s="49" t="n"/>
      <c r="M342" s="29" t="n"/>
      <c r="N342" s="29" t="n"/>
      <c r="O342" s="29" t="n"/>
      <c r="P342" s="29" t="n"/>
      <c r="Q342" s="29" t="n"/>
      <c r="R342" s="29" t="n"/>
      <c r="S342" s="29" t="n"/>
      <c r="T342" s="29" t="n"/>
      <c r="U342" s="29" t="n"/>
      <c r="V342" s="29" t="n"/>
      <c r="W342" s="29" t="n"/>
    </row>
    <row r="343" ht="54" customHeight="1">
      <c r="A343" s="29" t="n"/>
      <c r="B343" s="29" t="n"/>
      <c r="C343" s="29" t="n"/>
      <c r="D343" s="29" t="n"/>
      <c r="E343" s="29" t="n"/>
      <c r="F343" s="29" t="n"/>
      <c r="G343" s="29" t="n"/>
      <c r="H343" s="29" t="n"/>
      <c r="I343" s="29" t="n"/>
      <c r="J343" s="29" t="n"/>
      <c r="K343" s="29" t="n"/>
      <c r="L343" s="49" t="n"/>
      <c r="M343" s="29" t="n"/>
      <c r="N343" s="29" t="n"/>
      <c r="O343" s="29" t="n"/>
      <c r="P343" s="29" t="n"/>
      <c r="Q343" s="29" t="n"/>
      <c r="R343" s="29" t="n"/>
      <c r="S343" s="29" t="n"/>
      <c r="T343" s="29" t="n"/>
      <c r="U343" s="29" t="n"/>
      <c r="V343" s="29" t="n"/>
      <c r="W343" s="29" t="n"/>
    </row>
    <row r="344" ht="54" customHeight="1">
      <c r="A344" s="29" t="n"/>
      <c r="B344" s="29" t="n"/>
      <c r="C344" s="29" t="n"/>
      <c r="D344" s="29" t="n"/>
      <c r="E344" s="29" t="n"/>
      <c r="F344" s="29" t="n"/>
      <c r="G344" s="29" t="n"/>
      <c r="H344" s="29" t="n"/>
      <c r="I344" s="29" t="n"/>
      <c r="J344" s="29" t="n"/>
      <c r="K344" s="29" t="n"/>
      <c r="L344" s="49" t="n"/>
      <c r="M344" s="29" t="n"/>
      <c r="N344" s="29" t="n"/>
      <c r="O344" s="29" t="n"/>
      <c r="P344" s="29" t="n"/>
      <c r="Q344" s="29" t="n"/>
      <c r="R344" s="29" t="n"/>
      <c r="S344" s="29" t="n"/>
      <c r="T344" s="29" t="n"/>
      <c r="U344" s="29" t="n"/>
      <c r="V344" s="29" t="n"/>
      <c r="W344" s="29" t="n"/>
    </row>
    <row r="345" ht="54" customHeight="1">
      <c r="A345" s="29" t="n"/>
      <c r="B345" s="29" t="n"/>
      <c r="C345" s="29" t="n"/>
      <c r="D345" s="29" t="n"/>
      <c r="E345" s="29" t="n"/>
      <c r="F345" s="29" t="n"/>
      <c r="G345" s="29" t="n"/>
      <c r="H345" s="29" t="n"/>
      <c r="I345" s="29" t="n"/>
      <c r="J345" s="29" t="n"/>
      <c r="K345" s="29" t="n"/>
      <c r="L345" s="49" t="n"/>
      <c r="M345" s="29" t="n"/>
      <c r="N345" s="29" t="n"/>
      <c r="O345" s="29" t="n"/>
      <c r="P345" s="29" t="n"/>
      <c r="Q345" s="29" t="n"/>
      <c r="R345" s="29" t="n"/>
      <c r="S345" s="29" t="n"/>
      <c r="T345" s="29" t="n"/>
      <c r="U345" s="29" t="n"/>
      <c r="V345" s="29" t="n"/>
      <c r="W345" s="29" t="n"/>
    </row>
    <row r="346" ht="54" customHeight="1">
      <c r="A346" s="29" t="n"/>
      <c r="B346" s="29" t="n"/>
      <c r="C346" s="29" t="n"/>
      <c r="D346" s="29" t="n"/>
      <c r="E346" s="29" t="n"/>
      <c r="F346" s="29" t="n"/>
      <c r="G346" s="29" t="n"/>
      <c r="H346" s="29" t="n"/>
      <c r="I346" s="29" t="n"/>
      <c r="J346" s="29" t="n"/>
      <c r="K346" s="29" t="n"/>
      <c r="L346" s="49" t="n"/>
      <c r="M346" s="29" t="n"/>
      <c r="N346" s="29" t="n"/>
      <c r="O346" s="29" t="n"/>
      <c r="P346" s="29" t="n"/>
      <c r="Q346" s="29" t="n"/>
      <c r="R346" s="29" t="n"/>
      <c r="S346" s="29" t="n"/>
      <c r="T346" s="29" t="n"/>
      <c r="U346" s="29" t="n"/>
      <c r="V346" s="29" t="n"/>
      <c r="W346" s="29" t="n"/>
    </row>
    <row r="347" ht="54" customHeight="1">
      <c r="A347" s="29" t="n"/>
      <c r="B347" s="29" t="n"/>
      <c r="C347" s="29" t="n"/>
      <c r="D347" s="29" t="n"/>
      <c r="E347" s="29" t="n"/>
      <c r="F347" s="29" t="n"/>
      <c r="G347" s="29" t="n"/>
      <c r="H347" s="29" t="n"/>
      <c r="I347" s="29" t="n"/>
      <c r="J347" s="29" t="n"/>
      <c r="K347" s="29" t="n"/>
      <c r="L347" s="49" t="n"/>
      <c r="M347" s="29" t="n"/>
      <c r="N347" s="29" t="n"/>
      <c r="O347" s="29" t="n"/>
      <c r="P347" s="29" t="n"/>
      <c r="Q347" s="29" t="n"/>
      <c r="R347" s="29" t="n"/>
      <c r="S347" s="29" t="n"/>
      <c r="T347" s="29" t="n"/>
      <c r="U347" s="29" t="n"/>
      <c r="V347" s="29" t="n"/>
      <c r="W347" s="29" t="n"/>
    </row>
    <row r="348" ht="54" customHeight="1">
      <c r="A348" s="29" t="n"/>
      <c r="B348" s="29" t="n"/>
      <c r="C348" s="29" t="n"/>
      <c r="D348" s="29" t="n"/>
      <c r="E348" s="29" t="n"/>
      <c r="F348" s="29" t="n"/>
      <c r="G348" s="29" t="n"/>
      <c r="H348" s="29" t="n"/>
      <c r="I348" s="29" t="n"/>
      <c r="J348" s="29" t="n"/>
      <c r="K348" s="29" t="n"/>
      <c r="L348" s="49" t="n"/>
      <c r="M348" s="29" t="n"/>
      <c r="N348" s="29" t="n"/>
      <c r="O348" s="29" t="n"/>
      <c r="P348" s="29" t="n"/>
      <c r="Q348" s="29" t="n"/>
      <c r="R348" s="29" t="n"/>
      <c r="S348" s="29" t="n"/>
      <c r="T348" s="29" t="n"/>
      <c r="U348" s="29" t="n"/>
      <c r="V348" s="29" t="n"/>
      <c r="W348" s="29" t="n"/>
    </row>
    <row r="349" ht="54" customHeight="1">
      <c r="A349" s="29" t="n"/>
      <c r="B349" s="29" t="n"/>
      <c r="C349" s="29" t="n"/>
      <c r="D349" s="29" t="n"/>
      <c r="E349" s="29" t="n"/>
      <c r="F349" s="29" t="n"/>
      <c r="G349" s="29" t="n"/>
      <c r="H349" s="29" t="n"/>
      <c r="I349" s="29" t="n"/>
      <c r="J349" s="29" t="n"/>
      <c r="K349" s="29" t="n"/>
      <c r="L349" s="49" t="n"/>
      <c r="M349" s="29" t="n"/>
      <c r="N349" s="29" t="n"/>
      <c r="O349" s="29" t="n"/>
      <c r="P349" s="29" t="n"/>
      <c r="Q349" s="29" t="n"/>
      <c r="R349" s="29" t="n"/>
      <c r="S349" s="29" t="n"/>
      <c r="T349" s="29" t="n"/>
      <c r="U349" s="29" t="n"/>
      <c r="V349" s="29" t="n"/>
      <c r="W349" s="29" t="n"/>
    </row>
    <row r="350" ht="54" customHeight="1">
      <c r="A350" s="29" t="n"/>
      <c r="B350" s="29" t="n"/>
      <c r="C350" s="29" t="n"/>
      <c r="D350" s="29" t="n"/>
      <c r="E350" s="29" t="n"/>
      <c r="F350" s="29" t="n"/>
      <c r="G350" s="29" t="n"/>
      <c r="H350" s="29" t="n"/>
      <c r="I350" s="29" t="n"/>
      <c r="J350" s="29" t="n"/>
      <c r="K350" s="29" t="n"/>
      <c r="L350" s="49" t="n"/>
      <c r="M350" s="29" t="n"/>
      <c r="N350" s="29" t="n"/>
      <c r="O350" s="29" t="n"/>
      <c r="P350" s="29" t="n"/>
      <c r="Q350" s="29" t="n"/>
      <c r="R350" s="29" t="n"/>
      <c r="S350" s="29" t="n"/>
      <c r="T350" s="29" t="n"/>
      <c r="U350" s="29" t="n"/>
      <c r="V350" s="29" t="n"/>
      <c r="W350" s="29" t="n"/>
    </row>
    <row r="351" ht="54" customHeight="1">
      <c r="A351" s="29" t="n"/>
      <c r="B351" s="29" t="n"/>
      <c r="C351" s="29" t="n"/>
      <c r="D351" s="29" t="n"/>
      <c r="E351" s="29" t="n"/>
      <c r="F351" s="29" t="n"/>
      <c r="G351" s="29" t="n"/>
      <c r="H351" s="29" t="n"/>
      <c r="I351" s="29" t="n"/>
      <c r="J351" s="29" t="n"/>
      <c r="K351" s="29" t="n"/>
      <c r="L351" s="49" t="n"/>
      <c r="M351" s="29" t="n"/>
      <c r="N351" s="29" t="n"/>
      <c r="O351" s="29" t="n"/>
      <c r="P351" s="29" t="n"/>
      <c r="Q351" s="29" t="n"/>
      <c r="R351" s="29" t="n"/>
      <c r="S351" s="29" t="n"/>
      <c r="T351" s="29" t="n"/>
      <c r="U351" s="29" t="n"/>
      <c r="V351" s="29" t="n"/>
      <c r="W351" s="29" t="n"/>
    </row>
    <row r="352" ht="54" customHeight="1">
      <c r="A352" s="29" t="n"/>
      <c r="B352" s="29" t="n"/>
      <c r="C352" s="29" t="n"/>
      <c r="D352" s="29" t="n"/>
      <c r="E352" s="29" t="n"/>
      <c r="F352" s="29" t="n"/>
      <c r="G352" s="29" t="n"/>
      <c r="H352" s="29" t="n"/>
      <c r="I352" s="29" t="n"/>
      <c r="J352" s="29" t="n"/>
      <c r="K352" s="29" t="n"/>
      <c r="L352" s="49" t="n"/>
      <c r="M352" s="29" t="n"/>
      <c r="N352" s="29" t="n"/>
      <c r="O352" s="29" t="n"/>
      <c r="P352" s="29" t="n"/>
      <c r="Q352" s="29" t="n"/>
      <c r="R352" s="29" t="n"/>
      <c r="S352" s="29" t="n"/>
      <c r="T352" s="29" t="n"/>
      <c r="U352" s="29" t="n"/>
      <c r="V352" s="29" t="n"/>
      <c r="W352" s="29" t="n"/>
    </row>
    <row r="353" ht="54" customHeight="1">
      <c r="A353" s="29" t="n"/>
      <c r="B353" s="29" t="n"/>
      <c r="C353" s="29" t="n"/>
      <c r="D353" s="29" t="n"/>
      <c r="E353" s="29" t="n"/>
      <c r="F353" s="29" t="n"/>
      <c r="G353" s="29" t="n"/>
      <c r="H353" s="29" t="n"/>
      <c r="I353" s="29" t="n"/>
      <c r="J353" s="29" t="n"/>
      <c r="K353" s="29" t="n"/>
      <c r="L353" s="49" t="n"/>
      <c r="M353" s="29" t="n"/>
      <c r="N353" s="29" t="n"/>
      <c r="O353" s="29" t="n"/>
      <c r="P353" s="29" t="n"/>
      <c r="Q353" s="29" t="n"/>
      <c r="R353" s="29" t="n"/>
      <c r="S353" s="29" t="n"/>
      <c r="T353" s="29" t="n"/>
      <c r="U353" s="29" t="n"/>
      <c r="V353" s="29" t="n"/>
      <c r="W353" s="29" t="n"/>
    </row>
    <row r="354" ht="54" customHeight="1">
      <c r="A354" s="29" t="n"/>
      <c r="B354" s="29" t="n"/>
      <c r="C354" s="29" t="n"/>
      <c r="D354" s="29" t="n"/>
      <c r="E354" s="29" t="n"/>
      <c r="F354" s="29" t="n"/>
      <c r="G354" s="29" t="n"/>
      <c r="H354" s="29" t="n"/>
      <c r="I354" s="29" t="n"/>
      <c r="J354" s="29" t="n"/>
      <c r="K354" s="29" t="n"/>
      <c r="L354" s="49" t="n"/>
      <c r="M354" s="29" t="n"/>
      <c r="N354" s="29" t="n"/>
      <c r="O354" s="29" t="n"/>
      <c r="P354" s="29" t="n"/>
      <c r="Q354" s="29" t="n"/>
      <c r="R354" s="29" t="n"/>
      <c r="S354" s="29" t="n"/>
      <c r="T354" s="29" t="n"/>
      <c r="U354" s="29" t="n"/>
      <c r="V354" s="29" t="n"/>
      <c r="W354" s="29" t="n"/>
    </row>
    <row r="355" ht="54" customHeight="1">
      <c r="A355" s="29" t="n"/>
      <c r="B355" s="29" t="n"/>
      <c r="C355" s="29" t="n"/>
      <c r="D355" s="29" t="n"/>
      <c r="E355" s="29" t="n"/>
      <c r="F355" s="29" t="n"/>
      <c r="G355" s="29" t="n"/>
      <c r="H355" s="29" t="n"/>
      <c r="I355" s="29" t="n"/>
      <c r="J355" s="29" t="n"/>
      <c r="K355" s="29" t="n"/>
      <c r="L355" s="49" t="n"/>
      <c r="M355" s="29" t="n"/>
      <c r="N355" s="29" t="n"/>
      <c r="O355" s="29" t="n"/>
      <c r="P355" s="29" t="n"/>
      <c r="Q355" s="29" t="n"/>
      <c r="R355" s="29" t="n"/>
      <c r="S355" s="29" t="n"/>
      <c r="T355" s="29" t="n"/>
      <c r="U355" s="29" t="n"/>
      <c r="V355" s="29" t="n"/>
      <c r="W355" s="29" t="n"/>
    </row>
    <row r="356" ht="54" customHeight="1">
      <c r="A356" s="29" t="n"/>
      <c r="B356" s="29" t="n"/>
      <c r="C356" s="29" t="n"/>
      <c r="D356" s="29" t="n"/>
      <c r="E356" s="29" t="n"/>
      <c r="F356" s="29" t="n"/>
      <c r="G356" s="29" t="n"/>
      <c r="H356" s="29" t="n"/>
      <c r="I356" s="29" t="n"/>
      <c r="J356" s="29" t="n"/>
      <c r="K356" s="29" t="n"/>
      <c r="L356" s="49" t="n"/>
      <c r="M356" s="29" t="n"/>
      <c r="N356" s="29" t="n"/>
      <c r="O356" s="29" t="n"/>
      <c r="P356" s="29" t="n"/>
      <c r="Q356" s="29" t="n"/>
      <c r="R356" s="29" t="n"/>
      <c r="S356" s="29" t="n"/>
      <c r="T356" s="29" t="n"/>
      <c r="U356" s="29" t="n"/>
      <c r="V356" s="29" t="n"/>
      <c r="W356" s="29" t="n"/>
    </row>
    <row r="357" ht="54" customHeight="1">
      <c r="A357" s="29" t="n"/>
      <c r="B357" s="29" t="n"/>
      <c r="C357" s="29" t="n"/>
      <c r="D357" s="29" t="n"/>
      <c r="E357" s="29" t="n"/>
      <c r="F357" s="29" t="n"/>
      <c r="G357" s="29" t="n"/>
      <c r="H357" s="29" t="n"/>
      <c r="I357" s="29" t="n"/>
      <c r="J357" s="29" t="n"/>
      <c r="K357" s="29" t="n"/>
      <c r="L357" s="49" t="n"/>
      <c r="M357" s="29" t="n"/>
      <c r="N357" s="29" t="n"/>
      <c r="O357" s="29" t="n"/>
      <c r="P357" s="29" t="n"/>
      <c r="Q357" s="29" t="n"/>
      <c r="R357" s="29" t="n"/>
      <c r="S357" s="29" t="n"/>
      <c r="T357" s="29" t="n"/>
      <c r="U357" s="29" t="n"/>
      <c r="V357" s="29" t="n"/>
      <c r="W357" s="29" t="n"/>
    </row>
  </sheetData>
  <mergeCells count="1">
    <mergeCell ref="A3:H3"/>
  </mergeCells>
  <conditionalFormatting sqref="A8:A357">
    <cfRule type="expression" priority="1" dxfId="1">
      <formula>AND($A8&lt;&gt;"",ISBLANK(A8))</formula>
    </cfRule>
  </conditionalFormatting>
  <conditionalFormatting sqref="B8:B357">
    <cfRule type="expression" priority="2" dxfId="1">
      <formula>AND($A8&lt;&gt;"",ISBLANK(B8))</formula>
    </cfRule>
  </conditionalFormatting>
  <conditionalFormatting sqref="C8:C357">
    <cfRule type="expression" priority="3" dxfId="1">
      <formula>AND($A8&lt;&gt;"",ISBLANK(C8))</formula>
    </cfRule>
  </conditionalFormatting>
  <conditionalFormatting sqref="D8:D357">
    <cfRule type="expression" priority="4" dxfId="1">
      <formula>AND($A8&lt;&gt;"",ISBLANK(D8))</formula>
    </cfRule>
  </conditionalFormatting>
  <conditionalFormatting sqref="E8:E357">
    <cfRule type="expression" priority="5" dxfId="1">
      <formula>AND($A8&lt;&gt;"",ISBLANK(E8))</formula>
    </cfRule>
  </conditionalFormatting>
  <conditionalFormatting sqref="F8:F357">
    <cfRule type="expression" priority="6" dxfId="1">
      <formula>AND($A8&lt;&gt;"",ISBLANK(F8))</formula>
    </cfRule>
  </conditionalFormatting>
  <conditionalFormatting sqref="G8:G357">
    <cfRule type="expression" priority="7" dxfId="1">
      <formula>AND($A8&lt;&gt;"",ISBLANK(G8))</formula>
    </cfRule>
  </conditionalFormatting>
  <conditionalFormatting sqref="H8:H357">
    <cfRule type="expression" priority="8" dxfId="1">
      <formula>AND($A8&lt;&gt;"",ISBLANK(H8))</formula>
    </cfRule>
  </conditionalFormatting>
  <conditionalFormatting sqref="I8:I357">
    <cfRule type="expression" priority="9" dxfId="1">
      <formula>AND($A8&lt;&gt;"",ISBLANK(I8))</formula>
    </cfRule>
  </conditionalFormatting>
  <conditionalFormatting sqref="L8:L357">
    <cfRule type="expression" priority="10" dxfId="1">
      <formula>AND($A8&lt;&gt;"",ISBLANK(L8))</formula>
    </cfRule>
  </conditionalFormatting>
  <conditionalFormatting sqref="M8:M357">
    <cfRule type="expression" priority="11" dxfId="1">
      <formula>AND($A8&lt;&gt;"",ISBLANK(M8))</formula>
    </cfRule>
  </conditionalFormatting>
  <conditionalFormatting sqref="N8:N357">
    <cfRule type="expression" priority="12" dxfId="1">
      <formula>AND($A8&lt;&gt;"",ISBLANK(N8))</formula>
    </cfRule>
  </conditionalFormatting>
  <conditionalFormatting sqref="Q8:Q357">
    <cfRule type="expression" priority="13" dxfId="1">
      <formula>AND($A8&lt;&gt;"",ISBLANK(Q8))</formula>
    </cfRule>
  </conditionalFormatting>
  <dataValidations count="3">
    <dataValidation sqref="M8:M357" showDropDown="0" showInputMessage="0" showErrorMessage="0" allowBlank="0" type="list">
      <formula1>"Bekliyor,Doğrulandı"</formula1>
    </dataValidation>
    <dataValidation sqref="N8:N357" showDropDown="0" showInputMessage="0" showErrorMessage="0" allowBlank="0" type="list">
      <formula1>"Bekliyor,Doğrulandı"</formula1>
    </dataValidation>
    <dataValidation sqref="Q8:Q357" showDropDown="0" showInputMessage="0" showErrorMessage="0" allowBlank="0" type="list">
      <formula1>"Bekliyor,Bu kare için uygun"</formula1>
    </dataValidation>
  </dataValidations>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G12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28" customWidth="1" min="5" max="5"/>
    <col width="58" customWidth="1" min="6" max="6"/>
    <col width="20" customWidth="1" min="7" max="7"/>
  </cols>
  <sheetData>
    <row r="1" ht="30" customHeight="1">
      <c r="A1" s="2" t="n"/>
      <c r="B1" s="2" t="n"/>
      <c r="C1" s="2" t="n"/>
      <c r="D1" s="2" t="n"/>
      <c r="E1" s="2" t="n"/>
      <c r="F1" s="2" t="n"/>
      <c r="G1" s="2" t="n"/>
    </row>
    <row r="2" ht="30" customHeight="1">
      <c r="A2" s="19" t="inlineStr">
        <is>
          <t>Corteqs · Sayfa metinleri ve ek yapılandırma</t>
        </is>
      </c>
      <c r="B2" s="2" t="n"/>
      <c r="C2" s="2" t="n"/>
      <c r="D2" s="2" t="n"/>
      <c r="E2" s="2" t="n"/>
      <c r="F2" s="2" t="n"/>
      <c r="G2" s="2" t="n"/>
    </row>
    <row r="3" ht="36" customHeight="1">
      <c r="A3" s="20" t="inlineStr">
        <is>
          <t>Türkçe başlığı okuyun; veriyi 8. satırdan yazın. 7. satırdaki alan adını ve sayfa adını değiştirmeyin.</t>
        </is>
      </c>
    </row>
    <row r="4" ht="30" customHeight="1">
      <c r="A4" s="21" t="n"/>
      <c r="B4" s="21" t="n"/>
      <c r="C4" s="21" t="n"/>
      <c r="D4" s="21" t="n"/>
      <c r="E4" s="21" t="n"/>
      <c r="F4" s="21" t="n"/>
      <c r="G4" s="21" t="n"/>
    </row>
    <row r="5" ht="26" customHeight="1">
      <c r="A5" s="22" t="inlineStr">
        <is>
          <t>Zorunlu</t>
        </is>
      </c>
      <c r="B5" s="22" t="inlineStr">
        <is>
          <t>Zorunlu</t>
        </is>
      </c>
      <c r="C5" s="22" t="inlineStr">
        <is>
          <t>Zorunlu</t>
        </is>
      </c>
      <c r="D5" s="22" t="inlineStr">
        <is>
          <t>Zorunlu</t>
        </is>
      </c>
      <c r="E5" s="22" t="inlineStr">
        <is>
          <t>Zorunlu</t>
        </is>
      </c>
      <c r="F5" s="22" t="inlineStr">
        <is>
          <t>Zorunlu</t>
        </is>
      </c>
      <c r="G5" s="22" t="inlineStr">
        <is>
          <t>Zorunlu · tarih</t>
        </is>
      </c>
    </row>
    <row r="6" ht="44" customHeight="1">
      <c r="A6" s="25" t="inlineStr">
        <is>
          <t>Alan kimliği</t>
        </is>
      </c>
      <c r="B6" s="25" t="inlineStr">
        <is>
          <t>Şehir kimliği</t>
        </is>
      </c>
      <c r="C6" s="25" t="inlineStr">
        <is>
          <t>Sayfa alanı anahtarı</t>
        </is>
      </c>
      <c r="D6" s="25" t="inlineStr">
        <is>
          <t>Türkçe alan açıklaması</t>
        </is>
      </c>
      <c r="E6" s="25" t="inlineStr">
        <is>
          <t>Değer türü</t>
        </is>
      </c>
      <c r="F6" s="25" t="inlineStr">
        <is>
          <t>Alan değeri</t>
        </is>
      </c>
      <c r="G6" s="25" t="inlineStr">
        <is>
          <t>Alan kontrol tarihi</t>
        </is>
      </c>
    </row>
    <row r="7" ht="32" customHeight="1">
      <c r="A7" s="28" t="inlineStr">
        <is>
          <t>field_id</t>
        </is>
      </c>
      <c r="B7" s="28" t="inlineStr">
        <is>
          <t>city_id</t>
        </is>
      </c>
      <c r="C7" s="28" t="inlineStr">
        <is>
          <t>key</t>
        </is>
      </c>
      <c r="D7" s="28" t="inlineStr">
        <is>
          <t>label</t>
        </is>
      </c>
      <c r="E7" s="28" t="inlineStr">
        <is>
          <t>value_type</t>
        </is>
      </c>
      <c r="F7" s="28" t="inlineStr">
        <is>
          <t>value</t>
        </is>
      </c>
      <c r="G7" s="28" t="inlineStr">
        <is>
          <t>reviewed_on</t>
        </is>
      </c>
    </row>
    <row r="8" ht="54" customHeight="1">
      <c r="A8" s="29" t="inlineStr">
        <is>
          <t>sevilla:field:hero_kicker</t>
        </is>
      </c>
      <c r="B8" s="29" t="inlineStr">
        <is>
          <t>sevilla</t>
        </is>
      </c>
      <c r="C8" s="29" t="inlineStr">
        <is>
          <t>hero_kicker</t>
        </is>
      </c>
      <c r="D8" s="29" t="inlineStr">
        <is>
          <t>Üst küçük başlık</t>
        </is>
      </c>
      <c r="E8" s="29" t="inlineStr">
        <is>
          <t>Metin</t>
        </is>
      </c>
      <c r="F8" s="29" t="inlineStr">
        <is>
          <t>İspanya · Sevilla Rehberi</t>
        </is>
      </c>
      <c r="G8" s="49" t="n">
        <v>46320</v>
      </c>
    </row>
    <row r="9" ht="54" customHeight="1">
      <c r="A9" s="29" t="inlineStr">
        <is>
          <t>sevilla:field:hero_accent</t>
        </is>
      </c>
      <c r="B9" s="29" t="inlineStr">
        <is>
          <t>sevilla</t>
        </is>
      </c>
      <c r="C9" s="29" t="inlineStr">
        <is>
          <t>hero_accent</t>
        </is>
      </c>
      <c r="D9" s="29" t="inlineStr">
        <is>
          <t>Ana başlığın vurgu metni</t>
        </is>
      </c>
      <c r="E9" s="29" t="inlineStr">
        <is>
          <t>Metin</t>
        </is>
      </c>
      <c r="F9" s="29" t="inlineStr">
        <is>
          <t>Sevilla'da ilk günden yerleşmeye kadar</t>
        </is>
      </c>
      <c r="G9" s="49" t="n">
        <v>46320</v>
      </c>
    </row>
    <row r="10" ht="54" customHeight="1">
      <c r="A10" s="29" t="inlineStr">
        <is>
          <t>sevilla:field:hero_note</t>
        </is>
      </c>
      <c r="B10" s="29" t="inlineStr">
        <is>
          <t>sevilla</t>
        </is>
      </c>
      <c r="C10" s="29" t="inlineStr">
        <is>
          <t>hero_note</t>
        </is>
      </c>
      <c r="D10" s="29" t="inlineStr">
        <is>
          <t>Kapak altı kısa açıklama</t>
        </is>
      </c>
      <c r="E10" s="29" t="inlineStr">
        <is>
          <t>Metin</t>
        </is>
      </c>
      <c r="F10" s="29" t="inlineStr">
        <is>
          <t>Oturum, adres kaydı, sağlık, konut, ulaşım ve keşif konularında resmî kaynaklara dayanan, sade Türkçe bir yol haritası.</t>
        </is>
      </c>
      <c r="G10" s="49" t="n">
        <v>46320</v>
      </c>
    </row>
    <row r="11" ht="54" customHeight="1">
      <c r="A11" s="29" t="inlineStr">
        <is>
          <t>sevilla:field:topic_title</t>
        </is>
      </c>
      <c r="B11" s="29" t="inlineStr">
        <is>
          <t>sevilla</t>
        </is>
      </c>
      <c r="C11" s="29" t="inlineStr">
        <is>
          <t>topic_title</t>
        </is>
      </c>
      <c r="D11" s="29" t="inlineStr">
        <is>
          <t>Bilgi bölümü başlığı</t>
        </is>
      </c>
      <c r="E11" s="29" t="inlineStr">
        <is>
          <t>Metin</t>
        </is>
      </c>
      <c r="F11" s="29" t="inlineStr">
        <is>
          <t>Sevilla'da sık sorulan konular</t>
        </is>
      </c>
      <c r="G11" s="49" t="n">
        <v>46320</v>
      </c>
    </row>
    <row r="12" ht="54" customHeight="1">
      <c r="A12" s="29" t="inlineStr">
        <is>
          <t>sevilla:field:topic_intro</t>
        </is>
      </c>
      <c r="B12" s="29" t="inlineStr">
        <is>
          <t>sevilla</t>
        </is>
      </c>
      <c r="C12" s="29" t="inlineStr">
        <is>
          <t>topic_intro</t>
        </is>
      </c>
      <c r="D12" s="29" t="inlineStr">
        <is>
          <t>Bilgi bölümü açıklaması</t>
        </is>
      </c>
      <c r="E12" s="29" t="inlineStr">
        <is>
          <t>Metin</t>
        </is>
      </c>
      <c r="F12" s="29" t="inlineStr">
        <is>
          <t>Oturum izni, empadronamiento, sağlık, kira, ulaşım ve günlük yaşam sorularına kısa ve kaynaklı cevaplar.</t>
        </is>
      </c>
      <c r="G12" s="49" t="n">
        <v>46320</v>
      </c>
    </row>
    <row r="13" ht="54" customHeight="1">
      <c r="A13" s="29" t="inlineStr">
        <is>
          <t>sevilla:field:journey_title</t>
        </is>
      </c>
      <c r="B13" s="29" t="inlineStr">
        <is>
          <t>sevilla</t>
        </is>
      </c>
      <c r="C13" s="29" t="inlineStr">
        <is>
          <t>journey_title</t>
        </is>
      </c>
      <c r="D13" s="29" t="inlineStr">
        <is>
          <t>İlk adımlar başlığı</t>
        </is>
      </c>
      <c r="E13" s="29" t="inlineStr">
        <is>
          <t>Metin</t>
        </is>
      </c>
      <c r="F13" s="29" t="inlineStr">
        <is>
          <t>Sevilla'da ilk adımların</t>
        </is>
      </c>
      <c r="G13" s="49" t="n">
        <v>46320</v>
      </c>
    </row>
    <row r="14" ht="54" customHeight="1">
      <c r="A14" s="29" t="inlineStr">
        <is>
          <t>sevilla:field:journey_intro</t>
        </is>
      </c>
      <c r="B14" s="29" t="inlineStr">
        <is>
          <t>sevilla</t>
        </is>
      </c>
      <c r="C14" s="29" t="inlineStr">
        <is>
          <t>journey_intro</t>
        </is>
      </c>
      <c r="D14" s="29" t="inlineStr">
        <is>
          <t>İlk adımlar açıklaması</t>
        </is>
      </c>
      <c r="E14" s="29" t="inlineStr">
        <is>
          <t>Metin</t>
        </is>
      </c>
      <c r="F14" s="29" t="inlineStr">
        <is>
          <t>Bu liste bir yol haritasıdır, zorunlu bir sıra değildir. AB ya da AEA vatandaşıysan İspanya'ya girişten itibaren üç ay içinde Yabancılar Merkez Kaydı'na başvurman gerekir; diğer süreleri ilgili kartlarda bulursun.</t>
        </is>
      </c>
      <c r="G14" s="49" t="n">
        <v>46320</v>
      </c>
    </row>
    <row r="15" ht="54" customHeight="1">
      <c r="A15" s="29" t="inlineStr">
        <is>
          <t>sevilla:field:neighborhood_title</t>
        </is>
      </c>
      <c r="B15" s="29" t="inlineStr">
        <is>
          <t>sevilla</t>
        </is>
      </c>
      <c r="C15" s="29" t="inlineStr">
        <is>
          <t>neighborhood_title</t>
        </is>
      </c>
      <c r="D15" s="29" t="inlineStr">
        <is>
          <t>Mahalleler başlığı</t>
        </is>
      </c>
      <c r="E15" s="29" t="inlineStr">
        <is>
          <t>Metin</t>
        </is>
      </c>
      <c r="F15" s="29" t="inlineStr">
        <is>
          <t>Sevilla'nın semtleri</t>
        </is>
      </c>
      <c r="G15" s="49" t="n">
        <v>46320</v>
      </c>
    </row>
    <row r="16" ht="54" customHeight="1">
      <c r="A16" s="29" t="inlineStr">
        <is>
          <t>sevilla:field:neighborhood_intro</t>
        </is>
      </c>
      <c r="B16" s="29" t="inlineStr">
        <is>
          <t>sevilla</t>
        </is>
      </c>
      <c r="C16" s="29" t="inlineStr">
        <is>
          <t>neighborhood_intro</t>
        </is>
      </c>
      <c r="D16" s="29" t="inlineStr">
        <is>
          <t>Mahalleler açıklaması</t>
        </is>
      </c>
      <c r="E16" s="29" t="inlineStr">
        <is>
          <t>Metin</t>
        </is>
      </c>
      <c r="F16" s="29" t="inlineStr">
        <is>
          <t>Semtleri ulaşım, yaşam ritmi, konut tipi ve yeşil alan gibi başlıklara göre karşılaştır ve sana uyanı seç.</t>
        </is>
      </c>
      <c r="G16" s="49" t="n">
        <v>46320</v>
      </c>
    </row>
    <row r="17" ht="54" customHeight="1">
      <c r="A17" s="29" t="inlineStr">
        <is>
          <t>sevilla:field:explore_title</t>
        </is>
      </c>
      <c r="B17" s="29" t="inlineStr">
        <is>
          <t>sevilla</t>
        </is>
      </c>
      <c r="C17" s="29" t="inlineStr">
        <is>
          <t>explore_title</t>
        </is>
      </c>
      <c r="D17" s="29" t="inlineStr">
        <is>
          <t>Keşif başlığı</t>
        </is>
      </c>
      <c r="E17" s="29" t="inlineStr">
        <is>
          <t>Metin</t>
        </is>
      </c>
      <c r="F17" s="29" t="inlineStr">
        <is>
          <t>Sevilla'yı keşfet</t>
        </is>
      </c>
      <c r="G17" s="49" t="n">
        <v>46320</v>
      </c>
    </row>
    <row r="18" ht="54" customHeight="1">
      <c r="A18" s="29" t="inlineStr">
        <is>
          <t>sevilla:field:explore_intro</t>
        </is>
      </c>
      <c r="B18" s="29" t="inlineStr">
        <is>
          <t>sevilla</t>
        </is>
      </c>
      <c r="C18" s="29" t="inlineStr">
        <is>
          <t>explore_intro</t>
        </is>
      </c>
      <c r="D18" s="29" t="inlineStr">
        <is>
          <t>Keşif açıklaması</t>
        </is>
      </c>
      <c r="E18" s="29" t="inlineStr">
        <is>
          <t>Metin</t>
        </is>
      </c>
      <c r="F18" s="29" t="inlineStr">
        <is>
          <t>Müzeler, tarihî yapılar, flamenko, parklar ve açık hava; Semana Santa ve Feria de Abril gibi şehre özgü şenliklerle birlikte.</t>
        </is>
      </c>
      <c r="G18" s="49" t="n">
        <v>46320</v>
      </c>
    </row>
    <row r="19" ht="54" customHeight="1">
      <c r="A19" s="29" t="inlineStr">
        <is>
          <t>sevilla:field:sources_note</t>
        </is>
      </c>
      <c r="B19" s="29" t="inlineStr">
        <is>
          <t>sevilla</t>
        </is>
      </c>
      <c r="C19" s="29" t="inlineStr">
        <is>
          <t>sources_note</t>
        </is>
      </c>
      <c r="D19" s="29" t="inlineStr">
        <is>
          <t>Kaynak ve kontrol açıklaması</t>
        </is>
      </c>
      <c r="E19" s="29" t="inlineStr">
        <is>
          <t>Metin</t>
        </is>
      </c>
      <c r="F19" s="29" t="inlineStr">
        <is>
          <t>Bilgiler İspanya hükümeti, Junta de Andalucía, Sevilla'daki kamu kuruluşları ve ulaşım işletmecileri ve mekânların kendi resmî sitelerinden derlenir; kişisel hukuk, sağlık ya da finans danışmanlığının yerine geçmez.</t>
        </is>
      </c>
      <c r="G19" s="49" t="n">
        <v>46320</v>
      </c>
    </row>
    <row r="20" ht="54" customHeight="1">
      <c r="A20" s="29" t="inlineStr">
        <is>
          <t>sevilla:field:photo_credit</t>
        </is>
      </c>
      <c r="B20" s="29" t="inlineStr">
        <is>
          <t>sevilla</t>
        </is>
      </c>
      <c r="C20" s="29" t="inlineStr">
        <is>
          <t>photo_credit</t>
        </is>
      </c>
      <c r="D20" s="29" t="inlineStr">
        <is>
          <t>Fotoğraf bölümü genel atıf notu; kare atıflarının yerine geçmez</t>
        </is>
      </c>
      <c r="E20" s="29" t="inlineStr">
        <is>
          <t>Metin</t>
        </is>
      </c>
      <c r="F20" s="29" t="inlineStr">
        <is>
          <t>Fotoğrafların yazar, lisans ve kaynak bilgisi her karenin altında yer alır.</t>
        </is>
      </c>
      <c r="G20" s="49" t="n">
        <v>46320</v>
      </c>
    </row>
    <row r="21" ht="54" customHeight="1">
      <c r="A21" s="29" t="inlineStr">
        <is>
          <t>sevilla:field:arrival_note</t>
        </is>
      </c>
      <c r="B21" s="29" t="inlineStr">
        <is>
          <t>sevilla</t>
        </is>
      </c>
      <c r="C21" s="29" t="inlineStr">
        <is>
          <t>arrival_note</t>
        </is>
      </c>
      <c r="D21" s="29" t="inlineStr">
        <is>
          <t>Kişisel takvimin yasal süre yerine geçmediğini açıklayan yerel not</t>
        </is>
      </c>
      <c r="E21" s="29" t="inlineStr">
        <is>
          <t>Metin</t>
        </is>
      </c>
      <c r="F21" s="29" t="inlineStr">
        <is>
          <t>Takvimdeki tarihler senin kişisel planın içindir; yasal süreler ilgili resmî kurumun yayınladığı sürelerdir ve takvimin yerine geçmez.</t>
        </is>
      </c>
      <c r="G21" s="49" t="n">
        <v>46320</v>
      </c>
    </row>
    <row r="22" ht="54" customHeight="1">
      <c r="A22" s="29" t="inlineStr">
        <is>
          <t>sevilla:field:emergency_url</t>
        </is>
      </c>
      <c r="B22" s="29" t="inlineStr">
        <is>
          <t>sevilla</t>
        </is>
      </c>
      <c r="C22" s="29" t="inlineStr">
        <is>
          <t>emergency_url</t>
        </is>
      </c>
      <c r="D22" s="29" t="inlineStr">
        <is>
          <t>Yerel resmî acil yardım açıklamasına bağlantı</t>
        </is>
      </c>
      <c r="E22" s="29" t="inlineStr">
        <is>
          <t>Metin</t>
        </is>
      </c>
      <c r="F22" s="29" t="inlineStr">
        <is>
          <t>https://www.juntadeandalucia.es/temas/seguridad/emergencias/que-hacer.html</t>
        </is>
      </c>
      <c r="G22" s="49" t="n">
        <v>46320</v>
      </c>
    </row>
    <row r="23" ht="54" customHeight="1">
      <c r="A23" s="29" t="inlineStr">
        <is>
          <t>sevilla:field:pharmacy_url</t>
        </is>
      </c>
      <c r="B23" s="29" t="inlineStr">
        <is>
          <t>sevilla</t>
        </is>
      </c>
      <c r="C23" s="29" t="inlineStr">
        <is>
          <t>pharmacy_url</t>
        </is>
      </c>
      <c r="D23" s="29" t="inlineStr">
        <is>
          <t>Yerel resmî nöbetçi eczane/eczane bulma bağlantısı</t>
        </is>
      </c>
      <c r="E23" s="29" t="inlineStr">
        <is>
          <t>Metin</t>
        </is>
      </c>
      <c r="F23" s="29" t="inlineStr">
        <is>
          <t>https://www.farmaceuticosdesevilla.es/buscador-de-farmacias/</t>
        </is>
      </c>
      <c r="G23" s="49" t="n">
        <v>46320</v>
      </c>
    </row>
    <row r="24" ht="54" customHeight="1">
      <c r="A24" s="29" t="inlineStr">
        <is>
          <t>sevilla:field:advice_entry</t>
        </is>
      </c>
      <c r="B24" s="29" t="inlineStr">
        <is>
          <t>sevilla</t>
        </is>
      </c>
      <c r="C24" s="29" t="inlineStr">
        <is>
          <t>advice_entry</t>
        </is>
      </c>
      <c r="D24" s="29" t="inlineStr">
        <is>
          <t>Danışma kartının bu şehirdeki içerik slugı</t>
        </is>
      </c>
      <c r="E24" s="29" t="inlineStr">
        <is>
          <t>Metin</t>
        </is>
      </c>
      <c r="F24" s="29" t="inlineStr">
        <is>
          <t>empadronamiento-nedir-neden-gerekir</t>
        </is>
      </c>
      <c r="G24" s="49" t="n">
        <v>46320</v>
      </c>
    </row>
    <row r="25" ht="54" customHeight="1">
      <c r="A25" s="29" t="inlineStr">
        <is>
          <t>sevilla:field:facts</t>
        </is>
      </c>
      <c r="B25" s="29" t="inlineStr">
        <is>
          <t>sevilla</t>
        </is>
      </c>
      <c r="C25" s="29" t="inlineStr">
        <is>
          <t>facts</t>
        </is>
      </c>
      <c r="D25" s="29" t="inlineStr">
        <is>
          <t>En az 4 kısa bilgi</t>
        </is>
      </c>
      <c r="E25" s="29" t="inlineStr">
        <is>
          <t>JSON</t>
        </is>
      </c>
      <c r="F25" s="29" t="inlineStr">
        <is>
          <t>[{"value":"%21","label":"Genel KDV (IVA) oranı","entry":"kdv-iva-oranlari"},{"value":"265","label":"Sevici kamu bisikleti istasyonu, günün 24 saati açık","entry":"sevici-kamu-bisikleti-ve-sevilla-bisiklet-yollari"},{"value":"21-28 Mart 2027","label":"Semana Santa 2027 tarihleri","entry":"semana-santa-2027-sevilla-gunluk-hayat"},{"value":"Bir aylık kira","label":"Konut kirasında fianza (depozito) tutarı","entry":"kira-depozitosu-fianza-ve-iade"},{"value":"9,84 euro","label":"NIE atama harcı","entry":"nie-nedir-ne-ise-yarar"},{"value":"112","label":"Endülüs'te ücretsiz genel acil numarası","entry":"endulus-112-nasil-calisir"}]</t>
        </is>
      </c>
      <c r="G25" s="49" t="n">
        <v>46320</v>
      </c>
    </row>
    <row r="26" ht="54" customHeight="1">
      <c r="A26" s="29" t="inlineStr">
        <is>
          <t>sevilla:field:quick_links</t>
        </is>
      </c>
      <c r="B26" s="29" t="inlineStr">
        <is>
          <t>sevilla</t>
        </is>
      </c>
      <c r="C26" s="29" t="inlineStr">
        <is>
          <t>quick_links</t>
        </is>
      </c>
      <c r="D26" s="29" t="inlineStr">
        <is>
          <t>En az 3 hızlı bağlantı</t>
        </is>
      </c>
      <c r="E26" s="29" t="inlineStr">
        <is>
          <t>JSON</t>
        </is>
      </c>
      <c r="F26" s="29" t="inlineStr">
        <is>
          <t>[{"label":"Empadronamiento (adres kaydı) nedir","entry":"empadronamiento-nedir-neden-gerekir"},{"label":"NIE nedir, nasıl istenir","entry":"nie-nedir-ne-ise-yarar"},{"label":"Kamu sağlık kartı (tarjeta sanitaria)","entry":"endulus-saglik-karti-tarjeta-sanitaria-ve-aile-hekimi-secimi"},{"label":"Consorcio ulaşım kartı","entry":"sevilla-consorcio-ulasim-karti-alma-ve-yukleme"},{"label":"Kira depozitosu (fianza)","entry":"kira-depozitosu-fianza-ve-iade"}]</t>
        </is>
      </c>
      <c r="G26" s="49" t="n">
        <v>46320</v>
      </c>
    </row>
    <row r="27" ht="54" customHeight="1">
      <c r="A27" s="29" t="inlineStr">
        <is>
          <t>sevilla:field:timeline</t>
        </is>
      </c>
      <c r="B27" s="29" t="inlineStr">
        <is>
          <t>sevilla</t>
        </is>
      </c>
      <c r="C27" s="29" t="inlineStr">
        <is>
          <t>timeline</t>
        </is>
      </c>
      <c r="D27" s="29" t="inlineStr">
        <is>
          <t>En az 4 kişisel hazırlık hatırlatıcısı</t>
        </is>
      </c>
      <c r="E27" s="29" t="inlineStr">
        <is>
          <t>JSON</t>
        </is>
      </c>
      <c r="F27" s="29" t="inlineStr">
        <is>
          <t>[{"title":"Vize ve oturum belgelerini hazırla","note":"Taşınmadan önce hangi oturum yolunun sana uyduğunu belirle ve gereken belgeleri topla. Bu takvim kişisel bir hatırlatıcıdır.","offset":-60,"entry":"tasinma-oncesi-vize-ve-ilk-oturum-izni"},{"title":"Sağlık sigortası şartını netleştir","note":"Oturum ya da öğrenci başvurusunda sağlık sigortası istenip istenmediğini kontrol et ve poliçeni hazırla.","offset":-30,"entry":"oturum-ve-ogrenci-vizesinde-saglik-sigortasi-sarti"},{"title":"Geliş yolunu planla","note":"Havalimanından ya da Santa Justa garından konaklamana nasıl gideceğini önceden bil.","offset":0,"entry":"sevilla-havalimani-ve-santa-justa-garindan-merkeze"},{"title":"Adres kaydı için hazırlık yap","note":"Kira sözleşmeni ya da konut belgeni topla; empadronamiento birçok işlemin ilk basamağıdır.","offset":7,"entry":"empadronamiento-nedir-neden-gerekir"},{"title":"Sağlık kartı başvurusunu yap","note":"Oturduğun bölgenin centro de salud merkezine giderek tarjeta sanitaria için başvur.","offset":21,"entry":"endulus-saglik-karti-tarjeta-sanitaria-ve-aile-hekimi-secimi"},{"title":"Ulaşım kartını al","note":"Günlük ulaşımın metro, otobüs ve Cercanías ise Consorcio kartını al ve yükle.","offset":30,"entry":"sevilla-consorcio-ulasim-karti-alma-ve-yukleme"}]</t>
        </is>
      </c>
      <c r="G27" s="49" t="n">
        <v>46320</v>
      </c>
    </row>
    <row r="28" ht="54" customHeight="1">
      <c r="A28" s="29" t="inlineStr">
        <is>
          <t>sevilla:field:budget_fields</t>
        </is>
      </c>
      <c r="B28" s="29" t="inlineStr">
        <is>
          <t>sevilla</t>
        </is>
      </c>
      <c r="C28" s="29" t="inlineStr">
        <is>
          <t>budget_fields</t>
        </is>
      </c>
      <c r="D28" s="29" t="inlineStr">
        <is>
          <t>Bütçe hesaplayıcısının 10 alanı</t>
        </is>
      </c>
      <c r="E28" s="29" t="inlineStr">
        <is>
          <t>JSON</t>
        </is>
      </c>
      <c r="F28" s="29" t="inlineStr">
        <is>
          <t>[{"key":"income","label":"Aylık net gelir"},{"key":"rent","label":"Kira"},{"key":"bills","label":"Faturalar (elektrik, su, internet)"},{"key":"food","label":"Yiyecek ve market"},{"key":"transport","label":"Ulaşım"},{"key":"health","label":"Sağlık"},{"key":"leisure","label":"Eğlence ve sosyal yaşam"},{"key":"other","label":"Diğer giderler"},{"key":"deposit","label":"Kira depozitosu (fianza)"},{"key":"moving","label":"Taşınma masrafı"}]</t>
        </is>
      </c>
      <c r="G28" s="49" t="n">
        <v>46320</v>
      </c>
    </row>
    <row r="29" ht="54" customHeight="1">
      <c r="A29" s="29" t="inlineStr">
        <is>
          <t>sevilla:field:place_groups</t>
        </is>
      </c>
      <c r="B29" s="29" t="inlineStr">
        <is>
          <t>sevilla</t>
        </is>
      </c>
      <c r="C29" s="29" t="inlineStr">
        <is>
          <t>place_groups</t>
        </is>
      </c>
      <c r="D29" s="29" t="inlineStr">
        <is>
          <t>Keşif filtresinin 8 sabit anahtarı</t>
        </is>
      </c>
      <c r="E29" s="29" t="inlineStr">
        <is>
          <t>JSON</t>
        </is>
      </c>
      <c r="F29" s="29" t="inlineStr">
        <is>
          <t>[{"key":"museum","label":"Müzeler"},{"key":"art","label":"Sanat ve sergiler"},{"key":"stage","label":"Sahne ve müzik"},{"key":"sport","label":"Spor"},{"key":"nature","label":"Doğa ve açık hava"},{"key":"family","label":"Çocuklarla keşif"},{"key":"food","label":"Yeme ve içme"},{"key":"history","label":"Tarih ve mimari"}]</t>
        </is>
      </c>
      <c r="G29" s="49" t="n">
        <v>46320</v>
      </c>
    </row>
    <row r="30" ht="54" customHeight="1">
      <c r="A30" s="29" t="inlineStr">
        <is>
          <t>sevilla:field:emergency</t>
        </is>
      </c>
      <c r="B30" s="29" t="inlineStr">
        <is>
          <t>sevilla</t>
        </is>
      </c>
      <c r="C30" s="29" t="inlineStr">
        <is>
          <t>emergency</t>
        </is>
      </c>
      <c r="D30" s="29" t="inlineStr">
        <is>
          <t>Yerel resmî kaynaktan doğrulanmış acil telefon kayıtları</t>
        </is>
      </c>
      <c r="E30" s="29" t="inlineStr">
        <is>
          <t>JSON</t>
        </is>
      </c>
      <c r="F30" s="29" t="inlineStr">
        <is>
          <t>[{"tel":"112","number":"112","label":"Genel acil çağrı (112 Endülüs)","desc":"Ücretsiz hat; sağlık, itfaiye ve kurtarma, kamu güvenliği ve sivil koruma acilleri için."},{"tel":"061","number":"061","label":"Sağlık acili (061)","desc":"Endülüs'te acil sağlık durumunda doğrudan aranan numara."}]</t>
        </is>
      </c>
      <c r="G30" s="49" t="n">
        <v>46320</v>
      </c>
    </row>
    <row r="31" ht="54" customHeight="1">
      <c r="A31" s="29" t="n"/>
      <c r="B31" s="29" t="n"/>
      <c r="C31" s="29" t="n"/>
      <c r="D31" s="29" t="n"/>
      <c r="E31" s="29" t="n"/>
      <c r="F31" s="29" t="n"/>
      <c r="G31" s="49" t="n"/>
    </row>
    <row r="32" ht="54" customHeight="1">
      <c r="A32" s="29" t="n"/>
      <c r="B32" s="29" t="n"/>
      <c r="C32" s="29" t="n"/>
      <c r="D32" s="29" t="n"/>
      <c r="E32" s="29" t="n"/>
      <c r="F32" s="29" t="n"/>
      <c r="G32" s="49" t="n"/>
    </row>
    <row r="33" ht="54" customHeight="1">
      <c r="A33" s="29" t="n"/>
      <c r="B33" s="29" t="n"/>
      <c r="C33" s="29" t="n"/>
      <c r="D33" s="29" t="n"/>
      <c r="E33" s="29" t="n"/>
      <c r="F33" s="29" t="n"/>
      <c r="G33" s="49" t="n"/>
    </row>
    <row r="34" ht="54" customHeight="1">
      <c r="A34" s="29" t="n"/>
      <c r="B34" s="29" t="n"/>
      <c r="C34" s="29" t="n"/>
      <c r="D34" s="29" t="n"/>
      <c r="E34" s="29" t="n"/>
      <c r="F34" s="29" t="n"/>
      <c r="G34" s="49" t="n"/>
    </row>
    <row r="35" ht="54" customHeight="1">
      <c r="A35" s="29" t="n"/>
      <c r="B35" s="29" t="n"/>
      <c r="C35" s="29" t="n"/>
      <c r="D35" s="29" t="n"/>
      <c r="E35" s="29" t="n"/>
      <c r="F35" s="29" t="n"/>
      <c r="G35" s="49" t="n"/>
    </row>
    <row r="36" ht="54" customHeight="1">
      <c r="A36" s="29" t="n"/>
      <c r="B36" s="29" t="n"/>
      <c r="C36" s="29" t="n"/>
      <c r="D36" s="29" t="n"/>
      <c r="E36" s="29" t="n"/>
      <c r="F36" s="29" t="n"/>
      <c r="G36" s="49" t="n"/>
    </row>
    <row r="37" ht="54" customHeight="1">
      <c r="A37" s="29" t="n"/>
      <c r="B37" s="29" t="n"/>
      <c r="C37" s="29" t="n"/>
      <c r="D37" s="29" t="n"/>
      <c r="E37" s="29" t="n"/>
      <c r="F37" s="29" t="n"/>
      <c r="G37" s="49" t="n"/>
    </row>
    <row r="38" ht="54" customHeight="1">
      <c r="A38" s="29" t="n"/>
      <c r="B38" s="29" t="n"/>
      <c r="C38" s="29" t="n"/>
      <c r="D38" s="29" t="n"/>
      <c r="E38" s="29" t="n"/>
      <c r="F38" s="29" t="n"/>
      <c r="G38" s="49" t="n"/>
    </row>
    <row r="39" ht="54" customHeight="1">
      <c r="A39" s="29" t="n"/>
      <c r="B39" s="29" t="n"/>
      <c r="C39" s="29" t="n"/>
      <c r="D39" s="29" t="n"/>
      <c r="E39" s="29" t="n"/>
      <c r="F39" s="29" t="n"/>
      <c r="G39" s="49" t="n"/>
    </row>
    <row r="40" ht="54" customHeight="1">
      <c r="A40" s="29" t="n"/>
      <c r="B40" s="29" t="n"/>
      <c r="C40" s="29" t="n"/>
      <c r="D40" s="29" t="n"/>
      <c r="E40" s="29" t="n"/>
      <c r="F40" s="29" t="n"/>
      <c r="G40" s="49" t="n"/>
    </row>
    <row r="41" ht="54" customHeight="1">
      <c r="A41" s="29" t="n"/>
      <c r="B41" s="29" t="n"/>
      <c r="C41" s="29" t="n"/>
      <c r="D41" s="29" t="n"/>
      <c r="E41" s="29" t="n"/>
      <c r="F41" s="29" t="n"/>
      <c r="G41" s="49" t="n"/>
    </row>
    <row r="42" ht="54" customHeight="1">
      <c r="A42" s="29" t="n"/>
      <c r="B42" s="29" t="n"/>
      <c r="C42" s="29" t="n"/>
      <c r="D42" s="29" t="n"/>
      <c r="E42" s="29" t="n"/>
      <c r="F42" s="29" t="n"/>
      <c r="G42" s="49" t="n"/>
    </row>
    <row r="43" ht="54" customHeight="1">
      <c r="A43" s="29" t="n"/>
      <c r="B43" s="29" t="n"/>
      <c r="C43" s="29" t="n"/>
      <c r="D43" s="29" t="n"/>
      <c r="E43" s="29" t="n"/>
      <c r="F43" s="29" t="n"/>
      <c r="G43" s="49" t="n"/>
    </row>
    <row r="44" ht="54" customHeight="1">
      <c r="A44" s="29" t="n"/>
      <c r="B44" s="29" t="n"/>
      <c r="C44" s="29" t="n"/>
      <c r="D44" s="29" t="n"/>
      <c r="E44" s="29" t="n"/>
      <c r="F44" s="29" t="n"/>
      <c r="G44" s="49" t="n"/>
    </row>
    <row r="45" ht="54" customHeight="1">
      <c r="A45" s="29" t="n"/>
      <c r="B45" s="29" t="n"/>
      <c r="C45" s="29" t="n"/>
      <c r="D45" s="29" t="n"/>
      <c r="E45" s="29" t="n"/>
      <c r="F45" s="29" t="n"/>
      <c r="G45" s="49" t="n"/>
    </row>
    <row r="46" ht="54" customHeight="1">
      <c r="A46" s="29" t="n"/>
      <c r="B46" s="29" t="n"/>
      <c r="C46" s="29" t="n"/>
      <c r="D46" s="29" t="n"/>
      <c r="E46" s="29" t="n"/>
      <c r="F46" s="29" t="n"/>
      <c r="G46" s="49" t="n"/>
    </row>
    <row r="47" ht="54" customHeight="1">
      <c r="A47" s="29" t="n"/>
      <c r="B47" s="29" t="n"/>
      <c r="C47" s="29" t="n"/>
      <c r="D47" s="29" t="n"/>
      <c r="E47" s="29" t="n"/>
      <c r="F47" s="29" t="n"/>
      <c r="G47" s="49" t="n"/>
    </row>
    <row r="48" ht="54" customHeight="1">
      <c r="A48" s="29" t="n"/>
      <c r="B48" s="29" t="n"/>
      <c r="C48" s="29" t="n"/>
      <c r="D48" s="29" t="n"/>
      <c r="E48" s="29" t="n"/>
      <c r="F48" s="29" t="n"/>
      <c r="G48" s="49" t="n"/>
    </row>
    <row r="49" ht="54" customHeight="1">
      <c r="A49" s="29" t="n"/>
      <c r="B49" s="29" t="n"/>
      <c r="C49" s="29" t="n"/>
      <c r="D49" s="29" t="n"/>
      <c r="E49" s="29" t="n"/>
      <c r="F49" s="29" t="n"/>
      <c r="G49" s="49" t="n"/>
    </row>
    <row r="50" ht="54" customHeight="1">
      <c r="A50" s="29" t="n"/>
      <c r="B50" s="29" t="n"/>
      <c r="C50" s="29" t="n"/>
      <c r="D50" s="29" t="n"/>
      <c r="E50" s="29" t="n"/>
      <c r="F50" s="29" t="n"/>
      <c r="G50" s="49" t="n"/>
    </row>
    <row r="51" ht="54" customHeight="1">
      <c r="A51" s="29" t="n"/>
      <c r="B51" s="29" t="n"/>
      <c r="C51" s="29" t="n"/>
      <c r="D51" s="29" t="n"/>
      <c r="E51" s="29" t="n"/>
      <c r="F51" s="29" t="n"/>
      <c r="G51" s="49" t="n"/>
    </row>
    <row r="52" ht="54" customHeight="1">
      <c r="A52" s="29" t="n"/>
      <c r="B52" s="29" t="n"/>
      <c r="C52" s="29" t="n"/>
      <c r="D52" s="29" t="n"/>
      <c r="E52" s="29" t="n"/>
      <c r="F52" s="29" t="n"/>
      <c r="G52" s="49" t="n"/>
    </row>
    <row r="53" ht="54" customHeight="1">
      <c r="A53" s="29" t="n"/>
      <c r="B53" s="29" t="n"/>
      <c r="C53" s="29" t="n"/>
      <c r="D53" s="29" t="n"/>
      <c r="E53" s="29" t="n"/>
      <c r="F53" s="29" t="n"/>
      <c r="G53" s="49" t="n"/>
    </row>
    <row r="54" ht="54" customHeight="1">
      <c r="A54" s="29" t="n"/>
      <c r="B54" s="29" t="n"/>
      <c r="C54" s="29" t="n"/>
      <c r="D54" s="29" t="n"/>
      <c r="E54" s="29" t="n"/>
      <c r="F54" s="29" t="n"/>
      <c r="G54" s="49" t="n"/>
    </row>
    <row r="55" ht="54" customHeight="1">
      <c r="A55" s="29" t="n"/>
      <c r="B55" s="29" t="n"/>
      <c r="C55" s="29" t="n"/>
      <c r="D55" s="29" t="n"/>
      <c r="E55" s="29" t="n"/>
      <c r="F55" s="29" t="n"/>
      <c r="G55" s="49" t="n"/>
    </row>
    <row r="56" ht="54" customHeight="1">
      <c r="A56" s="29" t="n"/>
      <c r="B56" s="29" t="n"/>
      <c r="C56" s="29" t="n"/>
      <c r="D56" s="29" t="n"/>
      <c r="E56" s="29" t="n"/>
      <c r="F56" s="29" t="n"/>
      <c r="G56" s="49" t="n"/>
    </row>
    <row r="57" ht="54" customHeight="1">
      <c r="A57" s="29" t="n"/>
      <c r="B57" s="29" t="n"/>
      <c r="C57" s="29" t="n"/>
      <c r="D57" s="29" t="n"/>
      <c r="E57" s="29" t="n"/>
      <c r="F57" s="29" t="n"/>
      <c r="G57" s="49" t="n"/>
    </row>
    <row r="58" ht="54" customHeight="1">
      <c r="A58" s="29" t="n"/>
      <c r="B58" s="29" t="n"/>
      <c r="C58" s="29" t="n"/>
      <c r="D58" s="29" t="n"/>
      <c r="E58" s="29" t="n"/>
      <c r="F58" s="29" t="n"/>
      <c r="G58" s="49" t="n"/>
    </row>
    <row r="59" ht="54" customHeight="1">
      <c r="A59" s="29" t="n"/>
      <c r="B59" s="29" t="n"/>
      <c r="C59" s="29" t="n"/>
      <c r="D59" s="29" t="n"/>
      <c r="E59" s="29" t="n"/>
      <c r="F59" s="29" t="n"/>
      <c r="G59" s="49" t="n"/>
    </row>
    <row r="60" ht="54" customHeight="1">
      <c r="A60" s="29" t="n"/>
      <c r="B60" s="29" t="n"/>
      <c r="C60" s="29" t="n"/>
      <c r="D60" s="29" t="n"/>
      <c r="E60" s="29" t="n"/>
      <c r="F60" s="29" t="n"/>
      <c r="G60" s="49" t="n"/>
    </row>
    <row r="61" ht="54" customHeight="1">
      <c r="A61" s="29" t="n"/>
      <c r="B61" s="29" t="n"/>
      <c r="C61" s="29" t="n"/>
      <c r="D61" s="29" t="n"/>
      <c r="E61" s="29" t="n"/>
      <c r="F61" s="29" t="n"/>
      <c r="G61" s="49" t="n"/>
    </row>
    <row r="62" ht="54" customHeight="1">
      <c r="A62" s="29" t="n"/>
      <c r="B62" s="29" t="n"/>
      <c r="C62" s="29" t="n"/>
      <c r="D62" s="29" t="n"/>
      <c r="E62" s="29" t="n"/>
      <c r="F62" s="29" t="n"/>
      <c r="G62" s="49" t="n"/>
    </row>
    <row r="63" ht="54" customHeight="1">
      <c r="A63" s="29" t="n"/>
      <c r="B63" s="29" t="n"/>
      <c r="C63" s="29" t="n"/>
      <c r="D63" s="29" t="n"/>
      <c r="E63" s="29" t="n"/>
      <c r="F63" s="29" t="n"/>
      <c r="G63" s="49" t="n"/>
    </row>
    <row r="64" ht="54" customHeight="1">
      <c r="A64" s="29" t="n"/>
      <c r="B64" s="29" t="n"/>
      <c r="C64" s="29" t="n"/>
      <c r="D64" s="29" t="n"/>
      <c r="E64" s="29" t="n"/>
      <c r="F64" s="29" t="n"/>
      <c r="G64" s="49" t="n"/>
    </row>
    <row r="65" ht="54" customHeight="1">
      <c r="A65" s="29" t="n"/>
      <c r="B65" s="29" t="n"/>
      <c r="C65" s="29" t="n"/>
      <c r="D65" s="29" t="n"/>
      <c r="E65" s="29" t="n"/>
      <c r="F65" s="29" t="n"/>
      <c r="G65" s="49" t="n"/>
    </row>
    <row r="66" ht="54" customHeight="1">
      <c r="A66" s="29" t="n"/>
      <c r="B66" s="29" t="n"/>
      <c r="C66" s="29" t="n"/>
      <c r="D66" s="29" t="n"/>
      <c r="E66" s="29" t="n"/>
      <c r="F66" s="29" t="n"/>
      <c r="G66" s="49" t="n"/>
    </row>
    <row r="67" ht="54" customHeight="1">
      <c r="A67" s="29" t="n"/>
      <c r="B67" s="29" t="n"/>
      <c r="C67" s="29" t="n"/>
      <c r="D67" s="29" t="n"/>
      <c r="E67" s="29" t="n"/>
      <c r="F67" s="29" t="n"/>
      <c r="G67" s="49" t="n"/>
    </row>
    <row r="68" ht="54" customHeight="1">
      <c r="A68" s="29" t="n"/>
      <c r="B68" s="29" t="n"/>
      <c r="C68" s="29" t="n"/>
      <c r="D68" s="29" t="n"/>
      <c r="E68" s="29" t="n"/>
      <c r="F68" s="29" t="n"/>
      <c r="G68" s="49" t="n"/>
    </row>
    <row r="69" ht="54" customHeight="1">
      <c r="A69" s="29" t="n"/>
      <c r="B69" s="29" t="n"/>
      <c r="C69" s="29" t="n"/>
      <c r="D69" s="29" t="n"/>
      <c r="E69" s="29" t="n"/>
      <c r="F69" s="29" t="n"/>
      <c r="G69" s="49" t="n"/>
    </row>
    <row r="70" ht="54" customHeight="1">
      <c r="A70" s="29" t="n"/>
      <c r="B70" s="29" t="n"/>
      <c r="C70" s="29" t="n"/>
      <c r="D70" s="29" t="n"/>
      <c r="E70" s="29" t="n"/>
      <c r="F70" s="29" t="n"/>
      <c r="G70" s="49" t="n"/>
    </row>
    <row r="71" ht="54" customHeight="1">
      <c r="A71" s="29" t="n"/>
      <c r="B71" s="29" t="n"/>
      <c r="C71" s="29" t="n"/>
      <c r="D71" s="29" t="n"/>
      <c r="E71" s="29" t="n"/>
      <c r="F71" s="29" t="n"/>
      <c r="G71" s="49" t="n"/>
    </row>
    <row r="72" ht="54" customHeight="1">
      <c r="A72" s="29" t="n"/>
      <c r="B72" s="29" t="n"/>
      <c r="C72" s="29" t="n"/>
      <c r="D72" s="29" t="n"/>
      <c r="E72" s="29" t="n"/>
      <c r="F72" s="29" t="n"/>
      <c r="G72" s="49" t="n"/>
    </row>
    <row r="73" ht="54" customHeight="1">
      <c r="A73" s="29" t="n"/>
      <c r="B73" s="29" t="n"/>
      <c r="C73" s="29" t="n"/>
      <c r="D73" s="29" t="n"/>
      <c r="E73" s="29" t="n"/>
      <c r="F73" s="29" t="n"/>
      <c r="G73" s="49" t="n"/>
    </row>
    <row r="74" ht="54" customHeight="1">
      <c r="A74" s="29" t="n"/>
      <c r="B74" s="29" t="n"/>
      <c r="C74" s="29" t="n"/>
      <c r="D74" s="29" t="n"/>
      <c r="E74" s="29" t="n"/>
      <c r="F74" s="29" t="n"/>
      <c r="G74" s="49" t="n"/>
    </row>
    <row r="75" ht="54" customHeight="1">
      <c r="A75" s="29" t="n"/>
      <c r="B75" s="29" t="n"/>
      <c r="C75" s="29" t="n"/>
      <c r="D75" s="29" t="n"/>
      <c r="E75" s="29" t="n"/>
      <c r="F75" s="29" t="n"/>
      <c r="G75" s="49" t="n"/>
    </row>
    <row r="76" ht="54" customHeight="1">
      <c r="A76" s="29" t="n"/>
      <c r="B76" s="29" t="n"/>
      <c r="C76" s="29" t="n"/>
      <c r="D76" s="29" t="n"/>
      <c r="E76" s="29" t="n"/>
      <c r="F76" s="29" t="n"/>
      <c r="G76" s="49" t="n"/>
    </row>
    <row r="77" ht="54" customHeight="1">
      <c r="A77" s="29" t="n"/>
      <c r="B77" s="29" t="n"/>
      <c r="C77" s="29" t="n"/>
      <c r="D77" s="29" t="n"/>
      <c r="E77" s="29" t="n"/>
      <c r="F77" s="29" t="n"/>
      <c r="G77" s="49" t="n"/>
    </row>
    <row r="78" ht="54" customHeight="1">
      <c r="A78" s="29" t="n"/>
      <c r="B78" s="29" t="n"/>
      <c r="C78" s="29" t="n"/>
      <c r="D78" s="29" t="n"/>
      <c r="E78" s="29" t="n"/>
      <c r="F78" s="29" t="n"/>
      <c r="G78" s="49" t="n"/>
    </row>
    <row r="79" ht="54" customHeight="1">
      <c r="A79" s="29" t="n"/>
      <c r="B79" s="29" t="n"/>
      <c r="C79" s="29" t="n"/>
      <c r="D79" s="29" t="n"/>
      <c r="E79" s="29" t="n"/>
      <c r="F79" s="29" t="n"/>
      <c r="G79" s="49" t="n"/>
    </row>
    <row r="80" ht="54" customHeight="1">
      <c r="A80" s="29" t="n"/>
      <c r="B80" s="29" t="n"/>
      <c r="C80" s="29" t="n"/>
      <c r="D80" s="29" t="n"/>
      <c r="E80" s="29" t="n"/>
      <c r="F80" s="29" t="n"/>
      <c r="G80" s="49" t="n"/>
    </row>
    <row r="81" ht="54" customHeight="1">
      <c r="A81" s="29" t="n"/>
      <c r="B81" s="29" t="n"/>
      <c r="C81" s="29" t="n"/>
      <c r="D81" s="29" t="n"/>
      <c r="E81" s="29" t="n"/>
      <c r="F81" s="29" t="n"/>
      <c r="G81" s="49" t="n"/>
    </row>
    <row r="82" ht="54" customHeight="1">
      <c r="A82" s="29" t="n"/>
      <c r="B82" s="29" t="n"/>
      <c r="C82" s="29" t="n"/>
      <c r="D82" s="29" t="n"/>
      <c r="E82" s="29" t="n"/>
      <c r="F82" s="29" t="n"/>
      <c r="G82" s="49" t="n"/>
    </row>
    <row r="83" ht="54" customHeight="1">
      <c r="A83" s="29" t="n"/>
      <c r="B83" s="29" t="n"/>
      <c r="C83" s="29" t="n"/>
      <c r="D83" s="29" t="n"/>
      <c r="E83" s="29" t="n"/>
      <c r="F83" s="29" t="n"/>
      <c r="G83" s="49" t="n"/>
    </row>
    <row r="84" ht="54" customHeight="1">
      <c r="A84" s="29" t="n"/>
      <c r="B84" s="29" t="n"/>
      <c r="C84" s="29" t="n"/>
      <c r="D84" s="29" t="n"/>
      <c r="E84" s="29" t="n"/>
      <c r="F84" s="29" t="n"/>
      <c r="G84" s="49" t="n"/>
    </row>
    <row r="85" ht="54" customHeight="1">
      <c r="A85" s="29" t="n"/>
      <c r="B85" s="29" t="n"/>
      <c r="C85" s="29" t="n"/>
      <c r="D85" s="29" t="n"/>
      <c r="E85" s="29" t="n"/>
      <c r="F85" s="29" t="n"/>
      <c r="G85" s="49" t="n"/>
    </row>
    <row r="86" ht="54" customHeight="1">
      <c r="A86" s="29" t="n"/>
      <c r="B86" s="29" t="n"/>
      <c r="C86" s="29" t="n"/>
      <c r="D86" s="29" t="n"/>
      <c r="E86" s="29" t="n"/>
      <c r="F86" s="29" t="n"/>
      <c r="G86" s="49" t="n"/>
    </row>
    <row r="87" ht="54" customHeight="1">
      <c r="A87" s="29" t="n"/>
      <c r="B87" s="29" t="n"/>
      <c r="C87" s="29" t="n"/>
      <c r="D87" s="29" t="n"/>
      <c r="E87" s="29" t="n"/>
      <c r="F87" s="29" t="n"/>
      <c r="G87" s="49" t="n"/>
    </row>
    <row r="88" ht="54" customHeight="1">
      <c r="A88" s="29" t="n"/>
      <c r="B88" s="29" t="n"/>
      <c r="C88" s="29" t="n"/>
      <c r="D88" s="29" t="n"/>
      <c r="E88" s="29" t="n"/>
      <c r="F88" s="29" t="n"/>
      <c r="G88" s="49" t="n"/>
    </row>
    <row r="89" ht="54" customHeight="1">
      <c r="A89" s="29" t="n"/>
      <c r="B89" s="29" t="n"/>
      <c r="C89" s="29" t="n"/>
      <c r="D89" s="29" t="n"/>
      <c r="E89" s="29" t="n"/>
      <c r="F89" s="29" t="n"/>
      <c r="G89" s="49" t="n"/>
    </row>
    <row r="90" ht="54" customHeight="1">
      <c r="A90" s="29" t="n"/>
      <c r="B90" s="29" t="n"/>
      <c r="C90" s="29" t="n"/>
      <c r="D90" s="29" t="n"/>
      <c r="E90" s="29" t="n"/>
      <c r="F90" s="29" t="n"/>
      <c r="G90" s="49" t="n"/>
    </row>
    <row r="91" ht="54" customHeight="1">
      <c r="A91" s="29" t="n"/>
      <c r="B91" s="29" t="n"/>
      <c r="C91" s="29" t="n"/>
      <c r="D91" s="29" t="n"/>
      <c r="E91" s="29" t="n"/>
      <c r="F91" s="29" t="n"/>
      <c r="G91" s="49" t="n"/>
    </row>
    <row r="92" ht="54" customHeight="1">
      <c r="A92" s="29" t="n"/>
      <c r="B92" s="29" t="n"/>
      <c r="C92" s="29" t="n"/>
      <c r="D92" s="29" t="n"/>
      <c r="E92" s="29" t="n"/>
      <c r="F92" s="29" t="n"/>
      <c r="G92" s="49" t="n"/>
    </row>
    <row r="93" ht="54" customHeight="1">
      <c r="A93" s="29" t="n"/>
      <c r="B93" s="29" t="n"/>
      <c r="C93" s="29" t="n"/>
      <c r="D93" s="29" t="n"/>
      <c r="E93" s="29" t="n"/>
      <c r="F93" s="29" t="n"/>
      <c r="G93" s="49" t="n"/>
    </row>
    <row r="94" ht="54" customHeight="1">
      <c r="A94" s="29" t="n"/>
      <c r="B94" s="29" t="n"/>
      <c r="C94" s="29" t="n"/>
      <c r="D94" s="29" t="n"/>
      <c r="E94" s="29" t="n"/>
      <c r="F94" s="29" t="n"/>
      <c r="G94" s="49" t="n"/>
    </row>
    <row r="95" ht="54" customHeight="1">
      <c r="A95" s="29" t="n"/>
      <c r="B95" s="29" t="n"/>
      <c r="C95" s="29" t="n"/>
      <c r="D95" s="29" t="n"/>
      <c r="E95" s="29" t="n"/>
      <c r="F95" s="29" t="n"/>
      <c r="G95" s="49" t="n"/>
    </row>
    <row r="96" ht="54" customHeight="1">
      <c r="A96" s="29" t="n"/>
      <c r="B96" s="29" t="n"/>
      <c r="C96" s="29" t="n"/>
      <c r="D96" s="29" t="n"/>
      <c r="E96" s="29" t="n"/>
      <c r="F96" s="29" t="n"/>
      <c r="G96" s="49" t="n"/>
    </row>
    <row r="97" ht="54" customHeight="1">
      <c r="A97" s="29" t="n"/>
      <c r="B97" s="29" t="n"/>
      <c r="C97" s="29" t="n"/>
      <c r="D97" s="29" t="n"/>
      <c r="E97" s="29" t="n"/>
      <c r="F97" s="29" t="n"/>
      <c r="G97" s="49" t="n"/>
    </row>
    <row r="98" ht="54" customHeight="1">
      <c r="A98" s="29" t="n"/>
      <c r="B98" s="29" t="n"/>
      <c r="C98" s="29" t="n"/>
      <c r="D98" s="29" t="n"/>
      <c r="E98" s="29" t="n"/>
      <c r="F98" s="29" t="n"/>
      <c r="G98" s="49" t="n"/>
    </row>
    <row r="99" ht="54" customHeight="1">
      <c r="A99" s="29" t="n"/>
      <c r="B99" s="29" t="n"/>
      <c r="C99" s="29" t="n"/>
      <c r="D99" s="29" t="n"/>
      <c r="E99" s="29" t="n"/>
      <c r="F99" s="29" t="n"/>
      <c r="G99" s="49" t="n"/>
    </row>
    <row r="100" ht="54" customHeight="1">
      <c r="A100" s="29" t="n"/>
      <c r="B100" s="29" t="n"/>
      <c r="C100" s="29" t="n"/>
      <c r="D100" s="29" t="n"/>
      <c r="E100" s="29" t="n"/>
      <c r="F100" s="29" t="n"/>
      <c r="G100" s="49" t="n"/>
    </row>
    <row r="101" ht="54" customHeight="1">
      <c r="A101" s="29" t="n"/>
      <c r="B101" s="29" t="n"/>
      <c r="C101" s="29" t="n"/>
      <c r="D101" s="29" t="n"/>
      <c r="E101" s="29" t="n"/>
      <c r="F101" s="29" t="n"/>
      <c r="G101" s="49" t="n"/>
    </row>
    <row r="102" ht="54" customHeight="1">
      <c r="A102" s="29" t="n"/>
      <c r="B102" s="29" t="n"/>
      <c r="C102" s="29" t="n"/>
      <c r="D102" s="29" t="n"/>
      <c r="E102" s="29" t="n"/>
      <c r="F102" s="29" t="n"/>
      <c r="G102" s="49" t="n"/>
    </row>
    <row r="103" ht="54" customHeight="1">
      <c r="A103" s="29" t="n"/>
      <c r="B103" s="29" t="n"/>
      <c r="C103" s="29" t="n"/>
      <c r="D103" s="29" t="n"/>
      <c r="E103" s="29" t="n"/>
      <c r="F103" s="29" t="n"/>
      <c r="G103" s="49" t="n"/>
    </row>
    <row r="104" ht="54" customHeight="1">
      <c r="A104" s="29" t="n"/>
      <c r="B104" s="29" t="n"/>
      <c r="C104" s="29" t="n"/>
      <c r="D104" s="29" t="n"/>
      <c r="E104" s="29" t="n"/>
      <c r="F104" s="29" t="n"/>
      <c r="G104" s="49" t="n"/>
    </row>
    <row r="105" ht="54" customHeight="1">
      <c r="A105" s="29" t="n"/>
      <c r="B105" s="29" t="n"/>
      <c r="C105" s="29" t="n"/>
      <c r="D105" s="29" t="n"/>
      <c r="E105" s="29" t="n"/>
      <c r="F105" s="29" t="n"/>
      <c r="G105" s="49" t="n"/>
    </row>
    <row r="106" ht="54" customHeight="1">
      <c r="A106" s="29" t="n"/>
      <c r="B106" s="29" t="n"/>
      <c r="C106" s="29" t="n"/>
      <c r="D106" s="29" t="n"/>
      <c r="E106" s="29" t="n"/>
      <c r="F106" s="29" t="n"/>
      <c r="G106" s="49" t="n"/>
    </row>
    <row r="107" ht="54" customHeight="1">
      <c r="A107" s="29" t="n"/>
      <c r="B107" s="29" t="n"/>
      <c r="C107" s="29" t="n"/>
      <c r="D107" s="29" t="n"/>
      <c r="E107" s="29" t="n"/>
      <c r="F107" s="29" t="n"/>
      <c r="G107" s="49" t="n"/>
    </row>
    <row r="108" ht="54" customHeight="1">
      <c r="A108" s="29" t="n"/>
      <c r="B108" s="29" t="n"/>
      <c r="C108" s="29" t="n"/>
      <c r="D108" s="29" t="n"/>
      <c r="E108" s="29" t="n"/>
      <c r="F108" s="29" t="n"/>
      <c r="G108" s="49" t="n"/>
    </row>
    <row r="109" ht="54" customHeight="1">
      <c r="A109" s="29" t="n"/>
      <c r="B109" s="29" t="n"/>
      <c r="C109" s="29" t="n"/>
      <c r="D109" s="29" t="n"/>
      <c r="E109" s="29" t="n"/>
      <c r="F109" s="29" t="n"/>
      <c r="G109" s="49" t="n"/>
    </row>
    <row r="110" ht="54" customHeight="1">
      <c r="A110" s="29" t="n"/>
      <c r="B110" s="29" t="n"/>
      <c r="C110" s="29" t="n"/>
      <c r="D110" s="29" t="n"/>
      <c r="E110" s="29" t="n"/>
      <c r="F110" s="29" t="n"/>
      <c r="G110" s="49" t="n"/>
    </row>
    <row r="111" ht="54" customHeight="1">
      <c r="A111" s="29" t="n"/>
      <c r="B111" s="29" t="n"/>
      <c r="C111" s="29" t="n"/>
      <c r="D111" s="29" t="n"/>
      <c r="E111" s="29" t="n"/>
      <c r="F111" s="29" t="n"/>
      <c r="G111" s="49" t="n"/>
    </row>
    <row r="112" ht="54" customHeight="1">
      <c r="A112" s="29" t="n"/>
      <c r="B112" s="29" t="n"/>
      <c r="C112" s="29" t="n"/>
      <c r="D112" s="29" t="n"/>
      <c r="E112" s="29" t="n"/>
      <c r="F112" s="29" t="n"/>
      <c r="G112" s="49" t="n"/>
    </row>
    <row r="113" ht="54" customHeight="1">
      <c r="A113" s="29" t="n"/>
      <c r="B113" s="29" t="n"/>
      <c r="C113" s="29" t="n"/>
      <c r="D113" s="29" t="n"/>
      <c r="E113" s="29" t="n"/>
      <c r="F113" s="29" t="n"/>
      <c r="G113" s="49" t="n"/>
    </row>
    <row r="114" ht="54" customHeight="1">
      <c r="A114" s="29" t="n"/>
      <c r="B114" s="29" t="n"/>
      <c r="C114" s="29" t="n"/>
      <c r="D114" s="29" t="n"/>
      <c r="E114" s="29" t="n"/>
      <c r="F114" s="29" t="n"/>
      <c r="G114" s="49" t="n"/>
    </row>
    <row r="115" ht="54" customHeight="1">
      <c r="A115" s="29" t="n"/>
      <c r="B115" s="29" t="n"/>
      <c r="C115" s="29" t="n"/>
      <c r="D115" s="29" t="n"/>
      <c r="E115" s="29" t="n"/>
      <c r="F115" s="29" t="n"/>
      <c r="G115" s="49" t="n"/>
    </row>
    <row r="116" ht="54" customHeight="1">
      <c r="A116" s="29" t="n"/>
      <c r="B116" s="29" t="n"/>
      <c r="C116" s="29" t="n"/>
      <c r="D116" s="29" t="n"/>
      <c r="E116" s="29" t="n"/>
      <c r="F116" s="29" t="n"/>
      <c r="G116" s="49" t="n"/>
    </row>
    <row r="117" ht="54" customHeight="1">
      <c r="A117" s="29" t="n"/>
      <c r="B117" s="29" t="n"/>
      <c r="C117" s="29" t="n"/>
      <c r="D117" s="29" t="n"/>
      <c r="E117" s="29" t="n"/>
      <c r="F117" s="29" t="n"/>
      <c r="G117" s="49" t="n"/>
    </row>
    <row r="118" ht="54" customHeight="1">
      <c r="A118" s="29" t="n"/>
      <c r="B118" s="29" t="n"/>
      <c r="C118" s="29" t="n"/>
      <c r="D118" s="29" t="n"/>
      <c r="E118" s="29" t="n"/>
      <c r="F118" s="29" t="n"/>
      <c r="G118" s="49" t="n"/>
    </row>
    <row r="119" ht="54" customHeight="1">
      <c r="A119" s="29" t="n"/>
      <c r="B119" s="29" t="n"/>
      <c r="C119" s="29" t="n"/>
      <c r="D119" s="29" t="n"/>
      <c r="E119" s="29" t="n"/>
      <c r="F119" s="29" t="n"/>
      <c r="G119" s="49" t="n"/>
    </row>
    <row r="120" ht="54" customHeight="1">
      <c r="A120" s="29" t="n"/>
      <c r="B120" s="29" t="n"/>
      <c r="C120" s="29" t="n"/>
      <c r="D120" s="29" t="n"/>
      <c r="E120" s="29" t="n"/>
      <c r="F120" s="29" t="n"/>
      <c r="G120" s="49" t="n"/>
    </row>
    <row r="121" ht="54" customHeight="1">
      <c r="A121" s="29" t="n"/>
      <c r="B121" s="29" t="n"/>
      <c r="C121" s="29" t="n"/>
      <c r="D121" s="29" t="n"/>
      <c r="E121" s="29" t="n"/>
      <c r="F121" s="29" t="n"/>
      <c r="G121" s="49" t="n"/>
    </row>
    <row r="122" ht="54" customHeight="1">
      <c r="A122" s="29" t="n"/>
      <c r="B122" s="29" t="n"/>
      <c r="C122" s="29" t="n"/>
      <c r="D122" s="29" t="n"/>
      <c r="E122" s="29" t="n"/>
      <c r="F122" s="29" t="n"/>
      <c r="G122" s="49" t="n"/>
    </row>
    <row r="123" ht="54" customHeight="1">
      <c r="A123" s="29" t="n"/>
      <c r="B123" s="29" t="n"/>
      <c r="C123" s="29" t="n"/>
      <c r="D123" s="29" t="n"/>
      <c r="E123" s="29" t="n"/>
      <c r="F123" s="29" t="n"/>
      <c r="G123" s="49" t="n"/>
    </row>
    <row r="124" ht="54" customHeight="1">
      <c r="A124" s="29" t="n"/>
      <c r="B124" s="29" t="n"/>
      <c r="C124" s="29" t="n"/>
      <c r="D124" s="29" t="n"/>
      <c r="E124" s="29" t="n"/>
      <c r="F124" s="29" t="n"/>
      <c r="G124" s="49" t="n"/>
    </row>
    <row r="125" ht="54" customHeight="1">
      <c r="A125" s="29" t="n"/>
      <c r="B125" s="29" t="n"/>
      <c r="C125" s="29" t="n"/>
      <c r="D125" s="29" t="n"/>
      <c r="E125" s="29" t="n"/>
      <c r="F125" s="29" t="n"/>
      <c r="G125" s="49" t="n"/>
    </row>
    <row r="126" ht="54" customHeight="1">
      <c r="A126" s="29" t="n"/>
      <c r="B126" s="29" t="n"/>
      <c r="C126" s="29" t="n"/>
      <c r="D126" s="29" t="n"/>
      <c r="E126" s="29" t="n"/>
      <c r="F126" s="29" t="n"/>
      <c r="G126" s="49" t="n"/>
    </row>
    <row r="127" ht="54" customHeight="1">
      <c r="A127" s="29" t="n"/>
      <c r="B127" s="29" t="n"/>
      <c r="C127" s="29" t="n"/>
      <c r="D127" s="29" t="n"/>
      <c r="E127" s="29" t="n"/>
      <c r="F127" s="29" t="n"/>
      <c r="G127" s="49" t="n"/>
    </row>
  </sheetData>
  <mergeCells count="1">
    <mergeCell ref="A3:G3"/>
  </mergeCells>
  <conditionalFormatting sqref="A8:A127">
    <cfRule type="expression" priority="1" dxfId="1">
      <formula>AND($A8&lt;&gt;"",ISBLANK(A8))</formula>
    </cfRule>
  </conditionalFormatting>
  <conditionalFormatting sqref="B8:B127">
    <cfRule type="expression" priority="2" dxfId="1">
      <formula>AND($A8&lt;&gt;"",ISBLANK(B8))</formula>
    </cfRule>
  </conditionalFormatting>
  <conditionalFormatting sqref="C8:C127">
    <cfRule type="expression" priority="3" dxfId="1">
      <formula>AND($A8&lt;&gt;"",ISBLANK(C8))</formula>
    </cfRule>
  </conditionalFormatting>
  <conditionalFormatting sqref="D8:D127">
    <cfRule type="expression" priority="4" dxfId="1">
      <formula>AND($A8&lt;&gt;"",ISBLANK(D8))</formula>
    </cfRule>
  </conditionalFormatting>
  <conditionalFormatting sqref="E8:E127">
    <cfRule type="expression" priority="5" dxfId="1">
      <formula>AND($A8&lt;&gt;"",ISBLANK(E8))</formula>
    </cfRule>
  </conditionalFormatting>
  <conditionalFormatting sqref="F8:F127">
    <cfRule type="expression" priority="6" dxfId="1">
      <formula>AND($A8&lt;&gt;"",ISBLANK(F8))</formula>
    </cfRule>
  </conditionalFormatting>
  <conditionalFormatting sqref="G8:G127">
    <cfRule type="expression" priority="7" dxfId="1">
      <formula>AND($A8&lt;&gt;"",ISBLANK(G8))</formula>
    </cfRule>
  </conditionalFormatting>
  <dataValidations count="1">
    <dataValidation sqref="E8:E127" showDropDown="0" showInputMessage="0" showErrorMessage="0" allowBlank="0" type="list">
      <formula1>"Metin,Sayı,Mantıksal,JSON"</formula1>
    </dataValidation>
  </dataValidations>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G2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32" customWidth="1" min="4" max="4"/>
    <col width="28" customWidth="1" min="5" max="5"/>
    <col width="28" customWidth="1" min="6" max="6"/>
    <col width="58" customWidth="1" min="7" max="7"/>
  </cols>
  <sheetData>
    <row r="1" ht="30" customHeight="1">
      <c r="A1" s="2" t="n"/>
      <c r="B1" s="2" t="n"/>
      <c r="C1" s="2" t="n"/>
      <c r="D1" s="2" t="n"/>
      <c r="E1" s="2" t="n"/>
      <c r="F1" s="2" t="n"/>
      <c r="G1" s="2" t="n"/>
    </row>
    <row r="2" ht="30" customHeight="1">
      <c r="A2" s="19" t="inlineStr">
        <is>
          <t>Corteqs · Ek kart alanları</t>
        </is>
      </c>
      <c r="B2" s="2" t="n"/>
      <c r="C2" s="2" t="n"/>
      <c r="D2" s="2" t="n"/>
      <c r="E2" s="2" t="n"/>
      <c r="F2" s="2" t="n"/>
      <c r="G2" s="2" t="n"/>
    </row>
    <row r="3" ht="36" customHeight="1">
      <c r="A3" s="20" t="inlineStr">
        <is>
          <t>Türkçe başlığı okuyun; veriyi 8. satırdan yazın. 7. satırdaki alan adını ve sayfa adını değiştirmeyin.</t>
        </is>
      </c>
    </row>
    <row r="4" ht="30" customHeight="1">
      <c r="A4" s="21" t="n"/>
      <c r="B4" s="21" t="n"/>
      <c r="C4" s="21" t="n"/>
      <c r="D4" s="21" t="n"/>
      <c r="E4" s="21" t="n"/>
      <c r="F4" s="21" t="n"/>
      <c r="G4" s="21" t="n"/>
    </row>
    <row r="5" ht="26" customHeight="1">
      <c r="A5" s="22" t="inlineStr">
        <is>
          <t>Zorunlu</t>
        </is>
      </c>
      <c r="B5" s="22" t="inlineStr">
        <is>
          <t>Zorunlu</t>
        </is>
      </c>
      <c r="C5" s="22" t="inlineStr">
        <is>
          <t>Zorunlu</t>
        </is>
      </c>
      <c r="D5" s="22" t="inlineStr">
        <is>
          <t>Zorunlu</t>
        </is>
      </c>
      <c r="E5" s="22" t="inlineStr">
        <is>
          <t>Zorunlu</t>
        </is>
      </c>
      <c r="F5" s="22" t="inlineStr">
        <is>
          <t>Zorunlu</t>
        </is>
      </c>
      <c r="G5" s="22" t="inlineStr">
        <is>
          <t>Zorunlu</t>
        </is>
      </c>
    </row>
    <row r="6" ht="44" customHeight="1">
      <c r="A6" s="25" t="inlineStr">
        <is>
          <t>Detay kimliği</t>
        </is>
      </c>
      <c r="B6" s="25" t="inlineStr">
        <is>
          <t>Şehir kimliği</t>
        </is>
      </c>
      <c r="C6" s="25" t="inlineStr">
        <is>
          <t>İçerik kimliği</t>
        </is>
      </c>
      <c r="D6" s="25" t="inlineStr">
        <is>
          <t>Detay anahtarı</t>
        </is>
      </c>
      <c r="E6" s="25" t="inlineStr">
        <is>
          <t>Türkçe alan açıklaması</t>
        </is>
      </c>
      <c r="F6" s="25" t="inlineStr">
        <is>
          <t>Değer türü</t>
        </is>
      </c>
      <c r="G6" s="25" t="inlineStr">
        <is>
          <t>Alan değeri</t>
        </is>
      </c>
    </row>
    <row r="7" ht="32" customHeight="1">
      <c r="A7" s="28" t="inlineStr">
        <is>
          <t>detail_id</t>
        </is>
      </c>
      <c r="B7" s="28" t="inlineStr">
        <is>
          <t>city_id</t>
        </is>
      </c>
      <c r="C7" s="28" t="inlineStr">
        <is>
          <t>entry_id</t>
        </is>
      </c>
      <c r="D7" s="28" t="inlineStr">
        <is>
          <t>key</t>
        </is>
      </c>
      <c r="E7" s="28" t="inlineStr">
        <is>
          <t>label</t>
        </is>
      </c>
      <c r="F7" s="28" t="inlineStr">
        <is>
          <t>value_type</t>
        </is>
      </c>
      <c r="G7" s="28" t="inlineStr">
        <is>
          <t>value</t>
        </is>
      </c>
    </row>
    <row r="8" ht="54" customHeight="1">
      <c r="A8" s="29" t="n"/>
      <c r="B8" s="29" t="n"/>
      <c r="C8" s="29" t="n"/>
      <c r="D8" s="29" t="n"/>
      <c r="E8" s="29" t="n"/>
      <c r="F8" s="29" t="n"/>
      <c r="G8" s="29" t="n"/>
    </row>
    <row r="9" ht="54" customHeight="1">
      <c r="A9" s="29" t="n"/>
      <c r="B9" s="29" t="n"/>
      <c r="C9" s="29" t="n"/>
      <c r="D9" s="29" t="n"/>
      <c r="E9" s="29" t="n"/>
      <c r="F9" s="29" t="n"/>
      <c r="G9" s="29" t="n"/>
    </row>
    <row r="10" ht="54" customHeight="1">
      <c r="A10" s="29" t="n"/>
      <c r="B10" s="29" t="n"/>
      <c r="C10" s="29" t="n"/>
      <c r="D10" s="29" t="n"/>
      <c r="E10" s="29" t="n"/>
      <c r="F10" s="29" t="n"/>
      <c r="G10" s="29" t="n"/>
    </row>
    <row r="11" ht="54" customHeight="1">
      <c r="A11" s="29" t="n"/>
      <c r="B11" s="29" t="n"/>
      <c r="C11" s="29" t="n"/>
      <c r="D11" s="29" t="n"/>
      <c r="E11" s="29" t="n"/>
      <c r="F11" s="29" t="n"/>
      <c r="G11" s="29" t="n"/>
    </row>
    <row r="12" ht="54" customHeight="1">
      <c r="A12" s="29" t="n"/>
      <c r="B12" s="29" t="n"/>
      <c r="C12" s="29" t="n"/>
      <c r="D12" s="29" t="n"/>
      <c r="E12" s="29" t="n"/>
      <c r="F12" s="29" t="n"/>
      <c r="G12" s="29" t="n"/>
    </row>
    <row r="13" ht="54" customHeight="1">
      <c r="A13" s="29" t="n"/>
      <c r="B13" s="29" t="n"/>
      <c r="C13" s="29" t="n"/>
      <c r="D13" s="29" t="n"/>
      <c r="E13" s="29" t="n"/>
      <c r="F13" s="29" t="n"/>
      <c r="G13" s="29" t="n"/>
    </row>
    <row r="14" ht="54" customHeight="1">
      <c r="A14" s="29" t="n"/>
      <c r="B14" s="29" t="n"/>
      <c r="C14" s="29" t="n"/>
      <c r="D14" s="29" t="n"/>
      <c r="E14" s="29" t="n"/>
      <c r="F14" s="29" t="n"/>
      <c r="G14" s="29" t="n"/>
    </row>
    <row r="15" ht="54" customHeight="1">
      <c r="A15" s="29" t="n"/>
      <c r="B15" s="29" t="n"/>
      <c r="C15" s="29" t="n"/>
      <c r="D15" s="29" t="n"/>
      <c r="E15" s="29" t="n"/>
      <c r="F15" s="29" t="n"/>
      <c r="G15" s="29" t="n"/>
    </row>
    <row r="16" ht="54" customHeight="1">
      <c r="A16" s="29" t="n"/>
      <c r="B16" s="29" t="n"/>
      <c r="C16" s="29" t="n"/>
      <c r="D16" s="29" t="n"/>
      <c r="E16" s="29" t="n"/>
      <c r="F16" s="29" t="n"/>
      <c r="G16" s="29" t="n"/>
    </row>
    <row r="17" ht="54" customHeight="1">
      <c r="A17" s="29" t="n"/>
      <c r="B17" s="29" t="n"/>
      <c r="C17" s="29" t="n"/>
      <c r="D17" s="29" t="n"/>
      <c r="E17" s="29" t="n"/>
      <c r="F17" s="29" t="n"/>
      <c r="G17" s="29" t="n"/>
    </row>
    <row r="18" ht="54" customHeight="1">
      <c r="A18" s="29" t="n"/>
      <c r="B18" s="29" t="n"/>
      <c r="C18" s="29" t="n"/>
      <c r="D18" s="29" t="n"/>
      <c r="E18" s="29" t="n"/>
      <c r="F18" s="29" t="n"/>
      <c r="G18" s="29" t="n"/>
    </row>
    <row r="19" ht="54" customHeight="1">
      <c r="A19" s="29" t="n"/>
      <c r="B19" s="29" t="n"/>
      <c r="C19" s="29" t="n"/>
      <c r="D19" s="29" t="n"/>
      <c r="E19" s="29" t="n"/>
      <c r="F19" s="29" t="n"/>
      <c r="G19" s="29" t="n"/>
    </row>
    <row r="20" ht="54" customHeight="1">
      <c r="A20" s="29" t="n"/>
      <c r="B20" s="29" t="n"/>
      <c r="C20" s="29" t="n"/>
      <c r="D20" s="29" t="n"/>
      <c r="E20" s="29" t="n"/>
      <c r="F20" s="29" t="n"/>
      <c r="G20" s="29" t="n"/>
    </row>
    <row r="21" ht="54" customHeight="1">
      <c r="A21" s="29" t="n"/>
      <c r="B21" s="29" t="n"/>
      <c r="C21" s="29" t="n"/>
      <c r="D21" s="29" t="n"/>
      <c r="E21" s="29" t="n"/>
      <c r="F21" s="29" t="n"/>
      <c r="G21" s="29" t="n"/>
    </row>
    <row r="22" ht="54" customHeight="1">
      <c r="A22" s="29" t="n"/>
      <c r="B22" s="29" t="n"/>
      <c r="C22" s="29" t="n"/>
      <c r="D22" s="29" t="n"/>
      <c r="E22" s="29" t="n"/>
      <c r="F22" s="29" t="n"/>
      <c r="G22" s="29" t="n"/>
    </row>
    <row r="23" ht="54" customHeight="1">
      <c r="A23" s="29" t="n"/>
      <c r="B23" s="29" t="n"/>
      <c r="C23" s="29" t="n"/>
      <c r="D23" s="29" t="n"/>
      <c r="E23" s="29" t="n"/>
      <c r="F23" s="29" t="n"/>
      <c r="G23" s="29" t="n"/>
    </row>
    <row r="24" ht="54" customHeight="1">
      <c r="A24" s="29" t="n"/>
      <c r="B24" s="29" t="n"/>
      <c r="C24" s="29" t="n"/>
      <c r="D24" s="29" t="n"/>
      <c r="E24" s="29" t="n"/>
      <c r="F24" s="29" t="n"/>
      <c r="G24" s="29" t="n"/>
    </row>
    <row r="25" ht="54" customHeight="1">
      <c r="A25" s="29" t="n"/>
      <c r="B25" s="29" t="n"/>
      <c r="C25" s="29" t="n"/>
      <c r="D25" s="29" t="n"/>
      <c r="E25" s="29" t="n"/>
      <c r="F25" s="29" t="n"/>
      <c r="G25" s="29" t="n"/>
    </row>
    <row r="26" ht="54" customHeight="1">
      <c r="A26" s="29" t="n"/>
      <c r="B26" s="29" t="n"/>
      <c r="C26" s="29" t="n"/>
      <c r="D26" s="29" t="n"/>
      <c r="E26" s="29" t="n"/>
      <c r="F26" s="29" t="n"/>
      <c r="G26" s="29" t="n"/>
    </row>
    <row r="27" ht="54" customHeight="1">
      <c r="A27" s="29" t="n"/>
      <c r="B27" s="29" t="n"/>
      <c r="C27" s="29" t="n"/>
      <c r="D27" s="29" t="n"/>
      <c r="E27" s="29" t="n"/>
      <c r="F27" s="29" t="n"/>
      <c r="G27" s="29" t="n"/>
    </row>
    <row r="28" ht="54" customHeight="1">
      <c r="A28" s="29" t="n"/>
      <c r="B28" s="29" t="n"/>
      <c r="C28" s="29" t="n"/>
      <c r="D28" s="29" t="n"/>
      <c r="E28" s="29" t="n"/>
      <c r="F28" s="29" t="n"/>
      <c r="G28" s="29" t="n"/>
    </row>
    <row r="29" ht="54" customHeight="1">
      <c r="A29" s="29" t="n"/>
      <c r="B29" s="29" t="n"/>
      <c r="C29" s="29" t="n"/>
      <c r="D29" s="29" t="n"/>
      <c r="E29" s="29" t="n"/>
      <c r="F29" s="29" t="n"/>
      <c r="G29" s="29" t="n"/>
    </row>
    <row r="30" ht="54" customHeight="1">
      <c r="A30" s="29" t="n"/>
      <c r="B30" s="29" t="n"/>
      <c r="C30" s="29" t="n"/>
      <c r="D30" s="29" t="n"/>
      <c r="E30" s="29" t="n"/>
      <c r="F30" s="29" t="n"/>
      <c r="G30" s="29" t="n"/>
    </row>
    <row r="31" ht="54" customHeight="1">
      <c r="A31" s="29" t="n"/>
      <c r="B31" s="29" t="n"/>
      <c r="C31" s="29" t="n"/>
      <c r="D31" s="29" t="n"/>
      <c r="E31" s="29" t="n"/>
      <c r="F31" s="29" t="n"/>
      <c r="G31" s="29" t="n"/>
    </row>
    <row r="32" ht="54" customHeight="1">
      <c r="A32" s="29" t="n"/>
      <c r="B32" s="29" t="n"/>
      <c r="C32" s="29" t="n"/>
      <c r="D32" s="29" t="n"/>
      <c r="E32" s="29" t="n"/>
      <c r="F32" s="29" t="n"/>
      <c r="G32" s="29" t="n"/>
    </row>
    <row r="33" ht="54" customHeight="1">
      <c r="A33" s="29" t="n"/>
      <c r="B33" s="29" t="n"/>
      <c r="C33" s="29" t="n"/>
      <c r="D33" s="29" t="n"/>
      <c r="E33" s="29" t="n"/>
      <c r="F33" s="29" t="n"/>
      <c r="G33" s="29" t="n"/>
    </row>
    <row r="34" ht="54" customHeight="1">
      <c r="A34" s="29" t="n"/>
      <c r="B34" s="29" t="n"/>
      <c r="C34" s="29" t="n"/>
      <c r="D34" s="29" t="n"/>
      <c r="E34" s="29" t="n"/>
      <c r="F34" s="29" t="n"/>
      <c r="G34" s="29" t="n"/>
    </row>
    <row r="35" ht="54" customHeight="1">
      <c r="A35" s="29" t="n"/>
      <c r="B35" s="29" t="n"/>
      <c r="C35" s="29" t="n"/>
      <c r="D35" s="29" t="n"/>
      <c r="E35" s="29" t="n"/>
      <c r="F35" s="29" t="n"/>
      <c r="G35" s="29" t="n"/>
    </row>
    <row r="36" ht="54" customHeight="1">
      <c r="A36" s="29" t="n"/>
      <c r="B36" s="29" t="n"/>
      <c r="C36" s="29" t="n"/>
      <c r="D36" s="29" t="n"/>
      <c r="E36" s="29" t="n"/>
      <c r="F36" s="29" t="n"/>
      <c r="G36" s="29" t="n"/>
    </row>
    <row r="37" ht="54" customHeight="1">
      <c r="A37" s="29" t="n"/>
      <c r="B37" s="29" t="n"/>
      <c r="C37" s="29" t="n"/>
      <c r="D37" s="29" t="n"/>
      <c r="E37" s="29" t="n"/>
      <c r="F37" s="29" t="n"/>
      <c r="G37" s="29" t="n"/>
    </row>
    <row r="38" ht="54" customHeight="1">
      <c r="A38" s="29" t="n"/>
      <c r="B38" s="29" t="n"/>
      <c r="C38" s="29" t="n"/>
      <c r="D38" s="29" t="n"/>
      <c r="E38" s="29" t="n"/>
      <c r="F38" s="29" t="n"/>
      <c r="G38" s="29" t="n"/>
    </row>
    <row r="39" ht="54" customHeight="1">
      <c r="A39" s="29" t="n"/>
      <c r="B39" s="29" t="n"/>
      <c r="C39" s="29" t="n"/>
      <c r="D39" s="29" t="n"/>
      <c r="E39" s="29" t="n"/>
      <c r="F39" s="29" t="n"/>
      <c r="G39" s="29" t="n"/>
    </row>
    <row r="40" ht="54" customHeight="1">
      <c r="A40" s="29" t="n"/>
      <c r="B40" s="29" t="n"/>
      <c r="C40" s="29" t="n"/>
      <c r="D40" s="29" t="n"/>
      <c r="E40" s="29" t="n"/>
      <c r="F40" s="29" t="n"/>
      <c r="G40" s="29" t="n"/>
    </row>
    <row r="41" ht="54" customHeight="1">
      <c r="A41" s="29" t="n"/>
      <c r="B41" s="29" t="n"/>
      <c r="C41" s="29" t="n"/>
      <c r="D41" s="29" t="n"/>
      <c r="E41" s="29" t="n"/>
      <c r="F41" s="29" t="n"/>
      <c r="G41" s="29" t="n"/>
    </row>
    <row r="42" ht="54" customHeight="1">
      <c r="A42" s="29" t="n"/>
      <c r="B42" s="29" t="n"/>
      <c r="C42" s="29" t="n"/>
      <c r="D42" s="29" t="n"/>
      <c r="E42" s="29" t="n"/>
      <c r="F42" s="29" t="n"/>
      <c r="G42" s="29" t="n"/>
    </row>
    <row r="43" ht="54" customHeight="1">
      <c r="A43" s="29" t="n"/>
      <c r="B43" s="29" t="n"/>
      <c r="C43" s="29" t="n"/>
      <c r="D43" s="29" t="n"/>
      <c r="E43" s="29" t="n"/>
      <c r="F43" s="29" t="n"/>
      <c r="G43" s="29" t="n"/>
    </row>
    <row r="44" ht="54" customHeight="1">
      <c r="A44" s="29" t="n"/>
      <c r="B44" s="29" t="n"/>
      <c r="C44" s="29" t="n"/>
      <c r="D44" s="29" t="n"/>
      <c r="E44" s="29" t="n"/>
      <c r="F44" s="29" t="n"/>
      <c r="G44" s="29" t="n"/>
    </row>
    <row r="45" ht="54" customHeight="1">
      <c r="A45" s="29" t="n"/>
      <c r="B45" s="29" t="n"/>
      <c r="C45" s="29" t="n"/>
      <c r="D45" s="29" t="n"/>
      <c r="E45" s="29" t="n"/>
      <c r="F45" s="29" t="n"/>
      <c r="G45" s="29" t="n"/>
    </row>
    <row r="46" ht="54" customHeight="1">
      <c r="A46" s="29" t="n"/>
      <c r="B46" s="29" t="n"/>
      <c r="C46" s="29" t="n"/>
      <c r="D46" s="29" t="n"/>
      <c r="E46" s="29" t="n"/>
      <c r="F46" s="29" t="n"/>
      <c r="G46" s="29" t="n"/>
    </row>
    <row r="47" ht="54" customHeight="1">
      <c r="A47" s="29" t="n"/>
      <c r="B47" s="29" t="n"/>
      <c r="C47" s="29" t="n"/>
      <c r="D47" s="29" t="n"/>
      <c r="E47" s="29" t="n"/>
      <c r="F47" s="29" t="n"/>
      <c r="G47" s="29" t="n"/>
    </row>
    <row r="48" ht="54" customHeight="1">
      <c r="A48" s="29" t="n"/>
      <c r="B48" s="29" t="n"/>
      <c r="C48" s="29" t="n"/>
      <c r="D48" s="29" t="n"/>
      <c r="E48" s="29" t="n"/>
      <c r="F48" s="29" t="n"/>
      <c r="G48" s="29" t="n"/>
    </row>
    <row r="49" ht="54" customHeight="1">
      <c r="A49" s="29" t="n"/>
      <c r="B49" s="29" t="n"/>
      <c r="C49" s="29" t="n"/>
      <c r="D49" s="29" t="n"/>
      <c r="E49" s="29" t="n"/>
      <c r="F49" s="29" t="n"/>
      <c r="G49" s="29" t="n"/>
    </row>
    <row r="50" ht="54" customHeight="1">
      <c r="A50" s="29" t="n"/>
      <c r="B50" s="29" t="n"/>
      <c r="C50" s="29" t="n"/>
      <c r="D50" s="29" t="n"/>
      <c r="E50" s="29" t="n"/>
      <c r="F50" s="29" t="n"/>
      <c r="G50" s="29" t="n"/>
    </row>
    <row r="51" ht="54" customHeight="1">
      <c r="A51" s="29" t="n"/>
      <c r="B51" s="29" t="n"/>
      <c r="C51" s="29" t="n"/>
      <c r="D51" s="29" t="n"/>
      <c r="E51" s="29" t="n"/>
      <c r="F51" s="29" t="n"/>
      <c r="G51" s="29" t="n"/>
    </row>
    <row r="52" ht="54" customHeight="1">
      <c r="A52" s="29" t="n"/>
      <c r="B52" s="29" t="n"/>
      <c r="C52" s="29" t="n"/>
      <c r="D52" s="29" t="n"/>
      <c r="E52" s="29" t="n"/>
      <c r="F52" s="29" t="n"/>
      <c r="G52" s="29" t="n"/>
    </row>
    <row r="53" ht="54" customHeight="1">
      <c r="A53" s="29" t="n"/>
      <c r="B53" s="29" t="n"/>
      <c r="C53" s="29" t="n"/>
      <c r="D53" s="29" t="n"/>
      <c r="E53" s="29" t="n"/>
      <c r="F53" s="29" t="n"/>
      <c r="G53" s="29" t="n"/>
    </row>
    <row r="54" ht="54" customHeight="1">
      <c r="A54" s="29" t="n"/>
      <c r="B54" s="29" t="n"/>
      <c r="C54" s="29" t="n"/>
      <c r="D54" s="29" t="n"/>
      <c r="E54" s="29" t="n"/>
      <c r="F54" s="29" t="n"/>
      <c r="G54" s="29" t="n"/>
    </row>
    <row r="55" ht="54" customHeight="1">
      <c r="A55" s="29" t="n"/>
      <c r="B55" s="29" t="n"/>
      <c r="C55" s="29" t="n"/>
      <c r="D55" s="29" t="n"/>
      <c r="E55" s="29" t="n"/>
      <c r="F55" s="29" t="n"/>
      <c r="G55" s="29" t="n"/>
    </row>
    <row r="56" ht="54" customHeight="1">
      <c r="A56" s="29" t="n"/>
      <c r="B56" s="29" t="n"/>
      <c r="C56" s="29" t="n"/>
      <c r="D56" s="29" t="n"/>
      <c r="E56" s="29" t="n"/>
      <c r="F56" s="29" t="n"/>
      <c r="G56" s="29" t="n"/>
    </row>
    <row r="57" ht="54" customHeight="1">
      <c r="A57" s="29" t="n"/>
      <c r="B57" s="29" t="n"/>
      <c r="C57" s="29" t="n"/>
      <c r="D57" s="29" t="n"/>
      <c r="E57" s="29" t="n"/>
      <c r="F57" s="29" t="n"/>
      <c r="G57" s="29" t="n"/>
    </row>
    <row r="58" ht="54" customHeight="1">
      <c r="A58" s="29" t="n"/>
      <c r="B58" s="29" t="n"/>
      <c r="C58" s="29" t="n"/>
      <c r="D58" s="29" t="n"/>
      <c r="E58" s="29" t="n"/>
      <c r="F58" s="29" t="n"/>
      <c r="G58" s="29" t="n"/>
    </row>
    <row r="59" ht="54" customHeight="1">
      <c r="A59" s="29" t="n"/>
      <c r="B59" s="29" t="n"/>
      <c r="C59" s="29" t="n"/>
      <c r="D59" s="29" t="n"/>
      <c r="E59" s="29" t="n"/>
      <c r="F59" s="29" t="n"/>
      <c r="G59" s="29" t="n"/>
    </row>
    <row r="60" ht="54" customHeight="1">
      <c r="A60" s="29" t="n"/>
      <c r="B60" s="29" t="n"/>
      <c r="C60" s="29" t="n"/>
      <c r="D60" s="29" t="n"/>
      <c r="E60" s="29" t="n"/>
      <c r="F60" s="29" t="n"/>
      <c r="G60" s="29" t="n"/>
    </row>
    <row r="61" ht="54" customHeight="1">
      <c r="A61" s="29" t="n"/>
      <c r="B61" s="29" t="n"/>
      <c r="C61" s="29" t="n"/>
      <c r="D61" s="29" t="n"/>
      <c r="E61" s="29" t="n"/>
      <c r="F61" s="29" t="n"/>
      <c r="G61" s="29" t="n"/>
    </row>
    <row r="62" ht="54" customHeight="1">
      <c r="A62" s="29" t="n"/>
      <c r="B62" s="29" t="n"/>
      <c r="C62" s="29" t="n"/>
      <c r="D62" s="29" t="n"/>
      <c r="E62" s="29" t="n"/>
      <c r="F62" s="29" t="n"/>
      <c r="G62" s="29" t="n"/>
    </row>
    <row r="63" ht="54" customHeight="1">
      <c r="A63" s="29" t="n"/>
      <c r="B63" s="29" t="n"/>
      <c r="C63" s="29" t="n"/>
      <c r="D63" s="29" t="n"/>
      <c r="E63" s="29" t="n"/>
      <c r="F63" s="29" t="n"/>
      <c r="G63" s="29" t="n"/>
    </row>
    <row r="64" ht="54" customHeight="1">
      <c r="A64" s="29" t="n"/>
      <c r="B64" s="29" t="n"/>
      <c r="C64" s="29" t="n"/>
      <c r="D64" s="29" t="n"/>
      <c r="E64" s="29" t="n"/>
      <c r="F64" s="29" t="n"/>
      <c r="G64" s="29" t="n"/>
    </row>
    <row r="65" ht="54" customHeight="1">
      <c r="A65" s="29" t="n"/>
      <c r="B65" s="29" t="n"/>
      <c r="C65" s="29" t="n"/>
      <c r="D65" s="29" t="n"/>
      <c r="E65" s="29" t="n"/>
      <c r="F65" s="29" t="n"/>
      <c r="G65" s="29" t="n"/>
    </row>
    <row r="66" ht="54" customHeight="1">
      <c r="A66" s="29" t="n"/>
      <c r="B66" s="29" t="n"/>
      <c r="C66" s="29" t="n"/>
      <c r="D66" s="29" t="n"/>
      <c r="E66" s="29" t="n"/>
      <c r="F66" s="29" t="n"/>
      <c r="G66" s="29" t="n"/>
    </row>
    <row r="67" ht="54" customHeight="1">
      <c r="A67" s="29" t="n"/>
      <c r="B67" s="29" t="n"/>
      <c r="C67" s="29" t="n"/>
      <c r="D67" s="29" t="n"/>
      <c r="E67" s="29" t="n"/>
      <c r="F67" s="29" t="n"/>
      <c r="G67" s="29" t="n"/>
    </row>
    <row r="68" ht="54" customHeight="1">
      <c r="A68" s="29" t="n"/>
      <c r="B68" s="29" t="n"/>
      <c r="C68" s="29" t="n"/>
      <c r="D68" s="29" t="n"/>
      <c r="E68" s="29" t="n"/>
      <c r="F68" s="29" t="n"/>
      <c r="G68" s="29" t="n"/>
    </row>
    <row r="69" ht="54" customHeight="1">
      <c r="A69" s="29" t="n"/>
      <c r="B69" s="29" t="n"/>
      <c r="C69" s="29" t="n"/>
      <c r="D69" s="29" t="n"/>
      <c r="E69" s="29" t="n"/>
      <c r="F69" s="29" t="n"/>
      <c r="G69" s="29" t="n"/>
    </row>
    <row r="70" ht="54" customHeight="1">
      <c r="A70" s="29" t="n"/>
      <c r="B70" s="29" t="n"/>
      <c r="C70" s="29" t="n"/>
      <c r="D70" s="29" t="n"/>
      <c r="E70" s="29" t="n"/>
      <c r="F70" s="29" t="n"/>
      <c r="G70" s="29" t="n"/>
    </row>
    <row r="71" ht="54" customHeight="1">
      <c r="A71" s="29" t="n"/>
      <c r="B71" s="29" t="n"/>
      <c r="C71" s="29" t="n"/>
      <c r="D71" s="29" t="n"/>
      <c r="E71" s="29" t="n"/>
      <c r="F71" s="29" t="n"/>
      <c r="G71" s="29" t="n"/>
    </row>
    <row r="72" ht="54" customHeight="1">
      <c r="A72" s="29" t="n"/>
      <c r="B72" s="29" t="n"/>
      <c r="C72" s="29" t="n"/>
      <c r="D72" s="29" t="n"/>
      <c r="E72" s="29" t="n"/>
      <c r="F72" s="29" t="n"/>
      <c r="G72" s="29" t="n"/>
    </row>
    <row r="73" ht="54" customHeight="1">
      <c r="A73" s="29" t="n"/>
      <c r="B73" s="29" t="n"/>
      <c r="C73" s="29" t="n"/>
      <c r="D73" s="29" t="n"/>
      <c r="E73" s="29" t="n"/>
      <c r="F73" s="29" t="n"/>
      <c r="G73" s="29" t="n"/>
    </row>
    <row r="74" ht="54" customHeight="1">
      <c r="A74" s="29" t="n"/>
      <c r="B74" s="29" t="n"/>
      <c r="C74" s="29" t="n"/>
      <c r="D74" s="29" t="n"/>
      <c r="E74" s="29" t="n"/>
      <c r="F74" s="29" t="n"/>
      <c r="G74" s="29" t="n"/>
    </row>
    <row r="75" ht="54" customHeight="1">
      <c r="A75" s="29" t="n"/>
      <c r="B75" s="29" t="n"/>
      <c r="C75" s="29" t="n"/>
      <c r="D75" s="29" t="n"/>
      <c r="E75" s="29" t="n"/>
      <c r="F75" s="29" t="n"/>
      <c r="G75" s="29" t="n"/>
    </row>
    <row r="76" ht="54" customHeight="1">
      <c r="A76" s="29" t="n"/>
      <c r="B76" s="29" t="n"/>
      <c r="C76" s="29" t="n"/>
      <c r="D76" s="29" t="n"/>
      <c r="E76" s="29" t="n"/>
      <c r="F76" s="29" t="n"/>
      <c r="G76" s="29" t="n"/>
    </row>
    <row r="77" ht="54" customHeight="1">
      <c r="A77" s="29" t="n"/>
      <c r="B77" s="29" t="n"/>
      <c r="C77" s="29" t="n"/>
      <c r="D77" s="29" t="n"/>
      <c r="E77" s="29" t="n"/>
      <c r="F77" s="29" t="n"/>
      <c r="G77" s="29" t="n"/>
    </row>
    <row r="78" ht="54" customHeight="1">
      <c r="A78" s="29" t="n"/>
      <c r="B78" s="29" t="n"/>
      <c r="C78" s="29" t="n"/>
      <c r="D78" s="29" t="n"/>
      <c r="E78" s="29" t="n"/>
      <c r="F78" s="29" t="n"/>
      <c r="G78" s="29" t="n"/>
    </row>
    <row r="79" ht="54" customHeight="1">
      <c r="A79" s="29" t="n"/>
      <c r="B79" s="29" t="n"/>
      <c r="C79" s="29" t="n"/>
      <c r="D79" s="29" t="n"/>
      <c r="E79" s="29" t="n"/>
      <c r="F79" s="29" t="n"/>
      <c r="G79" s="29" t="n"/>
    </row>
    <row r="80" ht="54" customHeight="1">
      <c r="A80" s="29" t="n"/>
      <c r="B80" s="29" t="n"/>
      <c r="C80" s="29" t="n"/>
      <c r="D80" s="29" t="n"/>
      <c r="E80" s="29" t="n"/>
      <c r="F80" s="29" t="n"/>
      <c r="G80" s="29" t="n"/>
    </row>
    <row r="81" ht="54" customHeight="1">
      <c r="A81" s="29" t="n"/>
      <c r="B81" s="29" t="n"/>
      <c r="C81" s="29" t="n"/>
      <c r="D81" s="29" t="n"/>
      <c r="E81" s="29" t="n"/>
      <c r="F81" s="29" t="n"/>
      <c r="G81" s="29" t="n"/>
    </row>
    <row r="82" ht="54" customHeight="1">
      <c r="A82" s="29" t="n"/>
      <c r="B82" s="29" t="n"/>
      <c r="C82" s="29" t="n"/>
      <c r="D82" s="29" t="n"/>
      <c r="E82" s="29" t="n"/>
      <c r="F82" s="29" t="n"/>
      <c r="G82" s="29" t="n"/>
    </row>
    <row r="83" ht="54" customHeight="1">
      <c r="A83" s="29" t="n"/>
      <c r="B83" s="29" t="n"/>
      <c r="C83" s="29" t="n"/>
      <c r="D83" s="29" t="n"/>
      <c r="E83" s="29" t="n"/>
      <c r="F83" s="29" t="n"/>
      <c r="G83" s="29" t="n"/>
    </row>
    <row r="84" ht="54" customHeight="1">
      <c r="A84" s="29" t="n"/>
      <c r="B84" s="29" t="n"/>
      <c r="C84" s="29" t="n"/>
      <c r="D84" s="29" t="n"/>
      <c r="E84" s="29" t="n"/>
      <c r="F84" s="29" t="n"/>
      <c r="G84" s="29" t="n"/>
    </row>
    <row r="85" ht="54" customHeight="1">
      <c r="A85" s="29" t="n"/>
      <c r="B85" s="29" t="n"/>
      <c r="C85" s="29" t="n"/>
      <c r="D85" s="29" t="n"/>
      <c r="E85" s="29" t="n"/>
      <c r="F85" s="29" t="n"/>
      <c r="G85" s="29" t="n"/>
    </row>
    <row r="86" ht="54" customHeight="1">
      <c r="A86" s="29" t="n"/>
      <c r="B86" s="29" t="n"/>
      <c r="C86" s="29" t="n"/>
      <c r="D86" s="29" t="n"/>
      <c r="E86" s="29" t="n"/>
      <c r="F86" s="29" t="n"/>
      <c r="G86" s="29" t="n"/>
    </row>
    <row r="87" ht="54" customHeight="1">
      <c r="A87" s="29" t="n"/>
      <c r="B87" s="29" t="n"/>
      <c r="C87" s="29" t="n"/>
      <c r="D87" s="29" t="n"/>
      <c r="E87" s="29" t="n"/>
      <c r="F87" s="29" t="n"/>
      <c r="G87" s="29" t="n"/>
    </row>
    <row r="88" ht="54" customHeight="1">
      <c r="A88" s="29" t="n"/>
      <c r="B88" s="29" t="n"/>
      <c r="C88" s="29" t="n"/>
      <c r="D88" s="29" t="n"/>
      <c r="E88" s="29" t="n"/>
      <c r="F88" s="29" t="n"/>
      <c r="G88" s="29" t="n"/>
    </row>
    <row r="89" ht="54" customHeight="1">
      <c r="A89" s="29" t="n"/>
      <c r="B89" s="29" t="n"/>
      <c r="C89" s="29" t="n"/>
      <c r="D89" s="29" t="n"/>
      <c r="E89" s="29" t="n"/>
      <c r="F89" s="29" t="n"/>
      <c r="G89" s="29" t="n"/>
    </row>
    <row r="90" ht="54" customHeight="1">
      <c r="A90" s="29" t="n"/>
      <c r="B90" s="29" t="n"/>
      <c r="C90" s="29" t="n"/>
      <c r="D90" s="29" t="n"/>
      <c r="E90" s="29" t="n"/>
      <c r="F90" s="29" t="n"/>
      <c r="G90" s="29" t="n"/>
    </row>
    <row r="91" ht="54" customHeight="1">
      <c r="A91" s="29" t="n"/>
      <c r="B91" s="29" t="n"/>
      <c r="C91" s="29" t="n"/>
      <c r="D91" s="29" t="n"/>
      <c r="E91" s="29" t="n"/>
      <c r="F91" s="29" t="n"/>
      <c r="G91" s="29" t="n"/>
    </row>
    <row r="92" ht="54" customHeight="1">
      <c r="A92" s="29" t="n"/>
      <c r="B92" s="29" t="n"/>
      <c r="C92" s="29" t="n"/>
      <c r="D92" s="29" t="n"/>
      <c r="E92" s="29" t="n"/>
      <c r="F92" s="29" t="n"/>
      <c r="G92" s="29" t="n"/>
    </row>
    <row r="93" ht="54" customHeight="1">
      <c r="A93" s="29" t="n"/>
      <c r="B93" s="29" t="n"/>
      <c r="C93" s="29" t="n"/>
      <c r="D93" s="29" t="n"/>
      <c r="E93" s="29" t="n"/>
      <c r="F93" s="29" t="n"/>
      <c r="G93" s="29" t="n"/>
    </row>
    <row r="94" ht="54" customHeight="1">
      <c r="A94" s="29" t="n"/>
      <c r="B94" s="29" t="n"/>
      <c r="C94" s="29" t="n"/>
      <c r="D94" s="29" t="n"/>
      <c r="E94" s="29" t="n"/>
      <c r="F94" s="29" t="n"/>
      <c r="G94" s="29" t="n"/>
    </row>
    <row r="95" ht="54" customHeight="1">
      <c r="A95" s="29" t="n"/>
      <c r="B95" s="29" t="n"/>
      <c r="C95" s="29" t="n"/>
      <c r="D95" s="29" t="n"/>
      <c r="E95" s="29" t="n"/>
      <c r="F95" s="29" t="n"/>
      <c r="G95" s="29" t="n"/>
    </row>
    <row r="96" ht="54" customHeight="1">
      <c r="A96" s="29" t="n"/>
      <c r="B96" s="29" t="n"/>
      <c r="C96" s="29" t="n"/>
      <c r="D96" s="29" t="n"/>
      <c r="E96" s="29" t="n"/>
      <c r="F96" s="29" t="n"/>
      <c r="G96" s="29" t="n"/>
    </row>
    <row r="97" ht="54" customHeight="1">
      <c r="A97" s="29" t="n"/>
      <c r="B97" s="29" t="n"/>
      <c r="C97" s="29" t="n"/>
      <c r="D97" s="29" t="n"/>
      <c r="E97" s="29" t="n"/>
      <c r="F97" s="29" t="n"/>
      <c r="G97" s="29" t="n"/>
    </row>
    <row r="98" ht="54" customHeight="1">
      <c r="A98" s="29" t="n"/>
      <c r="B98" s="29" t="n"/>
      <c r="C98" s="29" t="n"/>
      <c r="D98" s="29" t="n"/>
      <c r="E98" s="29" t="n"/>
      <c r="F98" s="29" t="n"/>
      <c r="G98" s="29" t="n"/>
    </row>
    <row r="99" ht="54" customHeight="1">
      <c r="A99" s="29" t="n"/>
      <c r="B99" s="29" t="n"/>
      <c r="C99" s="29" t="n"/>
      <c r="D99" s="29" t="n"/>
      <c r="E99" s="29" t="n"/>
      <c r="F99" s="29" t="n"/>
      <c r="G99" s="29" t="n"/>
    </row>
    <row r="100" ht="54" customHeight="1">
      <c r="A100" s="29" t="n"/>
      <c r="B100" s="29" t="n"/>
      <c r="C100" s="29" t="n"/>
      <c r="D100" s="29" t="n"/>
      <c r="E100" s="29" t="n"/>
      <c r="F100" s="29" t="n"/>
      <c r="G100" s="29" t="n"/>
    </row>
    <row r="101" ht="54" customHeight="1">
      <c r="A101" s="29" t="n"/>
      <c r="B101" s="29" t="n"/>
      <c r="C101" s="29" t="n"/>
      <c r="D101" s="29" t="n"/>
      <c r="E101" s="29" t="n"/>
      <c r="F101" s="29" t="n"/>
      <c r="G101" s="29" t="n"/>
    </row>
    <row r="102" ht="54" customHeight="1">
      <c r="A102" s="29" t="n"/>
      <c r="B102" s="29" t="n"/>
      <c r="C102" s="29" t="n"/>
      <c r="D102" s="29" t="n"/>
      <c r="E102" s="29" t="n"/>
      <c r="F102" s="29" t="n"/>
      <c r="G102" s="29" t="n"/>
    </row>
    <row r="103" ht="54" customHeight="1">
      <c r="A103" s="29" t="n"/>
      <c r="B103" s="29" t="n"/>
      <c r="C103" s="29" t="n"/>
      <c r="D103" s="29" t="n"/>
      <c r="E103" s="29" t="n"/>
      <c r="F103" s="29" t="n"/>
      <c r="G103" s="29" t="n"/>
    </row>
    <row r="104" ht="54" customHeight="1">
      <c r="A104" s="29" t="n"/>
      <c r="B104" s="29" t="n"/>
      <c r="C104" s="29" t="n"/>
      <c r="D104" s="29" t="n"/>
      <c r="E104" s="29" t="n"/>
      <c r="F104" s="29" t="n"/>
      <c r="G104" s="29" t="n"/>
    </row>
    <row r="105" ht="54" customHeight="1">
      <c r="A105" s="29" t="n"/>
      <c r="B105" s="29" t="n"/>
      <c r="C105" s="29" t="n"/>
      <c r="D105" s="29" t="n"/>
      <c r="E105" s="29" t="n"/>
      <c r="F105" s="29" t="n"/>
      <c r="G105" s="29" t="n"/>
    </row>
    <row r="106" ht="54" customHeight="1">
      <c r="A106" s="29" t="n"/>
      <c r="B106" s="29" t="n"/>
      <c r="C106" s="29" t="n"/>
      <c r="D106" s="29" t="n"/>
      <c r="E106" s="29" t="n"/>
      <c r="F106" s="29" t="n"/>
      <c r="G106" s="29" t="n"/>
    </row>
    <row r="107" ht="54" customHeight="1">
      <c r="A107" s="29" t="n"/>
      <c r="B107" s="29" t="n"/>
      <c r="C107" s="29" t="n"/>
      <c r="D107" s="29" t="n"/>
      <c r="E107" s="29" t="n"/>
      <c r="F107" s="29" t="n"/>
      <c r="G107" s="29" t="n"/>
    </row>
    <row r="108" ht="54" customHeight="1">
      <c r="A108" s="29" t="n"/>
      <c r="B108" s="29" t="n"/>
      <c r="C108" s="29" t="n"/>
      <c r="D108" s="29" t="n"/>
      <c r="E108" s="29" t="n"/>
      <c r="F108" s="29" t="n"/>
      <c r="G108" s="29" t="n"/>
    </row>
    <row r="109" ht="54" customHeight="1">
      <c r="A109" s="29" t="n"/>
      <c r="B109" s="29" t="n"/>
      <c r="C109" s="29" t="n"/>
      <c r="D109" s="29" t="n"/>
      <c r="E109" s="29" t="n"/>
      <c r="F109" s="29" t="n"/>
      <c r="G109" s="29" t="n"/>
    </row>
    <row r="110" ht="54" customHeight="1">
      <c r="A110" s="29" t="n"/>
      <c r="B110" s="29" t="n"/>
      <c r="C110" s="29" t="n"/>
      <c r="D110" s="29" t="n"/>
      <c r="E110" s="29" t="n"/>
      <c r="F110" s="29" t="n"/>
      <c r="G110" s="29" t="n"/>
    </row>
    <row r="111" ht="54" customHeight="1">
      <c r="A111" s="29" t="n"/>
      <c r="B111" s="29" t="n"/>
      <c r="C111" s="29" t="n"/>
      <c r="D111" s="29" t="n"/>
      <c r="E111" s="29" t="n"/>
      <c r="F111" s="29" t="n"/>
      <c r="G111" s="29" t="n"/>
    </row>
    <row r="112" ht="54" customHeight="1">
      <c r="A112" s="29" t="n"/>
      <c r="B112" s="29" t="n"/>
      <c r="C112" s="29" t="n"/>
      <c r="D112" s="29" t="n"/>
      <c r="E112" s="29" t="n"/>
      <c r="F112" s="29" t="n"/>
      <c r="G112" s="29" t="n"/>
    </row>
    <row r="113" ht="54" customHeight="1">
      <c r="A113" s="29" t="n"/>
      <c r="B113" s="29" t="n"/>
      <c r="C113" s="29" t="n"/>
      <c r="D113" s="29" t="n"/>
      <c r="E113" s="29" t="n"/>
      <c r="F113" s="29" t="n"/>
      <c r="G113" s="29" t="n"/>
    </row>
    <row r="114" ht="54" customHeight="1">
      <c r="A114" s="29" t="n"/>
      <c r="B114" s="29" t="n"/>
      <c r="C114" s="29" t="n"/>
      <c r="D114" s="29" t="n"/>
      <c r="E114" s="29" t="n"/>
      <c r="F114" s="29" t="n"/>
      <c r="G114" s="29" t="n"/>
    </row>
    <row r="115" ht="54" customHeight="1">
      <c r="A115" s="29" t="n"/>
      <c r="B115" s="29" t="n"/>
      <c r="C115" s="29" t="n"/>
      <c r="D115" s="29" t="n"/>
      <c r="E115" s="29" t="n"/>
      <c r="F115" s="29" t="n"/>
      <c r="G115" s="29" t="n"/>
    </row>
    <row r="116" ht="54" customHeight="1">
      <c r="A116" s="29" t="n"/>
      <c r="B116" s="29" t="n"/>
      <c r="C116" s="29" t="n"/>
      <c r="D116" s="29" t="n"/>
      <c r="E116" s="29" t="n"/>
      <c r="F116" s="29" t="n"/>
      <c r="G116" s="29" t="n"/>
    </row>
    <row r="117" ht="54" customHeight="1">
      <c r="A117" s="29" t="n"/>
      <c r="B117" s="29" t="n"/>
      <c r="C117" s="29" t="n"/>
      <c r="D117" s="29" t="n"/>
      <c r="E117" s="29" t="n"/>
      <c r="F117" s="29" t="n"/>
      <c r="G117" s="29" t="n"/>
    </row>
    <row r="118" ht="54" customHeight="1">
      <c r="A118" s="29" t="n"/>
      <c r="B118" s="29" t="n"/>
      <c r="C118" s="29" t="n"/>
      <c r="D118" s="29" t="n"/>
      <c r="E118" s="29" t="n"/>
      <c r="F118" s="29" t="n"/>
      <c r="G118" s="29" t="n"/>
    </row>
    <row r="119" ht="54" customHeight="1">
      <c r="A119" s="29" t="n"/>
      <c r="B119" s="29" t="n"/>
      <c r="C119" s="29" t="n"/>
      <c r="D119" s="29" t="n"/>
      <c r="E119" s="29" t="n"/>
      <c r="F119" s="29" t="n"/>
      <c r="G119" s="29" t="n"/>
    </row>
    <row r="120" ht="54" customHeight="1">
      <c r="A120" s="29" t="n"/>
      <c r="B120" s="29" t="n"/>
      <c r="C120" s="29" t="n"/>
      <c r="D120" s="29" t="n"/>
      <c r="E120" s="29" t="n"/>
      <c r="F120" s="29" t="n"/>
      <c r="G120" s="29" t="n"/>
    </row>
    <row r="121" ht="54" customHeight="1">
      <c r="A121" s="29" t="n"/>
      <c r="B121" s="29" t="n"/>
      <c r="C121" s="29" t="n"/>
      <c r="D121" s="29" t="n"/>
      <c r="E121" s="29" t="n"/>
      <c r="F121" s="29" t="n"/>
      <c r="G121" s="29" t="n"/>
    </row>
    <row r="122" ht="54" customHeight="1">
      <c r="A122" s="29" t="n"/>
      <c r="B122" s="29" t="n"/>
      <c r="C122" s="29" t="n"/>
      <c r="D122" s="29" t="n"/>
      <c r="E122" s="29" t="n"/>
      <c r="F122" s="29" t="n"/>
      <c r="G122" s="29" t="n"/>
    </row>
    <row r="123" ht="54" customHeight="1">
      <c r="A123" s="29" t="n"/>
      <c r="B123" s="29" t="n"/>
      <c r="C123" s="29" t="n"/>
      <c r="D123" s="29" t="n"/>
      <c r="E123" s="29" t="n"/>
      <c r="F123" s="29" t="n"/>
      <c r="G123" s="29" t="n"/>
    </row>
    <row r="124" ht="54" customHeight="1">
      <c r="A124" s="29" t="n"/>
      <c r="B124" s="29" t="n"/>
      <c r="C124" s="29" t="n"/>
      <c r="D124" s="29" t="n"/>
      <c r="E124" s="29" t="n"/>
      <c r="F124" s="29" t="n"/>
      <c r="G124" s="29" t="n"/>
    </row>
    <row r="125" ht="54" customHeight="1">
      <c r="A125" s="29" t="n"/>
      <c r="B125" s="29" t="n"/>
      <c r="C125" s="29" t="n"/>
      <c r="D125" s="29" t="n"/>
      <c r="E125" s="29" t="n"/>
      <c r="F125" s="29" t="n"/>
      <c r="G125" s="29" t="n"/>
    </row>
    <row r="126" ht="54" customHeight="1">
      <c r="A126" s="29" t="n"/>
      <c r="B126" s="29" t="n"/>
      <c r="C126" s="29" t="n"/>
      <c r="D126" s="29" t="n"/>
      <c r="E126" s="29" t="n"/>
      <c r="F126" s="29" t="n"/>
      <c r="G126" s="29" t="n"/>
    </row>
    <row r="127" ht="54" customHeight="1">
      <c r="A127" s="29" t="n"/>
      <c r="B127" s="29" t="n"/>
      <c r="C127" s="29" t="n"/>
      <c r="D127" s="29" t="n"/>
      <c r="E127" s="29" t="n"/>
      <c r="F127" s="29" t="n"/>
      <c r="G127" s="29" t="n"/>
    </row>
    <row r="128" ht="54" customHeight="1">
      <c r="A128" s="29" t="n"/>
      <c r="B128" s="29" t="n"/>
      <c r="C128" s="29" t="n"/>
      <c r="D128" s="29" t="n"/>
      <c r="E128" s="29" t="n"/>
      <c r="F128" s="29" t="n"/>
      <c r="G128" s="29" t="n"/>
    </row>
    <row r="129" ht="54" customHeight="1">
      <c r="A129" s="29" t="n"/>
      <c r="B129" s="29" t="n"/>
      <c r="C129" s="29" t="n"/>
      <c r="D129" s="29" t="n"/>
      <c r="E129" s="29" t="n"/>
      <c r="F129" s="29" t="n"/>
      <c r="G129" s="29" t="n"/>
    </row>
    <row r="130" ht="54" customHeight="1">
      <c r="A130" s="29" t="n"/>
      <c r="B130" s="29" t="n"/>
      <c r="C130" s="29" t="n"/>
      <c r="D130" s="29" t="n"/>
      <c r="E130" s="29" t="n"/>
      <c r="F130" s="29" t="n"/>
      <c r="G130" s="29" t="n"/>
    </row>
    <row r="131" ht="54" customHeight="1">
      <c r="A131" s="29" t="n"/>
      <c r="B131" s="29" t="n"/>
      <c r="C131" s="29" t="n"/>
      <c r="D131" s="29" t="n"/>
      <c r="E131" s="29" t="n"/>
      <c r="F131" s="29" t="n"/>
      <c r="G131" s="29" t="n"/>
    </row>
    <row r="132" ht="54" customHeight="1">
      <c r="A132" s="29" t="n"/>
      <c r="B132" s="29" t="n"/>
      <c r="C132" s="29" t="n"/>
      <c r="D132" s="29" t="n"/>
      <c r="E132" s="29" t="n"/>
      <c r="F132" s="29" t="n"/>
      <c r="G132" s="29" t="n"/>
    </row>
    <row r="133" ht="54" customHeight="1">
      <c r="A133" s="29" t="n"/>
      <c r="B133" s="29" t="n"/>
      <c r="C133" s="29" t="n"/>
      <c r="D133" s="29" t="n"/>
      <c r="E133" s="29" t="n"/>
      <c r="F133" s="29" t="n"/>
      <c r="G133" s="29" t="n"/>
    </row>
    <row r="134" ht="54" customHeight="1">
      <c r="A134" s="29" t="n"/>
      <c r="B134" s="29" t="n"/>
      <c r="C134" s="29" t="n"/>
      <c r="D134" s="29" t="n"/>
      <c r="E134" s="29" t="n"/>
      <c r="F134" s="29" t="n"/>
      <c r="G134" s="29" t="n"/>
    </row>
    <row r="135" ht="54" customHeight="1">
      <c r="A135" s="29" t="n"/>
      <c r="B135" s="29" t="n"/>
      <c r="C135" s="29" t="n"/>
      <c r="D135" s="29" t="n"/>
      <c r="E135" s="29" t="n"/>
      <c r="F135" s="29" t="n"/>
      <c r="G135" s="29" t="n"/>
    </row>
    <row r="136" ht="54" customHeight="1">
      <c r="A136" s="29" t="n"/>
      <c r="B136" s="29" t="n"/>
      <c r="C136" s="29" t="n"/>
      <c r="D136" s="29" t="n"/>
      <c r="E136" s="29" t="n"/>
      <c r="F136" s="29" t="n"/>
      <c r="G136" s="29" t="n"/>
    </row>
    <row r="137" ht="54" customHeight="1">
      <c r="A137" s="29" t="n"/>
      <c r="B137" s="29" t="n"/>
      <c r="C137" s="29" t="n"/>
      <c r="D137" s="29" t="n"/>
      <c r="E137" s="29" t="n"/>
      <c r="F137" s="29" t="n"/>
      <c r="G137" s="29" t="n"/>
    </row>
    <row r="138" ht="54" customHeight="1">
      <c r="A138" s="29" t="n"/>
      <c r="B138" s="29" t="n"/>
      <c r="C138" s="29" t="n"/>
      <c r="D138" s="29" t="n"/>
      <c r="E138" s="29" t="n"/>
      <c r="F138" s="29" t="n"/>
      <c r="G138" s="29" t="n"/>
    </row>
    <row r="139" ht="54" customHeight="1">
      <c r="A139" s="29" t="n"/>
      <c r="B139" s="29" t="n"/>
      <c r="C139" s="29" t="n"/>
      <c r="D139" s="29" t="n"/>
      <c r="E139" s="29" t="n"/>
      <c r="F139" s="29" t="n"/>
      <c r="G139" s="29" t="n"/>
    </row>
    <row r="140" ht="54" customHeight="1">
      <c r="A140" s="29" t="n"/>
      <c r="B140" s="29" t="n"/>
      <c r="C140" s="29" t="n"/>
      <c r="D140" s="29" t="n"/>
      <c r="E140" s="29" t="n"/>
      <c r="F140" s="29" t="n"/>
      <c r="G140" s="29" t="n"/>
    </row>
    <row r="141" ht="54" customHeight="1">
      <c r="A141" s="29" t="n"/>
      <c r="B141" s="29" t="n"/>
      <c r="C141" s="29" t="n"/>
      <c r="D141" s="29" t="n"/>
      <c r="E141" s="29" t="n"/>
      <c r="F141" s="29" t="n"/>
      <c r="G141" s="29" t="n"/>
    </row>
    <row r="142" ht="54" customHeight="1">
      <c r="A142" s="29" t="n"/>
      <c r="B142" s="29" t="n"/>
      <c r="C142" s="29" t="n"/>
      <c r="D142" s="29" t="n"/>
      <c r="E142" s="29" t="n"/>
      <c r="F142" s="29" t="n"/>
      <c r="G142" s="29" t="n"/>
    </row>
    <row r="143" ht="54" customHeight="1">
      <c r="A143" s="29" t="n"/>
      <c r="B143" s="29" t="n"/>
      <c r="C143" s="29" t="n"/>
      <c r="D143" s="29" t="n"/>
      <c r="E143" s="29" t="n"/>
      <c r="F143" s="29" t="n"/>
      <c r="G143" s="29" t="n"/>
    </row>
    <row r="144" ht="54" customHeight="1">
      <c r="A144" s="29" t="n"/>
      <c r="B144" s="29" t="n"/>
      <c r="C144" s="29" t="n"/>
      <c r="D144" s="29" t="n"/>
      <c r="E144" s="29" t="n"/>
      <c r="F144" s="29" t="n"/>
      <c r="G144" s="29" t="n"/>
    </row>
    <row r="145" ht="54" customHeight="1">
      <c r="A145" s="29" t="n"/>
      <c r="B145" s="29" t="n"/>
      <c r="C145" s="29" t="n"/>
      <c r="D145" s="29" t="n"/>
      <c r="E145" s="29" t="n"/>
      <c r="F145" s="29" t="n"/>
      <c r="G145" s="29" t="n"/>
    </row>
    <row r="146" ht="54" customHeight="1">
      <c r="A146" s="29" t="n"/>
      <c r="B146" s="29" t="n"/>
      <c r="C146" s="29" t="n"/>
      <c r="D146" s="29" t="n"/>
      <c r="E146" s="29" t="n"/>
      <c r="F146" s="29" t="n"/>
      <c r="G146" s="29" t="n"/>
    </row>
    <row r="147" ht="54" customHeight="1">
      <c r="A147" s="29" t="n"/>
      <c r="B147" s="29" t="n"/>
      <c r="C147" s="29" t="n"/>
      <c r="D147" s="29" t="n"/>
      <c r="E147" s="29" t="n"/>
      <c r="F147" s="29" t="n"/>
      <c r="G147" s="29" t="n"/>
    </row>
    <row r="148" ht="54" customHeight="1">
      <c r="A148" s="29" t="n"/>
      <c r="B148" s="29" t="n"/>
      <c r="C148" s="29" t="n"/>
      <c r="D148" s="29" t="n"/>
      <c r="E148" s="29" t="n"/>
      <c r="F148" s="29" t="n"/>
      <c r="G148" s="29" t="n"/>
    </row>
    <row r="149" ht="54" customHeight="1">
      <c r="A149" s="29" t="n"/>
      <c r="B149" s="29" t="n"/>
      <c r="C149" s="29" t="n"/>
      <c r="D149" s="29" t="n"/>
      <c r="E149" s="29" t="n"/>
      <c r="F149" s="29" t="n"/>
      <c r="G149" s="29" t="n"/>
    </row>
    <row r="150" ht="54" customHeight="1">
      <c r="A150" s="29" t="n"/>
      <c r="B150" s="29" t="n"/>
      <c r="C150" s="29" t="n"/>
      <c r="D150" s="29" t="n"/>
      <c r="E150" s="29" t="n"/>
      <c r="F150" s="29" t="n"/>
      <c r="G150" s="29" t="n"/>
    </row>
    <row r="151" ht="54" customHeight="1">
      <c r="A151" s="29" t="n"/>
      <c r="B151" s="29" t="n"/>
      <c r="C151" s="29" t="n"/>
      <c r="D151" s="29" t="n"/>
      <c r="E151" s="29" t="n"/>
      <c r="F151" s="29" t="n"/>
      <c r="G151" s="29" t="n"/>
    </row>
    <row r="152" ht="54" customHeight="1">
      <c r="A152" s="29" t="n"/>
      <c r="B152" s="29" t="n"/>
      <c r="C152" s="29" t="n"/>
      <c r="D152" s="29" t="n"/>
      <c r="E152" s="29" t="n"/>
      <c r="F152" s="29" t="n"/>
      <c r="G152" s="29" t="n"/>
    </row>
    <row r="153" ht="54" customHeight="1">
      <c r="A153" s="29" t="n"/>
      <c r="B153" s="29" t="n"/>
      <c r="C153" s="29" t="n"/>
      <c r="D153" s="29" t="n"/>
      <c r="E153" s="29" t="n"/>
      <c r="F153" s="29" t="n"/>
      <c r="G153" s="29" t="n"/>
    </row>
    <row r="154" ht="54" customHeight="1">
      <c r="A154" s="29" t="n"/>
      <c r="B154" s="29" t="n"/>
      <c r="C154" s="29" t="n"/>
      <c r="D154" s="29" t="n"/>
      <c r="E154" s="29" t="n"/>
      <c r="F154" s="29" t="n"/>
      <c r="G154" s="29" t="n"/>
    </row>
    <row r="155" ht="54" customHeight="1">
      <c r="A155" s="29" t="n"/>
      <c r="B155" s="29" t="n"/>
      <c r="C155" s="29" t="n"/>
      <c r="D155" s="29" t="n"/>
      <c r="E155" s="29" t="n"/>
      <c r="F155" s="29" t="n"/>
      <c r="G155" s="29" t="n"/>
    </row>
    <row r="156" ht="54" customHeight="1">
      <c r="A156" s="29" t="n"/>
      <c r="B156" s="29" t="n"/>
      <c r="C156" s="29" t="n"/>
      <c r="D156" s="29" t="n"/>
      <c r="E156" s="29" t="n"/>
      <c r="F156" s="29" t="n"/>
      <c r="G156" s="29" t="n"/>
    </row>
    <row r="157" ht="54" customHeight="1">
      <c r="A157" s="29" t="n"/>
      <c r="B157" s="29" t="n"/>
      <c r="C157" s="29" t="n"/>
      <c r="D157" s="29" t="n"/>
      <c r="E157" s="29" t="n"/>
      <c r="F157" s="29" t="n"/>
      <c r="G157" s="29" t="n"/>
    </row>
    <row r="158" ht="54" customHeight="1">
      <c r="A158" s="29" t="n"/>
      <c r="B158" s="29" t="n"/>
      <c r="C158" s="29" t="n"/>
      <c r="D158" s="29" t="n"/>
      <c r="E158" s="29" t="n"/>
      <c r="F158" s="29" t="n"/>
      <c r="G158" s="29" t="n"/>
    </row>
    <row r="159" ht="54" customHeight="1">
      <c r="A159" s="29" t="n"/>
      <c r="B159" s="29" t="n"/>
      <c r="C159" s="29" t="n"/>
      <c r="D159" s="29" t="n"/>
      <c r="E159" s="29" t="n"/>
      <c r="F159" s="29" t="n"/>
      <c r="G159" s="29" t="n"/>
    </row>
    <row r="160" ht="54" customHeight="1">
      <c r="A160" s="29" t="n"/>
      <c r="B160" s="29" t="n"/>
      <c r="C160" s="29" t="n"/>
      <c r="D160" s="29" t="n"/>
      <c r="E160" s="29" t="n"/>
      <c r="F160" s="29" t="n"/>
      <c r="G160" s="29" t="n"/>
    </row>
    <row r="161" ht="54" customHeight="1">
      <c r="A161" s="29" t="n"/>
      <c r="B161" s="29" t="n"/>
      <c r="C161" s="29" t="n"/>
      <c r="D161" s="29" t="n"/>
      <c r="E161" s="29" t="n"/>
      <c r="F161" s="29" t="n"/>
      <c r="G161" s="29" t="n"/>
    </row>
    <row r="162" ht="54" customHeight="1">
      <c r="A162" s="29" t="n"/>
      <c r="B162" s="29" t="n"/>
      <c r="C162" s="29" t="n"/>
      <c r="D162" s="29" t="n"/>
      <c r="E162" s="29" t="n"/>
      <c r="F162" s="29" t="n"/>
      <c r="G162" s="29" t="n"/>
    </row>
    <row r="163" ht="54" customHeight="1">
      <c r="A163" s="29" t="n"/>
      <c r="B163" s="29" t="n"/>
      <c r="C163" s="29" t="n"/>
      <c r="D163" s="29" t="n"/>
      <c r="E163" s="29" t="n"/>
      <c r="F163" s="29" t="n"/>
      <c r="G163" s="29" t="n"/>
    </row>
    <row r="164" ht="54" customHeight="1">
      <c r="A164" s="29" t="n"/>
      <c r="B164" s="29" t="n"/>
      <c r="C164" s="29" t="n"/>
      <c r="D164" s="29" t="n"/>
      <c r="E164" s="29" t="n"/>
      <c r="F164" s="29" t="n"/>
      <c r="G164" s="29" t="n"/>
    </row>
    <row r="165" ht="54" customHeight="1">
      <c r="A165" s="29" t="n"/>
      <c r="B165" s="29" t="n"/>
      <c r="C165" s="29" t="n"/>
      <c r="D165" s="29" t="n"/>
      <c r="E165" s="29" t="n"/>
      <c r="F165" s="29" t="n"/>
      <c r="G165" s="29" t="n"/>
    </row>
    <row r="166" ht="54" customHeight="1">
      <c r="A166" s="29" t="n"/>
      <c r="B166" s="29" t="n"/>
      <c r="C166" s="29" t="n"/>
      <c r="D166" s="29" t="n"/>
      <c r="E166" s="29" t="n"/>
      <c r="F166" s="29" t="n"/>
      <c r="G166" s="29" t="n"/>
    </row>
    <row r="167" ht="54" customHeight="1">
      <c r="A167" s="29" t="n"/>
      <c r="B167" s="29" t="n"/>
      <c r="C167" s="29" t="n"/>
      <c r="D167" s="29" t="n"/>
      <c r="E167" s="29" t="n"/>
      <c r="F167" s="29" t="n"/>
      <c r="G167" s="29" t="n"/>
    </row>
    <row r="168" ht="54" customHeight="1">
      <c r="A168" s="29" t="n"/>
      <c r="B168" s="29" t="n"/>
      <c r="C168" s="29" t="n"/>
      <c r="D168" s="29" t="n"/>
      <c r="E168" s="29" t="n"/>
      <c r="F168" s="29" t="n"/>
      <c r="G168" s="29" t="n"/>
    </row>
    <row r="169" ht="54" customHeight="1">
      <c r="A169" s="29" t="n"/>
      <c r="B169" s="29" t="n"/>
      <c r="C169" s="29" t="n"/>
      <c r="D169" s="29" t="n"/>
      <c r="E169" s="29" t="n"/>
      <c r="F169" s="29" t="n"/>
      <c r="G169" s="29" t="n"/>
    </row>
    <row r="170" ht="54" customHeight="1">
      <c r="A170" s="29" t="n"/>
      <c r="B170" s="29" t="n"/>
      <c r="C170" s="29" t="n"/>
      <c r="D170" s="29" t="n"/>
      <c r="E170" s="29" t="n"/>
      <c r="F170" s="29" t="n"/>
      <c r="G170" s="29" t="n"/>
    </row>
    <row r="171" ht="54" customHeight="1">
      <c r="A171" s="29" t="n"/>
      <c r="B171" s="29" t="n"/>
      <c r="C171" s="29" t="n"/>
      <c r="D171" s="29" t="n"/>
      <c r="E171" s="29" t="n"/>
      <c r="F171" s="29" t="n"/>
      <c r="G171" s="29" t="n"/>
    </row>
    <row r="172" ht="54" customHeight="1">
      <c r="A172" s="29" t="n"/>
      <c r="B172" s="29" t="n"/>
      <c r="C172" s="29" t="n"/>
      <c r="D172" s="29" t="n"/>
      <c r="E172" s="29" t="n"/>
      <c r="F172" s="29" t="n"/>
      <c r="G172" s="29" t="n"/>
    </row>
    <row r="173" ht="54" customHeight="1">
      <c r="A173" s="29" t="n"/>
      <c r="B173" s="29" t="n"/>
      <c r="C173" s="29" t="n"/>
      <c r="D173" s="29" t="n"/>
      <c r="E173" s="29" t="n"/>
      <c r="F173" s="29" t="n"/>
      <c r="G173" s="29" t="n"/>
    </row>
    <row r="174" ht="54" customHeight="1">
      <c r="A174" s="29" t="n"/>
      <c r="B174" s="29" t="n"/>
      <c r="C174" s="29" t="n"/>
      <c r="D174" s="29" t="n"/>
      <c r="E174" s="29" t="n"/>
      <c r="F174" s="29" t="n"/>
      <c r="G174" s="29" t="n"/>
    </row>
    <row r="175" ht="54" customHeight="1">
      <c r="A175" s="29" t="n"/>
      <c r="B175" s="29" t="n"/>
      <c r="C175" s="29" t="n"/>
      <c r="D175" s="29" t="n"/>
      <c r="E175" s="29" t="n"/>
      <c r="F175" s="29" t="n"/>
      <c r="G175" s="29" t="n"/>
    </row>
    <row r="176" ht="54" customHeight="1">
      <c r="A176" s="29" t="n"/>
      <c r="B176" s="29" t="n"/>
      <c r="C176" s="29" t="n"/>
      <c r="D176" s="29" t="n"/>
      <c r="E176" s="29" t="n"/>
      <c r="F176" s="29" t="n"/>
      <c r="G176" s="29" t="n"/>
    </row>
    <row r="177" ht="54" customHeight="1">
      <c r="A177" s="29" t="n"/>
      <c r="B177" s="29" t="n"/>
      <c r="C177" s="29" t="n"/>
      <c r="D177" s="29" t="n"/>
      <c r="E177" s="29" t="n"/>
      <c r="F177" s="29" t="n"/>
      <c r="G177" s="29" t="n"/>
    </row>
    <row r="178" ht="54" customHeight="1">
      <c r="A178" s="29" t="n"/>
      <c r="B178" s="29" t="n"/>
      <c r="C178" s="29" t="n"/>
      <c r="D178" s="29" t="n"/>
      <c r="E178" s="29" t="n"/>
      <c r="F178" s="29" t="n"/>
      <c r="G178" s="29" t="n"/>
    </row>
    <row r="179" ht="54" customHeight="1">
      <c r="A179" s="29" t="n"/>
      <c r="B179" s="29" t="n"/>
      <c r="C179" s="29" t="n"/>
      <c r="D179" s="29" t="n"/>
      <c r="E179" s="29" t="n"/>
      <c r="F179" s="29" t="n"/>
      <c r="G179" s="29" t="n"/>
    </row>
    <row r="180" ht="54" customHeight="1">
      <c r="A180" s="29" t="n"/>
      <c r="B180" s="29" t="n"/>
      <c r="C180" s="29" t="n"/>
      <c r="D180" s="29" t="n"/>
      <c r="E180" s="29" t="n"/>
      <c r="F180" s="29" t="n"/>
      <c r="G180" s="29" t="n"/>
    </row>
    <row r="181" ht="54" customHeight="1">
      <c r="A181" s="29" t="n"/>
      <c r="B181" s="29" t="n"/>
      <c r="C181" s="29" t="n"/>
      <c r="D181" s="29" t="n"/>
      <c r="E181" s="29" t="n"/>
      <c r="F181" s="29" t="n"/>
      <c r="G181" s="29" t="n"/>
    </row>
    <row r="182" ht="54" customHeight="1">
      <c r="A182" s="29" t="n"/>
      <c r="B182" s="29" t="n"/>
      <c r="C182" s="29" t="n"/>
      <c r="D182" s="29" t="n"/>
      <c r="E182" s="29" t="n"/>
      <c r="F182" s="29" t="n"/>
      <c r="G182" s="29" t="n"/>
    </row>
    <row r="183" ht="54" customHeight="1">
      <c r="A183" s="29" t="n"/>
      <c r="B183" s="29" t="n"/>
      <c r="C183" s="29" t="n"/>
      <c r="D183" s="29" t="n"/>
      <c r="E183" s="29" t="n"/>
      <c r="F183" s="29" t="n"/>
      <c r="G183" s="29" t="n"/>
    </row>
    <row r="184" ht="54" customHeight="1">
      <c r="A184" s="29" t="n"/>
      <c r="B184" s="29" t="n"/>
      <c r="C184" s="29" t="n"/>
      <c r="D184" s="29" t="n"/>
      <c r="E184" s="29" t="n"/>
      <c r="F184" s="29" t="n"/>
      <c r="G184" s="29" t="n"/>
    </row>
    <row r="185" ht="54" customHeight="1">
      <c r="A185" s="29" t="n"/>
      <c r="B185" s="29" t="n"/>
      <c r="C185" s="29" t="n"/>
      <c r="D185" s="29" t="n"/>
      <c r="E185" s="29" t="n"/>
      <c r="F185" s="29" t="n"/>
      <c r="G185" s="29" t="n"/>
    </row>
    <row r="186" ht="54" customHeight="1">
      <c r="A186" s="29" t="n"/>
      <c r="B186" s="29" t="n"/>
      <c r="C186" s="29" t="n"/>
      <c r="D186" s="29" t="n"/>
      <c r="E186" s="29" t="n"/>
      <c r="F186" s="29" t="n"/>
      <c r="G186" s="29" t="n"/>
    </row>
    <row r="187" ht="54" customHeight="1">
      <c r="A187" s="29" t="n"/>
      <c r="B187" s="29" t="n"/>
      <c r="C187" s="29" t="n"/>
      <c r="D187" s="29" t="n"/>
      <c r="E187" s="29" t="n"/>
      <c r="F187" s="29" t="n"/>
      <c r="G187" s="29" t="n"/>
    </row>
    <row r="188" ht="54" customHeight="1">
      <c r="A188" s="29" t="n"/>
      <c r="B188" s="29" t="n"/>
      <c r="C188" s="29" t="n"/>
      <c r="D188" s="29" t="n"/>
      <c r="E188" s="29" t="n"/>
      <c r="F188" s="29" t="n"/>
      <c r="G188" s="29" t="n"/>
    </row>
    <row r="189" ht="54" customHeight="1">
      <c r="A189" s="29" t="n"/>
      <c r="B189" s="29" t="n"/>
      <c r="C189" s="29" t="n"/>
      <c r="D189" s="29" t="n"/>
      <c r="E189" s="29" t="n"/>
      <c r="F189" s="29" t="n"/>
      <c r="G189" s="29" t="n"/>
    </row>
    <row r="190" ht="54" customHeight="1">
      <c r="A190" s="29" t="n"/>
      <c r="B190" s="29" t="n"/>
      <c r="C190" s="29" t="n"/>
      <c r="D190" s="29" t="n"/>
      <c r="E190" s="29" t="n"/>
      <c r="F190" s="29" t="n"/>
      <c r="G190" s="29" t="n"/>
    </row>
    <row r="191" ht="54" customHeight="1">
      <c r="A191" s="29" t="n"/>
      <c r="B191" s="29" t="n"/>
      <c r="C191" s="29" t="n"/>
      <c r="D191" s="29" t="n"/>
      <c r="E191" s="29" t="n"/>
      <c r="F191" s="29" t="n"/>
      <c r="G191" s="29" t="n"/>
    </row>
    <row r="192" ht="54" customHeight="1">
      <c r="A192" s="29" t="n"/>
      <c r="B192" s="29" t="n"/>
      <c r="C192" s="29" t="n"/>
      <c r="D192" s="29" t="n"/>
      <c r="E192" s="29" t="n"/>
      <c r="F192" s="29" t="n"/>
      <c r="G192" s="29" t="n"/>
    </row>
    <row r="193" ht="54" customHeight="1">
      <c r="A193" s="29" t="n"/>
      <c r="B193" s="29" t="n"/>
      <c r="C193" s="29" t="n"/>
      <c r="D193" s="29" t="n"/>
      <c r="E193" s="29" t="n"/>
      <c r="F193" s="29" t="n"/>
      <c r="G193" s="29" t="n"/>
    </row>
    <row r="194" ht="54" customHeight="1">
      <c r="A194" s="29" t="n"/>
      <c r="B194" s="29" t="n"/>
      <c r="C194" s="29" t="n"/>
      <c r="D194" s="29" t="n"/>
      <c r="E194" s="29" t="n"/>
      <c r="F194" s="29" t="n"/>
      <c r="G194" s="29" t="n"/>
    </row>
    <row r="195" ht="54" customHeight="1">
      <c r="A195" s="29" t="n"/>
      <c r="B195" s="29" t="n"/>
      <c r="C195" s="29" t="n"/>
      <c r="D195" s="29" t="n"/>
      <c r="E195" s="29" t="n"/>
      <c r="F195" s="29" t="n"/>
      <c r="G195" s="29" t="n"/>
    </row>
    <row r="196" ht="54" customHeight="1">
      <c r="A196" s="29" t="n"/>
      <c r="B196" s="29" t="n"/>
      <c r="C196" s="29" t="n"/>
      <c r="D196" s="29" t="n"/>
      <c r="E196" s="29" t="n"/>
      <c r="F196" s="29" t="n"/>
      <c r="G196" s="29" t="n"/>
    </row>
    <row r="197" ht="54" customHeight="1">
      <c r="A197" s="29" t="n"/>
      <c r="B197" s="29" t="n"/>
      <c r="C197" s="29" t="n"/>
      <c r="D197" s="29" t="n"/>
      <c r="E197" s="29" t="n"/>
      <c r="F197" s="29" t="n"/>
      <c r="G197" s="29" t="n"/>
    </row>
    <row r="198" ht="54" customHeight="1">
      <c r="A198" s="29" t="n"/>
      <c r="B198" s="29" t="n"/>
      <c r="C198" s="29" t="n"/>
      <c r="D198" s="29" t="n"/>
      <c r="E198" s="29" t="n"/>
      <c r="F198" s="29" t="n"/>
      <c r="G198" s="29" t="n"/>
    </row>
    <row r="199" ht="54" customHeight="1">
      <c r="A199" s="29" t="n"/>
      <c r="B199" s="29" t="n"/>
      <c r="C199" s="29" t="n"/>
      <c r="D199" s="29" t="n"/>
      <c r="E199" s="29" t="n"/>
      <c r="F199" s="29" t="n"/>
      <c r="G199" s="29" t="n"/>
    </row>
    <row r="200" ht="54" customHeight="1">
      <c r="A200" s="29" t="n"/>
      <c r="B200" s="29" t="n"/>
      <c r="C200" s="29" t="n"/>
      <c r="D200" s="29" t="n"/>
      <c r="E200" s="29" t="n"/>
      <c r="F200" s="29" t="n"/>
      <c r="G200" s="29" t="n"/>
    </row>
    <row r="201" ht="54" customHeight="1">
      <c r="A201" s="29" t="n"/>
      <c r="B201" s="29" t="n"/>
      <c r="C201" s="29" t="n"/>
      <c r="D201" s="29" t="n"/>
      <c r="E201" s="29" t="n"/>
      <c r="F201" s="29" t="n"/>
      <c r="G201" s="29" t="n"/>
    </row>
    <row r="202" ht="54" customHeight="1">
      <c r="A202" s="29" t="n"/>
      <c r="B202" s="29" t="n"/>
      <c r="C202" s="29" t="n"/>
      <c r="D202" s="29" t="n"/>
      <c r="E202" s="29" t="n"/>
      <c r="F202" s="29" t="n"/>
      <c r="G202" s="29" t="n"/>
    </row>
    <row r="203" ht="54" customHeight="1">
      <c r="A203" s="29" t="n"/>
      <c r="B203" s="29" t="n"/>
      <c r="C203" s="29" t="n"/>
      <c r="D203" s="29" t="n"/>
      <c r="E203" s="29" t="n"/>
      <c r="F203" s="29" t="n"/>
      <c r="G203" s="29" t="n"/>
    </row>
    <row r="204" ht="54" customHeight="1">
      <c r="A204" s="29" t="n"/>
      <c r="B204" s="29" t="n"/>
      <c r="C204" s="29" t="n"/>
      <c r="D204" s="29" t="n"/>
      <c r="E204" s="29" t="n"/>
      <c r="F204" s="29" t="n"/>
      <c r="G204" s="29" t="n"/>
    </row>
    <row r="205" ht="54" customHeight="1">
      <c r="A205" s="29" t="n"/>
      <c r="B205" s="29" t="n"/>
      <c r="C205" s="29" t="n"/>
      <c r="D205" s="29" t="n"/>
      <c r="E205" s="29" t="n"/>
      <c r="F205" s="29" t="n"/>
      <c r="G205" s="29" t="n"/>
    </row>
    <row r="206" ht="54" customHeight="1">
      <c r="A206" s="29" t="n"/>
      <c r="B206" s="29" t="n"/>
      <c r="C206" s="29" t="n"/>
      <c r="D206" s="29" t="n"/>
      <c r="E206" s="29" t="n"/>
      <c r="F206" s="29" t="n"/>
      <c r="G206" s="29" t="n"/>
    </row>
    <row r="207" ht="54" customHeight="1">
      <c r="A207" s="29" t="n"/>
      <c r="B207" s="29" t="n"/>
      <c r="C207" s="29" t="n"/>
      <c r="D207" s="29" t="n"/>
      <c r="E207" s="29" t="n"/>
      <c r="F207" s="29" t="n"/>
      <c r="G207" s="29" t="n"/>
    </row>
  </sheetData>
  <mergeCells count="1">
    <mergeCell ref="A3:G3"/>
  </mergeCells>
  <conditionalFormatting sqref="A8:A207">
    <cfRule type="expression" priority="1" dxfId="1">
      <formula>AND($A8&lt;&gt;"",ISBLANK(A8))</formula>
    </cfRule>
  </conditionalFormatting>
  <conditionalFormatting sqref="B8:B207">
    <cfRule type="expression" priority="2" dxfId="1">
      <formula>AND($A8&lt;&gt;"",ISBLANK(B8))</formula>
    </cfRule>
  </conditionalFormatting>
  <conditionalFormatting sqref="C8:C207">
    <cfRule type="expression" priority="3" dxfId="1">
      <formula>AND($A8&lt;&gt;"",ISBLANK(C8))</formula>
    </cfRule>
  </conditionalFormatting>
  <conditionalFormatting sqref="D8:D207">
    <cfRule type="expression" priority="4" dxfId="1">
      <formula>AND($A8&lt;&gt;"",ISBLANK(D8))</formula>
    </cfRule>
  </conditionalFormatting>
  <conditionalFormatting sqref="E8:E207">
    <cfRule type="expression" priority="5" dxfId="1">
      <formula>AND($A8&lt;&gt;"",ISBLANK(E8))</formula>
    </cfRule>
  </conditionalFormatting>
  <conditionalFormatting sqref="F8:F207">
    <cfRule type="expression" priority="6" dxfId="1">
      <formula>AND($A8&lt;&gt;"",ISBLANK(F8))</formula>
    </cfRule>
  </conditionalFormatting>
  <conditionalFormatting sqref="G8:G207">
    <cfRule type="expression" priority="7" dxfId="1">
      <formula>AND($A8&lt;&gt;"",ISBLANK(G8))</formula>
    </cfRule>
  </conditionalFormatting>
  <dataValidations count="1">
    <dataValidation sqref="F8:F207" showDropDown="0" showInputMessage="0" showErrorMessage="0" allowBlank="0" type="list">
      <formula1>"Metin,Sayı,Mantıksal,JSON"</formula1>
    </dataValidation>
  </dataValidations>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tabColor rgb="FFF66C4E"/>
    <outlinePr summaryBelow="1" summaryRight="1"/>
    <pageSetUpPr/>
  </sheetPr>
  <dimension ref="A1:O607"/>
  <sheetViews>
    <sheetView showGridLines="0" workbookViewId="0">
      <pane xSplit="1" ySplit="7" topLeftCell="B8" activePane="bottomRight" state="frozen"/>
      <selection activeCell="A1" sqref="A1"/>
    </sheetView>
  </sheetViews>
  <sheetFormatPr baseColWidth="8" defaultRowHeight="15"/>
  <cols>
    <col width="32" customWidth="1" min="1" max="1"/>
    <col width="48" customWidth="1" min="2" max="2"/>
    <col width="48" customWidth="1" min="3" max="3"/>
    <col width="55" customWidth="1" min="4" max="4"/>
    <col width="55" customWidth="1" min="5" max="5"/>
    <col width="24" customWidth="1" min="6" max="6"/>
    <col width="48" customWidth="1" min="7" max="7"/>
    <col width="40" customWidth="1" min="8" max="8"/>
    <col width="48" customWidth="1" min="9" max="9"/>
    <col width="40" customWidth="1" min="10" max="10"/>
    <col width="20" customWidth="1" min="11" max="11"/>
    <col width="20" customWidth="1" min="12" max="12"/>
    <col width="58" customWidth="1" min="13" max="13"/>
    <col width="30" customWidth="1" min="14" max="14"/>
    <col width="65" customWidth="1" min="15" max="15"/>
  </cols>
  <sheetData>
    <row r="1" ht="54" customHeight="1">
      <c r="A1" s="38" t="n"/>
      <c r="B1" s="38" t="n"/>
      <c r="C1" s="38" t="n"/>
      <c r="D1" s="38" t="n"/>
      <c r="E1" s="38" t="n"/>
      <c r="F1" s="38" t="n"/>
      <c r="G1" s="38" t="n"/>
      <c r="H1" s="38" t="n"/>
      <c r="I1" s="38" t="n"/>
      <c r="J1" s="38" t="n"/>
      <c r="K1" s="38" t="n"/>
      <c r="L1" s="38" t="n"/>
      <c r="M1" s="38" t="n"/>
      <c r="N1" s="38" t="n"/>
      <c r="O1" s="38" t="n"/>
    </row>
    <row r="2" ht="54" customHeight="1">
      <c r="A2" s="39" t="inlineStr">
        <is>
          <t>Corteqs · Fotoğrafın kaynak zinciri · v7</t>
        </is>
      </c>
      <c r="B2" s="38" t="n"/>
      <c r="C2" s="38" t="n"/>
      <c r="D2" s="38" t="n"/>
      <c r="E2" s="38" t="n"/>
      <c r="F2" s="38" t="n"/>
      <c r="G2" s="38" t="n"/>
      <c r="H2" s="38" t="n"/>
      <c r="I2" s="38" t="n"/>
      <c r="J2" s="38" t="n"/>
      <c r="K2" s="38" t="n"/>
      <c r="L2" s="38" t="n"/>
      <c r="M2" s="38" t="n"/>
      <c r="N2" s="38" t="n"/>
      <c r="O2" s="38" t="n"/>
    </row>
    <row r="3" ht="44" customHeight="1">
      <c r="A3" s="38" t="inlineStr">
        <is>
          <t>Her fotoğraf kimliği için bir kayıt. İsim, lisans ve kaynak sayfası Fotoğraflar sayfasında kalır. Bilinmeyen bağlantı veya tarih uydurulmaz.</t>
        </is>
      </c>
      <c r="G3" s="38" t="n"/>
      <c r="H3" s="38" t="n"/>
      <c r="I3" s="38" t="n"/>
      <c r="J3" s="38" t="n"/>
      <c r="K3" s="38" t="n"/>
      <c r="L3" s="38" t="n"/>
      <c r="M3" s="38" t="n"/>
      <c r="N3" s="38" t="n"/>
      <c r="O3" s="38" t="n"/>
    </row>
    <row r="4" ht="54" customHeight="1">
      <c r="A4" s="38" t="n"/>
      <c r="B4" s="38" t="n"/>
      <c r="C4" s="38" t="n"/>
      <c r="D4" s="38" t="n"/>
      <c r="E4" s="38" t="n"/>
      <c r="F4" s="38" t="n"/>
      <c r="G4" s="38" t="n"/>
      <c r="H4" s="38" t="n"/>
      <c r="I4" s="38" t="n"/>
      <c r="J4" s="38" t="n"/>
      <c r="K4" s="38" t="n"/>
      <c r="L4" s="38" t="n"/>
      <c r="M4" s="38" t="n"/>
      <c r="N4" s="38" t="n"/>
      <c r="O4" s="38" t="n"/>
    </row>
    <row r="5" ht="54" customHeight="1">
      <c r="A5" s="38" t="inlineStr">
        <is>
          <t>Zorunlu bağlantı</t>
        </is>
      </c>
      <c r="B5" s="38" t="inlineStr">
        <is>
          <t>Kanıt varsa doldurun</t>
        </is>
      </c>
      <c r="C5" s="38" t="inlineStr">
        <is>
          <t>Kanıt varsa doldurun</t>
        </is>
      </c>
      <c r="D5" s="38" t="inlineStr">
        <is>
          <t>Kanıt varsa doldurun</t>
        </is>
      </c>
      <c r="E5" s="38" t="inlineStr">
        <is>
          <t>Kanıt varsa doldurun</t>
        </is>
      </c>
      <c r="F5" s="38" t="inlineStr">
        <is>
          <t>Kanıt varsa doldurun</t>
        </is>
      </c>
      <c r="G5" s="38" t="inlineStr">
        <is>
          <t>Kanıt varsa doldurun</t>
        </is>
      </c>
      <c r="H5" s="38" t="inlineStr">
        <is>
          <t>Kanıt varsa doldurun</t>
        </is>
      </c>
      <c r="I5" s="38" t="inlineStr">
        <is>
          <t>Kanıt varsa doldurun</t>
        </is>
      </c>
      <c r="J5" s="38" t="inlineStr">
        <is>
          <t>Kanıt varsa doldurun</t>
        </is>
      </c>
      <c r="K5" s="38" t="inlineStr">
        <is>
          <t>Kanıt varsa doldurun</t>
        </is>
      </c>
      <c r="L5" s="38" t="inlineStr">
        <is>
          <t>Kanıt varsa doldurun</t>
        </is>
      </c>
      <c r="M5" s="38" t="inlineStr">
        <is>
          <t>Kanıt varsa doldurun</t>
        </is>
      </c>
      <c r="N5" s="38" t="inlineStr">
        <is>
          <t>Kanıt varsa doldurun</t>
        </is>
      </c>
      <c r="O5" s="38" t="inlineStr">
        <is>
          <t>Kanıt varsa doldurun</t>
        </is>
      </c>
    </row>
    <row r="6" ht="50" customHeight="1">
      <c r="A6" s="41" t="inlineStr">
        <is>
          <t>Fotoğraf kimliği</t>
        </is>
      </c>
      <c r="B6" s="41" t="inlineStr">
        <is>
          <t>Fotoğrafçı profil / portföy bağlantısı</t>
        </is>
      </c>
      <c r="C6" s="41" t="inlineStr">
        <is>
          <t>Görünür fotoğrafçı atıf bağlantısı</t>
        </is>
      </c>
      <c r="D6" s="41" t="inlineStr">
        <is>
          <t>Kaynakta özgün fotoğraf dosyası URL</t>
        </is>
      </c>
      <c r="E6" s="41" t="inlineStr">
        <is>
          <t>Fiilen indirilen dosyanın URL’si</t>
        </is>
      </c>
      <c r="F6" s="41" t="inlineStr">
        <is>
          <t>Kaydedilmiş indirme tarihi</t>
        </is>
      </c>
      <c r="G6" s="41" t="inlineStr">
        <is>
          <t>Korunan mevcut fotoğraf dosyası</t>
        </is>
      </c>
      <c r="H6" s="41" t="inlineStr">
        <is>
          <t>Korunan dosya SHA-256</t>
        </is>
      </c>
      <c r="I6" s="41" t="inlineStr">
        <is>
          <t>Hafif web kopyası (varsa)</t>
        </is>
      </c>
      <c r="J6" s="41" t="inlineStr">
        <is>
          <t>Web kopyası SHA-256</t>
        </is>
      </c>
      <c r="K6" s="41" t="inlineStr">
        <is>
          <t>Web genişliği (px)</t>
        </is>
      </c>
      <c r="L6" s="41" t="inlineStr">
        <is>
          <t>Web yüksekliği (px)</t>
        </is>
      </c>
      <c r="M6" s="41" t="inlineStr">
        <is>
          <t>Dönüştürme kaydı</t>
        </is>
      </c>
      <c r="N6" s="41" t="inlineStr">
        <is>
          <t>Kaynak zinciri kontrolü</t>
        </is>
      </c>
      <c r="O6" s="41" t="inlineStr">
        <is>
          <t>Açık nokta / kanıt açıklaması</t>
        </is>
      </c>
    </row>
    <row r="7" ht="32" customHeight="1">
      <c r="A7" s="43" t="inlineStr">
        <is>
          <t>photo_id</t>
        </is>
      </c>
      <c r="B7" s="43" t="inlineStr">
        <is>
          <t>author_url</t>
        </is>
      </c>
      <c r="C7" s="43" t="inlineStr">
        <is>
          <t>attribution_url</t>
        </is>
      </c>
      <c r="D7" s="43" t="inlineStr">
        <is>
          <t>original_file_url</t>
        </is>
      </c>
      <c r="E7" s="43" t="inlineStr">
        <is>
          <t>downloaded_file_url</t>
        </is>
      </c>
      <c r="F7" s="43" t="inlineStr">
        <is>
          <t>downloaded_on</t>
        </is>
      </c>
      <c r="G7" s="43" t="inlineStr">
        <is>
          <t>original_file</t>
        </is>
      </c>
      <c r="H7" s="43" t="inlineStr">
        <is>
          <t>original_sha256</t>
        </is>
      </c>
      <c r="I7" s="43" t="inlineStr">
        <is>
          <t>web_file</t>
        </is>
      </c>
      <c r="J7" s="43" t="inlineStr">
        <is>
          <t>web_sha256</t>
        </is>
      </c>
      <c r="K7" s="43" t="inlineStr">
        <is>
          <t>web_width</t>
        </is>
      </c>
      <c r="L7" s="43" t="inlineStr">
        <is>
          <t>web_height</t>
        </is>
      </c>
      <c r="M7" s="43" t="inlineStr">
        <is>
          <t>derivation</t>
        </is>
      </c>
      <c r="N7" s="43" t="inlineStr">
        <is>
          <t>provenance_status</t>
        </is>
      </c>
      <c r="O7" s="43" t="inlineStr">
        <is>
          <t>provenance_note</t>
        </is>
      </c>
    </row>
    <row r="8" ht="54" customHeight="1">
      <c r="A8" s="44" t="inlineStr">
        <is>
          <t>sevilla:photo:real-alcazar-de-sevilla-01</t>
        </is>
      </c>
      <c r="B8" s="44" t="inlineStr">
        <is>
          <t>https://commons.wikimedia.org/wiki/User:Holger_Uwe_Schmitt</t>
        </is>
      </c>
      <c r="C8" s="44" t="inlineStr">
        <is>
          <t>https://commons.wikimedia.org/wiki/User:Holger_Uwe_Schmitt</t>
        </is>
      </c>
      <c r="D8" s="44" t="inlineStr">
        <is>
          <t>https://upload.wikimedia.org/wikipedia/commons/4/45/%22Der_Palast_ist_eines_der_am_besten_erhaltenen_Beispiele_f%C3%BCr_die_Mude%C2%B4jar-Architektur._06.jpg</t>
        </is>
      </c>
      <c r="E8" s="44" t="inlineStr">
        <is>
          <t>https://thumb.wikimedia.org/wikipedia/commons/thumb/4/45/%22Der_Palast_ist_eines_der_am_besten_erhaltenen_Beispiele_f%C3%BCr_die_Mude%C2%B4jar-Architektur._06.jpg/1280px-%22Der_Palast_ist_eines_der_am_besten_erhaltenen_Beispiele_f%C3%BCr_die_Mude%C2%B4jar-Architektur._06.jpg</t>
        </is>
      </c>
      <c r="F8" s="53" t="n">
        <v>46320</v>
      </c>
      <c r="G8" s="44" t="inlineStr">
        <is>
          <t>Fotoğraflar/sevilla_real-alcazar-de-sevilla_01.jpg</t>
        </is>
      </c>
      <c r="H8" s="44" t="inlineStr">
        <is>
          <t>afb9263290c4c5ffae2c1e317e1050822edca3443ee7ef63cd50d2a470ddeb8d</t>
        </is>
      </c>
      <c r="I8" s="44" t="inlineStr">
        <is>
          <t>Teslimler/WebKopyalari/afb9263290c4c5ffae2c1e317e1050822edca3443ee7ef63cd50d2a470ddeb8d.webp</t>
        </is>
      </c>
      <c r="J8" s="44" t="inlineStr">
        <is>
          <t>e5a3a42e81c2faaa1c579b0182502132b5b416c86cf5f6d8395286031d27f228</t>
        </is>
      </c>
      <c r="K8" s="44" t="n">
        <v>988</v>
      </c>
      <c r="L8" s="44" t="n">
        <v>1600</v>
      </c>
      <c r="M8" s="44" t="inlineStr">
        <is>
          <t>Özgün teslim dosyası korundu. EXIF yönü uygulandı; kırpma yapılmadan en çok 1600 px, WebP kalite 84. Önceki kaynak değişiklik notları ayrıca korunur.</t>
        </is>
      </c>
      <c r="N8" s="44" t="inlineStr">
        <is>
          <t>Kayıttan doğrulandı</t>
        </is>
      </c>
      <c r="O8" s="44" t="n"/>
    </row>
    <row r="9" ht="54" customHeight="1">
      <c r="A9" s="44" t="inlineStr">
        <is>
          <t>sevilla:photo:real-alcazar-de-sevilla-02</t>
        </is>
      </c>
      <c r="B9" s="44" t="inlineStr">
        <is>
          <t>https://commons.wikimedia.org/wiki/User:Alvesgaspar</t>
        </is>
      </c>
      <c r="C9" s="44" t="inlineStr">
        <is>
          <t>https://commons.wikimedia.org/wiki/User:Alvesgaspar</t>
        </is>
      </c>
      <c r="D9" s="44" t="inlineStr">
        <is>
          <t>https://upload.wikimedia.org/wikipedia/commons/1/1b/Alc%C3%A1zar_Seville_April_2019-11.jpg</t>
        </is>
      </c>
      <c r="E9" s="44" t="inlineStr">
        <is>
          <t>https://thumb.wikimedia.org/wikipedia/commons/thumb/1/1b/Alc%C3%A1zar_Seville_April_2019-11.jpg/1280px-Alc%C3%A1zar_Seville_April_2019-11.jpg</t>
        </is>
      </c>
      <c r="F9" s="53" t="n">
        <v>46320</v>
      </c>
      <c r="G9" s="44" t="inlineStr">
        <is>
          <t>Fotoğraflar/sevilla_real-alcazar-de-sevilla_02.jpg</t>
        </is>
      </c>
      <c r="H9" s="44" t="inlineStr">
        <is>
          <t>fbf353be6a7eb2c69a710ca2dd2c4453dae594913c962588be2b703c97f89a81</t>
        </is>
      </c>
      <c r="I9" s="44" t="inlineStr">
        <is>
          <t>Teslimler/WebKopyalari/fbf353be6a7eb2c69a710ca2dd2c4453dae594913c962588be2b703c97f89a81.webp</t>
        </is>
      </c>
      <c r="J9" s="44" t="inlineStr">
        <is>
          <t>074e890351f9e6fbd1a7b0929c1913df2397f07e25c6c441761c357148d04369</t>
        </is>
      </c>
      <c r="K9" s="44" t="n">
        <v>1280</v>
      </c>
      <c r="L9" s="44" t="n">
        <v>1280</v>
      </c>
      <c r="M9" s="44" t="inlineStr">
        <is>
          <t>Özgün teslim dosyası korundu. EXIF yönü uygulandı; kırpma yapılmadan en çok 1600 px, WebP kalite 84. Önceki kaynak değişiklik notları ayrıca korunur.</t>
        </is>
      </c>
      <c r="N9" s="44" t="inlineStr">
        <is>
          <t>Kayıttan doğrulandı</t>
        </is>
      </c>
      <c r="O9" s="44" t="n"/>
    </row>
    <row r="10" ht="54" customHeight="1">
      <c r="A10" s="44" t="inlineStr">
        <is>
          <t>sevilla:photo:real-alcazar-de-sevilla-03</t>
        </is>
      </c>
      <c r="B10" s="44" t="inlineStr">
        <is>
          <t>https://commons.wikimedia.org/wiki/User:Jebulon</t>
        </is>
      </c>
      <c r="C10" s="44" t="inlineStr">
        <is>
          <t>https://commons.wikimedia.org/wiki/User:Jebulon</t>
        </is>
      </c>
      <c r="D10" s="44" t="inlineStr">
        <is>
          <t>https://upload.wikimedia.org/wikipedia/commons/0/08/Escalier_Castille_Leon_Alcazar_Seville_Spain.jpg</t>
        </is>
      </c>
      <c r="E10" s="44" t="inlineStr">
        <is>
          <t>https://thumb.wikimedia.org/wikipedia/commons/thumb/0/08/Escalier_Castille_Leon_Alcazar_Seville_Spain.jpg/1280px-Escalier_Castille_Leon_Alcazar_Seville_Spain.jpg</t>
        </is>
      </c>
      <c r="F10" s="53" t="n">
        <v>46320</v>
      </c>
      <c r="G10" s="44" t="inlineStr">
        <is>
          <t>Fotoğraflar/sevilla_real-alcazar-de-sevilla_03.jpg</t>
        </is>
      </c>
      <c r="H10" s="44" t="inlineStr">
        <is>
          <t>8312a07ca3a86ca812a4be6e21825d29c80703be53e9585fd4684164e18bfbc4</t>
        </is>
      </c>
      <c r="I10" s="44" t="inlineStr">
        <is>
          <t>Teslimler/WebKopyalari/8312a07ca3a86ca812a4be6e21825d29c80703be53e9585fd4684164e18bfbc4.webp</t>
        </is>
      </c>
      <c r="J10" s="44" t="inlineStr">
        <is>
          <t>b83c85ea4cab3be6277927fc8d951426b11f6d1ceb495ef1e71e4def7943f9b7</t>
        </is>
      </c>
      <c r="K10" s="44" t="n">
        <v>1280</v>
      </c>
      <c r="L10" s="44" t="n">
        <v>852</v>
      </c>
      <c r="M10" s="44" t="inlineStr">
        <is>
          <t>Özgün teslim dosyası korundu. EXIF yönü uygulandı; kırpma yapılmadan en çok 1600 px, WebP kalite 84. Önceki kaynak değişiklik notları ayrıca korunur.</t>
        </is>
      </c>
      <c r="N10" s="44" t="inlineStr">
        <is>
          <t>Kayıttan doğrulandı</t>
        </is>
      </c>
      <c r="O10" s="44" t="n"/>
    </row>
    <row r="11" ht="54" customHeight="1">
      <c r="A11" s="44" t="inlineStr">
        <is>
          <t>sevilla:photo:palacio-de-las-duenas-01</t>
        </is>
      </c>
      <c r="B11" s="44" t="inlineStr">
        <is>
          <t>https://commons.wikimedia.org/wiki/User:Benjam%C3%ADn_N%C3%BA%C3%B1ez_Gonz%C3%A1lez</t>
        </is>
      </c>
      <c r="C11" s="44" t="inlineStr">
        <is>
          <t>https://commons.wikimedia.org/wiki/User:Benjam%C3%ADn_N%C3%BA%C3%B1ez_Gonz%C3%A1lez</t>
        </is>
      </c>
      <c r="D11" s="44" t="inlineStr">
        <is>
          <t>https://upload.wikimedia.org/wikipedia/commons/0/0b/Artesonado%2C_Palacio_de_las_Due%C3%B1as%2C_Sevilla%2C_Espa%C3%B1a%2C_2016_01.JPG</t>
        </is>
      </c>
      <c r="E11" s="44" t="inlineStr">
        <is>
          <t>https://thumb.wikimedia.org/wikipedia/commons/thumb/0/0b/Artesonado%2C_Palacio_de_las_Due%C3%B1as%2C_Sevilla%2C_Espa%C3%B1a%2C_2016_01.JPG/1280px-Artesonado%2C_Palacio_de_las_Due%C3%B1as%2C_Sevilla%2C_Espa%C3%B1a%2C_2016_01.JPG</t>
        </is>
      </c>
      <c r="F11" s="53" t="n">
        <v>46320</v>
      </c>
      <c r="G11" s="44" t="inlineStr">
        <is>
          <t>Fotoğraflar/sevilla_palacio-de-las-duenas_01.jpg</t>
        </is>
      </c>
      <c r="H11" s="44" t="inlineStr">
        <is>
          <t>88ca76ab9ad478a0f6b4c282eb829a49395f7707b338bb5afdb408a7d6e31154</t>
        </is>
      </c>
      <c r="I11" s="44" t="inlineStr">
        <is>
          <t>Teslimler/WebKopyalari/88ca76ab9ad478a0f6b4c282eb829a49395f7707b338bb5afdb408a7d6e31154.webp</t>
        </is>
      </c>
      <c r="J11" s="44" t="inlineStr">
        <is>
          <t>16cd14d0177153452664ac92bfbfb749d5c1c840cf8ecab536010323cf4b4405</t>
        </is>
      </c>
      <c r="K11" s="44" t="n">
        <v>1280</v>
      </c>
      <c r="L11" s="44" t="n">
        <v>960</v>
      </c>
      <c r="M11" s="44" t="inlineStr">
        <is>
          <t>Özgün teslim dosyası korundu. EXIF yönü uygulandı; kırpma yapılmadan en çok 1600 px, WebP kalite 84. Önceki kaynak değişiklik notları ayrıca korunur.</t>
        </is>
      </c>
      <c r="N11" s="44" t="inlineStr">
        <is>
          <t>Kayıttan doğrulandı</t>
        </is>
      </c>
      <c r="O11" s="44" t="n"/>
    </row>
    <row r="12" ht="54" customHeight="1">
      <c r="A12" s="44" t="inlineStr">
        <is>
          <t>sevilla:photo:palacio-de-las-duenas-02</t>
        </is>
      </c>
      <c r="B12" s="44" t="inlineStr">
        <is>
          <t>https://commons.wikimedia.org/wiki/User:Alonso_de_Mendoza</t>
        </is>
      </c>
      <c r="C12" s="44" t="inlineStr">
        <is>
          <t>https://commons.wikimedia.org/wiki/User:Alonso_de_Mendoza</t>
        </is>
      </c>
      <c r="D12" s="44" t="inlineStr">
        <is>
          <t>https://upload.wikimedia.org/wikipedia/commons/b/bb/Entrada_al_Palacio_de_las_Due%C3%B1as%2C_Sevilla.jpg</t>
        </is>
      </c>
      <c r="E12" s="44" t="inlineStr">
        <is>
          <t>https://thumb.wikimedia.org/wikipedia/commons/thumb/b/bb/Entrada_al_Palacio_de_las_Due%C3%B1as%2C_Sevilla.jpg/1280px-Entrada_al_Palacio_de_las_Due%C3%B1as%2C_Sevilla.jpg</t>
        </is>
      </c>
      <c r="F12" s="53" t="n">
        <v>46320</v>
      </c>
      <c r="G12" s="44" t="inlineStr">
        <is>
          <t>Fotoğraflar/sevilla_palacio-de-las-duenas_02.jpg</t>
        </is>
      </c>
      <c r="H12" s="44" t="inlineStr">
        <is>
          <t>23e4a931bf12bed6003dd0d0d8e223e68a1c037ee24f1ae84104147e010e92b8</t>
        </is>
      </c>
      <c r="I12" s="44" t="inlineStr">
        <is>
          <t>Teslimler/WebKopyalari/23e4a931bf12bed6003dd0d0d8e223e68a1c037ee24f1ae84104147e010e92b8.webp</t>
        </is>
      </c>
      <c r="J12" s="44" t="inlineStr">
        <is>
          <t>aa27e1ebcd602097b1df61bd64935346c0ea5f97cfc96ed27316f20fc0e4aa36</t>
        </is>
      </c>
      <c r="K12" s="44" t="n">
        <v>1280</v>
      </c>
      <c r="L12" s="44" t="n">
        <v>1280</v>
      </c>
      <c r="M12" s="44" t="inlineStr">
        <is>
          <t>Özgün teslim dosyası korundu. EXIF yönü uygulandı; kırpma yapılmadan en çok 1600 px, WebP kalite 84. Önceki kaynak değişiklik notları ayrıca korunur.</t>
        </is>
      </c>
      <c r="N12" s="44" t="inlineStr">
        <is>
          <t>Kayıttan doğrulandı</t>
        </is>
      </c>
      <c r="O12" s="44" t="n"/>
    </row>
    <row r="13" ht="54" customHeight="1">
      <c r="A13" s="44" t="inlineStr">
        <is>
          <t>sevilla:photo:palacio-de-las-duenas-03</t>
        </is>
      </c>
      <c r="B13" s="44" t="inlineStr">
        <is>
          <t>https://commons.wikimedia.org/wiki/User:Jl_FilpoC</t>
        </is>
      </c>
      <c r="C13" s="44" t="inlineStr">
        <is>
          <t>https://commons.wikimedia.org/wiki/User:Jl_FilpoC</t>
        </is>
      </c>
      <c r="D13" s="44" t="inlineStr">
        <is>
          <t>https://upload.wikimedia.org/wikipedia/commons/7/73/Galer%C3%ADa_norte_del_patio_principal%2C_Palacio_de_las_Due%C3%B1as_%28Sevilla%29.jpg</t>
        </is>
      </c>
      <c r="E13" s="44" t="inlineStr">
        <is>
          <t>https://thumb.wikimedia.org/wikipedia/commons/thumb/7/73/Galer%C3%ADa_norte_del_patio_principal%2C_Palacio_de_las_Due%C3%B1as_%28Sevilla%29.jpg/1280px-Galer%C3%ADa_norte_del_patio_principal%2C_Palacio_de_las_Due%C3%B1as_%28Sevilla%29.jpg</t>
        </is>
      </c>
      <c r="F13" s="53" t="n">
        <v>46320</v>
      </c>
      <c r="G13" s="44" t="inlineStr">
        <is>
          <t>Fotoğraflar/sevilla_palacio-de-las-duenas_03.jpg</t>
        </is>
      </c>
      <c r="H13" s="44" t="inlineStr">
        <is>
          <t>ee111d6de0eeb4db60cce24fbd3e4ef3a82cd6f50fa029c6840997cdb767d2b1</t>
        </is>
      </c>
      <c r="I13" s="44" t="inlineStr">
        <is>
          <t>Teslimler/WebKopyalari/ee111d6de0eeb4db60cce24fbd3e4ef3a82cd6f50fa029c6840997cdb767d2b1.webp</t>
        </is>
      </c>
      <c r="J13" s="44" t="inlineStr">
        <is>
          <t>7e7fac0f0359486c9bfed4fc42a17a515be5e89ae6e2513991863e71c3b1894e</t>
        </is>
      </c>
      <c r="K13" s="44" t="n">
        <v>1202</v>
      </c>
      <c r="L13" s="44" t="n">
        <v>1600</v>
      </c>
      <c r="M13" s="44" t="inlineStr">
        <is>
          <t>Özgün teslim dosyası korundu. EXIF yönü uygulandı; kırpma yapılmadan en çok 1600 px, WebP kalite 84. Önceki kaynak değişiklik notları ayrıca korunur.</t>
        </is>
      </c>
      <c r="N13" s="44" t="inlineStr">
        <is>
          <t>Kayıttan doğrulandı</t>
        </is>
      </c>
      <c r="O13" s="44" t="n"/>
    </row>
    <row r="14" ht="54" customHeight="1">
      <c r="A14" s="44" t="inlineStr">
        <is>
          <t>sevilla:photo:palacio-de-la-condesa-de-lebrija-01</t>
        </is>
      </c>
      <c r="B14" s="44" t="n"/>
      <c r="C14" s="44" t="inlineStr">
        <is>
          <t>https://commons.wikimedia.org/wiki/File:Palacio_Lebrija_Sevilla_1101.jpg</t>
        </is>
      </c>
      <c r="D14" s="44" t="inlineStr">
        <is>
          <t>https://upload.wikimedia.org/wikipedia/commons/3/39/Palacio_Lebrija_Sevilla_1101.jpg</t>
        </is>
      </c>
      <c r="E14" s="44" t="inlineStr">
        <is>
          <t>https://thumb.wikimedia.org/wikipedia/commons/thumb/3/39/Palacio_Lebrija_Sevilla_1101.jpg/1280px-Palacio_Lebrija_Sevilla_1101.jpg</t>
        </is>
      </c>
      <c r="F14" s="53" t="n">
        <v>46320</v>
      </c>
      <c r="G14" s="44" t="inlineStr">
        <is>
          <t>Fotoğraflar/sevilla_palacio-de-la-condesa-de-lebrija_01.jpg</t>
        </is>
      </c>
      <c r="H14" s="44" t="inlineStr">
        <is>
          <t>4869719814a29ac8565ac365e28b64cfda5a74583cf6b754174d7ebf1864119b</t>
        </is>
      </c>
      <c r="I14" s="44" t="inlineStr">
        <is>
          <t>Teslimler/WebKopyalari/4869719814a29ac8565ac365e28b64cfda5a74583cf6b754174d7ebf1864119b.webp</t>
        </is>
      </c>
      <c r="J14" s="44" t="inlineStr">
        <is>
          <t>d4ceb35d5680dcaecfff707f2958f82907711980580ba68678f076e8650093c2</t>
        </is>
      </c>
      <c r="K14" s="44" t="n">
        <v>1067</v>
      </c>
      <c r="L14" s="44" t="n">
        <v>1600</v>
      </c>
      <c r="M14" s="44" t="inlineStr">
        <is>
          <t>Özgün teslim dosyası korundu. EXIF yönü uygulandı; kırpma yapılmadan en çok 1600 px, WebP kalite 84. Önceki kaynak değişiklik notları ayrıca korunur.</t>
        </is>
      </c>
      <c r="N14" s="44" t="inlineStr">
        <is>
          <t>Eksik alan var</t>
        </is>
      </c>
      <c r="O14" s="44" t="inlineStr">
        <is>
          <t>Kaynakta ayrı fotoğrafçı profil bağlantısı bulunmadı; fotoğraf kaynak sayfasına atıf korunur. Bağlantı uydurulmaz.</t>
        </is>
      </c>
    </row>
    <row r="15" ht="54" customHeight="1">
      <c r="A15" s="44" t="inlineStr">
        <is>
          <t>sevilla:photo:palacio-de-la-condesa-de-lebrija-02</t>
        </is>
      </c>
      <c r="B15" s="44" t="n"/>
      <c r="C15" s="44" t="inlineStr">
        <is>
          <t>https://commons.wikimedia.org/wiki/File:Palacio_Lebrija_Sevilla_1106.jpg</t>
        </is>
      </c>
      <c r="D15" s="44" t="inlineStr">
        <is>
          <t>https://upload.wikimedia.org/wikipedia/commons/5/5d/Palacio_Lebrija_Sevilla_1106.jpg</t>
        </is>
      </c>
      <c r="E15" s="44" t="inlineStr">
        <is>
          <t>https://thumb.wikimedia.org/wikipedia/commons/thumb/5/5d/Palacio_Lebrija_Sevilla_1106.jpg/1280px-Palacio_Lebrija_Sevilla_1106.jpg</t>
        </is>
      </c>
      <c r="F15" s="53" t="n">
        <v>46320</v>
      </c>
      <c r="G15" s="44" t="inlineStr">
        <is>
          <t>Fotoğraflar/sevilla_palacio-de-la-condesa-de-lebrija_02.jpg</t>
        </is>
      </c>
      <c r="H15" s="44" t="inlineStr">
        <is>
          <t>c2c9c36c84db05ee0cdf16302d5c305f71ec42fbc7b4007e5b67035364644a0b</t>
        </is>
      </c>
      <c r="I15" s="44" t="inlineStr">
        <is>
          <t>Teslimler/WebKopyalari/c2c9c36c84db05ee0cdf16302d5c305f71ec42fbc7b4007e5b67035364644a0b.webp</t>
        </is>
      </c>
      <c r="J15" s="44" t="inlineStr">
        <is>
          <t>f72b93880038df374d6576ac66734e122b708cb83060a10aff07bc79002aabe1</t>
        </is>
      </c>
      <c r="K15" s="44" t="n">
        <v>1048</v>
      </c>
      <c r="L15" s="44" t="n">
        <v>1600</v>
      </c>
      <c r="M15" s="44" t="inlineStr">
        <is>
          <t>Özgün teslim dosyası korundu. EXIF yönü uygulandı; kırpma yapılmadan en çok 1600 px, WebP kalite 84. Önceki kaynak değişiklik notları ayrıca korunur.</t>
        </is>
      </c>
      <c r="N15" s="44" t="inlineStr">
        <is>
          <t>Eksik alan var</t>
        </is>
      </c>
      <c r="O15" s="44" t="inlineStr">
        <is>
          <t>Kaynakta ayrı fotoğrafçı profil bağlantısı bulunmadı; fotoğraf kaynak sayfasına atıf korunur. Bağlantı uydurulmaz.</t>
        </is>
      </c>
    </row>
    <row r="16" ht="54" customHeight="1">
      <c r="A16" s="44" t="inlineStr">
        <is>
          <t>sevilla:photo:palacio-de-la-condesa-de-lebrija-03</t>
        </is>
      </c>
      <c r="B16" s="44" t="inlineStr">
        <is>
          <t>https://meta.wikimedia.org/wiki/User:Emijrp</t>
        </is>
      </c>
      <c r="C16" s="44" t="inlineStr">
        <is>
          <t>https://meta.wikimedia.org/wiki/User:Emijrp</t>
        </is>
      </c>
      <c r="D16" s="44" t="inlineStr">
        <is>
          <t>https://upload.wikimedia.org/wikipedia/commons/8/87/Palacio_de_Lebrija_001.jpg</t>
        </is>
      </c>
      <c r="E16" s="44" t="inlineStr">
        <is>
          <t>https://thumb.wikimedia.org/wikipedia/commons/thumb/8/87/Palacio_de_Lebrija_001.jpg/1280px-Palacio_de_Lebrija_001.jpg</t>
        </is>
      </c>
      <c r="F16" s="53" t="n">
        <v>46320</v>
      </c>
      <c r="G16" s="44" t="inlineStr">
        <is>
          <t>Fotoğraflar/sevilla_palacio-de-la-condesa-de-lebrija_03.jpg</t>
        </is>
      </c>
      <c r="H16" s="44" t="inlineStr">
        <is>
          <t>ed669e9efbac7861560bfc3184412f2067051bf2a9634c57298fa93d7864f8c8</t>
        </is>
      </c>
      <c r="I16" s="44" t="inlineStr">
        <is>
          <t>Teslimler/WebKopyalari/ed669e9efbac7861560bfc3184412f2067051bf2a9634c57298fa93d7864f8c8.webp</t>
        </is>
      </c>
      <c r="J16" s="44" t="inlineStr">
        <is>
          <t>6e5d6fc0aae0c0ba8da0c3b27bd33a7793240a65689d77b00e3abea0b11a7b47</t>
        </is>
      </c>
      <c r="K16" s="44" t="n">
        <v>1200</v>
      </c>
      <c r="L16" s="44" t="n">
        <v>1600</v>
      </c>
      <c r="M16" s="44" t="inlineStr">
        <is>
          <t>Özgün teslim dosyası korundu. EXIF yönü uygulandı; kırpma yapılmadan en çok 1600 px, WebP kalite 84. Önceki kaynak değişiklik notları ayrıca korunur.</t>
        </is>
      </c>
      <c r="N16" s="44" t="inlineStr">
        <is>
          <t>Kayıttan doğrulandı</t>
        </is>
      </c>
      <c r="O16" s="44" t="n"/>
    </row>
    <row r="17" ht="54" customHeight="1">
      <c r="A17" s="44" t="inlineStr">
        <is>
          <t>sevilla:photo:metropol-parasol-antiquarium-01</t>
        </is>
      </c>
      <c r="B17" s="44" t="inlineStr">
        <is>
          <t>https://commons.wikimedia.org/wiki/User:Holger_Uwe_Schmitt</t>
        </is>
      </c>
      <c r="C17" s="44" t="inlineStr">
        <is>
          <t>https://commons.wikimedia.org/wiki/User:Holger_Uwe_Schmitt</t>
        </is>
      </c>
      <c r="D17" s="44" t="inlineStr">
        <is>
          <t>https://upload.wikimedia.org/wikipedia/commons/4/47/%22Das_gr%C3%B6%C3%9Fte_Holzbauwerk_der_Welt%22._02.jpg</t>
        </is>
      </c>
      <c r="E17" s="44" t="inlineStr">
        <is>
          <t>https://thumb.wikimedia.org/wikipedia/commons/thumb/4/47/%22Das_gr%C3%B6%C3%9Fte_Holzbauwerk_der_Welt%22._02.jpg/1280px-%22Das_gr%C3%B6%C3%9Fte_Holzbauwerk_der_Welt%22._02.jpg</t>
        </is>
      </c>
      <c r="F17" s="53" t="n">
        <v>46320</v>
      </c>
      <c r="G17" s="44" t="inlineStr">
        <is>
          <t>Fotoğraflar/sevilla_metropol-parasol-antiquarium_01.jpg</t>
        </is>
      </c>
      <c r="H17" s="44" t="inlineStr">
        <is>
          <t>82c14319446646301c547d41ceac7f4f6ddb7858cb892c10d864be52c49162ef</t>
        </is>
      </c>
      <c r="I17" s="44" t="inlineStr">
        <is>
          <t>Teslimler/WebKopyalari/82c14319446646301c547d41ceac7f4f6ddb7858cb892c10d864be52c49162ef.webp</t>
        </is>
      </c>
      <c r="J17" s="44" t="inlineStr">
        <is>
          <t>98e72ab84374ac9526f6e5993b6271ea7c10c88253768331af526198b1ebefc9</t>
        </is>
      </c>
      <c r="K17" s="44" t="n">
        <v>880</v>
      </c>
      <c r="L17" s="44" t="n">
        <v>1600</v>
      </c>
      <c r="M17" s="44" t="inlineStr">
        <is>
          <t>Özgün teslim dosyası korundu. EXIF yönü uygulandı; kırpma yapılmadan en çok 1600 px, WebP kalite 84. Önceki kaynak değişiklik notları ayrıca korunur.</t>
        </is>
      </c>
      <c r="N17" s="44" t="inlineStr">
        <is>
          <t>Kayıttan doğrulandı</t>
        </is>
      </c>
      <c r="O17" s="44" t="n"/>
    </row>
    <row r="18" ht="54" customHeight="1">
      <c r="A18" s="44" t="inlineStr">
        <is>
          <t>sevilla:photo:metropol-parasol-antiquarium-02</t>
        </is>
      </c>
      <c r="B18" s="44" t="inlineStr">
        <is>
          <t>https://commons.wikimedia.org/wiki/User:Holger_Uwe_Schmitt</t>
        </is>
      </c>
      <c r="C18" s="44" t="inlineStr">
        <is>
          <t>https://commons.wikimedia.org/wiki/User:Holger_Uwe_Schmitt</t>
        </is>
      </c>
      <c r="D18" s="44" t="inlineStr">
        <is>
          <t>https://upload.wikimedia.org/wikipedia/commons/9/9e/%22Das_gr%C3%B6%C3%9Fte_Holzbauwerk_der_Welt%22._03.jpg</t>
        </is>
      </c>
      <c r="E18" s="44" t="inlineStr">
        <is>
          <t>https://thumb.wikimedia.org/wikipedia/commons/thumb/9/9e/%22Das_gr%C3%B6%C3%9Fte_Holzbauwerk_der_Welt%22._03.jpg/1280px-%22Das_gr%C3%B6%C3%9Fte_Holzbauwerk_der_Welt%22._03.jpg</t>
        </is>
      </c>
      <c r="F18" s="53" t="n">
        <v>46320</v>
      </c>
      <c r="G18" s="44" t="inlineStr">
        <is>
          <t>Fotoğraflar/sevilla_metropol-parasol-antiquarium_02.jpg</t>
        </is>
      </c>
      <c r="H18" s="44" t="inlineStr">
        <is>
          <t>de554a0b0d05f84fd07b3938d1b53a27f850b1ae13d15b6bd518d62aa7320490</t>
        </is>
      </c>
      <c r="I18" s="44" t="inlineStr">
        <is>
          <t>Teslimler/WebKopyalari/de554a0b0d05f84fd07b3938d1b53a27f850b1ae13d15b6bd518d62aa7320490.webp</t>
        </is>
      </c>
      <c r="J18" s="44" t="inlineStr">
        <is>
          <t>75c4b261c3707be34daf728fd079ae3d05198bbc9f0c435b9bda8f74403c78e6</t>
        </is>
      </c>
      <c r="K18" s="44" t="n">
        <v>924</v>
      </c>
      <c r="L18" s="44" t="n">
        <v>1600</v>
      </c>
      <c r="M18" s="44" t="inlineStr">
        <is>
          <t>Özgün teslim dosyası korundu. EXIF yönü uygulandı; kırpma yapılmadan en çok 1600 px, WebP kalite 84. Önceki kaynak değişiklik notları ayrıca korunur.</t>
        </is>
      </c>
      <c r="N18" s="44" t="inlineStr">
        <is>
          <t>Kayıttan doğrulandı</t>
        </is>
      </c>
      <c r="O18" s="44" t="n"/>
    </row>
    <row r="19" ht="54" customHeight="1">
      <c r="A19" s="44" t="inlineStr">
        <is>
          <t>sevilla:photo:metropol-parasol-antiquarium-03</t>
        </is>
      </c>
      <c r="B19" s="44" t="inlineStr">
        <is>
          <t>https://commons.wikimedia.org/wiki/User:Holger_Uwe_Schmitt</t>
        </is>
      </c>
      <c r="C19" s="44" t="inlineStr">
        <is>
          <t>https://commons.wikimedia.org/wiki/User:Holger_Uwe_Schmitt</t>
        </is>
      </c>
      <c r="D19" s="44" t="inlineStr">
        <is>
          <t>https://upload.wikimedia.org/wikipedia/commons/8/8f/%22Das_gr%C3%B6%C3%9Fte_Holzbauwerk_der_Welt%22._04.jpg</t>
        </is>
      </c>
      <c r="E19" s="44" t="inlineStr">
        <is>
          <t>https://thumb.wikimedia.org/wikipedia/commons/thumb/8/8f/%22Das_gr%C3%B6%C3%9Fte_Holzbauwerk_der_Welt%22._04.jpg/1280px-%22Das_gr%C3%B6%C3%9Fte_Holzbauwerk_der_Welt%22._04.jpg</t>
        </is>
      </c>
      <c r="F19" s="53" t="n">
        <v>46320</v>
      </c>
      <c r="G19" s="44" t="inlineStr">
        <is>
          <t>Fotoğraflar/sevilla_metropol-parasol-antiquarium_03.jpg</t>
        </is>
      </c>
      <c r="H19" s="44" t="inlineStr">
        <is>
          <t>bf57fff975735418f6d9a4294ebc859100e49fa92ffa3f13d5549321672e40f0</t>
        </is>
      </c>
      <c r="I19" s="44" t="inlineStr">
        <is>
          <t>Teslimler/WebKopyalari/bf57fff975735418f6d9a4294ebc859100e49fa92ffa3f13d5549321672e40f0.webp</t>
        </is>
      </c>
      <c r="J19" s="44" t="inlineStr">
        <is>
          <t>303f3abd8bf8022c803016472a4ab9273977f8a1d7abecbb93a6e76b9284708d</t>
        </is>
      </c>
      <c r="K19" s="44" t="n">
        <v>867</v>
      </c>
      <c r="L19" s="44" t="n">
        <v>1600</v>
      </c>
      <c r="M19" s="44" t="inlineStr">
        <is>
          <t>Özgün teslim dosyası korundu. EXIF yönü uygulandı; kırpma yapılmadan en çok 1600 px, WebP kalite 84. Önceki kaynak değişiklik notları ayrıca korunur.</t>
        </is>
      </c>
      <c r="N19" s="44" t="inlineStr">
        <is>
          <t>Kayıttan doğrulandı</t>
        </is>
      </c>
      <c r="O19" s="44" t="n"/>
    </row>
    <row r="20" ht="54" customHeight="1">
      <c r="A20" s="44" t="inlineStr">
        <is>
          <t>sevilla:photo:palacio-de-san-telmo-01</t>
        </is>
      </c>
      <c r="B20" s="44" t="n"/>
      <c r="C20" s="44" t="inlineStr">
        <is>
          <t>https://commons.wikimedia.org/wiki/File:Architecture-town-building-palace-city-cityscape-338083.jpg</t>
        </is>
      </c>
      <c r="D20" s="44" t="inlineStr">
        <is>
          <t>https://upload.wikimedia.org/wikipedia/commons/f/f8/Architecture-town-building-palace-city-cityscape-338083.jpg</t>
        </is>
      </c>
      <c r="E20" s="44" t="inlineStr">
        <is>
          <t>https://thumb.wikimedia.org/wikipedia/commons/thumb/f/f8/Architecture-town-building-palace-city-cityscape-338083.jpg/1280px-Architecture-town-building-palace-city-cityscape-338083.jpg</t>
        </is>
      </c>
      <c r="F20" s="53" t="n">
        <v>46320</v>
      </c>
      <c r="G20" s="44" t="inlineStr">
        <is>
          <t>Fotoğraflar/sevilla_palacio-de-san-telmo_01.jpg</t>
        </is>
      </c>
      <c r="H20" s="44" t="inlineStr">
        <is>
          <t>f2ac79dc3e274f4498d05757b8751f5febd274cb56f0f92ff23c83d3a12061ae</t>
        </is>
      </c>
      <c r="I20" s="44" t="inlineStr">
        <is>
          <t>Teslimler/WebKopyalari/f2ac79dc3e274f4498d05757b8751f5febd274cb56f0f92ff23c83d3a12061ae.webp</t>
        </is>
      </c>
      <c r="J20" s="44" t="inlineStr">
        <is>
          <t>e57c23ba8b0c89e0846e85047afcc24f1bee17c7de10d78a810e73765583aa72</t>
        </is>
      </c>
      <c r="K20" s="44" t="n">
        <v>1067</v>
      </c>
      <c r="L20" s="44" t="n">
        <v>1600</v>
      </c>
      <c r="M20" s="44" t="inlineStr">
        <is>
          <t>Özgün teslim dosyası korundu. EXIF yönü uygulandı; kırpma yapılmadan en çok 1600 px, WebP kalite 84. Önceki kaynak değişiklik notları ayrıca korunur.</t>
        </is>
      </c>
      <c r="N20" s="44" t="inlineStr">
        <is>
          <t>Eksik alan var</t>
        </is>
      </c>
      <c r="O20" s="44" t="inlineStr">
        <is>
          <t>Kaynakta ayrı fotoğrafçı profil bağlantısı bulunmadı; fotoğraf kaynak sayfasına atıf korunur. Bağlantı uydurulmaz.</t>
        </is>
      </c>
    </row>
    <row r="21" ht="54" customHeight="1">
      <c r="A21" s="44" t="inlineStr">
        <is>
          <t>sevilla:photo:palacio-de-san-telmo-02</t>
        </is>
      </c>
      <c r="B21" s="44" t="n"/>
      <c r="C21" s="44" t="inlineStr">
        <is>
          <t>https://commons.wikimedia.org/wiki/File:Palacio_San_Telmo_de_Sevilla.jpg</t>
        </is>
      </c>
      <c r="D21" s="44" t="inlineStr">
        <is>
          <t>https://upload.wikimedia.org/wikipedia/commons/1/16/Palacio_San_Telmo_de_Sevilla.jpg</t>
        </is>
      </c>
      <c r="E21" s="44" t="inlineStr">
        <is>
          <t>https://thumb.wikimedia.org/wikipedia/commons/thumb/1/16/Palacio_San_Telmo_de_Sevilla.jpg/1280px-Palacio_San_Telmo_de_Sevilla.jpg</t>
        </is>
      </c>
      <c r="F21" s="53" t="n">
        <v>46320</v>
      </c>
      <c r="G21" s="44" t="inlineStr">
        <is>
          <t>Fotoğraflar/sevilla_palacio-de-san-telmo_02.jpg</t>
        </is>
      </c>
      <c r="H21" s="44" t="inlineStr">
        <is>
          <t>3b015c3b3a8c7d5839acbb477cb71cc8b8812983d7ab5fe4ce40057bbfb56aba</t>
        </is>
      </c>
      <c r="I21" s="44" t="inlineStr">
        <is>
          <t>Teslimler/WebKopyalari/3b015c3b3a8c7d5839acbb477cb71cc8b8812983d7ab5fe4ce40057bbfb56aba.webp</t>
        </is>
      </c>
      <c r="J21" s="44" t="inlineStr">
        <is>
          <t>9af050a90c68adbc56e33a7da57261e205f758c0d294dbfad9f0f3cbfee28d29</t>
        </is>
      </c>
      <c r="K21" s="44" t="n">
        <v>1280</v>
      </c>
      <c r="L21" s="44" t="n">
        <v>853</v>
      </c>
      <c r="M21" s="44" t="inlineStr">
        <is>
          <t>Özgün teslim dosyası korundu. EXIF yönü uygulandı; kırpma yapılmadan en çok 1600 px, WebP kalite 84. Önceki kaynak değişiklik notları ayrıca korunur.</t>
        </is>
      </c>
      <c r="N21" s="44" t="inlineStr">
        <is>
          <t>Eksik alan var</t>
        </is>
      </c>
      <c r="O21" s="44" t="inlineStr">
        <is>
          <t>Kaynakta ayrı fotoğrafçı profil bağlantısı bulunmadı; fotoğraf kaynak sayfasına atıf korunur. Bağlantı uydurulmaz.</t>
        </is>
      </c>
    </row>
    <row r="22" ht="54" customHeight="1">
      <c r="A22" s="44" t="inlineStr">
        <is>
          <t>sevilla:photo:basilica-del-gran-poder-01</t>
        </is>
      </c>
      <c r="B22" s="44" t="inlineStr">
        <is>
          <t>https://commons.wikimedia.org/wiki/User:CarlosVdeHabsburgo</t>
        </is>
      </c>
      <c r="C22" s="44" t="inlineStr">
        <is>
          <t>https://commons.wikimedia.org/wiki/User:CarlosVdeHabsburgo</t>
        </is>
      </c>
      <c r="D22" s="44" t="inlineStr">
        <is>
          <t>https://upload.wikimedia.org/wikipedia/commons/8/8e/Bas%C3%ADlica_del_Gran_Poder.jpg</t>
        </is>
      </c>
      <c r="E22" s="44" t="inlineStr">
        <is>
          <t>https://thumb.wikimedia.org/wikipedia/commons/thumb/8/8e/Bas%C3%ADlica_del_Gran_Poder.jpg/1280px-Bas%C3%ADlica_del_Gran_Poder.jpg</t>
        </is>
      </c>
      <c r="F22" s="53" t="n">
        <v>46320</v>
      </c>
      <c r="G22" s="44" t="inlineStr">
        <is>
          <t>Fotoğraflar/sevilla_basilica-del-gran-poder_01.jpg</t>
        </is>
      </c>
      <c r="H22" s="44" t="inlineStr">
        <is>
          <t>863bbc6b1f5631fd0625a18783a3f650cd749edfb3743edacd1771c4d9b1fb06</t>
        </is>
      </c>
      <c r="I22" s="44" t="inlineStr">
        <is>
          <t>Teslimler/WebKopyalari/863bbc6b1f5631fd0625a18783a3f650cd749edfb3743edacd1771c4d9b1fb06.webp</t>
        </is>
      </c>
      <c r="J22" s="44" t="inlineStr">
        <is>
          <t>2aa622fc1ca5fe304e9375f42c66a276f72ebdc0acd460e97f215e10f9b034a8</t>
        </is>
      </c>
      <c r="K22" s="44" t="n">
        <v>1280</v>
      </c>
      <c r="L22" s="44" t="n">
        <v>960</v>
      </c>
      <c r="M22" s="44" t="inlineStr">
        <is>
          <t>Özgün teslim dosyası korundu. EXIF yönü uygulandı; kırpma yapılmadan en çok 1600 px, WebP kalite 84. Önceki kaynak değişiklik notları ayrıca korunur.</t>
        </is>
      </c>
      <c r="N22" s="44" t="inlineStr">
        <is>
          <t>Kayıttan doğrulandı</t>
        </is>
      </c>
      <c r="O22" s="44" t="n"/>
    </row>
    <row r="23" ht="54" customHeight="1">
      <c r="A23" s="44" t="inlineStr">
        <is>
          <t>sevilla:photo:basilica-del-gran-poder-02</t>
        </is>
      </c>
      <c r="B23" s="44" t="inlineStr">
        <is>
          <t>https://commons.wikimedia.org/wiki/User:Pirado</t>
        </is>
      </c>
      <c r="C23" s="44" t="inlineStr">
        <is>
          <t>https://commons.wikimedia.org/wiki/User:Pirado</t>
        </is>
      </c>
      <c r="D23" s="44" t="inlineStr">
        <is>
          <t>https://upload.wikimedia.org/wikipedia/commons/1/17/Fachada_de_la_bas%C3%ADlica.JPG</t>
        </is>
      </c>
      <c r="E23" s="44" t="inlineStr">
        <is>
          <t>https://thumb.wikimedia.org/wikipedia/commons/thumb/1/17/Fachada_de_la_bas%C3%ADlica.JPG/1280px-Fachada_de_la_bas%C3%ADlica.JPG</t>
        </is>
      </c>
      <c r="F23" s="53" t="n">
        <v>46320</v>
      </c>
      <c r="G23" s="44" t="inlineStr">
        <is>
          <t>Fotoğraflar/sevilla_basilica-del-gran-poder_02.jpg</t>
        </is>
      </c>
      <c r="H23" s="44" t="inlineStr">
        <is>
          <t>d716d44a62c817576944078cc3cdd8c0bf5b6f8665d1eafa83369dce2c174ffd</t>
        </is>
      </c>
      <c r="I23" s="44" t="inlineStr">
        <is>
          <t>Teslimler/WebKopyalari/d716d44a62c817576944078cc3cdd8c0bf5b6f8665d1eafa83369dce2c174ffd.webp</t>
        </is>
      </c>
      <c r="J23" s="44" t="inlineStr">
        <is>
          <t>6e9d6d6718440d3d04dcf72f27ab804d62bde2c2ecb112ac0305472023e98def</t>
        </is>
      </c>
      <c r="K23" s="44" t="n">
        <v>1280</v>
      </c>
      <c r="L23" s="44" t="n">
        <v>960</v>
      </c>
      <c r="M23" s="44" t="inlineStr">
        <is>
          <t>Özgün teslim dosyası korundu. EXIF yönü uygulandı; kırpma yapılmadan en çok 1600 px, WebP kalite 84. Önceki kaynak değişiklik notları ayrıca korunur.</t>
        </is>
      </c>
      <c r="N23" s="44" t="inlineStr">
        <is>
          <t>Kayıttan doğrulandı</t>
        </is>
      </c>
      <c r="O23" s="44" t="n"/>
    </row>
    <row r="24" ht="54" customHeight="1">
      <c r="A24" s="44" t="inlineStr">
        <is>
          <t>sevilla:photo:basilica-del-gran-poder-03</t>
        </is>
      </c>
      <c r="B24" s="44" t="inlineStr">
        <is>
          <t>https://commons.wikimedia.org/wiki/User:CarlosVdeHabsburgo</t>
        </is>
      </c>
      <c r="C24" s="44" t="inlineStr">
        <is>
          <t>https://commons.wikimedia.org/wiki/User:CarlosVdeHabsburgo</t>
        </is>
      </c>
      <c r="D24" s="44" t="inlineStr">
        <is>
          <t>https://upload.wikimedia.org/wikipedia/commons/5/50/%C3%93rgano_%28Gran_Poder%29.jpg</t>
        </is>
      </c>
      <c r="E24" s="44" t="inlineStr">
        <is>
          <t>https://thumb.wikimedia.org/wikipedia/commons/thumb/5/50/%C3%93rgano_%28Gran_Poder%29.jpg/1280px-%C3%93rgano_%28Gran_Poder%29.jpg</t>
        </is>
      </c>
      <c r="F24" s="53" t="n">
        <v>46320</v>
      </c>
      <c r="G24" s="44" t="inlineStr">
        <is>
          <t>Fotoğraflar/sevilla_basilica-del-gran-poder_03.jpg</t>
        </is>
      </c>
      <c r="H24" s="44" t="inlineStr">
        <is>
          <t>d6a8450c591f68844118ea83782d51c720da0d31946ba633f1875d993b4744d4</t>
        </is>
      </c>
      <c r="I24" s="44" t="inlineStr">
        <is>
          <t>Teslimler/WebKopyalari/d6a8450c591f68844118ea83782d51c720da0d31946ba633f1875d993b4744d4.webp</t>
        </is>
      </c>
      <c r="J24" s="44" t="inlineStr">
        <is>
          <t>fe94f7fcdf088abd97f64d0c4898a7187efa108bbbb5bc8613407fb3732595e9</t>
        </is>
      </c>
      <c r="K24" s="44" t="n">
        <v>1116</v>
      </c>
      <c r="L24" s="44" t="n">
        <v>1600</v>
      </c>
      <c r="M24" s="44" t="inlineStr">
        <is>
          <t>Özgün teslim dosyası korundu. EXIF yönü uygulandı; kırpma yapılmadan en çok 1600 px, WebP kalite 84. Önceki kaynak değişiklik notları ayrıca korunur.</t>
        </is>
      </c>
      <c r="N24" s="44" t="inlineStr">
        <is>
          <t>Kayıttan doğrulandı</t>
        </is>
      </c>
      <c r="O24" s="44" t="n"/>
    </row>
    <row r="25" ht="54" customHeight="1">
      <c r="A25" s="44" t="inlineStr">
        <is>
          <t>sevilla:photo:capilla-de-los-marineros-01</t>
        </is>
      </c>
      <c r="B25" s="44" t="inlineStr">
        <is>
          <t>https://commons.wikimedia.org/wiki/User:CarlosVdeHabsburgo</t>
        </is>
      </c>
      <c r="C25" s="44" t="inlineStr">
        <is>
          <t>https://commons.wikimedia.org/wiki/User:CarlosVdeHabsburgo</t>
        </is>
      </c>
      <c r="D25" s="44" t="inlineStr">
        <is>
          <t>https://upload.wikimedia.org/wikipedia/commons/5/5e/C_Marineros.jpg</t>
        </is>
      </c>
      <c r="E25" s="44" t="inlineStr">
        <is>
          <t>https://thumb.wikimedia.org/wikipedia/commons/thumb/5/5e/C_Marineros.jpg/1280px-C_Marineros.jpg</t>
        </is>
      </c>
      <c r="F25" s="53" t="n">
        <v>46320</v>
      </c>
      <c r="G25" s="44" t="inlineStr">
        <is>
          <t>Fotoğraflar/sevilla_capilla-de-los-marineros_01.jpg</t>
        </is>
      </c>
      <c r="H25" s="44" t="inlineStr">
        <is>
          <t>f062bf7ae361dd7905160247cd0e63d9d93be0acf3e1ef89ab529d46a09abf39</t>
        </is>
      </c>
      <c r="I25" s="44" t="inlineStr">
        <is>
          <t>Teslimler/WebKopyalari/f062bf7ae361dd7905160247cd0e63d9d93be0acf3e1ef89ab529d46a09abf39.webp</t>
        </is>
      </c>
      <c r="J25" s="44" t="inlineStr">
        <is>
          <t>ce3cba939dc0a1332b34312d4ac0a572b5867a274a8e31fc0203f569b2af222d</t>
        </is>
      </c>
      <c r="K25" s="44" t="n">
        <v>1200</v>
      </c>
      <c r="L25" s="44" t="n">
        <v>1600</v>
      </c>
      <c r="M25" s="44" t="inlineStr">
        <is>
          <t>Özgün teslim dosyası korundu. EXIF yönü uygulandı; kırpma yapılmadan en çok 1600 px, WebP kalite 84. Önceki kaynak değişiklik notları ayrıca korunur.</t>
        </is>
      </c>
      <c r="N25" s="44" t="inlineStr">
        <is>
          <t>Kayıttan doğrulandı</t>
        </is>
      </c>
      <c r="O25" s="44" t="n"/>
    </row>
    <row r="26" ht="54" customHeight="1">
      <c r="A26" s="44" t="inlineStr">
        <is>
          <t>sevilla:photo:capilla-de-los-marineros-02</t>
        </is>
      </c>
      <c r="B26" s="44" t="inlineStr">
        <is>
          <t>https://commons.wikimedia.org/wiki/User:CarlosVdeHabsburgo</t>
        </is>
      </c>
      <c r="C26" s="44" t="inlineStr">
        <is>
          <t>https://commons.wikimedia.org/wiki/User:CarlosVdeHabsburgo</t>
        </is>
      </c>
      <c r="D26" s="44" t="inlineStr">
        <is>
          <t>https://upload.wikimedia.org/wikipedia/commons/e/ef/Capilla_de_los_Marineros_01.jpg</t>
        </is>
      </c>
      <c r="E26" s="44" t="inlineStr">
        <is>
          <t>https://thumb.wikimedia.org/wikipedia/commons/thumb/e/ef/Capilla_de_los_Marineros_01.jpg/1280px-Capilla_de_los_Marineros_01.jpg</t>
        </is>
      </c>
      <c r="F26" s="53" t="n">
        <v>46320</v>
      </c>
      <c r="G26" s="44" t="inlineStr">
        <is>
          <t>Fotoğraflar/sevilla_capilla-de-los-marineros_02.jpg</t>
        </is>
      </c>
      <c r="H26" s="44" t="inlineStr">
        <is>
          <t>32b9b2080bcacd777e6e80c92fb549fa3a586700d7f5445b3d29dec6399f27b4</t>
        </is>
      </c>
      <c r="I26" s="44" t="inlineStr">
        <is>
          <t>Teslimler/WebKopyalari/32b9b2080bcacd777e6e80c92fb549fa3a586700d7f5445b3d29dec6399f27b4.webp</t>
        </is>
      </c>
      <c r="J26" s="44" t="inlineStr">
        <is>
          <t>f10bce98beee05f3ad8085b2e909292b5247e008ff71a7c078ec0d88a24a62c1</t>
        </is>
      </c>
      <c r="K26" s="44" t="n">
        <v>1104</v>
      </c>
      <c r="L26" s="44" t="n">
        <v>1600</v>
      </c>
      <c r="M26" s="44" t="inlineStr">
        <is>
          <t>Özgün teslim dosyası korundu. EXIF yönü uygulandı; kırpma yapılmadan en çok 1600 px, WebP kalite 84. Önceki kaynak değişiklik notları ayrıca korunur.</t>
        </is>
      </c>
      <c r="N26" s="44" t="inlineStr">
        <is>
          <t>Kayıttan doğrulandı</t>
        </is>
      </c>
      <c r="O26" s="44" t="n"/>
    </row>
    <row r="27" ht="54" customHeight="1">
      <c r="A27" s="44" t="inlineStr">
        <is>
          <t>sevilla:photo:capilla-de-los-marineros-03</t>
        </is>
      </c>
      <c r="B27" s="44" t="inlineStr">
        <is>
          <t>https://commons.wikimedia.org/wiki/User:Frobles</t>
        </is>
      </c>
      <c r="C27" s="44" t="inlineStr">
        <is>
          <t>https://commons.wikimedia.org/wiki/User:Frobles</t>
        </is>
      </c>
      <c r="D27" s="44" t="inlineStr">
        <is>
          <t>https://upload.wikimedia.org/wikipedia/commons/7/7b/Capilladelosmarinerossevilla.JPG</t>
        </is>
      </c>
      <c r="E27" s="44" t="inlineStr">
        <is>
          <t>https://thumb.wikimedia.org/wikipedia/commons/thumb/7/7b/Capilladelosmarinerossevilla.JPG/1280px-Capilladelosmarinerossevilla.JPG</t>
        </is>
      </c>
      <c r="F27" s="53" t="n">
        <v>46320</v>
      </c>
      <c r="G27" s="44" t="inlineStr">
        <is>
          <t>Fotoğraflar/sevilla_capilla-de-los-marineros_03.jpg</t>
        </is>
      </c>
      <c r="H27" s="44" t="inlineStr">
        <is>
          <t>2918f6cf43b8e6348017012f0585617b9ab28fee477a2ada477c15da6954438b</t>
        </is>
      </c>
      <c r="I27" s="44" t="inlineStr">
        <is>
          <t>Teslimler/WebKopyalari/2918f6cf43b8e6348017012f0585617b9ab28fee477a2ada477c15da6954438b.webp</t>
        </is>
      </c>
      <c r="J27" s="44" t="inlineStr">
        <is>
          <t>c5956125c3fa9783566eee98e03d44e69db0b109be1eb86081bb528e71c311e0</t>
        </is>
      </c>
      <c r="K27" s="44" t="n">
        <v>1200</v>
      </c>
      <c r="L27" s="44" t="n">
        <v>1600</v>
      </c>
      <c r="M27" s="44" t="inlineStr">
        <is>
          <t>Özgün teslim dosyası korundu. EXIF yönü uygulandı; kırpma yapılmadan en çok 1600 px, WebP kalite 84. Önceki kaynak değişiklik notları ayrıca korunur.</t>
        </is>
      </c>
      <c r="N27" s="44" t="inlineStr">
        <is>
          <t>Kayıttan doğrulandı</t>
        </is>
      </c>
      <c r="O27" s="44" t="n"/>
    </row>
    <row r="28" ht="54" customHeight="1">
      <c r="A28" s="44" t="inlineStr">
        <is>
          <t>sevilla:photo:basilica-del-cachorro-01</t>
        </is>
      </c>
      <c r="B28" s="44" t="inlineStr">
        <is>
          <t>https://commons.wikimedia.org/wiki/User:Zarateman</t>
        </is>
      </c>
      <c r="C28" s="44" t="inlineStr">
        <is>
          <t>https://commons.wikimedia.org/wiki/User:Zarateman</t>
        </is>
      </c>
      <c r="D28" s="44" t="inlineStr">
        <is>
          <t>https://upload.wikimedia.org/wikipedia/commons/7/78/Sevilla_-_Triana%2C_Bas%C3%ADlica_del_Sant%C3%ADsimo_Cristo_de_la_Expiraci%C3%B3n_03.jpg</t>
        </is>
      </c>
      <c r="E28" s="44" t="inlineStr">
        <is>
          <t>https://thumb.wikimedia.org/wikipedia/commons/thumb/7/78/Sevilla_-_Triana%2C_Bas%C3%ADlica_del_Sant%C3%ADsimo_Cristo_de_la_Expiraci%C3%B3n_03.jpg/1280px-Sevilla_-_Triana%2C_Bas%C3%ADlica_del_Sant%C3%ADsimo_Cristo_de_la_Expiraci%C3%B3n_03.jpg</t>
        </is>
      </c>
      <c r="F28" s="53" t="n">
        <v>46320</v>
      </c>
      <c r="G28" s="44" t="inlineStr">
        <is>
          <t>Fotoğraflar/sevilla_basilica-del-cachorro_01.jpg</t>
        </is>
      </c>
      <c r="H28" s="44" t="inlineStr">
        <is>
          <t>a9b6a49e72b8d02d48dd14e845ca9e607b90e9711da9534c5a5bbd9a25c3d70d</t>
        </is>
      </c>
      <c r="I28" s="44" t="inlineStr">
        <is>
          <t>Teslimler/WebKopyalari/a9b6a49e72b8d02d48dd14e845ca9e607b90e9711da9534c5a5bbd9a25c3d70d.webp</t>
        </is>
      </c>
      <c r="J28" s="44" t="inlineStr">
        <is>
          <t>cfa22d7b4c01169dac018f8210039092c36736dcc61f5d960ca9523328e15937</t>
        </is>
      </c>
      <c r="K28" s="44" t="n">
        <v>1212</v>
      </c>
      <c r="L28" s="44" t="n">
        <v>1600</v>
      </c>
      <c r="M28" s="44" t="inlineStr">
        <is>
          <t>Özgün teslim dosyası korundu. EXIF yönü uygulandı; kırpma yapılmadan en çok 1600 px, WebP kalite 84. Önceki kaynak değişiklik notları ayrıca korunur.</t>
        </is>
      </c>
      <c r="N28" s="44" t="inlineStr">
        <is>
          <t>Kayıttan doğrulandı</t>
        </is>
      </c>
      <c r="O28" s="44" t="n"/>
    </row>
    <row r="29" ht="54" customHeight="1">
      <c r="A29" s="44" t="inlineStr">
        <is>
          <t>sevilla:photo:plaza-de-espana-01</t>
        </is>
      </c>
      <c r="B29" s="44" t="n"/>
      <c r="C29" s="44" t="inlineStr">
        <is>
          <t>https://commons.wikimedia.org/wiki/File:016-Edificio_de_la_Antigua_Capitan%C3%ADa_General(RI-51-0003936).jpg</t>
        </is>
      </c>
      <c r="D29" s="44" t="inlineStr">
        <is>
          <t>https://upload.wikimedia.org/wikipedia/commons/9/9a/016-Edificio_de_la_Antigua_Capitan%C3%ADa_General%28RI-51-0003936%29.jpg</t>
        </is>
      </c>
      <c r="E29" s="44" t="inlineStr">
        <is>
          <t>https://thumb.wikimedia.org/wikipedia/commons/thumb/9/9a/016-Edificio_de_la_Antigua_Capitan%C3%ADa_General%28RI-51-0003936%29.jpg/1280px-016-Edificio_de_la_Antigua_Capitan%C3%ADa_General%28RI-51-0003936%29.jpg</t>
        </is>
      </c>
      <c r="F29" s="53" t="n">
        <v>46320</v>
      </c>
      <c r="G29" s="44" t="inlineStr">
        <is>
          <t>Fotoğraflar/sevilla_plaza-de-espana_01.jpg</t>
        </is>
      </c>
      <c r="H29" s="44" t="inlineStr">
        <is>
          <t>a385a899f4678953594041a452869452e4ce69dc41668cd534f4f6913ed39fe4</t>
        </is>
      </c>
      <c r="I29" s="44" t="inlineStr">
        <is>
          <t>Teslimler/WebKopyalari/a385a899f4678953594041a452869452e4ce69dc41668cd534f4f6913ed39fe4.webp</t>
        </is>
      </c>
      <c r="J29" s="44" t="inlineStr">
        <is>
          <t>4d3cb8060627f825fb89a21759d8fd5b9fa6aa6f2b76720f3c7eaed82991d4ce</t>
        </is>
      </c>
      <c r="K29" s="44" t="n">
        <v>1280</v>
      </c>
      <c r="L29" s="44" t="n">
        <v>960</v>
      </c>
      <c r="M29" s="44" t="inlineStr">
        <is>
          <t>Özgün teslim dosyası korundu. EXIF yönü uygulandı; kırpma yapılmadan en çok 1600 px, WebP kalite 84. Önceki kaynak değişiklik notları ayrıca korunur.</t>
        </is>
      </c>
      <c r="N29" s="44" t="inlineStr">
        <is>
          <t>Eksik alan var</t>
        </is>
      </c>
      <c r="O29" s="44" t="inlineStr">
        <is>
          <t>Kaynakta ayrı fotoğrafçı profil bağlantısı bulunmadı; fotoğraf kaynak sayfasına atıf korunur. Bağlantı uydurulmaz.</t>
        </is>
      </c>
    </row>
    <row r="30" ht="54" customHeight="1">
      <c r="A30" s="44" t="inlineStr">
        <is>
          <t>sevilla:photo:plaza-de-espana-02</t>
        </is>
      </c>
      <c r="B30" s="44" t="n"/>
      <c r="C30" s="44" t="inlineStr">
        <is>
          <t>https://commons.wikimedia.org/wiki/File:017-Torre_Sur-Edificio_de_la_Antigua_Capitan%C3%ADa_General-Sevilla(RI-51-0003936).jpg</t>
        </is>
      </c>
      <c r="D30" s="44" t="inlineStr">
        <is>
          <t>https://upload.wikimedia.org/wikipedia/commons/b/b6/017-Torre_Sur-Edificio_de_la_Antigua_Capitan%C3%ADa_General-Sevilla%28RI-51-0003936%29.jpg</t>
        </is>
      </c>
      <c r="E30" s="44" t="inlineStr">
        <is>
          <t>https://thumb.wikimedia.org/wikipedia/commons/thumb/b/b6/017-Torre_Sur-Edificio_de_la_Antigua_Capitan%C3%ADa_General-Sevilla%28RI-51-0003936%29.jpg/1280px-017-Torre_Sur-Edificio_de_la_Antigua_Capitan%C3%ADa_General-Sevilla%28RI-51-0003936%29.jpg</t>
        </is>
      </c>
      <c r="F30" s="53" t="n">
        <v>46320</v>
      </c>
      <c r="G30" s="44" t="inlineStr">
        <is>
          <t>Fotoğraflar/sevilla_plaza-de-espana_02.jpg</t>
        </is>
      </c>
      <c r="H30" s="44" t="inlineStr">
        <is>
          <t>5d6fd8687d6364544a51d0caea76501ce71c8509ab7f270eb9187c5adc12a408</t>
        </is>
      </c>
      <c r="I30" s="44" t="inlineStr">
        <is>
          <t>Teslimler/WebKopyalari/5d6fd8687d6364544a51d0caea76501ce71c8509ab7f270eb9187c5adc12a408.webp</t>
        </is>
      </c>
      <c r="J30" s="44" t="inlineStr">
        <is>
          <t>955a6b8c3352c81ced6575c5de5ee5d6d1be90be959474f8d94ad30ac504250d</t>
        </is>
      </c>
      <c r="K30" s="44" t="n">
        <v>1067</v>
      </c>
      <c r="L30" s="44" t="n">
        <v>1600</v>
      </c>
      <c r="M30" s="44" t="inlineStr">
        <is>
          <t>Özgün teslim dosyası korundu. EXIF yönü uygulandı; kırpma yapılmadan en çok 1600 px, WebP kalite 84. Önceki kaynak değişiklik notları ayrıca korunur.</t>
        </is>
      </c>
      <c r="N30" s="44" t="inlineStr">
        <is>
          <t>Eksik alan var</t>
        </is>
      </c>
      <c r="O30" s="44" t="inlineStr">
        <is>
          <t>Kaynakta ayrı fotoğrafçı profil bağlantısı bulunmadı; fotoğraf kaynak sayfasına atıf korunur. Bağlantı uydurulmaz.</t>
        </is>
      </c>
    </row>
    <row r="31" ht="54" customHeight="1">
      <c r="A31" s="44" t="inlineStr">
        <is>
          <t>sevilla:photo:plaza-de-espana-03</t>
        </is>
      </c>
      <c r="B31" s="44" t="inlineStr">
        <is>
          <t>https://commons.wikimedia.org/wiki/User:Holger_Uwe_Schmitt</t>
        </is>
      </c>
      <c r="C31" s="44" t="inlineStr">
        <is>
          <t>https://commons.wikimedia.org/wiki/User:Holger_Uwe_Schmitt</t>
        </is>
      </c>
      <c r="D31" s="44" t="inlineStr">
        <is>
          <t>https://upload.wikimedia.org/wikipedia/commons/1/1d/9._Mai_1929%2C_an_diesem_Tag_wurde_die_Iberoamerikanische_Ausstellung_in_Sevilla_er%C3%B6ffnet._01.jpg</t>
        </is>
      </c>
      <c r="E31" s="44" t="inlineStr">
        <is>
          <t>https://thumb.wikimedia.org/wikipedia/commons/thumb/1/1d/9._Mai_1929%2C_an_diesem_Tag_wurde_die_Iberoamerikanische_Ausstellung_in_Sevilla_er%C3%B6ffnet._01.jpg/1280px-9._Mai_1929%2C_an_diesem_Tag_wurde_die_Iberoamerikanische_Ausstellung_in_Sevilla_er%C3%B6ffnet._01.jpg</t>
        </is>
      </c>
      <c r="F31" s="53" t="n">
        <v>46320</v>
      </c>
      <c r="G31" s="44" t="inlineStr">
        <is>
          <t>Fotoğraflar/sevilla_plaza-de-espana_03.jpg</t>
        </is>
      </c>
      <c r="H31" s="44" t="inlineStr">
        <is>
          <t>931993f5b1e06c6f5e9a5ecdaff97804bf4bfb6fb5048f40695d1f5246dd6e2b</t>
        </is>
      </c>
      <c r="I31" s="44" t="inlineStr">
        <is>
          <t>Teslimler/WebKopyalari/931993f5b1e06c6f5e9a5ecdaff97804bf4bfb6fb5048f40695d1f5246dd6e2b.webp</t>
        </is>
      </c>
      <c r="J31" s="44" t="inlineStr">
        <is>
          <t>54ecce4c5a0a2268e4639a0dbeed625767767fb9208d6acecc4d4f10dca6143f</t>
        </is>
      </c>
      <c r="K31" s="44" t="n">
        <v>1280</v>
      </c>
      <c r="L31" s="44" t="n">
        <v>574</v>
      </c>
      <c r="M31" s="44" t="inlineStr">
        <is>
          <t>Özgün teslim dosyası korundu. EXIF yönü uygulandı; kırpma yapılmadan en çok 1600 px, WebP kalite 84. Önceki kaynak değişiklik notları ayrıca korunur.</t>
        </is>
      </c>
      <c r="N31" s="44" t="inlineStr">
        <is>
          <t>Kayıttan doğrulandı</t>
        </is>
      </c>
      <c r="O31" s="44" t="n"/>
    </row>
    <row r="32" ht="54" customHeight="1">
      <c r="A32" s="44" t="inlineStr">
        <is>
          <t>sevilla:photo:archivo-general-de-indias-01</t>
        </is>
      </c>
      <c r="B32" s="44" t="inlineStr">
        <is>
          <t>https://commons.wikimedia.org/wiki/User:Jl_FilpoC</t>
        </is>
      </c>
      <c r="C32" s="44" t="inlineStr">
        <is>
          <t>https://commons.wikimedia.org/wiki/User:Jl_FilpoC</t>
        </is>
      </c>
      <c r="D32" s="44" t="inlineStr">
        <is>
          <t>https://upload.wikimedia.org/wikipedia/commons/2/20/B%C3%B3veda_del_Archivo_de_Indias_%28Sevilla%29.jpg</t>
        </is>
      </c>
      <c r="E32" s="44" t="inlineStr">
        <is>
          <t>https://thumb.wikimedia.org/wikipedia/commons/thumb/2/20/B%C3%B3veda_del_Archivo_de_Indias_%28Sevilla%29.jpg/1280px-B%C3%B3veda_del_Archivo_de_Indias_%28Sevilla%29.jpg</t>
        </is>
      </c>
      <c r="F32" s="53" t="n">
        <v>46320</v>
      </c>
      <c r="G32" s="44" t="inlineStr">
        <is>
          <t>Fotoğraflar/sevilla_archivo-general-de-indias_01.jpg</t>
        </is>
      </c>
      <c r="H32" s="44" t="inlineStr">
        <is>
          <t>2ddc9a2bacd2c15483762cb3b42cccf5f5676bc5dcbdb666e4d7fab9a49a653a</t>
        </is>
      </c>
      <c r="I32" s="44" t="inlineStr">
        <is>
          <t>Teslimler/WebKopyalari/2ddc9a2bacd2c15483762cb3b42cccf5f5676bc5dcbdb666e4d7fab9a49a653a.webp</t>
        </is>
      </c>
      <c r="J32" s="44" t="inlineStr">
        <is>
          <t>11402ec545af3485843a03364c5335ea23e1d93789e4d31419ebb33c544b901f</t>
        </is>
      </c>
      <c r="K32" s="44" t="n">
        <v>1280</v>
      </c>
      <c r="L32" s="44" t="n">
        <v>853</v>
      </c>
      <c r="M32" s="44" t="inlineStr">
        <is>
          <t>Özgün teslim dosyası korundu. EXIF yönü uygulandı; kırpma yapılmadan en çok 1600 px, WebP kalite 84. Önceki kaynak değişiklik notları ayrıca korunur.</t>
        </is>
      </c>
      <c r="N32" s="44" t="inlineStr">
        <is>
          <t>Kayıttan doğrulandı</t>
        </is>
      </c>
      <c r="O32" s="44" t="n"/>
    </row>
    <row r="33" ht="54" customHeight="1">
      <c r="A33" s="44" t="inlineStr">
        <is>
          <t>sevilla:photo:archivo-general-de-indias-02</t>
        </is>
      </c>
      <c r="B33" s="44" t="n"/>
      <c r="C33" s="44" t="inlineStr">
        <is>
          <t>https://commons.wikimedia.org/wiki/File:Casa_Lonja_de_Mercaderes_(Sevilla)._Patio.jpg</t>
        </is>
      </c>
      <c r="D33" s="44" t="inlineStr">
        <is>
          <t>https://upload.wikimedia.org/wikipedia/commons/d/dd/Casa_Lonja_de_Mercaderes_%28Sevilla%29._Patio.jpg</t>
        </is>
      </c>
      <c r="E33" s="44" t="inlineStr">
        <is>
          <t>https://thumb.wikimedia.org/wikipedia/commons/thumb/d/dd/Casa_Lonja_de_Mercaderes_%28Sevilla%29._Patio.jpg/1280px-Casa_Lonja_de_Mercaderes_%28Sevilla%29._Patio.jpg</t>
        </is>
      </c>
      <c r="F33" s="53" t="n">
        <v>46320</v>
      </c>
      <c r="G33" s="44" t="inlineStr">
        <is>
          <t>Fotoğraflar/sevilla_archivo-general-de-indias_02.jpg</t>
        </is>
      </c>
      <c r="H33" s="44" t="inlineStr">
        <is>
          <t>80422ce8f35e27bfa153cf023cfb4c6bf11d944532c8946da3155427a1029b34</t>
        </is>
      </c>
      <c r="I33" s="44" t="inlineStr">
        <is>
          <t>Teslimler/WebKopyalari/80422ce8f35e27bfa153cf023cfb4c6bf11d944532c8946da3155427a1029b34.webp</t>
        </is>
      </c>
      <c r="J33" s="44" t="inlineStr">
        <is>
          <t>4a40ab61490e5196743820f2a266ed4396956294f3d7299433b62c6466234deb</t>
        </is>
      </c>
      <c r="K33" s="44" t="n">
        <v>1280</v>
      </c>
      <c r="L33" s="44" t="n">
        <v>853</v>
      </c>
      <c r="M33" s="44" t="inlineStr">
        <is>
          <t>Özgün teslim dosyası korundu. EXIF yönü uygulandı; kırpma yapılmadan en çok 1600 px, WebP kalite 84. Önceki kaynak değişiklik notları ayrıca korunur.</t>
        </is>
      </c>
      <c r="N33" s="44" t="inlineStr">
        <is>
          <t>Eksik alan var</t>
        </is>
      </c>
      <c r="O33" s="44" t="inlineStr">
        <is>
          <t>Kaynakta ayrı fotoğrafçı profil bağlantısı bulunmadı; fotoğraf kaynak sayfasına atıf korunur. Bağlantı uydurulmaz.</t>
        </is>
      </c>
    </row>
    <row r="34" ht="54" customHeight="1">
      <c r="A34" s="44" t="inlineStr">
        <is>
          <t>sevilla:photo:puente-de-triana-01</t>
        </is>
      </c>
      <c r="B34" s="44" t="inlineStr">
        <is>
          <t>https://commons.wikimedia.org/wiki/User:Adam63</t>
        </is>
      </c>
      <c r="C34" s="44" t="inlineStr">
        <is>
          <t>https://commons.wikimedia.org/wiki/User:Adam63</t>
        </is>
      </c>
      <c r="D34" s="44" t="inlineStr">
        <is>
          <t>https://upload.wikimedia.org/wikipedia/commons/f/fe/Bridge_with_Jacaranda_Tree_in_Bloom_-_Seville_-_Spain.jpg</t>
        </is>
      </c>
      <c r="E34" s="44" t="inlineStr">
        <is>
          <t>https://thumb.wikimedia.org/wikipedia/commons/thumb/f/fe/Bridge_with_Jacaranda_Tree_in_Bloom_-_Seville_-_Spain.jpg/1280px-Bridge_with_Jacaranda_Tree_in_Bloom_-_Seville_-_Spain.jpg</t>
        </is>
      </c>
      <c r="F34" s="53" t="n">
        <v>46320</v>
      </c>
      <c r="G34" s="44" t="inlineStr">
        <is>
          <t>Fotoğraflar/sevilla_puente-de-triana_01.jpg</t>
        </is>
      </c>
      <c r="H34" s="44" t="inlineStr">
        <is>
          <t>3ef99414f915c060326e46c7dfc55c3d0c8644fc91f582ec19cd1d6f97ae3d5b</t>
        </is>
      </c>
      <c r="I34" s="44" t="inlineStr">
        <is>
          <t>Teslimler/WebKopyalari/3ef99414f915c060326e46c7dfc55c3d0c8644fc91f582ec19cd1d6f97ae3d5b.webp</t>
        </is>
      </c>
      <c r="J34" s="44" t="inlineStr">
        <is>
          <t>5131197593a3411d279e0fb1500e28b402bfffc00386a7bf927eadb0e957ee1f</t>
        </is>
      </c>
      <c r="K34" s="44" t="n">
        <v>1280</v>
      </c>
      <c r="L34" s="44" t="n">
        <v>853</v>
      </c>
      <c r="M34" s="44" t="inlineStr">
        <is>
          <t>Özgün teslim dosyası korundu. EXIF yönü uygulandı; kırpma yapılmadan en çok 1600 px, WebP kalite 84. Önceki kaynak değişiklik notları ayrıca korunur.</t>
        </is>
      </c>
      <c r="N34" s="44" t="inlineStr">
        <is>
          <t>Kayıttan doğrulandı</t>
        </is>
      </c>
      <c r="O34" s="44" t="n"/>
    </row>
    <row r="35" ht="54" customHeight="1">
      <c r="A35" s="44" t="inlineStr">
        <is>
          <t>sevilla:photo:muralla-de-la-macarena-01</t>
        </is>
      </c>
      <c r="B35" s="44" t="n"/>
      <c r="C35" s="44" t="inlineStr">
        <is>
          <t>https://commons.wikimedia.org/wiki/File:Arco_de_la_Macarena_de_Sevilla.JPG</t>
        </is>
      </c>
      <c r="D35" s="44" t="inlineStr">
        <is>
          <t>https://upload.wikimedia.org/wikipedia/commons/d/df/Arco_de_la_Macarena_de_Sevilla.JPG</t>
        </is>
      </c>
      <c r="E35" s="44" t="inlineStr">
        <is>
          <t>https://thumb.wikimedia.org/wikipedia/commons/thumb/d/df/Arco_de_la_Macarena_de_Sevilla.JPG/1280px-Arco_de_la_Macarena_de_Sevilla.JPG</t>
        </is>
      </c>
      <c r="F35" s="53" t="n">
        <v>46320</v>
      </c>
      <c r="G35" s="44" t="inlineStr">
        <is>
          <t>Fotoğraflar/sevilla_muralla-de-la-macarena_01.jpg</t>
        </is>
      </c>
      <c r="H35" s="44" t="inlineStr">
        <is>
          <t>d639aca9ad998250b64334b86ea0a012f581a97cbc2a64864a4aa9577c2f7af2</t>
        </is>
      </c>
      <c r="I35" s="44" t="inlineStr">
        <is>
          <t>Teslimler/WebKopyalari/d639aca9ad998250b64334b86ea0a012f581a97cbc2a64864a4aa9577c2f7af2.webp</t>
        </is>
      </c>
      <c r="J35" s="44" t="inlineStr">
        <is>
          <t>78dfbc07c11b169aca2cba98f90304a968efd20b3d6e8f14a33b1bb7ac9e8df8</t>
        </is>
      </c>
      <c r="K35" s="44" t="n">
        <v>1280</v>
      </c>
      <c r="L35" s="44" t="n">
        <v>851</v>
      </c>
      <c r="M35" s="44" t="inlineStr">
        <is>
          <t>Özgün teslim dosyası korundu. EXIF yönü uygulandı; kırpma yapılmadan en çok 1600 px, WebP kalite 84. Önceki kaynak değişiklik notları ayrıca korunur.</t>
        </is>
      </c>
      <c r="N35" s="44" t="inlineStr">
        <is>
          <t>Eksik alan var</t>
        </is>
      </c>
      <c r="O35" s="44" t="inlineStr">
        <is>
          <t>Kaynakta ayrı fotoğrafçı profil bağlantısı bulunmadı; fotoğraf kaynak sayfasına atıf korunur. Bağlantı uydurulmaz.</t>
        </is>
      </c>
    </row>
    <row r="36" ht="54" customHeight="1">
      <c r="A36" s="44" t="inlineStr">
        <is>
          <t>sevilla:photo:muralla-de-la-macarena-02</t>
        </is>
      </c>
      <c r="B36" s="44" t="inlineStr">
        <is>
          <t>https://commons.wikimedia.org/wiki/User:Torniego_1947</t>
        </is>
      </c>
      <c r="C36" s="44" t="inlineStr">
        <is>
          <t>https://commons.wikimedia.org/wiki/User:Torniego_1947</t>
        </is>
      </c>
      <c r="D36" s="44" t="inlineStr">
        <is>
          <t>https://upload.wikimedia.org/wikipedia/commons/1/19/Arco_de_la_Macarena.jpg</t>
        </is>
      </c>
      <c r="E36" s="44" t="inlineStr">
        <is>
          <t>https://thumb.wikimedia.org/wikipedia/commons/thumb/1/19/Arco_de_la_Macarena.jpg/1280px-Arco_de_la_Macarena.jpg</t>
        </is>
      </c>
      <c r="F36" s="53" t="n">
        <v>46320</v>
      </c>
      <c r="G36" s="44" t="inlineStr">
        <is>
          <t>Fotoğraflar/sevilla_muralla-de-la-macarena_02.jpg</t>
        </is>
      </c>
      <c r="H36" s="44" t="inlineStr">
        <is>
          <t>a484586761ecd84aa469e1ee72df65b907056f23ebab732c489875efca83aeee</t>
        </is>
      </c>
      <c r="I36" s="44" t="inlineStr">
        <is>
          <t>Teslimler/WebKopyalari/a484586761ecd84aa469e1ee72df65b907056f23ebab732c489875efca83aeee.webp</t>
        </is>
      </c>
      <c r="J36" s="44" t="inlineStr">
        <is>
          <t>76f48675f8a156604cc9b4e699005cd2c4ec912bde5f1ecbb8df2c02ca14c9f2</t>
        </is>
      </c>
      <c r="K36" s="44" t="n">
        <v>1280</v>
      </c>
      <c r="L36" s="44" t="n">
        <v>1453</v>
      </c>
      <c r="M36" s="44" t="inlineStr">
        <is>
          <t>Özgün teslim dosyası korundu. EXIF yönü uygulandı; kırpma yapılmadan en çok 1600 px, WebP kalite 84. Önceki kaynak değişiklik notları ayrıca korunur.</t>
        </is>
      </c>
      <c r="N36" s="44" t="inlineStr">
        <is>
          <t>Kayıttan doğrulandı</t>
        </is>
      </c>
      <c r="O36" s="44" t="n"/>
    </row>
    <row r="37" ht="54" customHeight="1">
      <c r="A37" s="44" t="inlineStr">
        <is>
          <t>sevilla:photo:muralla-de-la-macarena-03</t>
        </is>
      </c>
      <c r="B37" s="44" t="inlineStr">
        <is>
          <t>https://commons.wikimedia.org/wiki/User:Anual</t>
        </is>
      </c>
      <c r="C37" s="44" t="inlineStr">
        <is>
          <t>https://commons.wikimedia.org/wiki/User:Anual</t>
        </is>
      </c>
      <c r="D37" s="44" t="inlineStr">
        <is>
          <t>https://upload.wikimedia.org/wikipedia/commons/3/35/Arco_de_la_macarena_002An2022.jpg</t>
        </is>
      </c>
      <c r="E37" s="44" t="inlineStr">
        <is>
          <t>https://thumb.wikimedia.org/wikipedia/commons/thumb/3/35/Arco_de_la_macarena_002An2022.jpg/1280px-Arco_de_la_macarena_002An2022.jpg</t>
        </is>
      </c>
      <c r="F37" s="53" t="n">
        <v>46320</v>
      </c>
      <c r="G37" s="44" t="inlineStr">
        <is>
          <t>Fotoğraflar/sevilla_muralla-de-la-macarena_03.jpg</t>
        </is>
      </c>
      <c r="H37" s="44" t="inlineStr">
        <is>
          <t>569fd327d36d7e39042497c2e31f629440a4e97082e1fb7e29e6433d09141524</t>
        </is>
      </c>
      <c r="I37" s="44" t="inlineStr">
        <is>
          <t>Teslimler/WebKopyalari/569fd327d36d7e39042497c2e31f629440a4e97082e1fb7e29e6433d09141524.webp</t>
        </is>
      </c>
      <c r="J37" s="44" t="inlineStr">
        <is>
          <t>271e1005dffaa70b3f4bc1318c866c11e8fe12c26130267be3a185de3ccd92da</t>
        </is>
      </c>
      <c r="K37" s="44" t="n">
        <v>1067</v>
      </c>
      <c r="L37" s="44" t="n">
        <v>1600</v>
      </c>
      <c r="M37" s="44" t="inlineStr">
        <is>
          <t>Özgün teslim dosyası korundu. EXIF yönü uygulandı; kırpma yapılmadan en çok 1600 px, WebP kalite 84. Önceki kaynak değişiklik notları ayrıca korunur.</t>
        </is>
      </c>
      <c r="N37" s="44" t="inlineStr">
        <is>
          <t>Kayıttan doğrulandı</t>
        </is>
      </c>
      <c r="O37" s="44" t="n"/>
    </row>
    <row r="38" ht="54" customHeight="1">
      <c r="A38" s="44" t="inlineStr">
        <is>
          <t>sevilla:photo:cementerio-de-san-fernando-01</t>
        </is>
      </c>
      <c r="B38" s="44" t="inlineStr">
        <is>
          <t>https://commons.wikimedia.org/wiki/User:CarlosVdeHabsburgo</t>
        </is>
      </c>
      <c r="C38" s="44" t="inlineStr">
        <is>
          <t>https://commons.wikimedia.org/wiki/User:CarlosVdeHabsburgo</t>
        </is>
      </c>
      <c r="D38" s="44" t="inlineStr">
        <is>
          <t>https://upload.wikimedia.org/wikipedia/commons/d/d2/Cementerio_de_San_Fernando_01.jpg</t>
        </is>
      </c>
      <c r="E38" s="44" t="inlineStr">
        <is>
          <t>https://thumb.wikimedia.org/wikipedia/commons/thumb/d/d2/Cementerio_de_San_Fernando_01.jpg/1280px-Cementerio_de_San_Fernando_01.jpg</t>
        </is>
      </c>
      <c r="F38" s="53" t="n">
        <v>46320</v>
      </c>
      <c r="G38" s="44" t="inlineStr">
        <is>
          <t>Fotoğraflar/sevilla_cementerio-de-san-fernando_01.jpg</t>
        </is>
      </c>
      <c r="H38" s="44" t="inlineStr">
        <is>
          <t>bc775461db98bcbbb58a60fb63ee2472f99623df8035903b9741b57f3979af92</t>
        </is>
      </c>
      <c r="I38" s="44" t="inlineStr">
        <is>
          <t>Teslimler/WebKopyalari/bc775461db98bcbbb58a60fb63ee2472f99623df8035903b9741b57f3979af92.webp</t>
        </is>
      </c>
      <c r="J38" s="44" t="inlineStr">
        <is>
          <t>2c9cce749b96d50952e0697eac66e6c5955e9a9f90e2d2f52349aff513c1326f</t>
        </is>
      </c>
      <c r="K38" s="44" t="n">
        <v>1280</v>
      </c>
      <c r="L38" s="44" t="n">
        <v>960</v>
      </c>
      <c r="M38" s="44" t="inlineStr">
        <is>
          <t>Özgün teslim dosyası korundu. EXIF yönü uygulandı; kırpma yapılmadan en çok 1600 px, WebP kalite 84. Önceki kaynak değişiklik notları ayrıca korunur.</t>
        </is>
      </c>
      <c r="N38" s="44" t="inlineStr">
        <is>
          <t>Kayıttan doğrulandı</t>
        </is>
      </c>
      <c r="O38" s="44" t="n"/>
    </row>
    <row r="39" ht="54" customHeight="1">
      <c r="A39" s="44" t="inlineStr">
        <is>
          <t>sevilla:photo:cementerio-de-san-fernando-02</t>
        </is>
      </c>
      <c r="B39" s="44" t="inlineStr">
        <is>
          <t>https://commons.wikimedia.org/wiki/User:CarlosVdeHabsburgo</t>
        </is>
      </c>
      <c r="C39" s="44" t="inlineStr">
        <is>
          <t>https://commons.wikimedia.org/wiki/User:CarlosVdeHabsburgo</t>
        </is>
      </c>
      <c r="D39" s="44" t="inlineStr">
        <is>
          <t>https://upload.wikimedia.org/wikipedia/commons/3/37/Cementerio_de_San_Fernando_02.jpg</t>
        </is>
      </c>
      <c r="E39" s="44" t="inlineStr">
        <is>
          <t>https://thumb.wikimedia.org/wikipedia/commons/thumb/3/37/Cementerio_de_San_Fernando_02.jpg/1280px-Cementerio_de_San_Fernando_02.jpg</t>
        </is>
      </c>
      <c r="F39" s="53" t="n">
        <v>46320</v>
      </c>
      <c r="G39" s="44" t="inlineStr">
        <is>
          <t>Fotoğraflar/sevilla_cementerio-de-san-fernando_02.jpg</t>
        </is>
      </c>
      <c r="H39" s="44" t="inlineStr">
        <is>
          <t>4bb3cd1cec4a4d6c884b84bb5561324273f9925a43769f2ece668fd08f109c95</t>
        </is>
      </c>
      <c r="I39" s="44" t="inlineStr">
        <is>
          <t>Teslimler/WebKopyalari/4bb3cd1cec4a4d6c884b84bb5561324273f9925a43769f2ece668fd08f109c95.webp</t>
        </is>
      </c>
      <c r="J39" s="44" t="inlineStr">
        <is>
          <t>4e9af8c94034638960cbcd376866f9a64729dd89ed0759abf381ebc380ea72bf</t>
        </is>
      </c>
      <c r="K39" s="44" t="n">
        <v>1280</v>
      </c>
      <c r="L39" s="44" t="n">
        <v>960</v>
      </c>
      <c r="M39" s="44" t="inlineStr">
        <is>
          <t>Özgün teslim dosyası korundu. EXIF yönü uygulandı; kırpma yapılmadan en çok 1600 px, WebP kalite 84. Önceki kaynak değişiklik notları ayrıca korunur.</t>
        </is>
      </c>
      <c r="N39" s="44" t="inlineStr">
        <is>
          <t>Kayıttan doğrulandı</t>
        </is>
      </c>
      <c r="O39" s="44" t="n"/>
    </row>
    <row r="40" ht="54" customHeight="1">
      <c r="A40" s="44" t="inlineStr">
        <is>
          <t>sevilla:photo:cementerio-de-san-fernando-03</t>
        </is>
      </c>
      <c r="B40" s="44" t="inlineStr">
        <is>
          <t>https://commons.wikimedia.org/wiki/User:CarlosVdeHabsburgo</t>
        </is>
      </c>
      <c r="C40" s="44" t="inlineStr">
        <is>
          <t>https://commons.wikimedia.org/wiki/User:CarlosVdeHabsburgo</t>
        </is>
      </c>
      <c r="D40" s="44" t="inlineStr">
        <is>
          <t>https://upload.wikimedia.org/wikipedia/commons/0/07/Cementerio_de_San_Fernando_03.jpg</t>
        </is>
      </c>
      <c r="E40" s="44" t="inlineStr">
        <is>
          <t>https://thumb.wikimedia.org/wikipedia/commons/thumb/0/07/Cementerio_de_San_Fernando_03.jpg/1280px-Cementerio_de_San_Fernando_03.jpg</t>
        </is>
      </c>
      <c r="F40" s="53" t="n">
        <v>46320</v>
      </c>
      <c r="G40" s="44" t="inlineStr">
        <is>
          <t>Fotoğraflar/sevilla_cementerio-de-san-fernando_03.jpg</t>
        </is>
      </c>
      <c r="H40" s="44" t="inlineStr">
        <is>
          <t>d71043e62ee426bd56b241e1d1405cdbefbc06ad63e407fff01f264a0bdb7c5d</t>
        </is>
      </c>
      <c r="I40" s="44" t="inlineStr">
        <is>
          <t>Teslimler/WebKopyalari/d71043e62ee426bd56b241e1d1405cdbefbc06ad63e407fff01f264a0bdb7c5d.webp</t>
        </is>
      </c>
      <c r="J40" s="44" t="inlineStr">
        <is>
          <t>da00ab4309474b121f753e5c4914d9f29a0da5f1c4cec6f0d18e2c5eb95edeb8</t>
        </is>
      </c>
      <c r="K40" s="44" t="n">
        <v>1280</v>
      </c>
      <c r="L40" s="44" t="n">
        <v>960</v>
      </c>
      <c r="M40" s="44" t="inlineStr">
        <is>
          <t>Özgün teslim dosyası korundu. EXIF yönü uygulandı; kırpma yapılmadan en çok 1600 px, WebP kalite 84. Önceki kaynak değişiklik notları ayrıca korunur.</t>
        </is>
      </c>
      <c r="N40" s="44" t="inlineStr">
        <is>
          <t>Kayıttan doğrulandı</t>
        </is>
      </c>
      <c r="O40" s="44" t="n"/>
    </row>
    <row r="41" ht="54" customHeight="1">
      <c r="A41" s="44" t="inlineStr">
        <is>
          <t>sevilla:photo:plaza-de-toros-de-la-maestranza-01</t>
        </is>
      </c>
      <c r="B41" s="44" t="inlineStr">
        <is>
          <t>https://www.flickr.com/people/32248854@N00</t>
        </is>
      </c>
      <c r="C41" s="44" t="inlineStr">
        <is>
          <t>https://www.flickr.com/people/32248854@N00</t>
        </is>
      </c>
      <c r="D41" s="44" t="inlineStr">
        <is>
          <t>https://upload.wikimedia.org/wikipedia/commons/1/10/Andalucia-01-0062_%288086361611%29.jpg</t>
        </is>
      </c>
      <c r="E41" s="44" t="inlineStr">
        <is>
          <t>https://thumb.wikimedia.org/wikipedia/commons/thumb/1/10/Andalucia-01-0062_%288086361611%29.jpg/1280px-Andalucia-01-0062_%288086361611%29.jpg</t>
        </is>
      </c>
      <c r="F41" s="53" t="n">
        <v>46320</v>
      </c>
      <c r="G41" s="44" t="inlineStr">
        <is>
          <t>Fotoğraflar/sevilla_plaza-de-toros-de-la-maestranza_01.jpg</t>
        </is>
      </c>
      <c r="H41" s="44" t="inlineStr">
        <is>
          <t>41635123510449125b72ad2e6ae69fd302ac901c331b304329f9fb030e24d63f</t>
        </is>
      </c>
      <c r="I41" s="44" t="inlineStr">
        <is>
          <t>Teslimler/WebKopyalari/41635123510449125b72ad2e6ae69fd302ac901c331b304329f9fb030e24d63f.webp</t>
        </is>
      </c>
      <c r="J41" s="44" t="inlineStr">
        <is>
          <t>d776bb591c6253d841817d20b67af43965b47435a5eab8e19079eb73a54c6e3e</t>
        </is>
      </c>
      <c r="K41" s="44" t="n">
        <v>1280</v>
      </c>
      <c r="L41" s="44" t="n">
        <v>857</v>
      </c>
      <c r="M41" s="44" t="inlineStr">
        <is>
          <t>Özgün teslim dosyası korundu. EXIF yönü uygulandı; kırpma yapılmadan en çok 1600 px, WebP kalite 84. Önceki kaynak değişiklik notları ayrıca korunur.</t>
        </is>
      </c>
      <c r="N41" s="44" t="inlineStr">
        <is>
          <t>Kayıttan doğrulandı</t>
        </is>
      </c>
      <c r="O41" s="44" t="n"/>
    </row>
    <row r="42" ht="54" customHeight="1">
      <c r="A42" s="44" t="inlineStr">
        <is>
          <t>sevilla:photo:plaza-de-toros-de-la-maestranza-02</t>
        </is>
      </c>
      <c r="B42" s="44" t="n"/>
      <c r="C42" s="44" t="inlineStr">
        <is>
          <t>https://commons.wikimedia.org/wiki/File:La_Maestranza_-_Seville.JPG</t>
        </is>
      </c>
      <c r="D42" s="44" t="inlineStr">
        <is>
          <t>https://upload.wikimedia.org/wikipedia/commons/7/72/La_Maestranza_-_Seville.JPG</t>
        </is>
      </c>
      <c r="E42" s="44" t="inlineStr">
        <is>
          <t>https://thumb.wikimedia.org/wikipedia/commons/thumb/7/72/La_Maestranza_-_Seville.JPG/1280px-La_Maestranza_-_Seville.JPG</t>
        </is>
      </c>
      <c r="F42" s="53" t="n">
        <v>46320</v>
      </c>
      <c r="G42" s="44" t="inlineStr">
        <is>
          <t>Fotoğraflar/sevilla_plaza-de-toros-de-la-maestranza_02.jpg</t>
        </is>
      </c>
      <c r="H42" s="44" t="inlineStr">
        <is>
          <t>a3e4cd588fa5cb8b590c2747fc453083ffa892dd2e20491c867c46975eb958a1</t>
        </is>
      </c>
      <c r="I42" s="44" t="inlineStr">
        <is>
          <t>Teslimler/WebKopyalari/a3e4cd588fa5cb8b590c2747fc453083ffa892dd2e20491c867c46975eb958a1.webp</t>
        </is>
      </c>
      <c r="J42" s="44" t="inlineStr">
        <is>
          <t>a78b837b9ed4f101edfbfb0f9f517817c9d8255d0ae266b9ea3af22847e95f07</t>
        </is>
      </c>
      <c r="K42" s="44" t="n">
        <v>1280</v>
      </c>
      <c r="L42" s="44" t="n">
        <v>853</v>
      </c>
      <c r="M42" s="44" t="inlineStr">
        <is>
          <t>Özgün teslim dosyası korundu. EXIF yönü uygulandı; kırpma yapılmadan en çok 1600 px, WebP kalite 84. Önceki kaynak değişiklik notları ayrıca korunur.</t>
        </is>
      </c>
      <c r="N42" s="44" t="inlineStr">
        <is>
          <t>Eksik alan var</t>
        </is>
      </c>
      <c r="O42" s="44" t="inlineStr">
        <is>
          <t>Kaynakta ayrı fotoğrafçı profil bağlantısı bulunmadı; fotoğraf kaynak sayfasına atıf korunur. Bağlantı uydurulmaz.</t>
        </is>
      </c>
    </row>
    <row r="43" ht="54" customHeight="1">
      <c r="A43" s="44" t="inlineStr">
        <is>
          <t>sevilla:photo:costurero-de-la-reina-01</t>
        </is>
      </c>
      <c r="B43" s="44" t="inlineStr">
        <is>
          <t>https://commons.wikimedia.org/wiki/User:CarlosVdeHabsburgo</t>
        </is>
      </c>
      <c r="C43" s="44" t="inlineStr">
        <is>
          <t>https://commons.wikimedia.org/wiki/User:CarlosVdeHabsburgo</t>
        </is>
      </c>
      <c r="D43" s="44" t="inlineStr">
        <is>
          <t>https://upload.wikimedia.org/wikipedia/commons/4/40/Costurero_de_la_Reina_%28Sevilla%29_01.jpg</t>
        </is>
      </c>
      <c r="E43" s="44" t="inlineStr">
        <is>
          <t>https://thumb.wikimedia.org/wikipedia/commons/thumb/4/40/Costurero_de_la_Reina_%28Sevilla%29_01.jpg/1280px-Costurero_de_la_Reina_%28Sevilla%29_01.jpg</t>
        </is>
      </c>
      <c r="F43" s="53" t="n">
        <v>46320</v>
      </c>
      <c r="G43" s="44" t="inlineStr">
        <is>
          <t>Fotoğraflar/sevilla_costurero-de-la-reina_01.jpg</t>
        </is>
      </c>
      <c r="H43" s="44" t="inlineStr">
        <is>
          <t>f444e934848ccce8c4db5039573fcacc91a7c50d98574329796d499864988a15</t>
        </is>
      </c>
      <c r="I43" s="44" t="inlineStr">
        <is>
          <t>Teslimler/WebKopyalari/f444e934848ccce8c4db5039573fcacc91a7c50d98574329796d499864988a15.webp</t>
        </is>
      </c>
      <c r="J43" s="44" t="inlineStr">
        <is>
          <t>178a581f344c0c67f4d4a515e823a2d4bf7ac5d6bc9f3005ca011d0ca19f9697</t>
        </is>
      </c>
      <c r="K43" s="44" t="n">
        <v>1104</v>
      </c>
      <c r="L43" s="44" t="n">
        <v>1600</v>
      </c>
      <c r="M43" s="44" t="inlineStr">
        <is>
          <t>Özgün teslim dosyası korundu. EXIF yönü uygulandı; kırpma yapılmadan en çok 1600 px, WebP kalite 84. Önceki kaynak değişiklik notları ayrıca korunur.</t>
        </is>
      </c>
      <c r="N43" s="44" t="inlineStr">
        <is>
          <t>Kayıttan doğrulandı</t>
        </is>
      </c>
      <c r="O43" s="44" t="n"/>
    </row>
    <row r="44" ht="54" customHeight="1">
      <c r="A44" s="44" t="inlineStr">
        <is>
          <t>sevilla:photo:costurero-de-la-reina-02</t>
        </is>
      </c>
      <c r="B44" s="44" t="inlineStr">
        <is>
          <t>https://commons.wikimedia.org/wiki/User:CarlosVdeHabsburgo</t>
        </is>
      </c>
      <c r="C44" s="44" t="inlineStr">
        <is>
          <t>https://commons.wikimedia.org/wiki/User:CarlosVdeHabsburgo</t>
        </is>
      </c>
      <c r="D44" s="44" t="inlineStr">
        <is>
          <t>https://upload.wikimedia.org/wikipedia/commons/9/9b/Costurero_de_la_Reina_%28Sevilla%29_02.jpg</t>
        </is>
      </c>
      <c r="E44" s="44" t="inlineStr">
        <is>
          <t>https://thumb.wikimedia.org/wikipedia/commons/thumb/9/9b/Costurero_de_la_Reina_%28Sevilla%29_02.jpg/1280px-Costurero_de_la_Reina_%28Sevilla%29_02.jpg</t>
        </is>
      </c>
      <c r="F44" s="53" t="n">
        <v>46320</v>
      </c>
      <c r="G44" s="44" t="inlineStr">
        <is>
          <t>Fotoğraflar/sevilla_costurero-de-la-reina_02.jpg</t>
        </is>
      </c>
      <c r="H44" s="44" t="inlineStr">
        <is>
          <t>a653c92c91cc6b4eadf1d566c0b0b2f661a4a4f6e1e2840fae4114f1096e3975</t>
        </is>
      </c>
      <c r="I44" s="44" t="inlineStr">
        <is>
          <t>Teslimler/WebKopyalari/a653c92c91cc6b4eadf1d566c0b0b2f661a4a4f6e1e2840fae4114f1096e3975.webp</t>
        </is>
      </c>
      <c r="J44" s="44" t="inlineStr">
        <is>
          <t>f0f28379fd038364c3ba2d7133ebdf6e4355f7bf4653819e2f5b1e29d85facc3</t>
        </is>
      </c>
      <c r="K44" s="44" t="n">
        <v>1280</v>
      </c>
      <c r="L44" s="44" t="n">
        <v>960</v>
      </c>
      <c r="M44" s="44" t="inlineStr">
        <is>
          <t>Özgün teslim dosyası korundu. EXIF yönü uygulandı; kırpma yapılmadan en çok 1600 px, WebP kalite 84. Önceki kaynak değişiklik notları ayrıca korunur.</t>
        </is>
      </c>
      <c r="N44" s="44" t="inlineStr">
        <is>
          <t>Kayıttan doğrulandı</t>
        </is>
      </c>
      <c r="O44" s="44" t="n"/>
    </row>
    <row r="45" ht="54" customHeight="1">
      <c r="A45" s="44" t="inlineStr">
        <is>
          <t>sevilla:photo:costurero-de-la-reina-03</t>
        </is>
      </c>
      <c r="B45" s="44" t="inlineStr">
        <is>
          <t>https://commons.wikimedia.org/wiki/User:CarlosVdeHabsburgo</t>
        </is>
      </c>
      <c r="C45" s="44" t="inlineStr">
        <is>
          <t>https://commons.wikimedia.org/wiki/User:CarlosVdeHabsburgo</t>
        </is>
      </c>
      <c r="D45" s="44" t="inlineStr">
        <is>
          <t>https://upload.wikimedia.org/wikipedia/commons/7/76/Costurero_de_la_Reina_%28Sevilla%29.jpg</t>
        </is>
      </c>
      <c r="E45" s="44" t="inlineStr">
        <is>
          <t>https://thumb.wikimedia.org/wikipedia/commons/thumb/7/76/Costurero_de_la_Reina_%28Sevilla%29.jpg/1280px-Costurero_de_la_Reina_%28Sevilla%29.jpg</t>
        </is>
      </c>
      <c r="F45" s="53" t="n">
        <v>46320</v>
      </c>
      <c r="G45" s="44" t="inlineStr">
        <is>
          <t>Fotoğraflar/sevilla_costurero-de-la-reina_03.jpg</t>
        </is>
      </c>
      <c r="H45" s="44" t="inlineStr">
        <is>
          <t>5429b8b20a8eefa6f42c521bb8894af2e44a4d6daabc5a8e266a9097ef8dd2fb</t>
        </is>
      </c>
      <c r="I45" s="44" t="inlineStr">
        <is>
          <t>Teslimler/WebKopyalari/5429b8b20a8eefa6f42c521bb8894af2e44a4d6daabc5a8e266a9097ef8dd2fb.webp</t>
        </is>
      </c>
      <c r="J45" s="44" t="inlineStr">
        <is>
          <t>8eb7a1650e18c61ccda9b0135f91a1941ad87d9e0b8beb5c914776539980ef9a</t>
        </is>
      </c>
      <c r="K45" s="44" t="n">
        <v>1200</v>
      </c>
      <c r="L45" s="44" t="n">
        <v>1600</v>
      </c>
      <c r="M45" s="44" t="inlineStr">
        <is>
          <t>Özgün teslim dosyası korundu. EXIF yönü uygulandı; kırpma yapılmadan en çok 1600 px, WebP kalite 84. Önceki kaynak değişiklik notları ayrıca korunur.</t>
        </is>
      </c>
      <c r="N45" s="44" t="inlineStr">
        <is>
          <t>Kayıttan doğrulandı</t>
        </is>
      </c>
      <c r="O45" s="44" t="n"/>
    </row>
    <row r="46" ht="54" customHeight="1">
      <c r="A46" s="44" t="inlineStr">
        <is>
          <t>sevilla:photo:espacio-santa-clara-01</t>
        </is>
      </c>
      <c r="B46" s="44" t="inlineStr">
        <is>
          <t>https://commons.wikimedia.org/wiki/User:CarlosVdeHabsburgo</t>
        </is>
      </c>
      <c r="C46" s="44" t="inlineStr">
        <is>
          <t>https://commons.wikimedia.org/wiki/User:CarlosVdeHabsburgo</t>
        </is>
      </c>
      <c r="D46" s="44" t="inlineStr">
        <is>
          <t>https://upload.wikimedia.org/wikipedia/commons/b/b3/Azulejos_del_Convento_de_Santa_Clara.JPG</t>
        </is>
      </c>
      <c r="E46" s="44" t="inlineStr">
        <is>
          <t>https://thumb.wikimedia.org/wikipedia/commons/thumb/b/b3/Azulejos_del_Convento_de_Santa_Clara.JPG/1280px-Azulejos_del_Convento_de_Santa_Clara.JPG</t>
        </is>
      </c>
      <c r="F46" s="53" t="n">
        <v>46320</v>
      </c>
      <c r="G46" s="44" t="inlineStr">
        <is>
          <t>Fotoğraflar/sevilla_espacio-santa-clara_01.jpg</t>
        </is>
      </c>
      <c r="H46" s="44" t="inlineStr">
        <is>
          <t>0707b0e008a444912e34669f8f892a29f3006a6d869d7a24db3a811b08e58d5b</t>
        </is>
      </c>
      <c r="I46" s="44" t="inlineStr">
        <is>
          <t>Teslimler/WebKopyalari/0707b0e008a444912e34669f8f892a29f3006a6d869d7a24db3a811b08e58d5b.webp</t>
        </is>
      </c>
      <c r="J46" s="44" t="inlineStr">
        <is>
          <t>e3314a9e88a50fa1969b604e07fa418da70e0a1e0d5a357c5a8d79ad20796c44</t>
        </is>
      </c>
      <c r="K46" s="44" t="n">
        <v>1200</v>
      </c>
      <c r="L46" s="44" t="n">
        <v>1600</v>
      </c>
      <c r="M46" s="44" t="inlineStr">
        <is>
          <t>Özgün teslim dosyası korundu. EXIF yönü uygulandı; kırpma yapılmadan en çok 1600 px, WebP kalite 84. Önceki kaynak değişiklik notları ayrıca korunur.</t>
        </is>
      </c>
      <c r="N46" s="44" t="inlineStr">
        <is>
          <t>Kayıttan doğrulandı</t>
        </is>
      </c>
      <c r="O46" s="44" t="n"/>
    </row>
    <row r="47" ht="54" customHeight="1">
      <c r="A47" s="44" t="inlineStr">
        <is>
          <t>sevilla:photo:espacio-santa-clara-02</t>
        </is>
      </c>
      <c r="B47" s="44" t="n"/>
      <c r="C47" s="44" t="inlineStr">
        <is>
          <t>https://commons.wikimedia.org/wiki/File:Convento_de_Santa_Clara._Claustro.jpg</t>
        </is>
      </c>
      <c r="D47" s="44" t="inlineStr">
        <is>
          <t>https://upload.wikimedia.org/wikipedia/commons/0/01/Convento_de_Santa_Clara._Claustro.jpg</t>
        </is>
      </c>
      <c r="E47" s="44" t="inlineStr">
        <is>
          <t>https://thumb.wikimedia.org/wikipedia/commons/thumb/0/01/Convento_de_Santa_Clara._Claustro.jpg/1280px-Convento_de_Santa_Clara._Claustro.jpg</t>
        </is>
      </c>
      <c r="F47" s="53" t="n">
        <v>46320</v>
      </c>
      <c r="G47" s="44" t="inlineStr">
        <is>
          <t>Fotoğraflar/sevilla_espacio-santa-clara_02.jpg</t>
        </is>
      </c>
      <c r="H47" s="44" t="inlineStr">
        <is>
          <t>8900c3a9814597661812073162fd808bc6f508ebdd75b79aaf3347c607dcfdf5</t>
        </is>
      </c>
      <c r="I47" s="44" t="inlineStr">
        <is>
          <t>Teslimler/WebKopyalari/8900c3a9814597661812073162fd808bc6f508ebdd75b79aaf3347c607dcfdf5.webp</t>
        </is>
      </c>
      <c r="J47" s="44" t="inlineStr">
        <is>
          <t>aea3c1ceaa58da746b2db8bda78a42d36e7ae1be240d969c2273c53cbdc10734</t>
        </is>
      </c>
      <c r="K47" s="44" t="n">
        <v>1280</v>
      </c>
      <c r="L47" s="44" t="n">
        <v>720</v>
      </c>
      <c r="M47" s="44" t="inlineStr">
        <is>
          <t>Özgün teslim dosyası korundu. EXIF yönü uygulandı; kırpma yapılmadan en çok 1600 px, WebP kalite 84. Önceki kaynak değişiklik notları ayrıca korunur.</t>
        </is>
      </c>
      <c r="N47" s="44" t="inlineStr">
        <is>
          <t>Eksik alan var</t>
        </is>
      </c>
      <c r="O47" s="44" t="inlineStr">
        <is>
          <t>Kaynakta ayrı fotoğrafçı profil bağlantısı bulunmadı; fotoğraf kaynak sayfasına atıf korunur. Bağlantı uydurulmaz.</t>
        </is>
      </c>
    </row>
    <row r="48" ht="54" customHeight="1">
      <c r="A48" s="44" t="inlineStr">
        <is>
          <t>sevilla:photo:espacio-santa-clara-03</t>
        </is>
      </c>
      <c r="B48" s="44" t="inlineStr">
        <is>
          <t>https://commons.wikimedia.org/wiki/User:CarlosVdeHabsburgo</t>
        </is>
      </c>
      <c r="C48" s="44" t="inlineStr">
        <is>
          <t>https://commons.wikimedia.org/wiki/User:CarlosVdeHabsburgo</t>
        </is>
      </c>
      <c r="D48" s="44" t="inlineStr">
        <is>
          <t>https://upload.wikimedia.org/wikipedia/commons/c/c0/Espacio_Cultural_Santa_Clara.JPG</t>
        </is>
      </c>
      <c r="E48" s="44" t="inlineStr">
        <is>
          <t>https://thumb.wikimedia.org/wikipedia/commons/thumb/c/c0/Espacio_Cultural_Santa_Clara.JPG/1280px-Espacio_Cultural_Santa_Clara.JPG</t>
        </is>
      </c>
      <c r="F48" s="53" t="n">
        <v>46320</v>
      </c>
      <c r="G48" s="44" t="inlineStr">
        <is>
          <t>Fotoğraflar/sevilla_espacio-santa-clara_03.jpg</t>
        </is>
      </c>
      <c r="H48" s="44" t="inlineStr">
        <is>
          <t>e5de0605fae9c7612ca0f77c84a22229045879f068f4b01d0ebf25af86d66b4c</t>
        </is>
      </c>
      <c r="I48" s="44" t="inlineStr">
        <is>
          <t>Teslimler/WebKopyalari/e5de0605fae9c7612ca0f77c84a22229045879f068f4b01d0ebf25af86d66b4c.webp</t>
        </is>
      </c>
      <c r="J48" s="44" t="inlineStr">
        <is>
          <t>89fee72cd1a2bac46ea060277ce0192ff02fb285de2a9f43ecd3ff81dc53ccaf</t>
        </is>
      </c>
      <c r="K48" s="44" t="n">
        <v>1200</v>
      </c>
      <c r="L48" s="44" t="n">
        <v>1600</v>
      </c>
      <c r="M48" s="44" t="inlineStr">
        <is>
          <t>Özgün teslim dosyası korundu. EXIF yönü uygulandı; kırpma yapılmadan en çok 1600 px, WebP kalite 84. Önceki kaynak değişiklik notları ayrıca korunur.</t>
        </is>
      </c>
      <c r="N48" s="44" t="inlineStr">
        <is>
          <t>Kayıttan doğrulandı</t>
        </is>
      </c>
      <c r="O48" s="44" t="n"/>
    </row>
    <row r="49" ht="54" customHeight="1">
      <c r="A49" s="44" t="inlineStr">
        <is>
          <t>sevilla:photo:parque-de-maria-luisa-01</t>
        </is>
      </c>
      <c r="B49" s="44" t="inlineStr">
        <is>
          <t>https://commons.wikimedia.org/wiki/User:Massalim</t>
        </is>
      </c>
      <c r="C49" s="44" t="inlineStr">
        <is>
          <t>https://commons.wikimedia.org/wiki/User:Massalim</t>
        </is>
      </c>
      <c r="D49" s="44" t="inlineStr">
        <is>
          <t>https://upload.wikimedia.org/wikipedia/commons/a/a1/Andaluc%C3%ADa%2C_Sevilla%2C_plaza_de_America_%2816488311286%29.jpg</t>
        </is>
      </c>
      <c r="E49" s="44" t="inlineStr">
        <is>
          <t>https://thumb.wikimedia.org/wikipedia/commons/thumb/a/a1/Andaluc%C3%ADa%2C_Sevilla%2C_plaza_de_America_%2816488311286%29.jpg/1280px-Andaluc%C3%ADa%2C_Sevilla%2C_plaza_de_America_%2816488311286%29.jpg</t>
        </is>
      </c>
      <c r="F49" s="53" t="n">
        <v>46320</v>
      </c>
      <c r="G49" s="44" t="inlineStr">
        <is>
          <t>Fotoğraflar/sevilla_parque-de-maria-luisa_01.jpg</t>
        </is>
      </c>
      <c r="H49" s="44" t="inlineStr">
        <is>
          <t>6a35efd62fb5f61d58af688d5d72137a1af47a33b0cb859ee686e8469032be30</t>
        </is>
      </c>
      <c r="I49" s="44" t="inlineStr">
        <is>
          <t>Teslimler/WebKopyalari/6a35efd62fb5f61d58af688d5d72137a1af47a33b0cb859ee686e8469032be30.webp</t>
        </is>
      </c>
      <c r="J49" s="44" t="inlineStr">
        <is>
          <t>dc76008f71bd6e9f5992878a95dd73ddc52cf25768507c3926efa77a3163097c</t>
        </is>
      </c>
      <c r="K49" s="44" t="n">
        <v>1280</v>
      </c>
      <c r="L49" s="44" t="n">
        <v>848</v>
      </c>
      <c r="M49" s="44" t="inlineStr">
        <is>
          <t>Özgün teslim dosyası korundu. EXIF yönü uygulandı; kırpma yapılmadan en çok 1600 px, WebP kalite 84. Önceki kaynak değişiklik notları ayrıca korunur.</t>
        </is>
      </c>
      <c r="N49" s="44" t="inlineStr">
        <is>
          <t>Kayıttan doğrulandı</t>
        </is>
      </c>
      <c r="O49" s="44" t="n"/>
    </row>
    <row r="50" ht="54" customHeight="1">
      <c r="A50" s="44" t="inlineStr">
        <is>
          <t>sevilla:photo:parque-de-maria-luisa-02</t>
        </is>
      </c>
      <c r="B50" s="44" t="inlineStr">
        <is>
          <t>https://commons.wikimedia.org/wiki/User:CarlosVdeHabsburgo</t>
        </is>
      </c>
      <c r="C50" s="44" t="inlineStr">
        <is>
          <t>https://commons.wikimedia.org/wiki/User:CarlosVdeHabsburgo</t>
        </is>
      </c>
      <c r="D50" s="44" t="inlineStr">
        <is>
          <t>https://upload.wikimedia.org/wikipedia/commons/4/44/Arce_y_fuente.jpg</t>
        </is>
      </c>
      <c r="E50" s="44" t="inlineStr">
        <is>
          <t>https://thumb.wikimedia.org/wikipedia/commons/thumb/4/44/Arce_y_fuente.jpg/1280px-Arce_y_fuente.jpg</t>
        </is>
      </c>
      <c r="F50" s="53" t="n">
        <v>46320</v>
      </c>
      <c r="G50" s="44" t="inlineStr">
        <is>
          <t>Fotoğraflar/sevilla_parque-de-maria-luisa_02.jpg</t>
        </is>
      </c>
      <c r="H50" s="44" t="inlineStr">
        <is>
          <t>82b725bee401dfa3208cba356c24fb1b81037f1edb059e9074dbe0b7e87fea3b</t>
        </is>
      </c>
      <c r="I50" s="44" t="inlineStr">
        <is>
          <t>Teslimler/WebKopyalari/82b725bee401dfa3208cba356c24fb1b81037f1edb059e9074dbe0b7e87fea3b.webp</t>
        </is>
      </c>
      <c r="J50" s="44" t="inlineStr">
        <is>
          <t>c6c426a21fff30fa470aff12dfbe1e185ed18ca32212b68f762cddd8509b2285</t>
        </is>
      </c>
      <c r="K50" s="44" t="n">
        <v>1200</v>
      </c>
      <c r="L50" s="44" t="n">
        <v>1600</v>
      </c>
      <c r="M50" s="44" t="inlineStr">
        <is>
          <t>Özgün teslim dosyası korundu. EXIF yönü uygulandı; kırpma yapılmadan en çok 1600 px, WebP kalite 84. Önceki kaynak değişiklik notları ayrıca korunur.</t>
        </is>
      </c>
      <c r="N50" s="44" t="inlineStr">
        <is>
          <t>Kayıttan doğrulandı</t>
        </is>
      </c>
      <c r="O50" s="44" t="n"/>
    </row>
    <row r="51" ht="54" customHeight="1">
      <c r="A51" s="44" t="inlineStr">
        <is>
          <t>sevilla:photo:parque-de-maria-luisa-03</t>
        </is>
      </c>
      <c r="B51" s="44" t="inlineStr">
        <is>
          <t>https://commons.wikimedia.org/wiki/User:CarlosVdeHabsburgo</t>
        </is>
      </c>
      <c r="C51" s="44" t="inlineStr">
        <is>
          <t>https://commons.wikimedia.org/wiki/User:CarlosVdeHabsburgo</t>
        </is>
      </c>
      <c r="D51" s="44" t="inlineStr">
        <is>
          <t>https://upload.wikimedia.org/wikipedia/commons/6/61/Camino_parque_M%C2%AA_Luisa_2.jpg</t>
        </is>
      </c>
      <c r="E51" s="44" t="inlineStr">
        <is>
          <t>https://thumb.wikimedia.org/wikipedia/commons/thumb/6/61/Camino_parque_M%C2%AA_Luisa_2.jpg/1280px-Camino_parque_M%C2%AA_Luisa_2.jpg</t>
        </is>
      </c>
      <c r="F51" s="53" t="n">
        <v>46320</v>
      </c>
      <c r="G51" s="44" t="inlineStr">
        <is>
          <t>Fotoğraflar/sevilla_parque-de-maria-luisa_03.jpg</t>
        </is>
      </c>
      <c r="H51" s="44" t="inlineStr">
        <is>
          <t>01e0c3966546d9276528820f72ba5481a2afe72afcef24f90dcc4dd00dfa04bc</t>
        </is>
      </c>
      <c r="I51" s="44" t="inlineStr">
        <is>
          <t>Teslimler/WebKopyalari/01e0c3966546d9276528820f72ba5481a2afe72afcef24f90dcc4dd00dfa04bc.webp</t>
        </is>
      </c>
      <c r="J51" s="44" t="inlineStr">
        <is>
          <t>0fe614c416583e71d650792f1eda2a43b9236866b3a392185a21ac6c49441203</t>
        </is>
      </c>
      <c r="K51" s="44" t="n">
        <v>1200</v>
      </c>
      <c r="L51" s="44" t="n">
        <v>1600</v>
      </c>
      <c r="M51" s="44" t="inlineStr">
        <is>
          <t>Özgün teslim dosyası korundu. EXIF yönü uygulandı; kırpma yapılmadan en çok 1600 px, WebP kalite 84. Önceki kaynak değişiklik notları ayrıca korunur.</t>
        </is>
      </c>
      <c r="N51" s="44" t="inlineStr">
        <is>
          <t>Kayıttan doğrulandı</t>
        </is>
      </c>
      <c r="O51" s="44" t="n"/>
    </row>
    <row r="52" ht="54" customHeight="1">
      <c r="A52" s="44" t="inlineStr">
        <is>
          <t>sevilla:photo:jardines-de-la-buhaira-01</t>
        </is>
      </c>
      <c r="B52" s="44" t="inlineStr">
        <is>
          <t>https://commons.wikimedia.org/wiki/User:CarlosVdeHabsburgo</t>
        </is>
      </c>
      <c r="C52" s="44" t="inlineStr">
        <is>
          <t>https://commons.wikimedia.org/wiki/User:CarlosVdeHabsburgo</t>
        </is>
      </c>
      <c r="D52" s="44" t="inlineStr">
        <is>
          <t>https://upload.wikimedia.org/wikipedia/commons/1/19/Alberca_01.jpg</t>
        </is>
      </c>
      <c r="E52" s="44" t="inlineStr">
        <is>
          <t>https://thumb.wikimedia.org/wikipedia/commons/thumb/1/19/Alberca_01.jpg/1280px-Alberca_01.jpg</t>
        </is>
      </c>
      <c r="F52" s="53" t="n">
        <v>46320</v>
      </c>
      <c r="G52" s="44" t="inlineStr">
        <is>
          <t>Fotoğraflar/sevilla_jardines-de-la-buhaira_01.jpg</t>
        </is>
      </c>
      <c r="H52" s="44" t="inlineStr">
        <is>
          <t>588bb021dc54ccaaff58d49720aa236a2d4d8e3274705c35175d5507a05b0cb8</t>
        </is>
      </c>
      <c r="I52" s="44" t="inlineStr">
        <is>
          <t>Teslimler/WebKopyalari/588bb021dc54ccaaff58d49720aa236a2d4d8e3274705c35175d5507a05b0cb8.webp</t>
        </is>
      </c>
      <c r="J52" s="44" t="inlineStr">
        <is>
          <t>cfd5cd40898cbfba2248be7db05a4e01378f2c8673c84bae21c0c35c03f5b56e</t>
        </is>
      </c>
      <c r="K52" s="44" t="n">
        <v>1280</v>
      </c>
      <c r="L52" s="44" t="n">
        <v>960</v>
      </c>
      <c r="M52" s="44" t="inlineStr">
        <is>
          <t>Özgün teslim dosyası korundu. EXIF yönü uygulandı; kırpma yapılmadan en çok 1600 px, WebP kalite 84. Önceki kaynak değişiklik notları ayrıca korunur.</t>
        </is>
      </c>
      <c r="N52" s="44" t="inlineStr">
        <is>
          <t>Kayıttan doğrulandı</t>
        </is>
      </c>
      <c r="O52" s="44" t="n"/>
    </row>
    <row r="53" ht="54" customHeight="1">
      <c r="A53" s="44" t="inlineStr">
        <is>
          <t>sevilla:photo:jardines-de-la-buhaira-02</t>
        </is>
      </c>
      <c r="B53" s="44" t="inlineStr">
        <is>
          <t>https://commons.wikimedia.org/wiki/User:CarlosVdeHabsburgo</t>
        </is>
      </c>
      <c r="C53" s="44" t="inlineStr">
        <is>
          <t>https://commons.wikimedia.org/wiki/User:CarlosVdeHabsburgo</t>
        </is>
      </c>
      <c r="D53" s="44" t="inlineStr">
        <is>
          <t>https://upload.wikimedia.org/wikipedia/commons/f/fc/Alberca_02.jpg</t>
        </is>
      </c>
      <c r="E53" s="44" t="inlineStr">
        <is>
          <t>https://thumb.wikimedia.org/wikipedia/commons/thumb/f/fc/Alberca_02.jpg/1280px-Alberca_02.jpg</t>
        </is>
      </c>
      <c r="F53" s="53" t="n">
        <v>46320</v>
      </c>
      <c r="G53" s="44" t="inlineStr">
        <is>
          <t>Fotoğraflar/sevilla_jardines-de-la-buhaira_02.jpg</t>
        </is>
      </c>
      <c r="H53" s="44" t="inlineStr">
        <is>
          <t>f777bff2bd6479dcd1efd1804d9f9c2857c75e694b81e47ec80c1e132c8c5aed</t>
        </is>
      </c>
      <c r="I53" s="44" t="inlineStr">
        <is>
          <t>Teslimler/WebKopyalari/f777bff2bd6479dcd1efd1804d9f9c2857c75e694b81e47ec80c1e132c8c5aed.webp</t>
        </is>
      </c>
      <c r="J53" s="44" t="inlineStr">
        <is>
          <t>51ba72a09a93b448d5c66b4b74f2db228a8f697ade58807f03a1b391b4307d43</t>
        </is>
      </c>
      <c r="K53" s="44" t="n">
        <v>1280</v>
      </c>
      <c r="L53" s="44" t="n">
        <v>960</v>
      </c>
      <c r="M53" s="44" t="inlineStr">
        <is>
          <t>Özgün teslim dosyası korundu. EXIF yönü uygulandı; kırpma yapılmadan en çok 1600 px, WebP kalite 84. Önceki kaynak değişiklik notları ayrıca korunur.</t>
        </is>
      </c>
      <c r="N53" s="44" t="inlineStr">
        <is>
          <t>Kayıttan doğrulandı</t>
        </is>
      </c>
      <c r="O53" s="44" t="n"/>
    </row>
    <row r="54" ht="54" customHeight="1">
      <c r="A54" s="44" t="inlineStr">
        <is>
          <t>sevilla:photo:jardines-de-la-buhaira-03</t>
        </is>
      </c>
      <c r="B54" s="44" t="inlineStr">
        <is>
          <t>https://commons.wikimedia.org/wiki/User:Anarey</t>
        </is>
      </c>
      <c r="C54" s="44" t="inlineStr">
        <is>
          <t>https://commons.wikimedia.org/wiki/User:Anarey</t>
        </is>
      </c>
      <c r="D54" s="44" t="inlineStr">
        <is>
          <t>https://upload.wikimedia.org/wikipedia/commons/f/fc/Antiguos_palacios_de_los_Jardines_de_la_Buhaira.jpg</t>
        </is>
      </c>
      <c r="E54" s="44" t="inlineStr">
        <is>
          <t>https://thumb.wikimedia.org/wikipedia/commons/thumb/f/fc/Antiguos_palacios_de_los_Jardines_de_la_Buhaira.jpg/1280px-Antiguos_palacios_de_los_Jardines_de_la_Buhaira.jpg</t>
        </is>
      </c>
      <c r="F54" s="53" t="n">
        <v>46320</v>
      </c>
      <c r="G54" s="44" t="inlineStr">
        <is>
          <t>Fotoğraflar/sevilla_jardines-de-la-buhaira_03.jpg</t>
        </is>
      </c>
      <c r="H54" s="44" t="inlineStr">
        <is>
          <t>5a500f5eb61d35b59bb79fe6905fff52163c0357100b41bc7d303f25e815ad5b</t>
        </is>
      </c>
      <c r="I54" s="44" t="inlineStr">
        <is>
          <t>Teslimler/WebKopyalari/5a500f5eb61d35b59bb79fe6905fff52163c0357100b41bc7d303f25e815ad5b.webp</t>
        </is>
      </c>
      <c r="J54" s="44" t="inlineStr">
        <is>
          <t>c16485977902aae682d819d8adab5528253078e3c47ddf0b03753162dde67590</t>
        </is>
      </c>
      <c r="K54" s="44" t="n">
        <v>1280</v>
      </c>
      <c r="L54" s="44" t="n">
        <v>857</v>
      </c>
      <c r="M54" s="44" t="inlineStr">
        <is>
          <t>Özgün teslim dosyası korundu. EXIF yönü uygulandı; kırpma yapılmadan en çok 1600 px, WebP kalite 84. Önceki kaynak değişiklik notları ayrıca korunur.</t>
        </is>
      </c>
      <c r="N54" s="44" t="inlineStr">
        <is>
          <t>Kayıttan doğrulandı</t>
        </is>
      </c>
      <c r="O54" s="44" t="n"/>
    </row>
    <row r="55" ht="54" customHeight="1">
      <c r="A55" s="44" t="inlineStr">
        <is>
          <t>sevilla:photo:jardines-de-murillo-01</t>
        </is>
      </c>
      <c r="B55" s="44" t="inlineStr">
        <is>
          <t>https://commons.wikimedia.org/wiki/User:CarlosVdeHabsburgo</t>
        </is>
      </c>
      <c r="C55" s="44" t="inlineStr">
        <is>
          <t>https://commons.wikimedia.org/wiki/User:CarlosVdeHabsburgo</t>
        </is>
      </c>
      <c r="D55" s="44" t="inlineStr">
        <is>
          <t>https://upload.wikimedia.org/wikipedia/commons/8/89/Azulejos_J_de_Murillo.jpg</t>
        </is>
      </c>
      <c r="E55" s="44" t="inlineStr">
        <is>
          <t>https://thumb.wikimedia.org/wikipedia/commons/thumb/8/89/Azulejos_J_de_Murillo.jpg/1280px-Azulejos_J_de_Murillo.jpg</t>
        </is>
      </c>
      <c r="F55" s="53" t="n">
        <v>46320</v>
      </c>
      <c r="G55" s="44" t="inlineStr">
        <is>
          <t>Fotoğraflar/sevilla_jardines-de-murillo_01.jpg</t>
        </is>
      </c>
      <c r="H55" s="44" t="inlineStr">
        <is>
          <t>537ad2d11d8328c91dfa61caaed0e5deffd2a5bc1520e66ffbe6a4aafc91368b</t>
        </is>
      </c>
      <c r="I55" s="44" t="inlineStr">
        <is>
          <t>Teslimler/WebKopyalari/537ad2d11d8328c91dfa61caaed0e5deffd2a5bc1520e66ffbe6a4aafc91368b.webp</t>
        </is>
      </c>
      <c r="J55" s="44" t="inlineStr">
        <is>
          <t>cdfc141751f528a55c9e0204b543bb841455649d42dbe8269bc20934219a6142</t>
        </is>
      </c>
      <c r="K55" s="44" t="n">
        <v>1280</v>
      </c>
      <c r="L55" s="44" t="n">
        <v>960</v>
      </c>
      <c r="M55" s="44" t="inlineStr">
        <is>
          <t>Özgün teslim dosyası korundu. EXIF yönü uygulandı; kırpma yapılmadan en çok 1600 px, WebP kalite 84. Önceki kaynak değişiklik notları ayrıca korunur.</t>
        </is>
      </c>
      <c r="N55" s="44" t="inlineStr">
        <is>
          <t>Kayıttan doğrulandı</t>
        </is>
      </c>
      <c r="O55" s="44" t="n"/>
    </row>
    <row r="56" ht="54" customHeight="1">
      <c r="A56" s="44" t="inlineStr">
        <is>
          <t>sevilla:photo:jardines-de-murillo-02</t>
        </is>
      </c>
      <c r="B56" s="44" t="inlineStr">
        <is>
          <t>https://commons.wikimedia.org/wiki/User:CarlosVdeHabsburgo</t>
        </is>
      </c>
      <c r="C56" s="44" t="inlineStr">
        <is>
          <t>https://commons.wikimedia.org/wiki/User:CarlosVdeHabsburgo</t>
        </is>
      </c>
      <c r="D56" s="44" t="inlineStr">
        <is>
          <t>https://upload.wikimedia.org/wikipedia/commons/c/c0/Banco_J_Murillo_02.jpg</t>
        </is>
      </c>
      <c r="E56" s="44" t="inlineStr">
        <is>
          <t>https://thumb.wikimedia.org/wikipedia/commons/thumb/c/c0/Banco_J_Murillo_02.jpg/1280px-Banco_J_Murillo_02.jpg</t>
        </is>
      </c>
      <c r="F56" s="53" t="n">
        <v>46320</v>
      </c>
      <c r="G56" s="44" t="inlineStr">
        <is>
          <t>Fotoğraflar/sevilla_jardines-de-murillo_02.jpg</t>
        </is>
      </c>
      <c r="H56" s="44" t="inlineStr">
        <is>
          <t>f2ce7bfa8a218f2fe629a67c672482dfcd544e25911e93ac27dc558ff40e55bb</t>
        </is>
      </c>
      <c r="I56" s="44" t="inlineStr">
        <is>
          <t>Teslimler/WebKopyalari/f2ce7bfa8a218f2fe629a67c672482dfcd544e25911e93ac27dc558ff40e55bb.webp</t>
        </is>
      </c>
      <c r="J56" s="44" t="inlineStr">
        <is>
          <t>79b629be1b429b6c5d47513d895a05353d7c4a2eb6afd21de72f129f0eda7685</t>
        </is>
      </c>
      <c r="K56" s="44" t="n">
        <v>1280</v>
      </c>
      <c r="L56" s="44" t="n">
        <v>960</v>
      </c>
      <c r="M56" s="44" t="inlineStr">
        <is>
          <t>Özgün teslim dosyası korundu. EXIF yönü uygulandı; kırpma yapılmadan en çok 1600 px, WebP kalite 84. Önceki kaynak değişiklik notları ayrıca korunur.</t>
        </is>
      </c>
      <c r="N56" s="44" t="inlineStr">
        <is>
          <t>Kayıttan doğrulandı</t>
        </is>
      </c>
      <c r="O56" s="44" t="n"/>
    </row>
    <row r="57" ht="54" customHeight="1">
      <c r="A57" s="44" t="inlineStr">
        <is>
          <t>sevilla:photo:jardines-de-las-delicias-01</t>
        </is>
      </c>
      <c r="B57" s="44" t="inlineStr">
        <is>
          <t>https://commons.wikimedia.org/wiki/User:Chabe01</t>
        </is>
      </c>
      <c r="C57" s="44" t="inlineStr">
        <is>
          <t>https://commons.wikimedia.org/wiki/User:Chabe01</t>
        </is>
      </c>
      <c r="D57" s="44" t="inlineStr">
        <is>
          <t>https://upload.wikimedia.org/wikipedia/commons/c/c1/Avenida_Libano_-_S%C3%A9ville_%28ES61%29_-_2023-04-25_-_1.jpg</t>
        </is>
      </c>
      <c r="E57" s="44" t="inlineStr">
        <is>
          <t>https://thumb.wikimedia.org/wikipedia/commons/thumb/c/c1/Avenida_Libano_-_S%C3%A9ville_%28ES61%29_-_2023-04-25_-_1.jpg/1280px-Avenida_Libano_-_S%C3%A9ville_%28ES61%29_-_2023-04-25_-_1.jpg</t>
        </is>
      </c>
      <c r="F57" s="53" t="n">
        <v>46320</v>
      </c>
      <c r="G57" s="44" t="inlineStr">
        <is>
          <t>Fotoğraflar/sevilla_jardines-de-las-delicias_01.jpg</t>
        </is>
      </c>
      <c r="H57" s="44" t="inlineStr">
        <is>
          <t>e469b5f291184d986a1b447e6942903c967bc94b4983f24b3b89a09038cd55d4</t>
        </is>
      </c>
      <c r="I57" s="44" t="inlineStr">
        <is>
          <t>Teslimler/WebKopyalari/e469b5f291184d986a1b447e6942903c967bc94b4983f24b3b89a09038cd55d4.webp</t>
        </is>
      </c>
      <c r="J57" s="44" t="inlineStr">
        <is>
          <t>405a119b517bfc16d54b4521f66152f92f9ac334641eb99af249fd29c54b26a9</t>
        </is>
      </c>
      <c r="K57" s="44" t="n">
        <v>1280</v>
      </c>
      <c r="L57" s="44" t="n">
        <v>960</v>
      </c>
      <c r="M57" s="44" t="inlineStr">
        <is>
          <t>Özgün teslim dosyası korundu. EXIF yönü uygulandı; kırpma yapılmadan en çok 1600 px, WebP kalite 84. Önceki kaynak değişiklik notları ayrıca korunur.</t>
        </is>
      </c>
      <c r="N57" s="44" t="inlineStr">
        <is>
          <t>Kayıttan doğrulandı</t>
        </is>
      </c>
      <c r="O57" s="44" t="n"/>
    </row>
    <row r="58" ht="54" customHeight="1">
      <c r="A58" s="44" t="inlineStr">
        <is>
          <t>sevilla:photo:jardines-de-las-delicias-02</t>
        </is>
      </c>
      <c r="B58" s="44" t="inlineStr">
        <is>
          <t>https://commons.wikimedia.org/wiki/User:Chabe01</t>
        </is>
      </c>
      <c r="C58" s="44" t="inlineStr">
        <is>
          <t>https://commons.wikimedia.org/wiki/User:Chabe01</t>
        </is>
      </c>
      <c r="D58" s="44" t="inlineStr">
        <is>
          <t>https://upload.wikimedia.org/wikipedia/commons/0/03/Avenida_Libano_-_S%C3%A9ville_%28ES61%29_-_2023-04-25_-_2.jpg</t>
        </is>
      </c>
      <c r="E58" s="44" t="inlineStr">
        <is>
          <t>https://thumb.wikimedia.org/wikipedia/commons/thumb/0/03/Avenida_Libano_-_S%C3%A9ville_%28ES61%29_-_2023-04-25_-_2.jpg/1280px-Avenida_Libano_-_S%C3%A9ville_%28ES61%29_-_2023-04-25_-_2.jpg</t>
        </is>
      </c>
      <c r="F58" s="53" t="n">
        <v>46320</v>
      </c>
      <c r="G58" s="44" t="inlineStr">
        <is>
          <t>Fotoğraflar/sevilla_jardines-de-las-delicias_02.jpg</t>
        </is>
      </c>
      <c r="H58" s="44" t="inlineStr">
        <is>
          <t>3dca11ecf5a3e743b82aaad36c88e969aa8db99a50506638350c722076fce115</t>
        </is>
      </c>
      <c r="I58" s="44" t="inlineStr">
        <is>
          <t>Teslimler/WebKopyalari/3dca11ecf5a3e743b82aaad36c88e969aa8db99a50506638350c722076fce115.webp</t>
        </is>
      </c>
      <c r="J58" s="44" t="inlineStr">
        <is>
          <t>ccacca37c64970cf491f808f464af3d51cddba892e45cc271519f26bf2d861b2</t>
        </is>
      </c>
      <c r="K58" s="44" t="n">
        <v>1280</v>
      </c>
      <c r="L58" s="44" t="n">
        <v>960</v>
      </c>
      <c r="M58" s="44" t="inlineStr">
        <is>
          <t>Özgün teslim dosyası korundu. EXIF yönü uygulandı; kırpma yapılmadan en çok 1600 px, WebP kalite 84. Önceki kaynak değişiklik notları ayrıca korunur.</t>
        </is>
      </c>
      <c r="N58" s="44" t="inlineStr">
        <is>
          <t>Kayıttan doğrulandı</t>
        </is>
      </c>
      <c r="O58" s="44" t="n"/>
    </row>
    <row r="59" ht="54" customHeight="1">
      <c r="A59" s="44" t="inlineStr">
        <is>
          <t>sevilla:photo:jardines-de-las-delicias-03</t>
        </is>
      </c>
      <c r="B59" s="44" t="inlineStr">
        <is>
          <t>https://commons.wikimedia.org/wiki/User:CarlosVdeHabsburgo</t>
        </is>
      </c>
      <c r="C59" s="44" t="inlineStr">
        <is>
          <t>https://commons.wikimedia.org/wiki/User:CarlosVdeHabsburgo</t>
        </is>
      </c>
      <c r="D59" s="44" t="inlineStr">
        <is>
          <t>https://upload.wikimedia.org/wikipedia/commons/3/3d/Edificio_El_Cano_de_Sevilla_desde_los_Jardines_de_las_Delicias.JPG</t>
        </is>
      </c>
      <c r="E59" s="44" t="inlineStr">
        <is>
          <t>https://thumb.wikimedia.org/wikipedia/commons/thumb/3/3d/Edificio_El_Cano_de_Sevilla_desde_los_Jardines_de_las_Delicias.JPG/1280px-Edificio_El_Cano_de_Sevilla_desde_los_Jardines_de_las_Delicias.JPG</t>
        </is>
      </c>
      <c r="F59" s="53" t="n">
        <v>46320</v>
      </c>
      <c r="G59" s="44" t="inlineStr">
        <is>
          <t>Fotoğraflar/sevilla_jardines-de-las-delicias_03.jpg</t>
        </is>
      </c>
      <c r="H59" s="44" t="inlineStr">
        <is>
          <t>2f577c4f0f929dda3a320754714efa76e036a88e058e843a83155d5a21edc0ab</t>
        </is>
      </c>
      <c r="I59" s="44" t="inlineStr">
        <is>
          <t>Teslimler/WebKopyalari/2f577c4f0f929dda3a320754714efa76e036a88e058e843a83155d5a21edc0ab.webp</t>
        </is>
      </c>
      <c r="J59" s="44" t="inlineStr">
        <is>
          <t>c5e225af7c9deb1ab4048e190a2a5dd8fca0d1ade80f25986ee26d28fa8a7bb9</t>
        </is>
      </c>
      <c r="K59" s="44" t="n">
        <v>1200</v>
      </c>
      <c r="L59" s="44" t="n">
        <v>1600</v>
      </c>
      <c r="M59" s="44" t="inlineStr">
        <is>
          <t>Özgün teslim dosyası korundu. EXIF yönü uygulandı; kırpma yapılmadan en çok 1600 px, WebP kalite 84. Önceki kaynak değişiklik notları ayrıca korunur.</t>
        </is>
      </c>
      <c r="N59" s="44" t="inlineStr">
        <is>
          <t>Kayıttan doğrulandı</t>
        </is>
      </c>
      <c r="O59" s="44" t="n"/>
    </row>
    <row r="60" ht="54" customHeight="1">
      <c r="A60" s="44" t="inlineStr">
        <is>
          <t>sevilla:photo:paseo-catalina-de-ribera-01</t>
        </is>
      </c>
      <c r="B60" s="44" t="inlineStr">
        <is>
          <t>https://commons.wikimedia.org/wiki/User:CarlosVdeHabsburgo</t>
        </is>
      </c>
      <c r="C60" s="44" t="inlineStr">
        <is>
          <t>https://commons.wikimedia.org/wiki/User:CarlosVdeHabsburgo</t>
        </is>
      </c>
      <c r="D60" s="44" t="inlineStr">
        <is>
          <t>https://upload.wikimedia.org/wikipedia/commons/d/d3/Banco_Paseo_de_Catalina_de_Rivera.jpg</t>
        </is>
      </c>
      <c r="E60" s="44" t="inlineStr">
        <is>
          <t>https://thumb.wikimedia.org/wikipedia/commons/thumb/d/d3/Banco_Paseo_de_Catalina_de_Rivera.jpg/1280px-Banco_Paseo_de_Catalina_de_Rivera.jpg</t>
        </is>
      </c>
      <c r="F60" s="53" t="n">
        <v>46320</v>
      </c>
      <c r="G60" s="44" t="inlineStr">
        <is>
          <t>Fotoğraflar/sevilla_paseo-catalina-de-ribera_01.jpg</t>
        </is>
      </c>
      <c r="H60" s="44" t="inlineStr">
        <is>
          <t>ced3438cce54d6063f261f63ac051725392da7f6edbe08ba0ad078d50c2e3582</t>
        </is>
      </c>
      <c r="I60" s="44" t="inlineStr">
        <is>
          <t>Teslimler/WebKopyalari/ced3438cce54d6063f261f63ac051725392da7f6edbe08ba0ad078d50c2e3582.webp</t>
        </is>
      </c>
      <c r="J60" s="44" t="inlineStr">
        <is>
          <t>accc3b85f3b933241933a6bb0bf0e5ebb0c3354d9e92932ccd29466f66768c0e</t>
        </is>
      </c>
      <c r="K60" s="44" t="n">
        <v>1280</v>
      </c>
      <c r="L60" s="44" t="n">
        <v>960</v>
      </c>
      <c r="M60" s="44" t="inlineStr">
        <is>
          <t>Özgün teslim dosyası korundu. EXIF yönü uygulandı; kırpma yapılmadan en çok 1600 px, WebP kalite 84. Önceki kaynak değişiklik notları ayrıca korunur.</t>
        </is>
      </c>
      <c r="N60" s="44" t="inlineStr">
        <is>
          <t>Kayıttan doğrulandı</t>
        </is>
      </c>
      <c r="O60" s="44" t="n"/>
    </row>
    <row r="61" ht="54" customHeight="1">
      <c r="A61" s="44" t="inlineStr">
        <is>
          <t>sevilla:photo:paseo-catalina-de-ribera-02</t>
        </is>
      </c>
      <c r="B61" s="44" t="inlineStr">
        <is>
          <t>https://commons.wikimedia.org/wiki/User:CarlosVdeHabsburgo</t>
        </is>
      </c>
      <c r="C61" s="44" t="inlineStr">
        <is>
          <t>https://commons.wikimedia.org/wiki/User:CarlosVdeHabsburgo</t>
        </is>
      </c>
      <c r="D61" s="44" t="inlineStr">
        <is>
          <t>https://upload.wikimedia.org/wikipedia/commons/c/c5/Bancos_Paseo_de_Cat_02.jpg</t>
        </is>
      </c>
      <c r="E61" s="44" t="inlineStr">
        <is>
          <t>https://thumb.wikimedia.org/wikipedia/commons/thumb/c/c5/Bancos_Paseo_de_Cat_02.jpg/1280px-Bancos_Paseo_de_Cat_02.jpg</t>
        </is>
      </c>
      <c r="F61" s="53" t="n">
        <v>46320</v>
      </c>
      <c r="G61" s="44" t="inlineStr">
        <is>
          <t>Fotoğraflar/sevilla_paseo-catalina-de-ribera_02.jpg</t>
        </is>
      </c>
      <c r="H61" s="44" t="inlineStr">
        <is>
          <t>13e8b37f244cfc4d6038da1c7513994bc343e35227cda976005682577c8206e4</t>
        </is>
      </c>
      <c r="I61" s="44" t="inlineStr">
        <is>
          <t>Teslimler/WebKopyalari/13e8b37f244cfc4d6038da1c7513994bc343e35227cda976005682577c8206e4.webp</t>
        </is>
      </c>
      <c r="J61" s="44" t="inlineStr">
        <is>
          <t>404648d462fa3b76bbbbfc773a39b69b092ef6b3ab2b00cdfb52628ef532175d</t>
        </is>
      </c>
      <c r="K61" s="44" t="n">
        <v>1280</v>
      </c>
      <c r="L61" s="44" t="n">
        <v>960</v>
      </c>
      <c r="M61" s="44" t="inlineStr">
        <is>
          <t>Özgün teslim dosyası korundu. EXIF yönü uygulandı; kırpma yapılmadan en çok 1600 px, WebP kalite 84. Önceki kaynak değişiklik notları ayrıca korunur.</t>
        </is>
      </c>
      <c r="N61" s="44" t="inlineStr">
        <is>
          <t>Kayıttan doğrulandı</t>
        </is>
      </c>
      <c r="O61" s="44" t="n"/>
    </row>
    <row r="62" ht="54" customHeight="1">
      <c r="A62" s="44" t="inlineStr">
        <is>
          <t>sevilla:photo:paseo-catalina-de-ribera-03</t>
        </is>
      </c>
      <c r="B62" s="44" t="inlineStr">
        <is>
          <t>https://www.flickr.com/people/46191841@N00</t>
        </is>
      </c>
      <c r="C62" s="44" t="inlineStr">
        <is>
          <t>https://www.flickr.com/people/46191841@N00</t>
        </is>
      </c>
      <c r="D62" s="44" t="inlineStr">
        <is>
          <t>https://upload.wikimedia.org/wikipedia/commons/d/d3/Jardines_de_Catalina_de_Ribera_%287304011326%29.jpg</t>
        </is>
      </c>
      <c r="E62" s="44" t="inlineStr">
        <is>
          <t>https://thumb.wikimedia.org/wikipedia/commons/thumb/d/d3/Jardines_de_Catalina_de_Ribera_%287304011326%29.jpg/1280px-Jardines_de_Catalina_de_Ribera_%287304011326%29.jpg</t>
        </is>
      </c>
      <c r="F62" s="53" t="n">
        <v>46320</v>
      </c>
      <c r="G62" s="44" t="inlineStr">
        <is>
          <t>Fotoğraflar/sevilla_paseo-catalina-de-ribera_03.jpg</t>
        </is>
      </c>
      <c r="H62" s="44" t="inlineStr">
        <is>
          <t>e7b3a3629dc79ddde6aee48b817642f7a3a25343a95791976ef026989da7f9da</t>
        </is>
      </c>
      <c r="I62" s="44" t="inlineStr">
        <is>
          <t>Teslimler/WebKopyalari/e7b3a3629dc79ddde6aee48b817642f7a3a25343a95791976ef026989da7f9da.webp</t>
        </is>
      </c>
      <c r="J62" s="44" t="inlineStr">
        <is>
          <t>b979cfc423d88449eeff4cf1990600e689a806c8cde51a2f46a0deb9966af18d</t>
        </is>
      </c>
      <c r="K62" s="44" t="n">
        <v>1280</v>
      </c>
      <c r="L62" s="44" t="n">
        <v>853</v>
      </c>
      <c r="M62" s="44" t="inlineStr">
        <is>
          <t>Özgün teslim dosyası korundu. EXIF yönü uygulandı; kırpma yapılmadan en çok 1600 px, WebP kalite 84. Önceki kaynak değişiklik notları ayrıca korunur.</t>
        </is>
      </c>
      <c r="N62" s="44" t="inlineStr">
        <is>
          <t>Kayıttan doğrulandı</t>
        </is>
      </c>
      <c r="O62" s="44" t="n"/>
    </row>
    <row r="63" ht="54" customHeight="1">
      <c r="A63" s="44" t="inlineStr">
        <is>
          <t>sevilla:photo:parque-del-alamillo-01</t>
        </is>
      </c>
      <c r="B63" s="44" t="inlineStr">
        <is>
          <t>https://commons.wikimedia.org/wiki/User:Pirado</t>
        </is>
      </c>
      <c r="C63" s="44" t="inlineStr">
        <is>
          <t>https://commons.wikimedia.org/wiki/User:Pirado</t>
        </is>
      </c>
      <c r="D63" s="44" t="inlineStr">
        <is>
          <t>https://upload.wikimedia.org/wikipedia/commons/0/0c/Avenida_alamillo.JPG</t>
        </is>
      </c>
      <c r="E63" s="44" t="inlineStr">
        <is>
          <t>https://thumb.wikimedia.org/wikipedia/commons/thumb/0/0c/Avenida_alamillo.JPG/1280px-Avenida_alamillo.JPG</t>
        </is>
      </c>
      <c r="F63" s="53" t="n">
        <v>46320</v>
      </c>
      <c r="G63" s="44" t="inlineStr">
        <is>
          <t>Fotoğraflar/sevilla_parque-del-alamillo_01.jpg</t>
        </is>
      </c>
      <c r="H63" s="44" t="inlineStr">
        <is>
          <t>52f28639cc806c69f10ee7b94fec1b9c814026bc9b4285fc676442778b9f6683</t>
        </is>
      </c>
      <c r="I63" s="44" t="inlineStr">
        <is>
          <t>Teslimler/WebKopyalari/52f28639cc806c69f10ee7b94fec1b9c814026bc9b4285fc676442778b9f6683.webp</t>
        </is>
      </c>
      <c r="J63" s="44" t="inlineStr">
        <is>
          <t>54c7340e1506357a7dcb26c416ddab5b4dd32725090444dcf512fb855ee36c5d</t>
        </is>
      </c>
      <c r="K63" s="44" t="n">
        <v>1280</v>
      </c>
      <c r="L63" s="44" t="n">
        <v>960</v>
      </c>
      <c r="M63" s="44" t="inlineStr">
        <is>
          <t>Özgün teslim dosyası korundu. EXIF yönü uygulandı; kırpma yapılmadan en çok 1600 px, WebP kalite 84. Önceki kaynak değişiklik notları ayrıca korunur.</t>
        </is>
      </c>
      <c r="N63" s="44" t="inlineStr">
        <is>
          <t>Kayıttan doğrulandı</t>
        </is>
      </c>
      <c r="O63" s="44" t="n"/>
    </row>
    <row r="64" ht="54" customHeight="1">
      <c r="A64" s="44" t="inlineStr">
        <is>
          <t>sevilla:photo:parque-del-alamillo-02</t>
        </is>
      </c>
      <c r="B64" s="44" t="inlineStr">
        <is>
          <t>https://commons.wikimedia.org/wiki/User:CarlosVdeHabsburgo</t>
        </is>
      </c>
      <c r="C64" s="44" t="inlineStr">
        <is>
          <t>https://commons.wikimedia.org/wiki/User:CarlosVdeHabsburgo</t>
        </is>
      </c>
      <c r="D64" s="44" t="inlineStr">
        <is>
          <t>https://upload.wikimedia.org/wikipedia/commons/1/10/Cable_esqu%C3%AD.jpg</t>
        </is>
      </c>
      <c r="E64" s="44" t="inlineStr">
        <is>
          <t>https://thumb.wikimedia.org/wikipedia/commons/thumb/1/10/Cable_esqu%C3%AD.jpg/1280px-Cable_esqu%C3%AD.jpg</t>
        </is>
      </c>
      <c r="F64" s="53" t="n">
        <v>46320</v>
      </c>
      <c r="G64" s="44" t="inlineStr">
        <is>
          <t>Fotoğraflar/sevilla_parque-del-alamillo_02.jpg</t>
        </is>
      </c>
      <c r="H64" s="44" t="inlineStr">
        <is>
          <t>fcb2b6302a593ff0ce6d174cae7bd5d253641a39cd79382c1669a263748b7b55</t>
        </is>
      </c>
      <c r="I64" s="44" t="inlineStr">
        <is>
          <t>Teslimler/WebKopyalari/fcb2b6302a593ff0ce6d174cae7bd5d253641a39cd79382c1669a263748b7b55.webp</t>
        </is>
      </c>
      <c r="J64" s="44" t="inlineStr">
        <is>
          <t>d7c576bba6facfa07abd04f6ae8169bf90dc8c41b9e5f73b3bb697587b84534b</t>
        </is>
      </c>
      <c r="K64" s="44" t="n">
        <v>1280</v>
      </c>
      <c r="L64" s="44" t="n">
        <v>960</v>
      </c>
      <c r="M64" s="44" t="inlineStr">
        <is>
          <t>Özgün teslim dosyası korundu. EXIF yönü uygulandı; kırpma yapılmadan en çok 1600 px, WebP kalite 84. Önceki kaynak değişiklik notları ayrıca korunur.</t>
        </is>
      </c>
      <c r="N64" s="44" t="inlineStr">
        <is>
          <t>Kayıttan doğrulandı</t>
        </is>
      </c>
      <c r="O64" s="44" t="n"/>
    </row>
    <row r="65" ht="54" customHeight="1">
      <c r="A65" s="44" t="inlineStr">
        <is>
          <t>sevilla:photo:parque-del-alamillo-03</t>
        </is>
      </c>
      <c r="B65" s="44" t="inlineStr">
        <is>
          <t>https://commons.wikimedia.org/wiki/User:CarlosVdeHabsburgo</t>
        </is>
      </c>
      <c r="C65" s="44" t="inlineStr">
        <is>
          <t>https://commons.wikimedia.org/wiki/User:CarlosVdeHabsburgo</t>
        </is>
      </c>
      <c r="D65" s="44" t="inlineStr">
        <is>
          <t>https://upload.wikimedia.org/wikipedia/commons/5/55/Cortijo_del_Alamillo_%28Sevilla%29.jpg</t>
        </is>
      </c>
      <c r="E65" s="44" t="inlineStr">
        <is>
          <t>https://thumb.wikimedia.org/wikipedia/commons/thumb/5/55/Cortijo_del_Alamillo_%28Sevilla%29.jpg/1280px-Cortijo_del_Alamillo_%28Sevilla%29.jpg</t>
        </is>
      </c>
      <c r="F65" s="53" t="n">
        <v>46320</v>
      </c>
      <c r="G65" s="44" t="inlineStr">
        <is>
          <t>Fotoğraflar/sevilla_parque-del-alamillo_03.jpg</t>
        </is>
      </c>
      <c r="H65" s="44" t="inlineStr">
        <is>
          <t>6d76c4071de08a15425171d43a8304547bb0a5ae891f9a64268686bc7672b724</t>
        </is>
      </c>
      <c r="I65" s="44" t="inlineStr">
        <is>
          <t>Teslimler/WebKopyalari/6d76c4071de08a15425171d43a8304547bb0a5ae891f9a64268686bc7672b724.webp</t>
        </is>
      </c>
      <c r="J65" s="44" t="inlineStr">
        <is>
          <t>7366d232b273884539906f60b0e1ec21fde6f9ffb661b4e34d09c884fae2e5b2</t>
        </is>
      </c>
      <c r="K65" s="44" t="n">
        <v>1280</v>
      </c>
      <c r="L65" s="44" t="n">
        <v>960</v>
      </c>
      <c r="M65" s="44" t="inlineStr">
        <is>
          <t>Özgün teslim dosyası korundu. EXIF yönü uygulandı; kırpma yapılmadan en çok 1600 px, WebP kalite 84. Önceki kaynak değişiklik notları ayrıca korunur.</t>
        </is>
      </c>
      <c r="N65" s="44" t="inlineStr">
        <is>
          <t>Kayıttan doğrulandı</t>
        </is>
      </c>
      <c r="O65" s="44" t="n"/>
    </row>
    <row r="66" ht="54" customHeight="1">
      <c r="A66" s="44" t="inlineStr">
        <is>
          <t>sevilla:photo:parque-infanta-elena-01</t>
        </is>
      </c>
      <c r="B66" s="44" t="inlineStr">
        <is>
          <t>https://commons.wikimedia.org/wiki/User:Mromsan</t>
        </is>
      </c>
      <c r="C66" s="44" t="inlineStr">
        <is>
          <t>https://commons.wikimedia.org/wiki/User:Mromsan</t>
        </is>
      </c>
      <c r="D66" s="44" t="inlineStr">
        <is>
          <t>https://upload.wikimedia.org/wikipedia/commons/c/c0/Parque_Infanta_Elena_%28Sevilla%29_01.jpg</t>
        </is>
      </c>
      <c r="E66" s="44" t="inlineStr">
        <is>
          <t>https://thumb.wikimedia.org/wikipedia/commons/thumb/c/c0/Parque_Infanta_Elena_%28Sevilla%29_01.jpg/1280px-Parque_Infanta_Elena_%28Sevilla%29_01.jpg</t>
        </is>
      </c>
      <c r="F66" s="53" t="n">
        <v>46320</v>
      </c>
      <c r="G66" s="44" t="inlineStr">
        <is>
          <t>Fotoğraflar/sevilla_parque-infanta-elena_01.jpg</t>
        </is>
      </c>
      <c r="H66" s="44" t="inlineStr">
        <is>
          <t>44cd3e12a0f907c0a515353a274688afb484636b45b005c5c4b5361151198ff5</t>
        </is>
      </c>
      <c r="I66" s="44" t="inlineStr">
        <is>
          <t>Teslimler/WebKopyalari/44cd3e12a0f907c0a515353a274688afb484636b45b005c5c4b5361151198ff5.webp</t>
        </is>
      </c>
      <c r="J66" s="44" t="inlineStr">
        <is>
          <t>3a31679411eece416ca8ad69c775a533292ca160daebe21469f68635d9402d9a</t>
        </is>
      </c>
      <c r="K66" s="44" t="n">
        <v>1280</v>
      </c>
      <c r="L66" s="44" t="n">
        <v>960</v>
      </c>
      <c r="M66" s="44" t="inlineStr">
        <is>
          <t>Özgün teslim dosyası korundu. EXIF yönü uygulandı; kırpma yapılmadan en çok 1600 px, WebP kalite 84. Önceki kaynak değişiklik notları ayrıca korunur.</t>
        </is>
      </c>
      <c r="N66" s="44" t="inlineStr">
        <is>
          <t>Kayıttan doğrulandı</t>
        </is>
      </c>
      <c r="O66" s="44" t="n"/>
    </row>
    <row r="67" ht="54" customHeight="1">
      <c r="A67" s="44" t="inlineStr">
        <is>
          <t>sevilla:photo:parque-infanta-elena-02</t>
        </is>
      </c>
      <c r="B67" s="44" t="inlineStr">
        <is>
          <t>https://commons.wikimedia.org/wiki/User:Mromsan</t>
        </is>
      </c>
      <c r="C67" s="44" t="inlineStr">
        <is>
          <t>https://commons.wikimedia.org/wiki/User:Mromsan</t>
        </is>
      </c>
      <c r="D67" s="44" t="inlineStr">
        <is>
          <t>https://upload.wikimedia.org/wikipedia/commons/4/4c/Parque_Infanta_Elena_%28Sevilla%29_03.jpg</t>
        </is>
      </c>
      <c r="E67" s="44" t="inlineStr">
        <is>
          <t>https://thumb.wikimedia.org/wikipedia/commons/thumb/4/4c/Parque_Infanta_Elena_%28Sevilla%29_03.jpg/1280px-Parque_Infanta_Elena_%28Sevilla%29_03.jpg</t>
        </is>
      </c>
      <c r="F67" s="53" t="n">
        <v>46320</v>
      </c>
      <c r="G67" s="44" t="inlineStr">
        <is>
          <t>Fotoğraflar/sevilla_parque-infanta-elena_02.jpg</t>
        </is>
      </c>
      <c r="H67" s="44" t="inlineStr">
        <is>
          <t>81f83aef8671581bbf5029530bdfc2c6c5b9c642a9f9d3fabde91086777e720a</t>
        </is>
      </c>
      <c r="I67" s="44" t="inlineStr">
        <is>
          <t>Teslimler/WebKopyalari/81f83aef8671581bbf5029530bdfc2c6c5b9c642a9f9d3fabde91086777e720a.webp</t>
        </is>
      </c>
      <c r="J67" s="44" t="inlineStr">
        <is>
          <t>020308967e37282d058595ef1224eb524045902a4d15062d53f4f9daeddca467</t>
        </is>
      </c>
      <c r="K67" s="44" t="n">
        <v>1280</v>
      </c>
      <c r="L67" s="44" t="n">
        <v>960</v>
      </c>
      <c r="M67" s="44" t="inlineStr">
        <is>
          <t>Özgün teslim dosyası korundu. EXIF yönü uygulandı; kırpma yapılmadan en çok 1600 px, WebP kalite 84. Önceki kaynak değişiklik notları ayrıca korunur.</t>
        </is>
      </c>
      <c r="N67" s="44" t="inlineStr">
        <is>
          <t>Kayıttan doğrulandı</t>
        </is>
      </c>
      <c r="O67" s="44" t="n"/>
    </row>
    <row r="68" ht="54" customHeight="1">
      <c r="A68" s="44" t="inlineStr">
        <is>
          <t>sevilla:photo:parque-infanta-elena-03</t>
        </is>
      </c>
      <c r="B68" s="44" t="inlineStr">
        <is>
          <t>https://commons.wikimedia.org/wiki/User:Mromsan</t>
        </is>
      </c>
      <c r="C68" s="44" t="inlineStr">
        <is>
          <t>https://commons.wikimedia.org/wiki/User:Mromsan</t>
        </is>
      </c>
      <c r="D68" s="44" t="inlineStr">
        <is>
          <t>https://upload.wikimedia.org/wikipedia/commons/8/87/Parque_Infanta_Elena_%28Sevilla%29_04.jpg</t>
        </is>
      </c>
      <c r="E68" s="44" t="inlineStr">
        <is>
          <t>https://thumb.wikimedia.org/wikipedia/commons/thumb/8/87/Parque_Infanta_Elena_%28Sevilla%29_04.jpg/1280px-Parque_Infanta_Elena_%28Sevilla%29_04.jpg</t>
        </is>
      </c>
      <c r="F68" s="53" t="n">
        <v>46320</v>
      </c>
      <c r="G68" s="44" t="inlineStr">
        <is>
          <t>Fotoğraflar/sevilla_parque-infanta-elena_03.jpg</t>
        </is>
      </c>
      <c r="H68" s="44" t="inlineStr">
        <is>
          <t>3de6f1f3fb1d3c2e5712813e4ac880e152c9b0e69d8da24da99c2c36507e4440</t>
        </is>
      </c>
      <c r="I68" s="44" t="inlineStr">
        <is>
          <t>Teslimler/WebKopyalari/3de6f1f3fb1d3c2e5712813e4ac880e152c9b0e69d8da24da99c2c36507e4440.webp</t>
        </is>
      </c>
      <c r="J68" s="44" t="inlineStr">
        <is>
          <t>dc2d88ecd5e9e0b00d5466bab5b59dfc141e144a2f5b0ff554b4cb9ca4561e96</t>
        </is>
      </c>
      <c r="K68" s="44" t="n">
        <v>1280</v>
      </c>
      <c r="L68" s="44" t="n">
        <v>960</v>
      </c>
      <c r="M68" s="44" t="inlineStr">
        <is>
          <t>Özgün teslim dosyası korundu. EXIF yönü uygulandı; kırpma yapılmadan en çok 1600 px, WebP kalite 84. Önceki kaynak değişiklik notları ayrıca korunur.</t>
        </is>
      </c>
      <c r="N68" s="44" t="inlineStr">
        <is>
          <t>Kayıttan doğrulandı</t>
        </is>
      </c>
      <c r="O68" s="44" t="n"/>
    </row>
    <row r="69" ht="54" customHeight="1">
      <c r="A69" s="44" t="inlineStr">
        <is>
          <t>sevilla:photo:alameda-de-hercules-01</t>
        </is>
      </c>
      <c r="B69" s="44" t="inlineStr">
        <is>
          <t>https://commons.wikimedia.org/wiki/User:Anual</t>
        </is>
      </c>
      <c r="C69" s="44" t="inlineStr">
        <is>
          <t>https://commons.wikimedia.org/wiki/User:Anual</t>
        </is>
      </c>
      <c r="D69" s="44" t="inlineStr">
        <is>
          <t>https://upload.wikimedia.org/wikipedia/commons/b/b0/20110422_0917_alameda_hercules.jpg</t>
        </is>
      </c>
      <c r="E69" s="44" t="inlineStr">
        <is>
          <t>https://thumb.wikimedia.org/wikipedia/commons/thumb/b/b0/20110422_0917_alameda_hercules.jpg/1280px-20110422_0917_alameda_hercules.jpg</t>
        </is>
      </c>
      <c r="F69" s="53" t="n">
        <v>46320</v>
      </c>
      <c r="G69" s="44" t="inlineStr">
        <is>
          <t>Fotoğraflar/sevilla_alameda-de-hercules_01.jpg</t>
        </is>
      </c>
      <c r="H69" s="44" t="inlineStr">
        <is>
          <t>91aec40458df83f8dca447c16aafe6ef8f63f44ebb3a9a0479c75240b724c70b</t>
        </is>
      </c>
      <c r="I69" s="44" t="inlineStr">
        <is>
          <t>Teslimler/WebKopyalari/91aec40458df83f8dca447c16aafe6ef8f63f44ebb3a9a0479c75240b724c70b.webp</t>
        </is>
      </c>
      <c r="J69" s="44" t="inlineStr">
        <is>
          <t>8aac94af29401937208d7a10cbc04eae502a030910d814aaff18a222e91fecdd</t>
        </is>
      </c>
      <c r="K69" s="44" t="n">
        <v>1280</v>
      </c>
      <c r="L69" s="44" t="n">
        <v>857</v>
      </c>
      <c r="M69" s="44" t="inlineStr">
        <is>
          <t>Özgün teslim dosyası korundu. EXIF yönü uygulandı; kırpma yapılmadan en çok 1600 px, WebP kalite 84. Önceki kaynak değişiklik notları ayrıca korunur.</t>
        </is>
      </c>
      <c r="N69" s="44" t="inlineStr">
        <is>
          <t>Kayıttan doğrulandı</t>
        </is>
      </c>
      <c r="O69" s="44" t="n"/>
    </row>
    <row r="70" ht="54" customHeight="1">
      <c r="A70" s="44" t="inlineStr">
        <is>
          <t>sevilla:photo:alameda-de-hercules-02</t>
        </is>
      </c>
      <c r="B70" s="44" t="inlineStr">
        <is>
          <t>https://commons.wikimedia.org/wiki/User:Chabe01</t>
        </is>
      </c>
      <c r="C70" s="44" t="inlineStr">
        <is>
          <t>https://commons.wikimedia.org/wiki/User:Chabe01</t>
        </is>
      </c>
      <c r="D70" s="44" t="inlineStr">
        <is>
          <t>https://upload.wikimedia.org/wikipedia/commons/d/d2/Alameda_H%C3%A9rcules_-_S%C3%A9ville_%28ES-SE%29_-_2023-04-24_-_1.jpg</t>
        </is>
      </c>
      <c r="E70" s="44" t="inlineStr">
        <is>
          <t>https://thumb.wikimedia.org/wikipedia/commons/thumb/d/d2/Alameda_H%C3%A9rcules_-_S%C3%A9ville_%28ES-SE%29_-_2023-04-24_-_1.jpg/1280px-Alameda_H%C3%A9rcules_-_S%C3%A9ville_%28ES-SE%29_-_2023-04-24_-_1.jpg</t>
        </is>
      </c>
      <c r="F70" s="53" t="n">
        <v>46320</v>
      </c>
      <c r="G70" s="44" t="inlineStr">
        <is>
          <t>Fotoğraflar/sevilla_alameda-de-hercules_02.jpg</t>
        </is>
      </c>
      <c r="H70" s="44" t="inlineStr">
        <is>
          <t>f0d69c26993dfa07e671917e2607329a20873b7d44b368ea288904370731f868</t>
        </is>
      </c>
      <c r="I70" s="44" t="inlineStr">
        <is>
          <t>Teslimler/WebKopyalari/f0d69c26993dfa07e671917e2607329a20873b7d44b368ea288904370731f868.webp</t>
        </is>
      </c>
      <c r="J70" s="44" t="inlineStr">
        <is>
          <t>2ba71861c52c8fcc2f88d003540630a657273188f29a657128f25c2d6727d7ec</t>
        </is>
      </c>
      <c r="K70" s="44" t="n">
        <v>1280</v>
      </c>
      <c r="L70" s="44" t="n">
        <v>960</v>
      </c>
      <c r="M70" s="44" t="inlineStr">
        <is>
          <t>Özgün teslim dosyası korundu. EXIF yönü uygulandı; kırpma yapılmadan en çok 1600 px, WebP kalite 84. Önceki kaynak değişiklik notları ayrıca korunur.</t>
        </is>
      </c>
      <c r="N70" s="44" t="inlineStr">
        <is>
          <t>Kayıttan doğrulandı</t>
        </is>
      </c>
      <c r="O70" s="44" t="n"/>
    </row>
    <row r="71" ht="54" customHeight="1">
      <c r="A71" s="44" t="inlineStr">
        <is>
          <t>sevilla:photo:alameda-de-hercules-03</t>
        </is>
      </c>
      <c r="B71" s="44" t="inlineStr">
        <is>
          <t>https://commons.wikimedia.org/wiki/User:Gzzz</t>
        </is>
      </c>
      <c r="C71" s="44" t="inlineStr">
        <is>
          <t>https://commons.wikimedia.org/wiki/User:Gzzz</t>
        </is>
      </c>
      <c r="D71" s="44" t="inlineStr">
        <is>
          <t>https://upload.wikimedia.org/wikipedia/commons/d/dc/Alameda_de_Hercules_Sevilla_1.JPG</t>
        </is>
      </c>
      <c r="E71" s="44" t="inlineStr">
        <is>
          <t>https://thumb.wikimedia.org/wikipedia/commons/thumb/d/dc/Alameda_de_Hercules_Sevilla_1.JPG/1280px-Alameda_de_Hercules_Sevilla_1.JPG</t>
        </is>
      </c>
      <c r="F71" s="53" t="n">
        <v>46320</v>
      </c>
      <c r="G71" s="44" t="inlineStr">
        <is>
          <t>Fotoğraflar/sevilla_alameda-de-hercules_03.jpg</t>
        </is>
      </c>
      <c r="H71" s="44" t="inlineStr">
        <is>
          <t>09863d54f9e23b273473d3f0945afe12ce1aa0fc234e02e3d60892b1489b3a1c</t>
        </is>
      </c>
      <c r="I71" s="44" t="inlineStr">
        <is>
          <t>Teslimler/WebKopyalari/09863d54f9e23b273473d3f0945afe12ce1aa0fc234e02e3d60892b1489b3a1c.webp</t>
        </is>
      </c>
      <c r="J71" s="44" t="inlineStr">
        <is>
          <t>be4958d7c25e3b8beca35e53275c9c7154009d5e3599c02f02c9f76206add071</t>
        </is>
      </c>
      <c r="K71" s="44" t="n">
        <v>1280</v>
      </c>
      <c r="L71" s="44" t="n">
        <v>960</v>
      </c>
      <c r="M71" s="44" t="inlineStr">
        <is>
          <t>Özgün teslim dosyası korundu. EXIF yönü uygulandı; kırpma yapılmadan en çok 1600 px, WebP kalite 84. Önceki kaynak değişiklik notları ayrıca korunur.</t>
        </is>
      </c>
      <c r="N71" s="44" t="inlineStr">
        <is>
          <t>Kayıttan doğrulandı</t>
        </is>
      </c>
      <c r="O71" s="44" t="n"/>
    </row>
    <row r="72" ht="54" customHeight="1">
      <c r="A72" s="44" t="inlineStr">
        <is>
          <t>sevilla:photo:real-alcazar-jardines-01</t>
        </is>
      </c>
      <c r="B72" s="44" t="inlineStr">
        <is>
          <t>https://commons.wikimedia.org/wiki/User:Holger_Uwe_Schmitt</t>
        </is>
      </c>
      <c r="C72" s="44" t="inlineStr">
        <is>
          <t>https://commons.wikimedia.org/wiki/User:Holger_Uwe_Schmitt</t>
        </is>
      </c>
      <c r="D72" s="44" t="inlineStr">
        <is>
          <t>https://upload.wikimedia.org/wikipedia/commons/7/72/%22Ein_Ort_der_Ruhe_und_Sch%C3%B6nheit%22._01.jpg</t>
        </is>
      </c>
      <c r="E72" s="44" t="inlineStr">
        <is>
          <t>https://thumb.wikimedia.org/wikipedia/commons/thumb/7/72/%22Ein_Ort_der_Ruhe_und_Sch%C3%B6nheit%22._01.jpg/1280px-%22Ein_Ort_der_Ruhe_und_Sch%C3%B6nheit%22._01.jpg</t>
        </is>
      </c>
      <c r="F72" s="53" t="n">
        <v>46320</v>
      </c>
      <c r="G72" s="44" t="inlineStr">
        <is>
          <t>Fotoğraflar/sevilla_real-alcazar-jardines_01.jpg</t>
        </is>
      </c>
      <c r="H72" s="44" t="inlineStr">
        <is>
          <t>6ba8e8770cdc0d896ebfa337d461a79b6edd68add6c29eefc4658132f59a4dff</t>
        </is>
      </c>
      <c r="I72" s="44" t="inlineStr">
        <is>
          <t>Teslimler/WebKopyalari/6ba8e8770cdc0d896ebfa337d461a79b6edd68add6c29eefc4658132f59a4dff.webp</t>
        </is>
      </c>
      <c r="J72" s="44" t="inlineStr">
        <is>
          <t>b81053fd05c589b7d6537d3296d1ae8f204ef5294e21c543803f0b4681423fd6</t>
        </is>
      </c>
      <c r="K72" s="44" t="n">
        <v>1280</v>
      </c>
      <c r="L72" s="44" t="n">
        <v>854</v>
      </c>
      <c r="M72" s="44" t="inlineStr">
        <is>
          <t>Özgün teslim dosyası korundu. EXIF yönü uygulandı; kırpma yapılmadan en çok 1600 px, WebP kalite 84. Önceki kaynak değişiklik notları ayrıca korunur.</t>
        </is>
      </c>
      <c r="N72" s="44" t="inlineStr">
        <is>
          <t>Kayıttan doğrulandı</t>
        </is>
      </c>
      <c r="O72" s="44" t="n"/>
    </row>
    <row r="73" ht="54" customHeight="1">
      <c r="A73" s="44" t="inlineStr">
        <is>
          <t>sevilla:photo:real-alcazar-jardines-02</t>
        </is>
      </c>
      <c r="B73" s="44" t="inlineStr">
        <is>
          <t>https://commons.wikimedia.org/wiki/User:Holger_Uwe_Schmitt</t>
        </is>
      </c>
      <c r="C73" s="44" t="inlineStr">
        <is>
          <t>https://commons.wikimedia.org/wiki/User:Holger_Uwe_Schmitt</t>
        </is>
      </c>
      <c r="D73" s="44" t="inlineStr">
        <is>
          <t>https://upload.wikimedia.org/wikipedia/commons/f/f5/%22Ein_Ort_der_Ruhe_und_Sch%C3%B6nheit%22._02.jpg</t>
        </is>
      </c>
      <c r="E73" s="44" t="inlineStr">
        <is>
          <t>https://thumb.wikimedia.org/wikipedia/commons/thumb/f/f5/%22Ein_Ort_der_Ruhe_und_Sch%C3%B6nheit%22._02.jpg/1280px-%22Ein_Ort_der_Ruhe_und_Sch%C3%B6nheit%22._02.jpg</t>
        </is>
      </c>
      <c r="F73" s="53" t="n">
        <v>46320</v>
      </c>
      <c r="G73" s="44" t="inlineStr">
        <is>
          <t>Fotoğraflar/sevilla_real-alcazar-jardines_02.jpg</t>
        </is>
      </c>
      <c r="H73" s="44" t="inlineStr">
        <is>
          <t>fda80cf62ff0d977b926c575cec723b7aa1a7c1992aea1b5842a4fd9b2e249ae</t>
        </is>
      </c>
      <c r="I73" s="44" t="inlineStr">
        <is>
          <t>Teslimler/WebKopyalari/fda80cf62ff0d977b926c575cec723b7aa1a7c1992aea1b5842a4fd9b2e249ae.webp</t>
        </is>
      </c>
      <c r="J73" s="44" t="inlineStr">
        <is>
          <t>b7112f17ddc6d848af68d7bed1d7c2e96a9a18286c1d5f87cf9d540b2088dc8e</t>
        </is>
      </c>
      <c r="K73" s="44" t="n">
        <v>905</v>
      </c>
      <c r="L73" s="44" t="n">
        <v>1600</v>
      </c>
      <c r="M73" s="44" t="inlineStr">
        <is>
          <t>Özgün teslim dosyası korundu. EXIF yönü uygulandı; kırpma yapılmadan en çok 1600 px, WebP kalite 84. Önceki kaynak değişiklik notları ayrıca korunur.</t>
        </is>
      </c>
      <c r="N73" s="44" t="inlineStr">
        <is>
          <t>Kayıttan doğrulandı</t>
        </is>
      </c>
      <c r="O73" s="44" t="n"/>
    </row>
    <row r="74" ht="54" customHeight="1">
      <c r="A74" s="44" t="inlineStr">
        <is>
          <t>sevilla:photo:real-alcazar-jardines-03</t>
        </is>
      </c>
      <c r="B74" s="44" t="inlineStr">
        <is>
          <t>https://commons.wikimedia.org/wiki/User:Holger_Uwe_Schmitt</t>
        </is>
      </c>
      <c r="C74" s="44" t="inlineStr">
        <is>
          <t>https://commons.wikimedia.org/wiki/User:Holger_Uwe_Schmitt</t>
        </is>
      </c>
      <c r="D74" s="44" t="inlineStr">
        <is>
          <t>https://upload.wikimedia.org/wikipedia/commons/5/5f/%22Ein_Ort_der_Ruhe_und_Sch%C3%B6nheit%22._03.jpg</t>
        </is>
      </c>
      <c r="E74" s="44" t="inlineStr">
        <is>
          <t>https://thumb.wikimedia.org/wikipedia/commons/thumb/5/5f/%22Ein_Ort_der_Ruhe_und_Sch%C3%B6nheit%22._03.jpg/1280px-%22Ein_Ort_der_Ruhe_und_Sch%C3%B6nheit%22._03.jpg</t>
        </is>
      </c>
      <c r="F74" s="53" t="n">
        <v>46320</v>
      </c>
      <c r="G74" s="44" t="inlineStr">
        <is>
          <t>Fotoğraflar/sevilla_real-alcazar-jardines_03.jpg</t>
        </is>
      </c>
      <c r="H74" s="44" t="inlineStr">
        <is>
          <t>0350be77f4aa917c3059861d32dbe81539579eb2e73a3124214d6bf682623ef7</t>
        </is>
      </c>
      <c r="I74" s="44" t="inlineStr">
        <is>
          <t>Teslimler/WebKopyalari/0350be77f4aa917c3059861d32dbe81539579eb2e73a3124214d6bf682623ef7.webp</t>
        </is>
      </c>
      <c r="J74" s="44" t="inlineStr">
        <is>
          <t>e136b98ca8e42f1f3130e6e51e38316ae7648e9c8b7e5b76818d1ff4f9d0f5b3</t>
        </is>
      </c>
      <c r="K74" s="44" t="n">
        <v>1280</v>
      </c>
      <c r="L74" s="44" t="n">
        <v>1053</v>
      </c>
      <c r="M74" s="44" t="inlineStr">
        <is>
          <t>Özgün teslim dosyası korundu. EXIF yönü uygulandı; kırpma yapılmadan en çok 1600 px, WebP kalite 84. Önceki kaynak değişiklik notları ayrıca korunur.</t>
        </is>
      </c>
      <c r="N74" s="44" t="inlineStr">
        <is>
          <t>Kayıttan doğrulandı</t>
        </is>
      </c>
      <c r="O74" s="44" t="n"/>
    </row>
    <row r="75" ht="54" customHeight="1">
      <c r="A75" s="44" t="inlineStr">
        <is>
          <t>sevilla:photo:museo-de-bellas-artes-de-sevilla-01</t>
        </is>
      </c>
      <c r="B75" s="44" t="n"/>
      <c r="C75" s="44" t="inlineStr">
        <is>
          <t>https://commons.wikimedia.org/wiki/File:Museo_Bellas_Artes_Sevilla_20120728.jpg</t>
        </is>
      </c>
      <c r="D75" s="44" t="inlineStr">
        <is>
          <t>https://upload.wikimedia.org/wikipedia/commons/7/75/Museo_Bellas_Artes_Sevilla_20120728.jpg</t>
        </is>
      </c>
      <c r="E75" s="44" t="inlineStr">
        <is>
          <t>https://thumb.wikimedia.org/wikipedia/commons/thumb/7/75/Museo_Bellas_Artes_Sevilla_20120728.jpg/1280px-Museo_Bellas_Artes_Sevilla_20120728.jpg</t>
        </is>
      </c>
      <c r="F75" s="53" t="n">
        <v>46320</v>
      </c>
      <c r="G75" s="44" t="inlineStr">
        <is>
          <t>Fotoğraflar/sevilla_museo-de-bellas-artes-de-sevilla_01.jpg</t>
        </is>
      </c>
      <c r="H75" s="44" t="inlineStr">
        <is>
          <t>90a0d0f54cbdb3e6fad316c852058175caa953d07bb50711224db21fe3d49090</t>
        </is>
      </c>
      <c r="I75" s="44" t="inlineStr">
        <is>
          <t>Teslimler/WebKopyalari/90a0d0f54cbdb3e6fad316c852058175caa953d07bb50711224db21fe3d49090.webp</t>
        </is>
      </c>
      <c r="J75" s="44" t="inlineStr">
        <is>
          <t>7566b9eb4c9cbd25b53d726585b4969f8b18fb89f4208c62ded33a96d0fcbd0e</t>
        </is>
      </c>
      <c r="K75" s="44" t="n">
        <v>1200</v>
      </c>
      <c r="L75" s="44" t="n">
        <v>1600</v>
      </c>
      <c r="M75" s="44" t="inlineStr">
        <is>
          <t>Özgün teslim dosyası korundu. EXIF yönü uygulandı; kırpma yapılmadan en çok 1600 px, WebP kalite 84. Önceki kaynak değişiklik notları ayrıca korunur.</t>
        </is>
      </c>
      <c r="N75" s="44" t="inlineStr">
        <is>
          <t>Eksik alan var</t>
        </is>
      </c>
      <c r="O75" s="44" t="inlineStr">
        <is>
          <t>Kaynakta ayrı fotoğrafçı profil bağlantısı bulunmadı; fotoğraf kaynak sayfasına atıf korunur. Bağlantı uydurulmaz.</t>
        </is>
      </c>
    </row>
    <row r="76" ht="54" customHeight="1">
      <c r="A76" s="44" t="inlineStr">
        <is>
          <t>sevilla:photo:museo-de-bellas-artes-de-sevilla-02</t>
        </is>
      </c>
      <c r="B76" s="44" t="n"/>
      <c r="C76" s="44" t="inlineStr">
        <is>
          <t>https://commons.wikimedia.org/wiki/File:Museo_de_Bellas_Artes,_Sevilla._Patio.jpg</t>
        </is>
      </c>
      <c r="D76" s="44" t="inlineStr">
        <is>
          <t>https://upload.wikimedia.org/wikipedia/commons/a/ae/Museo_de_Bellas_Artes%2C_Sevilla._Patio.jpg</t>
        </is>
      </c>
      <c r="E76" s="44" t="inlineStr">
        <is>
          <t>https://thumb.wikimedia.org/wikipedia/commons/thumb/a/ae/Museo_de_Bellas_Artes%2C_Sevilla._Patio.jpg/1280px-Museo_de_Bellas_Artes%2C_Sevilla._Patio.jpg</t>
        </is>
      </c>
      <c r="F76" s="53" t="n">
        <v>46320</v>
      </c>
      <c r="G76" s="44" t="inlineStr">
        <is>
          <t>Fotoğraflar/sevilla_museo-de-bellas-artes-de-sevilla_02.jpg</t>
        </is>
      </c>
      <c r="H76" s="44" t="inlineStr">
        <is>
          <t>40d390be27b0f1c7d7c7e69ca0f7194daf0cdf7e9be22132199fd13ece9bc46e</t>
        </is>
      </c>
      <c r="I76" s="44" t="inlineStr">
        <is>
          <t>Teslimler/WebKopyalari/40d390be27b0f1c7d7c7e69ca0f7194daf0cdf7e9be22132199fd13ece9bc46e.webp</t>
        </is>
      </c>
      <c r="J76" s="44" t="inlineStr">
        <is>
          <t>d18bee3a2622f10a83f4abf2093de243d3b4bb476a9dd7100af3a7fbf7c883d0</t>
        </is>
      </c>
      <c r="K76" s="44" t="n">
        <v>1200</v>
      </c>
      <c r="L76" s="44" t="n">
        <v>1600</v>
      </c>
      <c r="M76" s="44" t="inlineStr">
        <is>
          <t>Özgün teslim dosyası korundu. EXIF yönü uygulandı; kırpma yapılmadan en çok 1600 px, WebP kalite 84. Önceki kaynak değişiklik notları ayrıca korunur.</t>
        </is>
      </c>
      <c r="N76" s="44" t="inlineStr">
        <is>
          <t>Eksik alan var</t>
        </is>
      </c>
      <c r="O76" s="44" t="inlineStr">
        <is>
          <t>Kaynakta ayrı fotoğrafçı profil bağlantısı bulunmadı; fotoğraf kaynak sayfasına atıf korunur. Bağlantı uydurulmaz.</t>
        </is>
      </c>
    </row>
    <row r="77" ht="54" customHeight="1">
      <c r="A77" s="44" t="inlineStr">
        <is>
          <t>sevilla:photo:museo-de-artes-y-costumbres-populares-01</t>
        </is>
      </c>
      <c r="B77" s="44" t="inlineStr">
        <is>
          <t>https://commons.wikimedia.org/wiki/User:Alberto-g-rovi</t>
        </is>
      </c>
      <c r="C77" s="44" t="inlineStr">
        <is>
          <t>https://commons.wikimedia.org/wiki/User:Alberto-g-rovi</t>
        </is>
      </c>
      <c r="D77" s="44" t="inlineStr">
        <is>
          <t>https://upload.wikimedia.org/wikipedia/commons/d/d1/Museo_de_Artes_y_Costumbres_Populares_de_Sevilla_%281%29.jpg</t>
        </is>
      </c>
      <c r="E77" s="44" t="inlineStr">
        <is>
          <t>https://thumb.wikimedia.org/wikipedia/commons/thumb/d/d1/Museo_de_Artes_y_Costumbres_Populares_de_Sevilla_%281%29.jpg/1280px-Museo_de_Artes_y_Costumbres_Populares_de_Sevilla_%281%29.jpg</t>
        </is>
      </c>
      <c r="F77" s="53" t="n">
        <v>46320</v>
      </c>
      <c r="G77" s="44" t="inlineStr">
        <is>
          <t>Fotoğraflar/sevilla_museo-de-artes-y-costumbres-populares_01.jpg</t>
        </is>
      </c>
      <c r="H77" s="44" t="inlineStr">
        <is>
          <t>df089636b68c419ca918b441bbfd493250e779bd50e704926f724483162dc865</t>
        </is>
      </c>
      <c r="I77" s="44" t="inlineStr">
        <is>
          <t>Teslimler/WebKopyalari/df089636b68c419ca918b441bbfd493250e779bd50e704926f724483162dc865.webp</t>
        </is>
      </c>
      <c r="J77" s="44" t="inlineStr">
        <is>
          <t>d4c5bb51826776f27c30c65d52c4aa970d7f1407b061ddc1bf1624aaef5b6dae</t>
        </is>
      </c>
      <c r="K77" s="44" t="n">
        <v>1068</v>
      </c>
      <c r="L77" s="44" t="n">
        <v>1600</v>
      </c>
      <c r="M77" s="44" t="inlineStr">
        <is>
          <t>Özgün teslim dosyası korundu. EXIF yönü uygulandı; kırpma yapılmadan en çok 1600 px, WebP kalite 84. Önceki kaynak değişiklik notları ayrıca korunur.</t>
        </is>
      </c>
      <c r="N77" s="44" t="inlineStr">
        <is>
          <t>Kayıttan doğrulandı</t>
        </is>
      </c>
      <c r="O77" s="44" t="n"/>
    </row>
    <row r="78" ht="54" customHeight="1">
      <c r="A78" s="44" t="inlineStr">
        <is>
          <t>sevilla:photo:museo-del-baile-flamenco-01</t>
        </is>
      </c>
      <c r="B78" s="44" t="inlineStr">
        <is>
          <t>https://commons.wikimedia.org/wiki/User:Schnobby</t>
        </is>
      </c>
      <c r="C78" s="44" t="inlineStr">
        <is>
          <t>https://commons.wikimedia.org/wiki/User:Schnobby</t>
        </is>
      </c>
      <c r="D78" s="44" t="inlineStr">
        <is>
          <t>https://upload.wikimedia.org/wikipedia/commons/4/4a/Flamenco_in_Sevilla_01.jpg</t>
        </is>
      </c>
      <c r="E78" s="44" t="inlineStr">
        <is>
          <t>https://thumb.wikimedia.org/wikipedia/commons/thumb/4/4a/Flamenco_in_Sevilla_01.jpg/1280px-Flamenco_in_Sevilla_01.jpg</t>
        </is>
      </c>
      <c r="F78" s="53" t="n">
        <v>46320</v>
      </c>
      <c r="G78" s="44" t="inlineStr">
        <is>
          <t>Fotoğraflar/sevilla_museo-del-baile-flamenco_01.jpg</t>
        </is>
      </c>
      <c r="H78" s="44" t="inlineStr">
        <is>
          <t>d858b58950bdac376576edff62c8e1d865b18fb666245912e22c407a7347e30f</t>
        </is>
      </c>
      <c r="I78" s="44" t="inlineStr">
        <is>
          <t>Teslimler/WebKopyalari/d858b58950bdac376576edff62c8e1d865b18fb666245912e22c407a7347e30f.webp</t>
        </is>
      </c>
      <c r="J78" s="44" t="inlineStr">
        <is>
          <t>adc275e8e404b22d58a89ba168c19d3d703c9fe627e7115094b14dd22e428d0f</t>
        </is>
      </c>
      <c r="K78" s="44" t="n">
        <v>1280</v>
      </c>
      <c r="L78" s="44" t="n">
        <v>1218</v>
      </c>
      <c r="M78" s="44" t="inlineStr">
        <is>
          <t>Özgün teslim dosyası korundu. EXIF yönü uygulandı; kırpma yapılmadan en çok 1600 px, WebP kalite 84. Önceki kaynak değişiklik notları ayrıca korunur.</t>
        </is>
      </c>
      <c r="N78" s="44" t="inlineStr">
        <is>
          <t>Kayıttan doğrulandı</t>
        </is>
      </c>
      <c r="O78" s="44" t="n"/>
    </row>
    <row r="79" ht="54" customHeight="1">
      <c r="A79" s="44" t="inlineStr">
        <is>
          <t>sevilla:photo:museo-del-baile-flamenco-02</t>
        </is>
      </c>
      <c r="B79" s="44" t="inlineStr">
        <is>
          <t>https://commons.wikimedia.org/wiki/User:Anual</t>
        </is>
      </c>
      <c r="C79" s="44" t="inlineStr">
        <is>
          <t>https://commons.wikimedia.org/wiki/User:Anual</t>
        </is>
      </c>
      <c r="D79" s="44" t="inlineStr">
        <is>
          <t>https://upload.wikimedia.org/wikipedia/commons/a/a6/Museo_del_baile_flamenco%2C_sevilla.jpg</t>
        </is>
      </c>
      <c r="E79" s="44" t="inlineStr">
        <is>
          <t>https://thumb.wikimedia.org/wikipedia/commons/thumb/a/a6/Museo_del_baile_flamenco%2C_sevilla.jpg/1280px-Museo_del_baile_flamenco%2C_sevilla.jpg</t>
        </is>
      </c>
      <c r="F79" s="53" t="n">
        <v>46320</v>
      </c>
      <c r="G79" s="44" t="inlineStr">
        <is>
          <t>Fotoğraflar/sevilla_museo-del-baile-flamenco_02.jpg</t>
        </is>
      </c>
      <c r="H79" s="44" t="inlineStr">
        <is>
          <t>7ebe32706eee65205d9081836e7d708f40189a9a552ace9be939513e84367ae1</t>
        </is>
      </c>
      <c r="I79" s="44" t="inlineStr">
        <is>
          <t>Teslimler/WebKopyalari/7ebe32706eee65205d9081836e7d708f40189a9a552ace9be939513e84367ae1.webp</t>
        </is>
      </c>
      <c r="J79" s="44" t="inlineStr">
        <is>
          <t>472aed028313b2ad3c46eaf1b2b4eed965342b1d8ceb1edafc0f5fec0e31f4fb</t>
        </is>
      </c>
      <c r="K79" s="44" t="n">
        <v>1071</v>
      </c>
      <c r="L79" s="44" t="n">
        <v>1600</v>
      </c>
      <c r="M79" s="44" t="inlineStr">
        <is>
          <t>Özgün teslim dosyası korundu. EXIF yönü uygulandı; kırpma yapılmadan en çok 1600 px, WebP kalite 84. Önceki kaynak değişiklik notları ayrıca korunur.</t>
        </is>
      </c>
      <c r="N79" s="44" t="inlineStr">
        <is>
          <t>Kayıttan doğrulandı</t>
        </is>
      </c>
      <c r="O79" s="44" t="n"/>
    </row>
    <row r="80" ht="54" customHeight="1">
      <c r="A80" s="44" t="inlineStr">
        <is>
          <t>sevilla:photo:museo-taurino-real-maestranza-01</t>
        </is>
      </c>
      <c r="B80" s="44" t="inlineStr">
        <is>
          <t>https://commons.wikimedia.org/wiki/User:CarlosVdeHabsburgo</t>
        </is>
      </c>
      <c r="C80" s="44" t="inlineStr">
        <is>
          <t>https://commons.wikimedia.org/wiki/User:CarlosVdeHabsburgo</t>
        </is>
      </c>
      <c r="D80" s="44" t="inlineStr">
        <is>
          <t>https://upload.wikimedia.org/wikipedia/commons/f/fa/Cabeza_de_toro.jpg</t>
        </is>
      </c>
      <c r="E80" s="44" t="inlineStr">
        <is>
          <t>https://thumb.wikimedia.org/wikipedia/commons/thumb/f/fa/Cabeza_de_toro.jpg/1280px-Cabeza_de_toro.jpg</t>
        </is>
      </c>
      <c r="F80" s="53" t="n">
        <v>46320</v>
      </c>
      <c r="G80" s="44" t="inlineStr">
        <is>
          <t>Fotoğraflar/sevilla_museo-taurino-real-maestranza_01.jpg</t>
        </is>
      </c>
      <c r="H80" s="44" t="inlineStr">
        <is>
          <t>28c4839d1591208fba1e047f851efb3c3bccfef7d5a1a2af484ed9b1af6cc842</t>
        </is>
      </c>
      <c r="I80" s="44" t="inlineStr">
        <is>
          <t>Teslimler/WebKopyalari/28c4839d1591208fba1e047f851efb3c3bccfef7d5a1a2af484ed9b1af6cc842.webp</t>
        </is>
      </c>
      <c r="J80" s="44" t="inlineStr">
        <is>
          <t>9c98fb431020ecbedebf12bfbaaa5a2774034727190e0fafebad692952de6fdc</t>
        </is>
      </c>
      <c r="K80" s="44" t="n">
        <v>1280</v>
      </c>
      <c r="L80" s="44" t="n">
        <v>960</v>
      </c>
      <c r="M80" s="44" t="inlineStr">
        <is>
          <t>Özgün teslim dosyası korundu. EXIF yönü uygulandı; kırpma yapılmadan en çok 1600 px, WebP kalite 84. Önceki kaynak değişiklik notları ayrıca korunur.</t>
        </is>
      </c>
      <c r="N80" s="44" t="inlineStr">
        <is>
          <t>Kayıttan doğrulandı</t>
        </is>
      </c>
      <c r="O80" s="44" t="n"/>
    </row>
    <row r="81" ht="54" customHeight="1">
      <c r="A81" s="44" t="inlineStr">
        <is>
          <t>sevilla:photo:museo-historico-militar-sevilla-01</t>
        </is>
      </c>
      <c r="B81" s="44" t="n"/>
      <c r="C81" s="44" t="inlineStr">
        <is>
          <t>https://commons.wikimedia.org/wiki/File:3,7cm_Pak_at_Museo_Historico_Militar_de_Sevilla_001.jpg</t>
        </is>
      </c>
      <c r="D81" s="44" t="inlineStr">
        <is>
          <t>https://upload.wikimedia.org/wikipedia/commons/d/d0/3%2C7cm_Pak_at_Museo_Historico_Militar_de_Sevilla_001.jpg</t>
        </is>
      </c>
      <c r="E81" s="44" t="inlineStr">
        <is>
          <t>https://thumb.wikimedia.org/wikipedia/commons/thumb/d/d0/3%2C7cm_Pak_at_Museo_Historico_Militar_de_Sevilla_001.jpg/1280px-3%2C7cm_Pak_at_Museo_Historico_Militar_de_Sevilla_001.jpg</t>
        </is>
      </c>
      <c r="F81" s="53" t="n">
        <v>46320</v>
      </c>
      <c r="G81" s="44" t="inlineStr">
        <is>
          <t>Fotoğraflar/sevilla_museo-historico-militar-sevilla_01.jpg</t>
        </is>
      </c>
      <c r="H81" s="44" t="inlineStr">
        <is>
          <t>2ce5c3c2e5d888a8e885deda0f36f251f3eda45ed63e21851bab6b4bd4948fac</t>
        </is>
      </c>
      <c r="I81" s="44" t="inlineStr">
        <is>
          <t>Teslimler/WebKopyalari/2ce5c3c2e5d888a8e885deda0f36f251f3eda45ed63e21851bab6b4bd4948fac.webp</t>
        </is>
      </c>
      <c r="J81" s="44" t="inlineStr">
        <is>
          <t>faed7a324d37cd6856f6e45cfc1f0a9584ea1f6b9389572a71851093c8e93047</t>
        </is>
      </c>
      <c r="K81" s="44" t="n">
        <v>1280</v>
      </c>
      <c r="L81" s="44" t="n">
        <v>960</v>
      </c>
      <c r="M81" s="44" t="inlineStr">
        <is>
          <t>Özgün teslim dosyası korundu. EXIF yönü uygulandı; kırpma yapılmadan en çok 1600 px, WebP kalite 84. Önceki kaynak değişiklik notları ayrıca korunur.</t>
        </is>
      </c>
      <c r="N81" s="44" t="inlineStr">
        <is>
          <t>Eksik alan var</t>
        </is>
      </c>
      <c r="O81" s="44" t="inlineStr">
        <is>
          <t>Kaynakta ayrı fotoğrafçı profil bağlantısı bulunmadı; fotoğraf kaynak sayfasına atıf korunur. Bağlantı uydurulmaz.</t>
        </is>
      </c>
    </row>
    <row r="82" ht="54" customHeight="1">
      <c r="A82" s="44" t="inlineStr">
        <is>
          <t>sevilla:photo:museo-historico-militar-sevilla-02</t>
        </is>
      </c>
      <c r="B82" s="44" t="inlineStr">
        <is>
          <t>https://commons.wikimedia.org/wiki/User:CarlosVdeHabsburgo</t>
        </is>
      </c>
      <c r="C82" s="44" t="inlineStr">
        <is>
          <t>https://commons.wikimedia.org/wiki/User:CarlosVdeHabsburgo</t>
        </is>
      </c>
      <c r="D82" s="44" t="inlineStr">
        <is>
          <t>https://upload.wikimedia.org/wikipedia/commons/9/9f/Ametralladora_01.jpg</t>
        </is>
      </c>
      <c r="E82" s="44" t="inlineStr">
        <is>
          <t>https://thumb.wikimedia.org/wikipedia/commons/thumb/9/9f/Ametralladora_01.jpg/1280px-Ametralladora_01.jpg</t>
        </is>
      </c>
      <c r="F82" s="53" t="n">
        <v>46320</v>
      </c>
      <c r="G82" s="44" t="inlineStr">
        <is>
          <t>Fotoğraflar/sevilla_museo-historico-militar-sevilla_02.jpg</t>
        </is>
      </c>
      <c r="H82" s="44" t="inlineStr">
        <is>
          <t>b0975b3d108447e3cfea4b0358aa5e2bdbcef1b22a9dc115c73bd5e919fbb9f5</t>
        </is>
      </c>
      <c r="I82" s="44" t="inlineStr">
        <is>
          <t>Teslimler/WebKopyalari/b0975b3d108447e3cfea4b0358aa5e2bdbcef1b22a9dc115c73bd5e919fbb9f5.webp</t>
        </is>
      </c>
      <c r="J82" s="44" t="inlineStr">
        <is>
          <t>e1fdca5b362920e02170484b4e42803aa539b1b0c0626c081171461d6cada57a</t>
        </is>
      </c>
      <c r="K82" s="44" t="n">
        <v>1280</v>
      </c>
      <c r="L82" s="44" t="n">
        <v>960</v>
      </c>
      <c r="M82" s="44" t="inlineStr">
        <is>
          <t>Özgün teslim dosyası korundu. EXIF yönü uygulandı; kırpma yapılmadan en çok 1600 px, WebP kalite 84. Önceki kaynak değişiklik notları ayrıca korunur.</t>
        </is>
      </c>
      <c r="N82" s="44" t="inlineStr">
        <is>
          <t>Kayıttan doğrulandı</t>
        </is>
      </c>
      <c r="O82" s="44" t="n"/>
    </row>
    <row r="83" ht="54" customHeight="1">
      <c r="A83" s="44" t="inlineStr">
        <is>
          <t>sevilla:photo:museo-historico-militar-sevilla-03</t>
        </is>
      </c>
      <c r="B83" s="44" t="inlineStr">
        <is>
          <t>https://commons.wikimedia.org/wiki/User:CarlosVdeHabsburgo</t>
        </is>
      </c>
      <c r="C83" s="44" t="inlineStr">
        <is>
          <t>https://commons.wikimedia.org/wiki/User:CarlosVdeHabsburgo</t>
        </is>
      </c>
      <c r="D83" s="44" t="inlineStr">
        <is>
          <t>https://upload.wikimedia.org/wikipedia/commons/5/5b/Ametralladoras.JPG</t>
        </is>
      </c>
      <c r="E83" s="44" t="inlineStr">
        <is>
          <t>https://thumb.wikimedia.org/wikipedia/commons/thumb/5/5b/Ametralladoras.JPG/1280px-Ametralladoras.JPG</t>
        </is>
      </c>
      <c r="F83" s="53" t="n">
        <v>46320</v>
      </c>
      <c r="G83" s="44" t="inlineStr">
        <is>
          <t>Fotoğraflar/sevilla_museo-historico-militar-sevilla_03.jpg</t>
        </is>
      </c>
      <c r="H83" s="44" t="inlineStr">
        <is>
          <t>07e10bf1583c3ec8d4d472987447d262e5b5f8dd468e02b97529b45e1b3ad097</t>
        </is>
      </c>
      <c r="I83" s="44" t="inlineStr">
        <is>
          <t>Teslimler/WebKopyalari/07e10bf1583c3ec8d4d472987447d262e5b5f8dd468e02b97529b45e1b3ad097.webp</t>
        </is>
      </c>
      <c r="J83" s="44" t="inlineStr">
        <is>
          <t>91eef05ce83442c18cbc2621fad8eca2b1de7b9bd2ec3d3210326e85fbdc2cad</t>
        </is>
      </c>
      <c r="K83" s="44" t="n">
        <v>1280</v>
      </c>
      <c r="L83" s="44" t="n">
        <v>960</v>
      </c>
      <c r="M83" s="44" t="inlineStr">
        <is>
          <t>Özgün teslim dosyası korundu. EXIF yönü uygulandı; kırpma yapılmadan en çok 1600 px, WebP kalite 84. Önceki kaynak değişiklik notları ayrıca korunur.</t>
        </is>
      </c>
      <c r="N83" s="44" t="inlineStr">
        <is>
          <t>Kayıttan doğrulandı</t>
        </is>
      </c>
      <c r="O83" s="44" t="n"/>
    </row>
    <row r="84" ht="54" customHeight="1">
      <c r="A84" s="44" t="inlineStr">
        <is>
          <t>sevilla:photo:museo-maritimo-torre-del-oro-01</t>
        </is>
      </c>
      <c r="B84" s="44" t="inlineStr">
        <is>
          <t>https://commons.wikimedia.org/wiki/User:Gzzz</t>
        </is>
      </c>
      <c r="C84" s="44" t="inlineStr">
        <is>
          <t>https://commons.wikimedia.org/wiki/User:Gzzz</t>
        </is>
      </c>
      <c r="D84" s="44" t="inlineStr">
        <is>
          <t>https://upload.wikimedia.org/wikipedia/commons/f/f9/Cumbre_Torre_del_Oro.jpg</t>
        </is>
      </c>
      <c r="E84" s="44" t="inlineStr">
        <is>
          <t>https://thumb.wikimedia.org/wikipedia/commons/thumb/f/f9/Cumbre_Torre_del_Oro.jpg/1280px-Cumbre_Torre_del_Oro.jpg</t>
        </is>
      </c>
      <c r="F84" s="53" t="n">
        <v>46320</v>
      </c>
      <c r="G84" s="44" t="inlineStr">
        <is>
          <t>Fotoğraflar/sevilla_museo-maritimo-torre-del-oro_01.jpg</t>
        </is>
      </c>
      <c r="H84" s="44" t="inlineStr">
        <is>
          <t>2813bcc66c4763c641eaab658d6610220cd0027c744fc59a4fc74c553d117f35</t>
        </is>
      </c>
      <c r="I84" s="44" t="inlineStr">
        <is>
          <t>Teslimler/WebKopyalari/2813bcc66c4763c641eaab658d6610220cd0027c744fc59a4fc74c553d117f35.webp</t>
        </is>
      </c>
      <c r="J84" s="44" t="inlineStr">
        <is>
          <t>a970b59e5bec993853c0dd55b8539be65dc8544394a42fce4440991fa52ddf16</t>
        </is>
      </c>
      <c r="K84" s="44" t="n">
        <v>1067</v>
      </c>
      <c r="L84" s="44" t="n">
        <v>1600</v>
      </c>
      <c r="M84" s="44" t="inlineStr">
        <is>
          <t>Özgün teslim dosyası korundu. EXIF yönü uygulandı; kırpma yapılmadan en çok 1600 px, WebP kalite 84. Önceki kaynak değişiklik notları ayrıca korunur.</t>
        </is>
      </c>
      <c r="N84" s="44" t="inlineStr">
        <is>
          <t>Kayıttan doğrulandı</t>
        </is>
      </c>
      <c r="O84" s="44" t="n"/>
    </row>
    <row r="85" ht="54" customHeight="1">
      <c r="A85" s="44" t="inlineStr">
        <is>
          <t>sevilla:photo:museo-maritimo-torre-del-oro-02</t>
        </is>
      </c>
      <c r="B85" s="44" t="inlineStr">
        <is>
          <t>https://commons.wikimedia.org/wiki/User:Colling-architektur</t>
        </is>
      </c>
      <c r="C85" s="44" t="inlineStr">
        <is>
          <t>https://commons.wikimedia.org/wiki/User:Colling-architektur</t>
        </is>
      </c>
      <c r="D85" s="44" t="inlineStr">
        <is>
          <t>https://upload.wikimedia.org/wikipedia/commons/b/b0/Sevilla_%28Spanien%29%3B_Torre_del_Oro_f.jpg</t>
        </is>
      </c>
      <c r="E85" s="44" t="inlineStr">
        <is>
          <t>https://thumb.wikimedia.org/wikipedia/commons/thumb/b/b0/Sevilla_%28Spanien%29%3B_Torre_del_Oro_f.jpg/1280px-Sevilla_%28Spanien%29%3B_Torre_del_Oro_f.jpg</t>
        </is>
      </c>
      <c r="F85" s="53" t="n">
        <v>46320</v>
      </c>
      <c r="G85" s="44" t="inlineStr">
        <is>
          <t>Fotoğraflar/sevilla_museo-maritimo-torre-del-oro_02.jpg</t>
        </is>
      </c>
      <c r="H85" s="44" t="inlineStr">
        <is>
          <t>0230c6631a26e85208e11832d66752792e4ba1d3237d990f246701fd617504fd</t>
        </is>
      </c>
      <c r="I85" s="44" t="inlineStr">
        <is>
          <t>Teslimler/WebKopyalari/0230c6631a26e85208e11832d66752792e4ba1d3237d990f246701fd617504fd.webp</t>
        </is>
      </c>
      <c r="J85" s="44" t="inlineStr">
        <is>
          <t>096354745b6e49f2710ddb7ef1c16ebe014f7bbf40502b4726746f7d65fb438f</t>
        </is>
      </c>
      <c r="K85" s="44" t="n">
        <v>1067</v>
      </c>
      <c r="L85" s="44" t="n">
        <v>1600</v>
      </c>
      <c r="M85" s="44" t="inlineStr">
        <is>
          <t>Özgün teslim dosyası korundu. EXIF yönü uygulandı; kırpma yapılmadan en çok 1600 px, WebP kalite 84. Önceki kaynak değişiklik notları ayrıca korunur.</t>
        </is>
      </c>
      <c r="N85" s="44" t="inlineStr">
        <is>
          <t>Kayıttan doğrulandı</t>
        </is>
      </c>
      <c r="O85" s="44" t="n"/>
    </row>
    <row r="86" ht="54" customHeight="1">
      <c r="A86" s="44" t="inlineStr">
        <is>
          <t>sevilla:photo:caac-centro-andaluz-arte-contemporaneo-01</t>
        </is>
      </c>
      <c r="B86" s="44" t="inlineStr">
        <is>
          <t>https://commons.wikimedia.org/wiki/User:Caleteron</t>
        </is>
      </c>
      <c r="C86" s="44" t="inlineStr">
        <is>
          <t>https://commons.wikimedia.org/wiki/User:Caleteron</t>
        </is>
      </c>
      <c r="D86" s="44" t="inlineStr">
        <is>
          <t>https://upload.wikimedia.org/wikipedia/commons/b/b7/CAACfeb14.jpg</t>
        </is>
      </c>
      <c r="E86" s="44" t="inlineStr">
        <is>
          <t>https://thumb.wikimedia.org/wikipedia/commons/thumb/b/b7/CAACfeb14.jpg/1280px-CAACfeb14.jpg</t>
        </is>
      </c>
      <c r="F86" s="53" t="n">
        <v>46320</v>
      </c>
      <c r="G86" s="44" t="inlineStr">
        <is>
          <t>Fotoğraflar/sevilla_caac-centro-andaluz-arte-contemporaneo_01.jpg</t>
        </is>
      </c>
      <c r="H86" s="44" t="inlineStr">
        <is>
          <t>526e428864a28b7f2f029c2112fa3530d2b64f4165156e97ace22b68f5f98559</t>
        </is>
      </c>
      <c r="I86" s="44" t="inlineStr">
        <is>
          <t>Teslimler/WebKopyalari/526e428864a28b7f2f029c2112fa3530d2b64f4165156e97ace22b68f5f98559.webp</t>
        </is>
      </c>
      <c r="J86" s="44" t="inlineStr">
        <is>
          <t>3e68cf59d0e87436847e979da5da6abb36ab1fa838ab13ace18dd30a05e247f8</t>
        </is>
      </c>
      <c r="K86" s="44" t="n">
        <v>1280</v>
      </c>
      <c r="L86" s="44" t="n">
        <v>960</v>
      </c>
      <c r="M86" s="44" t="inlineStr">
        <is>
          <t>Özgün teslim dosyası korundu. EXIF yönü uygulandı; kırpma yapılmadan en çok 1600 px, WebP kalite 84. Önceki kaynak değişiklik notları ayrıca korunur.</t>
        </is>
      </c>
      <c r="N86" s="44" t="inlineStr">
        <is>
          <t>Kayıttan doğrulandı</t>
        </is>
      </c>
      <c r="O86" s="44" t="n"/>
    </row>
    <row r="87" ht="54" customHeight="1">
      <c r="A87" s="44" t="inlineStr">
        <is>
          <t>sevilla:photo:caac-centro-andaluz-arte-contemporaneo-02</t>
        </is>
      </c>
      <c r="B87" s="44" t="inlineStr">
        <is>
          <t>https://commons.wikimedia.org/wiki/User:Zarateman</t>
        </is>
      </c>
      <c r="C87" s="44" t="inlineStr">
        <is>
          <t>https://commons.wikimedia.org/wiki/User:Zarateman</t>
        </is>
      </c>
      <c r="D87" s="44" t="inlineStr">
        <is>
          <t>https://upload.wikimedia.org/wikipedia/commons/1/10/Sevilla_-_Centro_Andaluz_de_Arte_Contempor%C3%A1neo_%28Cartuja_de_Santa_Mar%C3%ADa_de_las_Cuevas%29_01.jpg</t>
        </is>
      </c>
      <c r="E87" s="44" t="inlineStr">
        <is>
          <t>https://thumb.wikimedia.org/wikipedia/commons/thumb/1/10/Sevilla_-_Centro_Andaluz_de_Arte_Contempor%C3%A1neo_%28Cartuja_de_Santa_Mar%C3%ADa_de_las_Cuevas%29_01.jpg/1280px-Sevilla_-_Centro_Andaluz_de_Arte_Contempor%C3%A1neo_%28Cartuja_de_Santa_Mar%C3%ADa_de_las_Cuevas%29_01.jpg</t>
        </is>
      </c>
      <c r="F87" s="53" t="n">
        <v>46320</v>
      </c>
      <c r="G87" s="44" t="inlineStr">
        <is>
          <t>Fotoğraflar/sevilla_caac-centro-andaluz-arte-contemporaneo_02.jpg</t>
        </is>
      </c>
      <c r="H87" s="44" t="inlineStr">
        <is>
          <t>e9d2a89f842af944e1feb692ead0df2dedec609ef669199ad4410a4a75c7679e</t>
        </is>
      </c>
      <c r="I87" s="44" t="inlineStr">
        <is>
          <t>Teslimler/WebKopyalari/e9d2a89f842af944e1feb692ead0df2dedec609ef669199ad4410a4a75c7679e.webp</t>
        </is>
      </c>
      <c r="J87" s="44" t="inlineStr">
        <is>
          <t>28306afa500551e1567c04a1e0e468c79f38c2b917b3cbf7065805d457b4e20f</t>
        </is>
      </c>
      <c r="K87" s="44" t="n">
        <v>1280</v>
      </c>
      <c r="L87" s="44" t="n">
        <v>960</v>
      </c>
      <c r="M87" s="44" t="inlineStr">
        <is>
          <t>Özgün teslim dosyası korundu. EXIF yönü uygulandı; kırpma yapılmadan en çok 1600 px, WebP kalite 84. Önceki kaynak değişiklik notları ayrıca korunur.</t>
        </is>
      </c>
      <c r="N87" s="44" t="inlineStr">
        <is>
          <t>Kayıttan doğrulandı</t>
        </is>
      </c>
      <c r="O87" s="44" t="n"/>
    </row>
    <row r="88" ht="54" customHeight="1">
      <c r="A88" s="44" t="inlineStr">
        <is>
          <t>sevilla:photo:caixaforum-sevilla-01</t>
        </is>
      </c>
      <c r="B88" s="44" t="inlineStr">
        <is>
          <t>https://commons.wikimedia.org/wiki/User:CarlosVdeHabsburgo</t>
        </is>
      </c>
      <c r="C88" s="44" t="inlineStr">
        <is>
          <t>https://commons.wikimedia.org/wiki/User:CarlosVdeHabsburgo</t>
        </is>
      </c>
      <c r="D88" s="44" t="inlineStr">
        <is>
          <t>https://upload.wikimedia.org/wikipedia/commons/f/f1/CaixaForum_Sevilla_01.jpg</t>
        </is>
      </c>
      <c r="E88" s="44" t="inlineStr">
        <is>
          <t>https://thumb.wikimedia.org/wikipedia/commons/thumb/f/f1/CaixaForum_Sevilla_01.jpg/1280px-CaixaForum_Sevilla_01.jpg</t>
        </is>
      </c>
      <c r="F88" s="53" t="n">
        <v>46320</v>
      </c>
      <c r="G88" s="44" t="inlineStr">
        <is>
          <t>Fotoğraflar/sevilla_caixaforum-sevilla_01.jpg</t>
        </is>
      </c>
      <c r="H88" s="44" t="inlineStr">
        <is>
          <t>0a4e9eb7b74cb1d2af2947adfccd4ab70704753d48a23a4c8c58eda2ca742aed</t>
        </is>
      </c>
      <c r="I88" s="44" t="inlineStr">
        <is>
          <t>Teslimler/WebKopyalari/0a4e9eb7b74cb1d2af2947adfccd4ab70704753d48a23a4c8c58eda2ca742aed.webp</t>
        </is>
      </c>
      <c r="J88" s="44" t="inlineStr">
        <is>
          <t>e766ce7642abecc5c2656e97948060270ed820eeda6da4fdd3dfee7037be293b</t>
        </is>
      </c>
      <c r="K88" s="44" t="n">
        <v>1280</v>
      </c>
      <c r="L88" s="44" t="n">
        <v>960</v>
      </c>
      <c r="M88" s="44" t="inlineStr">
        <is>
          <t>Özgün teslim dosyası korundu. EXIF yönü uygulandı; kırpma yapılmadan en çok 1600 px, WebP kalite 84. Önceki kaynak değişiklik notları ayrıca korunur.</t>
        </is>
      </c>
      <c r="N88" s="44" t="inlineStr">
        <is>
          <t>Kayıttan doğrulandı</t>
        </is>
      </c>
      <c r="O88" s="44" t="n"/>
    </row>
    <row r="89" ht="54" customHeight="1">
      <c r="A89" s="44" t="inlineStr">
        <is>
          <t>sevilla:photo:caixaforum-sevilla-02</t>
        </is>
      </c>
      <c r="B89" s="44" t="inlineStr">
        <is>
          <t>https://commons.wikimedia.org/wiki/User:CarlosVdeHabsburgo</t>
        </is>
      </c>
      <c r="C89" s="44" t="inlineStr">
        <is>
          <t>https://commons.wikimedia.org/wiki/User:CarlosVdeHabsburgo</t>
        </is>
      </c>
      <c r="D89" s="44" t="inlineStr">
        <is>
          <t>https://upload.wikimedia.org/wikipedia/commons/c/c6/CaixaForum_Sevilla_03.jpg</t>
        </is>
      </c>
      <c r="E89" s="44" t="inlineStr">
        <is>
          <t>https://thumb.wikimedia.org/wikipedia/commons/thumb/c/c6/CaixaForum_Sevilla_03.jpg/1280px-CaixaForum_Sevilla_03.jpg</t>
        </is>
      </c>
      <c r="F89" s="53" t="n">
        <v>46320</v>
      </c>
      <c r="G89" s="44" t="inlineStr">
        <is>
          <t>Fotoğraflar/sevilla_caixaforum-sevilla_02.jpg</t>
        </is>
      </c>
      <c r="H89" s="44" t="inlineStr">
        <is>
          <t>468ba7fba0fb0ff89202d3b41e107889b3275770ab316a0668916f6c53fef9a1</t>
        </is>
      </c>
      <c r="I89" s="44" t="inlineStr">
        <is>
          <t>Teslimler/WebKopyalari/468ba7fba0fb0ff89202d3b41e107889b3275770ab316a0668916f6c53fef9a1.webp</t>
        </is>
      </c>
      <c r="J89" s="44" t="inlineStr">
        <is>
          <t>6f049a7f66b69db567e791e4d209b5bc04f07953b37a9601a4dfed1109ef5828</t>
        </is>
      </c>
      <c r="K89" s="44" t="n">
        <v>1280</v>
      </c>
      <c r="L89" s="44" t="n">
        <v>960</v>
      </c>
      <c r="M89" s="44" t="inlineStr">
        <is>
          <t>Özgün teslim dosyası korundu. EXIF yönü uygulandı; kırpma yapılmadan en çok 1600 px, WebP kalite 84. Önceki kaynak değişiklik notları ayrıca korunur.</t>
        </is>
      </c>
      <c r="N89" s="44" t="inlineStr">
        <is>
          <t>Kayıttan doğrulandı</t>
        </is>
      </c>
      <c r="O89" s="44" t="n"/>
    </row>
    <row r="90" ht="54" customHeight="1">
      <c r="A90" s="44" t="inlineStr">
        <is>
          <t>sevilla:photo:caixaforum-sevilla-03</t>
        </is>
      </c>
      <c r="B90" s="44" t="inlineStr">
        <is>
          <t>https://commons.wikimedia.org/wiki/User:CarlosVdeHabsburgo</t>
        </is>
      </c>
      <c r="C90" s="44" t="inlineStr">
        <is>
          <t>https://commons.wikimedia.org/wiki/User:CarlosVdeHabsburgo</t>
        </is>
      </c>
      <c r="D90" s="44" t="inlineStr">
        <is>
          <t>https://upload.wikimedia.org/wikipedia/commons/3/30/CaixaForum_Sevilla_04.jpg</t>
        </is>
      </c>
      <c r="E90" s="44" t="inlineStr">
        <is>
          <t>https://thumb.wikimedia.org/wikipedia/commons/thumb/3/30/CaixaForum_Sevilla_04.jpg/1280px-CaixaForum_Sevilla_04.jpg</t>
        </is>
      </c>
      <c r="F90" s="53" t="n">
        <v>46320</v>
      </c>
      <c r="G90" s="44" t="inlineStr">
        <is>
          <t>Fotoğraflar/sevilla_caixaforum-sevilla_03.jpg</t>
        </is>
      </c>
      <c r="H90" s="44" t="inlineStr">
        <is>
          <t>2d78ef157426d054bf46c08eebcc7759f8b04c4b2b14fabb03b27af62de7be4f</t>
        </is>
      </c>
      <c r="I90" s="44" t="inlineStr">
        <is>
          <t>Teslimler/WebKopyalari/2d78ef157426d054bf46c08eebcc7759f8b04c4b2b14fabb03b27af62de7be4f.webp</t>
        </is>
      </c>
      <c r="J90" s="44" t="inlineStr">
        <is>
          <t>f4201382ada6c83675914e31838e9d5c6da35d368bff9f818259be604367b4b5</t>
        </is>
      </c>
      <c r="K90" s="44" t="n">
        <v>1280</v>
      </c>
      <c r="L90" s="44" t="n">
        <v>960</v>
      </c>
      <c r="M90" s="44" t="inlineStr">
        <is>
          <t>Özgün teslim dosyası korundu. EXIF yönü uygulandı; kırpma yapılmadan en çok 1600 px, WebP kalite 84. Önceki kaynak değişiklik notları ayrıca korunur.</t>
        </is>
      </c>
      <c r="N90" s="44" t="inlineStr">
        <is>
          <t>Kayıttan doğrulandı</t>
        </is>
      </c>
      <c r="O90" s="44" t="n"/>
    </row>
    <row r="91" ht="54" customHeight="1">
      <c r="A91" s="44" t="inlineStr">
        <is>
          <t>sevilla:photo:real-academia-bellas-artes-sevilla-01</t>
        </is>
      </c>
      <c r="B91" s="44" t="inlineStr">
        <is>
          <t>https://commons.wikimedia.org/wiki/User:Daniel_VILLAFRUELA</t>
        </is>
      </c>
      <c r="C91" s="44" t="inlineStr">
        <is>
          <t>https://commons.wikimedia.org/wiki/User:Daniel_VILLAFRUELA</t>
        </is>
      </c>
      <c r="D91" s="44" t="inlineStr">
        <is>
          <t>https://upload.wikimedia.org/wikipedia/commons/8/8c/Juderia_de_Sevilla-Casa_de_los_Pinelos_2-20110915.jpg</t>
        </is>
      </c>
      <c r="E91" s="44" t="inlineStr">
        <is>
          <t>https://thumb.wikimedia.org/wikipedia/commons/thumb/8/8c/Juderia_de_Sevilla-Casa_de_los_Pinelos_2-20110915.jpg/1280px-Juderia_de_Sevilla-Casa_de_los_Pinelos_2-20110915.jpg</t>
        </is>
      </c>
      <c r="F91" s="53" t="n">
        <v>46320</v>
      </c>
      <c r="G91" s="44" t="inlineStr">
        <is>
          <t>Fotoğraflar/sevilla_real-academia-bellas-artes-sevilla_01.jpg</t>
        </is>
      </c>
      <c r="H91" s="44" t="inlineStr">
        <is>
          <t>3acd0200d78cb1b51f709225f21486aad39b40d1bbeb1cb4da2f079ece1fd455</t>
        </is>
      </c>
      <c r="I91" s="44" t="inlineStr">
        <is>
          <t>Teslimler/WebKopyalari/3acd0200d78cb1b51f709225f21486aad39b40d1bbeb1cb4da2f079ece1fd455.webp</t>
        </is>
      </c>
      <c r="J91" s="44" t="inlineStr">
        <is>
          <t>1d74e9d05555c2050ef9caae3fd033788f5fa2378d9f339d0d1f841e3c2675b2</t>
        </is>
      </c>
      <c r="K91" s="44" t="n">
        <v>1067</v>
      </c>
      <c r="L91" s="44" t="n">
        <v>1600</v>
      </c>
      <c r="M91" s="44" t="inlineStr">
        <is>
          <t>Özgün teslim dosyası korundu. EXIF yönü uygulandı; kırpma yapılmadan en çok 1600 px, WebP kalite 84. Önceki kaynak değişiklik notları ayrıca korunur.</t>
        </is>
      </c>
      <c r="N91" s="44" t="inlineStr">
        <is>
          <t>Kayıttan doğrulandı</t>
        </is>
      </c>
      <c r="O91" s="44" t="n"/>
    </row>
    <row r="92" ht="54" customHeight="1">
      <c r="A92" s="44" t="inlineStr">
        <is>
          <t>sevilla:photo:palacio-marqueses-de-la-algaba-01</t>
        </is>
      </c>
      <c r="B92" s="44" t="inlineStr">
        <is>
          <t>https://commons.wikimedia.org/wiki/User:Anual</t>
        </is>
      </c>
      <c r="C92" s="44" t="inlineStr">
        <is>
          <t>https://commons.wikimedia.org/wiki/User:Anual</t>
        </is>
      </c>
      <c r="D92" s="44" t="inlineStr">
        <is>
          <t>https://upload.wikimedia.org/wikipedia/commons/1/13/Centro_del_mud%C3%A9jar_sevilla_2013_002.jpg</t>
        </is>
      </c>
      <c r="E92" s="44" t="inlineStr">
        <is>
          <t>https://thumb.wikimedia.org/wikipedia/commons/thumb/1/13/Centro_del_mud%C3%A9jar_sevilla_2013_002.jpg/1280px-Centro_del_mud%C3%A9jar_sevilla_2013_002.jpg</t>
        </is>
      </c>
      <c r="F92" s="53" t="n">
        <v>46320</v>
      </c>
      <c r="G92" s="44" t="inlineStr">
        <is>
          <t>Fotoğraflar/sevilla_palacio-marqueses-de-la-algaba_01.jpg</t>
        </is>
      </c>
      <c r="H92" s="44" t="inlineStr">
        <is>
          <t>47489f51b826d538f82a371c71057bf09663c6bf41f1873b2fffec3a7c131fcf</t>
        </is>
      </c>
      <c r="I92" s="44" t="inlineStr">
        <is>
          <t>Teslimler/WebKopyalari/47489f51b826d538f82a371c71057bf09663c6bf41f1873b2fffec3a7c131fcf.webp</t>
        </is>
      </c>
      <c r="J92" s="44" t="inlineStr">
        <is>
          <t>2b787e3efa6f8a71a17238bc1a778a9016980023ab85462897aa5b1b4da588a3</t>
        </is>
      </c>
      <c r="K92" s="44" t="n">
        <v>1280</v>
      </c>
      <c r="L92" s="44" t="n">
        <v>857</v>
      </c>
      <c r="M92" s="44" t="inlineStr">
        <is>
          <t>Özgün teslim dosyası korundu. EXIF yönü uygulandı; kırpma yapılmadan en çok 1600 px, WebP kalite 84. Önceki kaynak değişiklik notları ayrıca korunur.</t>
        </is>
      </c>
      <c r="N92" s="44" t="inlineStr">
        <is>
          <t>Kayıttan doğrulandı</t>
        </is>
      </c>
      <c r="O92" s="44" t="n"/>
    </row>
    <row r="93" ht="54" customHeight="1">
      <c r="A93" s="44" t="inlineStr">
        <is>
          <t>sevilla:photo:palacio-marqueses-de-la-algaba-02</t>
        </is>
      </c>
      <c r="B93" s="44" t="n"/>
      <c r="C93" s="44" t="inlineStr">
        <is>
          <t>https://commons.wikimedia.org/wiki/File:Palacio_de_los_Marqueses_de_la_Algaba,_Sevilla._Escalera.jpg</t>
        </is>
      </c>
      <c r="D93" s="44" t="inlineStr">
        <is>
          <t>https://upload.wikimedia.org/wikipedia/commons/3/30/Palacio_de_los_Marqueses_de_la_Algaba%2C_Sevilla._Escalera.jpg</t>
        </is>
      </c>
      <c r="E93" s="44" t="inlineStr">
        <is>
          <t>https://thumb.wikimedia.org/wikipedia/commons/thumb/3/30/Palacio_de_los_Marqueses_de_la_Algaba%2C_Sevilla._Escalera.jpg/1280px-Palacio_de_los_Marqueses_de_la_Algaba%2C_Sevilla._Escalera.jpg</t>
        </is>
      </c>
      <c r="F93" s="53" t="n">
        <v>46320</v>
      </c>
      <c r="G93" s="44" t="inlineStr">
        <is>
          <t>Fotoğraflar/sevilla_palacio-marqueses-de-la-algaba_02.jpg</t>
        </is>
      </c>
      <c r="H93" s="44" t="inlineStr">
        <is>
          <t>c6f8cf3fc040a3629104b9e6846afad4dd72022732f2e936fbc38f953e3ef406</t>
        </is>
      </c>
      <c r="I93" s="44" t="inlineStr">
        <is>
          <t>Teslimler/WebKopyalari/c6f8cf3fc040a3629104b9e6846afad4dd72022732f2e936fbc38f953e3ef406.webp</t>
        </is>
      </c>
      <c r="J93" s="44" t="inlineStr">
        <is>
          <t>424e599824b451f36cef09ffc8a7f688d43b6945b8704936b71af0e881d684c3</t>
        </is>
      </c>
      <c r="K93" s="44" t="n">
        <v>1200</v>
      </c>
      <c r="L93" s="44" t="n">
        <v>1600</v>
      </c>
      <c r="M93" s="44" t="inlineStr">
        <is>
          <t>Özgün teslim dosyası korundu. EXIF yönü uygulandı; kırpma yapılmadan en çok 1600 px, WebP kalite 84. Önceki kaynak değişiklik notları ayrıca korunur.</t>
        </is>
      </c>
      <c r="N93" s="44" t="inlineStr">
        <is>
          <t>Eksik alan var</t>
        </is>
      </c>
      <c r="O93" s="44" t="inlineStr">
        <is>
          <t>Kaynakta ayrı fotoğrafçı profil bağlantısı bulunmadı; fotoğraf kaynak sayfasına atıf korunur. Bağlantı uydurulmaz.</t>
        </is>
      </c>
    </row>
    <row r="94" ht="54" customHeight="1">
      <c r="A94" s="44" t="inlineStr">
        <is>
          <t>sevilla:photo:palacio-marqueses-de-la-algaba-03</t>
        </is>
      </c>
      <c r="B94" s="44" t="n"/>
      <c r="C94" s="44" t="inlineStr">
        <is>
          <t>https://commons.wikimedia.org/wiki/File:Palacio_de_los_Marqueses_de_la_Algaba,_Sevilla._Fachada.jpg</t>
        </is>
      </c>
      <c r="D94" s="44" t="inlineStr">
        <is>
          <t>https://upload.wikimedia.org/wikipedia/commons/2/29/Palacio_de_los_Marqueses_de_la_Algaba%2C_Sevilla._Fachada.jpg</t>
        </is>
      </c>
      <c r="E94" s="44" t="inlineStr">
        <is>
          <t>https://thumb.wikimedia.org/wikipedia/commons/thumb/2/29/Palacio_de_los_Marqueses_de_la_Algaba%2C_Sevilla._Fachada.jpg/1280px-Palacio_de_los_Marqueses_de_la_Algaba%2C_Sevilla._Fachada.jpg</t>
        </is>
      </c>
      <c r="F94" s="53" t="n">
        <v>46320</v>
      </c>
      <c r="G94" s="44" t="inlineStr">
        <is>
          <t>Fotoğraflar/sevilla_palacio-marqueses-de-la-algaba_03.jpg</t>
        </is>
      </c>
      <c r="H94" s="44" t="inlineStr">
        <is>
          <t>8a6da78f9b77aea324c3a5c17faf65574b6db0d7510cb38e5ef7b9e005f0cc30</t>
        </is>
      </c>
      <c r="I94" s="44" t="inlineStr">
        <is>
          <t>Teslimler/WebKopyalari/8a6da78f9b77aea324c3a5c17faf65574b6db0d7510cb38e5ef7b9e005f0cc30.webp</t>
        </is>
      </c>
      <c r="J94" s="44" t="inlineStr">
        <is>
          <t>4333d390c4a13568e39e04062d0b28a5afb48e05a4fbc4cd96f178edb4290685</t>
        </is>
      </c>
      <c r="K94" s="44" t="n">
        <v>1280</v>
      </c>
      <c r="L94" s="44" t="n">
        <v>1280</v>
      </c>
      <c r="M94" s="44" t="inlineStr">
        <is>
          <t>Özgün teslim dosyası korundu. EXIF yönü uygulandı; kırpma yapılmadan en çok 1600 px, WebP kalite 84. Önceki kaynak değişiklik notları ayrıca korunur.</t>
        </is>
      </c>
      <c r="N94" s="44" t="inlineStr">
        <is>
          <t>Eksik alan var</t>
        </is>
      </c>
      <c r="O94" s="44" t="inlineStr">
        <is>
          <t>Kaynakta ayrı fotoğrafçı profil bağlantısı bulunmadı; fotoğraf kaynak sayfasına atıf korunur. Bağlantı uydurulmaz.</t>
        </is>
      </c>
    </row>
    <row r="95" ht="54" customHeight="1">
      <c r="A95" s="44" t="inlineStr">
        <is>
          <t>sevilla:photo:casa-de-la-provincia-sevilla-01</t>
        </is>
      </c>
      <c r="B95" s="44" t="inlineStr">
        <is>
          <t>https://commons.wikimedia.org/wiki/User:CarlosVdeHabsburgo</t>
        </is>
      </c>
      <c r="C95" s="44" t="inlineStr">
        <is>
          <t>https://commons.wikimedia.org/wiki/User:CarlosVdeHabsburgo</t>
        </is>
      </c>
      <c r="D95" s="44" t="inlineStr">
        <is>
          <t>https://upload.wikimedia.org/wikipedia/commons/f/f9/Arcos_Casa_de_la_Provincia.jpg</t>
        </is>
      </c>
      <c r="E95" s="44" t="inlineStr">
        <is>
          <t>https://thumb.wikimedia.org/wikipedia/commons/thumb/f/f9/Arcos_Casa_de_la_Provincia.jpg/1280px-Arcos_Casa_de_la_Provincia.jpg</t>
        </is>
      </c>
      <c r="F95" s="53" t="n">
        <v>46320</v>
      </c>
      <c r="G95" s="44" t="inlineStr">
        <is>
          <t>Fotoğraflar/sevilla_casa-de-la-provincia-sevilla_01.jpg</t>
        </is>
      </c>
      <c r="H95" s="44" t="inlineStr">
        <is>
          <t>6e73ba1e2c658fdef82fc7e1c171e194f43b7b7d04fc18d2d39bd9b7335b9880</t>
        </is>
      </c>
      <c r="I95" s="44" t="inlineStr">
        <is>
          <t>Teslimler/WebKopyalari/6e73ba1e2c658fdef82fc7e1c171e194f43b7b7d04fc18d2d39bd9b7335b9880.webp</t>
        </is>
      </c>
      <c r="J95" s="44" t="inlineStr">
        <is>
          <t>39479301ed824f1c739ea4c19ca72f2d2420dfe9c625f63c069d1e1a9d9c11c9</t>
        </is>
      </c>
      <c r="K95" s="44" t="n">
        <v>1200</v>
      </c>
      <c r="L95" s="44" t="n">
        <v>1600</v>
      </c>
      <c r="M95" s="44" t="inlineStr">
        <is>
          <t>Özgün teslim dosyası korundu. EXIF yönü uygulandı; kırpma yapılmadan en çok 1600 px, WebP kalite 84. Önceki kaynak değişiklik notları ayrıca korunur.</t>
        </is>
      </c>
      <c r="N95" s="44" t="inlineStr">
        <is>
          <t>Kayıttan doğrulandı</t>
        </is>
      </c>
      <c r="O95" s="44" t="n"/>
    </row>
    <row r="96" ht="54" customHeight="1">
      <c r="A96" s="44" t="inlineStr">
        <is>
          <t>sevilla:photo:casa-de-la-provincia-sevilla-02</t>
        </is>
      </c>
      <c r="B96" s="44" t="inlineStr">
        <is>
          <t>https://commons.wikimedia.org/wiki/User:CarlosVdeHabsburgo</t>
        </is>
      </c>
      <c r="C96" s="44" t="inlineStr">
        <is>
          <t>https://commons.wikimedia.org/wiki/User:CarlosVdeHabsburgo</t>
        </is>
      </c>
      <c r="D96" s="44" t="inlineStr">
        <is>
          <t>https://upload.wikimedia.org/wikipedia/commons/5/50/Casa_de_la_Provincia_%28Diputaci%C3%B3n_de_Sevilla%29.jpg</t>
        </is>
      </c>
      <c r="E96" s="44" t="inlineStr">
        <is>
          <t>https://thumb.wikimedia.org/wikipedia/commons/thumb/5/50/Casa_de_la_Provincia_%28Diputaci%C3%B3n_de_Sevilla%29.jpg/1280px-Casa_de_la_Provincia_%28Diputaci%C3%B3n_de_Sevilla%29.jpg</t>
        </is>
      </c>
      <c r="F96" s="53" t="n">
        <v>46320</v>
      </c>
      <c r="G96" s="44" t="inlineStr">
        <is>
          <t>Fotoğraflar/sevilla_casa-de-la-provincia-sevilla_02.jpg</t>
        </is>
      </c>
      <c r="H96" s="44" t="inlineStr">
        <is>
          <t>966afbe7df25871246096cc7e6a3b53b0507b9fd0a68f13db5aaf7d3bef56049</t>
        </is>
      </c>
      <c r="I96" s="44" t="inlineStr">
        <is>
          <t>Teslimler/WebKopyalari/966afbe7df25871246096cc7e6a3b53b0507b9fd0a68f13db5aaf7d3bef56049.webp</t>
        </is>
      </c>
      <c r="J96" s="44" t="inlineStr">
        <is>
          <t>ef6bee2d550a5e63b63bda406c0a2340136184bc496b325a5ec343cc3b2503b5</t>
        </is>
      </c>
      <c r="K96" s="44" t="n">
        <v>1280</v>
      </c>
      <c r="L96" s="44" t="n">
        <v>960</v>
      </c>
      <c r="M96" s="44" t="inlineStr">
        <is>
          <t>Özgün teslim dosyası korundu. EXIF yönü uygulandı; kırpma yapılmadan en çok 1600 px, WebP kalite 84. Önceki kaynak değişiklik notları ayrıca korunur.</t>
        </is>
      </c>
      <c r="N96" s="44" t="inlineStr">
        <is>
          <t>Kayıttan doğrulandı</t>
        </is>
      </c>
      <c r="O96" s="44" t="n"/>
    </row>
    <row r="97" ht="54" customHeight="1">
      <c r="A97" s="44" t="inlineStr">
        <is>
          <t>sevilla:photo:casa-de-la-provincia-sevilla-03</t>
        </is>
      </c>
      <c r="B97" s="44" t="inlineStr">
        <is>
          <t>https://commons.wikimedia.org/wiki/User:CarlosVdeHabsburgo</t>
        </is>
      </c>
      <c r="C97" s="44" t="inlineStr">
        <is>
          <t>https://commons.wikimedia.org/wiki/User:CarlosVdeHabsburgo</t>
        </is>
      </c>
      <c r="D97" s="44" t="inlineStr">
        <is>
          <t>https://upload.wikimedia.org/wikipedia/commons/d/d4/Casa_de_la_Provincia_%28Sevilla%29_01.jpg</t>
        </is>
      </c>
      <c r="E97" s="44" t="inlineStr">
        <is>
          <t>https://thumb.wikimedia.org/wikipedia/commons/thumb/d/d4/Casa_de_la_Provincia_%28Sevilla%29_01.jpg/1280px-Casa_de_la_Provincia_%28Sevilla%29_01.jpg</t>
        </is>
      </c>
      <c r="F97" s="53" t="n">
        <v>46320</v>
      </c>
      <c r="G97" s="44" t="inlineStr">
        <is>
          <t>Fotoğraflar/sevilla_casa-de-la-provincia-sevilla_03.jpg</t>
        </is>
      </c>
      <c r="H97" s="44" t="inlineStr">
        <is>
          <t>e45e7e846f6f38cff2dc1902fa24e04f737b3d71adf555c8a17b18d1bb54aa1d</t>
        </is>
      </c>
      <c r="I97" s="44" t="inlineStr">
        <is>
          <t>Teslimler/WebKopyalari/e45e7e846f6f38cff2dc1902fa24e04f737b3d71adf555c8a17b18d1bb54aa1d.webp</t>
        </is>
      </c>
      <c r="J97" s="44" t="inlineStr">
        <is>
          <t>e9447c24c298895729468bccc9d201b94590cea6eaa5b65333d515122af2ddb7</t>
        </is>
      </c>
      <c r="K97" s="44" t="n">
        <v>1280</v>
      </c>
      <c r="L97" s="44" t="n">
        <v>960</v>
      </c>
      <c r="M97" s="44" t="inlineStr">
        <is>
          <t>Özgün teslim dosyası korundu. EXIF yönü uygulandı; kırpma yapılmadan en çok 1600 px, WebP kalite 84. Önceki kaynak değişiklik notları ayrıca korunur.</t>
        </is>
      </c>
      <c r="N97" s="44" t="inlineStr">
        <is>
          <t>Kayıttan doğrulandı</t>
        </is>
      </c>
      <c r="O97" s="44" t="n"/>
    </row>
    <row r="98" ht="54" customHeight="1">
      <c r="A98" s="44" t="inlineStr">
        <is>
          <t>sevilla:photo:acuario-de-sevilla-01</t>
        </is>
      </c>
      <c r="B98" s="44" t="inlineStr">
        <is>
          <t>https://commons.wikimedia.org/wiki/User:Hispalois</t>
        </is>
      </c>
      <c r="C98" s="44" t="inlineStr">
        <is>
          <t>https://commons.wikimedia.org/wiki/User:Hispalois</t>
        </is>
      </c>
      <c r="D98" s="44" t="inlineStr">
        <is>
          <t>https://upload.wikimedia.org/wikipedia/commons/2/28/Acuario_Sevilla_Dos_peces_leon_cebra.JPG</t>
        </is>
      </c>
      <c r="E98" s="44" t="inlineStr">
        <is>
          <t>https://thumb.wikimedia.org/wikipedia/commons/thumb/2/28/Acuario_Sevilla_Dos_peces_leon_cebra.JPG/1280px-Acuario_Sevilla_Dos_peces_leon_cebra.JPG</t>
        </is>
      </c>
      <c r="F98" s="53" t="n">
        <v>46320</v>
      </c>
      <c r="G98" s="44" t="inlineStr">
        <is>
          <t>Fotoğraflar/sevilla_acuario-de-sevilla_01.jpg</t>
        </is>
      </c>
      <c r="H98" s="44" t="inlineStr">
        <is>
          <t>db77084b6f6a347afcdb1b18c730c8646b42204dede4b28270806d408be61c8e</t>
        </is>
      </c>
      <c r="I98" s="44" t="inlineStr">
        <is>
          <t>Teslimler/WebKopyalari/db77084b6f6a347afcdb1b18c730c8646b42204dede4b28270806d408be61c8e.webp</t>
        </is>
      </c>
      <c r="J98" s="44" t="inlineStr">
        <is>
          <t>c091df0c9851ae79f0c41423f4755cbc83a6c1b64d7a78d81ee36816df00e531</t>
        </is>
      </c>
      <c r="K98" s="44" t="n">
        <v>1280</v>
      </c>
      <c r="L98" s="44" t="n">
        <v>960</v>
      </c>
      <c r="M98" s="44" t="inlineStr">
        <is>
          <t>Özgün teslim dosyası korundu. EXIF yönü uygulandı; kırpma yapılmadan en çok 1600 px, WebP kalite 84. Önceki kaynak değişiklik notları ayrıca korunur.</t>
        </is>
      </c>
      <c r="N98" s="44" t="inlineStr">
        <is>
          <t>Kayıttan doğrulandı</t>
        </is>
      </c>
      <c r="O98" s="44" t="n"/>
    </row>
    <row r="99" ht="54" customHeight="1">
      <c r="A99" s="44" t="inlineStr">
        <is>
          <t>sevilla:photo:acuario-de-sevilla-02</t>
        </is>
      </c>
      <c r="B99" s="44" t="inlineStr">
        <is>
          <t>https://commons.wikimedia.org/wiki/User:Hispalois</t>
        </is>
      </c>
      <c r="C99" s="44" t="inlineStr">
        <is>
          <t>https://commons.wikimedia.org/wiki/User:Hispalois</t>
        </is>
      </c>
      <c r="D99" s="44" t="inlineStr">
        <is>
          <t>https://upload.wikimedia.org/wikipedia/commons/e/ed/Acuario_Sevilla_Tortuga_careta.JPG</t>
        </is>
      </c>
      <c r="E99" s="44" t="inlineStr">
        <is>
          <t>https://thumb.wikimedia.org/wikipedia/commons/thumb/e/ed/Acuario_Sevilla_Tortuga_careta.JPG/1280px-Acuario_Sevilla_Tortuga_careta.JPG</t>
        </is>
      </c>
      <c r="F99" s="53" t="n">
        <v>46320</v>
      </c>
      <c r="G99" s="44" t="inlineStr">
        <is>
          <t>Fotoğraflar/sevilla_acuario-de-sevilla_02.jpg</t>
        </is>
      </c>
      <c r="H99" s="44" t="inlineStr">
        <is>
          <t>ed54d2b6f33f8ef9090ca6b6ffd2c42937da52d1f4fb63133684c492172ec1b4</t>
        </is>
      </c>
      <c r="I99" s="44" t="inlineStr">
        <is>
          <t>Teslimler/WebKopyalari/ed54d2b6f33f8ef9090ca6b6ffd2c42937da52d1f4fb63133684c492172ec1b4.webp</t>
        </is>
      </c>
      <c r="J99" s="44" t="inlineStr">
        <is>
          <t>65dd88d86554f4241caac5a38cd28884b50189ecc66b16306e3da704019ab648</t>
        </is>
      </c>
      <c r="K99" s="44" t="n">
        <v>1280</v>
      </c>
      <c r="L99" s="44" t="n">
        <v>960</v>
      </c>
      <c r="M99" s="44" t="inlineStr">
        <is>
          <t>Özgün teslim dosyası korundu. EXIF yönü uygulandı; kırpma yapılmadan en çok 1600 px, WebP kalite 84. Önceki kaynak değişiklik notları ayrıca korunur.</t>
        </is>
      </c>
      <c r="N99" s="44" t="inlineStr">
        <is>
          <t>Kayıttan doğrulandı</t>
        </is>
      </c>
      <c r="O99" s="44" t="n"/>
    </row>
    <row r="100" ht="54" customHeight="1">
      <c r="A100" s="44" t="inlineStr">
        <is>
          <t>sevilla:photo:acuario-de-sevilla-03</t>
        </is>
      </c>
      <c r="B100" s="44" t="inlineStr">
        <is>
          <t>https://commons.wikimedia.org/wiki/User:Hispalois</t>
        </is>
      </c>
      <c r="C100" s="44" t="inlineStr">
        <is>
          <t>https://commons.wikimedia.org/wiki/User:Hispalois</t>
        </is>
      </c>
      <c r="D100" s="44" t="inlineStr">
        <is>
          <t>https://upload.wikimedia.org/wikipedia/commons/a/a8/Acuario_Sevilla_caiman_de_Cuvier.JPG</t>
        </is>
      </c>
      <c r="E100" s="44" t="inlineStr">
        <is>
          <t>https://thumb.wikimedia.org/wikipedia/commons/thumb/a/a8/Acuario_Sevilla_caiman_de_Cuvier.JPG/1280px-Acuario_Sevilla_caiman_de_Cuvier.JPG</t>
        </is>
      </c>
      <c r="F100" s="53" t="n">
        <v>46320</v>
      </c>
      <c r="G100" s="44" t="inlineStr">
        <is>
          <t>Fotoğraflar/sevilla_acuario-de-sevilla_03.jpg</t>
        </is>
      </c>
      <c r="H100" s="44" t="inlineStr">
        <is>
          <t>fa7ac9b27ceb111618c8fecea0b70b3ab97de8a49e9f1138256c2d6445e8f256</t>
        </is>
      </c>
      <c r="I100" s="44" t="inlineStr">
        <is>
          <t>Teslimler/WebKopyalari/fa7ac9b27ceb111618c8fecea0b70b3ab97de8a49e9f1138256c2d6445e8f256.webp</t>
        </is>
      </c>
      <c r="J100" s="44" t="inlineStr">
        <is>
          <t>b30725ac9b38d14ffb992ef42edb232dac39faef4864532c66e36e7d24864773</t>
        </is>
      </c>
      <c r="K100" s="44" t="n">
        <v>1280</v>
      </c>
      <c r="L100" s="44" t="n">
        <v>793</v>
      </c>
      <c r="M100" s="44" t="inlineStr">
        <is>
          <t>Özgün teslim dosyası korundu. EXIF yönü uygulandı; kırpma yapılmadan en çok 1600 px, WebP kalite 84. Önceki kaynak değişiklik notları ayrıca korunur.</t>
        </is>
      </c>
      <c r="N100" s="44" t="inlineStr">
        <is>
          <t>Kayıttan doğrulandı</t>
        </is>
      </c>
      <c r="O100" s="44" t="n"/>
    </row>
    <row r="101" ht="54" customHeight="1">
      <c r="A101" s="44" t="inlineStr">
        <is>
          <t>sevilla:photo:estadio-sanchez-pizjuan-tur-01</t>
        </is>
      </c>
      <c r="B101" s="44" t="n"/>
      <c r="C101" s="44" t="inlineStr">
        <is>
          <t>https://commons.wikimedia.org/wiki/File:2022-10-25_1_Estadio_Ram%C3%B3n_S%C3%A1nchez_Pizju%C3%A1n_(Sevilla_FC).jpg</t>
        </is>
      </c>
      <c r="D101" s="44" t="inlineStr">
        <is>
          <t>https://upload.wikimedia.org/wikipedia/commons/f/fe/2022-10-25_1_Estadio_Ram%C3%B3n_S%C3%A1nchez_Pizju%C3%A1n_%28Sevilla_FC%29.jpg</t>
        </is>
      </c>
      <c r="E101" s="44" t="inlineStr">
        <is>
          <t>https://thumb.wikimedia.org/wikipedia/commons/thumb/f/fe/2022-10-25_1_Estadio_Ram%C3%B3n_S%C3%A1nchez_Pizju%C3%A1n_%28Sevilla_FC%29.jpg/1280px-2022-10-25_1_Estadio_Ram%C3%B3n_S%C3%A1nchez_Pizju%C3%A1n_%28Sevilla_FC%29.jpg</t>
        </is>
      </c>
      <c r="F101" s="53" t="n">
        <v>46320</v>
      </c>
      <c r="G101" s="44" t="inlineStr">
        <is>
          <t>Fotoğraflar/sevilla_estadio-sanchez-pizjuan-tur_01.jpg</t>
        </is>
      </c>
      <c r="H101" s="44" t="inlineStr">
        <is>
          <t>b116254dcb1d188f0903660ce0fad7a93afc098283a78744bdc5111dd99f6624</t>
        </is>
      </c>
      <c r="I101" s="44" t="inlineStr">
        <is>
          <t>Teslimler/WebKopyalari/b116254dcb1d188f0903660ce0fad7a93afc098283a78744bdc5111dd99f6624.webp</t>
        </is>
      </c>
      <c r="J101" s="44" t="inlineStr">
        <is>
          <t>91a5ede0fab7ba4ccff585cd369a5f7fb78ca3eafc53411e7433cd32b1464cf0</t>
        </is>
      </c>
      <c r="K101" s="44" t="n">
        <v>1280</v>
      </c>
      <c r="L101" s="44" t="n">
        <v>960</v>
      </c>
      <c r="M101" s="44" t="inlineStr">
        <is>
          <t>Özgün teslim dosyası korundu. EXIF yönü uygulandı; kırpma yapılmadan en çok 1600 px, WebP kalite 84. Önceki kaynak değişiklik notları ayrıca korunur.</t>
        </is>
      </c>
      <c r="N101" s="44" t="inlineStr">
        <is>
          <t>Eksik alan var</t>
        </is>
      </c>
      <c r="O101" s="44" t="inlineStr">
        <is>
          <t>Kaynakta ayrı fotoğrafçı profil bağlantısı bulunmadı; fotoğraf kaynak sayfasına atıf korunur. Bağlantı uydurulmaz.</t>
        </is>
      </c>
    </row>
    <row r="102" ht="54" customHeight="1">
      <c r="A102" s="44" t="inlineStr">
        <is>
          <t>sevilla:photo:estadio-sanchez-pizjuan-tur-02</t>
        </is>
      </c>
      <c r="B102" s="44" t="inlineStr">
        <is>
          <t>https://commons.wikimedia.org/wiki/User:CarlosVdeHabsburgo</t>
        </is>
      </c>
      <c r="C102" s="44" t="inlineStr">
        <is>
          <t>https://commons.wikimedia.org/wiki/User:CarlosVdeHabsburgo</t>
        </is>
      </c>
      <c r="D102" s="44" t="inlineStr">
        <is>
          <t>https://upload.wikimedia.org/wikipedia/commons/6/68/Banquillo_del_Sevilla_FC.jpg</t>
        </is>
      </c>
      <c r="E102" s="44" t="inlineStr">
        <is>
          <t>https://thumb.wikimedia.org/wikipedia/commons/thumb/6/68/Banquillo_del_Sevilla_FC.jpg/1280px-Banquillo_del_Sevilla_FC.jpg</t>
        </is>
      </c>
      <c r="F102" s="53" t="n">
        <v>46320</v>
      </c>
      <c r="G102" s="44" t="inlineStr">
        <is>
          <t>Fotoğraflar/sevilla_estadio-sanchez-pizjuan-tur_02.jpg</t>
        </is>
      </c>
      <c r="H102" s="44" t="inlineStr">
        <is>
          <t>6fe2099d22ba2b734e4bf6bad304a015d2306c6637ffa7adb427e3362c3cdacb</t>
        </is>
      </c>
      <c r="I102" s="44" t="inlineStr">
        <is>
          <t>Teslimler/WebKopyalari/6fe2099d22ba2b734e4bf6bad304a015d2306c6637ffa7adb427e3362c3cdacb.webp</t>
        </is>
      </c>
      <c r="J102" s="44" t="inlineStr">
        <is>
          <t>67be46b1e97b53427492093033854a9ebe93428fbf4732fcb9f6c3f74bb3b177</t>
        </is>
      </c>
      <c r="K102" s="44" t="n">
        <v>1280</v>
      </c>
      <c r="L102" s="44" t="n">
        <v>960</v>
      </c>
      <c r="M102" s="44" t="inlineStr">
        <is>
          <t>Özgün teslim dosyası korundu. EXIF yönü uygulandı; kırpma yapılmadan en çok 1600 px, WebP kalite 84. Önceki kaynak değişiklik notları ayrıca korunur.</t>
        </is>
      </c>
      <c r="N102" s="44" t="inlineStr">
        <is>
          <t>Kayıttan doğrulandı</t>
        </is>
      </c>
      <c r="O102" s="44" t="n"/>
    </row>
    <row r="103" ht="54" customHeight="1">
      <c r="A103" s="44" t="inlineStr">
        <is>
          <t>sevilla:photo:estadio-sanchez-pizjuan-tur-03</t>
        </is>
      </c>
      <c r="B103" s="44" t="inlineStr">
        <is>
          <t>https://commons.wikimedia.org/wiki/User:Tdn70</t>
        </is>
      </c>
      <c r="C103" s="44" t="inlineStr">
        <is>
          <t>https://commons.wikimedia.org/wiki/User:Tdn70</t>
        </is>
      </c>
      <c r="D103" s="44" t="inlineStr">
        <is>
          <t>https://upload.wikimedia.org/wikipedia/commons/4/48/Estadio_Ram%C3%B3n_S%C3%A1nchez_Pizju%C3%A1n%2C_2022_%28b%29.jpg</t>
        </is>
      </c>
      <c r="E103" s="44" t="inlineStr">
        <is>
          <t>https://thumb.wikimedia.org/wikipedia/commons/thumb/4/48/Estadio_Ram%C3%B3n_S%C3%A1nchez_Pizju%C3%A1n%2C_2022_%28b%29.jpg/1280px-Estadio_Ram%C3%B3n_S%C3%A1nchez_Pizju%C3%A1n%2C_2022_%28b%29.jpg</t>
        </is>
      </c>
      <c r="F103" s="53" t="n">
        <v>46320</v>
      </c>
      <c r="G103" s="44" t="inlineStr">
        <is>
          <t>Fotoğraflar/sevilla_estadio-sanchez-pizjuan-tur_03.jpg</t>
        </is>
      </c>
      <c r="H103" s="44" t="inlineStr">
        <is>
          <t>1e5c3a12de32f81803e83b1c4f90d9a04df4163bceef40177674d870d5c90362</t>
        </is>
      </c>
      <c r="I103" s="44" t="inlineStr">
        <is>
          <t>Teslimler/WebKopyalari/1e5c3a12de32f81803e83b1c4f90d9a04df4163bceef40177674d870d5c90362.webp</t>
        </is>
      </c>
      <c r="J103" s="44" t="inlineStr">
        <is>
          <t>e93f5b3e0f3c64e7b7935404aa3bed1c83aa35a5017123fc911ce65360969c0c</t>
        </is>
      </c>
      <c r="K103" s="44" t="n">
        <v>1280</v>
      </c>
      <c r="L103" s="44" t="n">
        <v>853</v>
      </c>
      <c r="M103" s="44" t="inlineStr">
        <is>
          <t>Özgün teslim dosyası korundu. EXIF yönü uygulandı; kırpma yapılmadan en çok 1600 px, WebP kalite 84. Önceki kaynak değişiklik notları ayrıca korunur.</t>
        </is>
      </c>
      <c r="N103" s="44" t="inlineStr">
        <is>
          <t>Kayıttan doğrulandı</t>
        </is>
      </c>
      <c r="O103" s="44" t="n"/>
    </row>
    <row r="104" ht="54" customHeight="1">
      <c r="A104" s="44" t="inlineStr">
        <is>
          <t>sevilla:photo:estadio-la-cartuja-01</t>
        </is>
      </c>
      <c r="B104" s="44" t="inlineStr">
        <is>
          <t>https://web.archive.org/web/20161014132442/http://www.panoramio.com/user/2338466?with_photo_id=27187612</t>
        </is>
      </c>
      <c r="C104" s="44" t="inlineStr">
        <is>
          <t>https://web.archive.org/web/20161014132442/http://www.panoramio.com/user/2338466?with_photo_id=27187612</t>
        </is>
      </c>
      <c r="D104" s="44" t="inlineStr">
        <is>
          <t>https://upload.wikimedia.org/wikipedia/commons/7/73/Carrera_nocturna_2009_Sevilla_-_Estadio_olimpico_-_http-imd.sevilla.org_-_panoramio.jpg</t>
        </is>
      </c>
      <c r="E104" s="44" t="inlineStr">
        <is>
          <t>https://thumb.wikimedia.org/wikipedia/commons/thumb/7/73/Carrera_nocturna_2009_Sevilla_-_Estadio_olimpico_-_http-imd.sevilla.org_-_panoramio.jpg/1280px-Carrera_nocturna_2009_Sevilla_-_Estadio_olimpico_-_http-imd.sevilla.org_-_panoramio.jpg</t>
        </is>
      </c>
      <c r="F104" s="53" t="n">
        <v>46320</v>
      </c>
      <c r="G104" s="44" t="inlineStr">
        <is>
          <t>Fotoğraflar/sevilla_estadio-la-cartuja_01.jpg</t>
        </is>
      </c>
      <c r="H104" s="44" t="inlineStr">
        <is>
          <t>0c72dddac6f40be16d9e242642f72ae9429b5fe86b8dc85b9e1614f656a0ee1d</t>
        </is>
      </c>
      <c r="I104" s="44" t="inlineStr">
        <is>
          <t>Teslimler/WebKopyalari/0c72dddac6f40be16d9e242642f72ae9429b5fe86b8dc85b9e1614f656a0ee1d.webp</t>
        </is>
      </c>
      <c r="J104" s="44" t="inlineStr">
        <is>
          <t>e109b8d6081a6e4436e6b14d8fb3539830050c60df9b232f78857a1cb0b69ab5</t>
        </is>
      </c>
      <c r="K104" s="44" t="n">
        <v>1280</v>
      </c>
      <c r="L104" s="44" t="n">
        <v>960</v>
      </c>
      <c r="M104" s="44" t="inlineStr">
        <is>
          <t>Özgün teslim dosyası korundu. EXIF yönü uygulandı; kırpma yapılmadan en çok 1600 px, WebP kalite 84. Önceki kaynak değişiklik notları ayrıca korunur.</t>
        </is>
      </c>
      <c r="N104" s="44" t="inlineStr">
        <is>
          <t>Kayıttan doğrulandı</t>
        </is>
      </c>
      <c r="O104" s="44" t="n"/>
    </row>
    <row r="105" ht="54" customHeight="1">
      <c r="A105" s="44" t="inlineStr">
        <is>
          <t>sevilla:photo:estadio-la-cartuja-02</t>
        </is>
      </c>
      <c r="B105" s="44" t="n"/>
      <c r="C105" s="44" t="inlineStr">
        <is>
          <t>https://commons.wikimedia.org/wiki/File:Ciencias_vs_ElSalvador_2016.jpg</t>
        </is>
      </c>
      <c r="D105" s="44" t="inlineStr">
        <is>
          <t>https://upload.wikimedia.org/wikipedia/commons/a/ae/Ciencias_vs_ElSalvador_2016.jpg</t>
        </is>
      </c>
      <c r="E105" s="44" t="inlineStr">
        <is>
          <t>https://thumb.wikimedia.org/wikipedia/commons/thumb/a/ae/Ciencias_vs_ElSalvador_2016.jpg/1280px-Ciencias_vs_ElSalvador_2016.jpg</t>
        </is>
      </c>
      <c r="F105" s="53" t="n">
        <v>46320</v>
      </c>
      <c r="G105" s="44" t="inlineStr">
        <is>
          <t>Fotoğraflar/sevilla_estadio-la-cartuja_02.jpg</t>
        </is>
      </c>
      <c r="H105" s="44" t="inlineStr">
        <is>
          <t>4ca37e3b2861604e89eb63043d391ccead859d20df7c120cfbbd0528626da94f</t>
        </is>
      </c>
      <c r="I105" s="44" t="inlineStr">
        <is>
          <t>Teslimler/WebKopyalari/4ca37e3b2861604e89eb63043d391ccead859d20df7c120cfbbd0528626da94f.webp</t>
        </is>
      </c>
      <c r="J105" s="44" t="inlineStr">
        <is>
          <t>fd754732b541e5729004c1f23abe488531f193dc221e1d6946d026ed557d7dcb</t>
        </is>
      </c>
      <c r="K105" s="44" t="n">
        <v>1280</v>
      </c>
      <c r="L105" s="44" t="n">
        <v>720</v>
      </c>
      <c r="M105" s="44" t="inlineStr">
        <is>
          <t>Özgün teslim dosyası korundu. EXIF yönü uygulandı; kırpma yapılmadan en çok 1600 px, WebP kalite 84. Önceki kaynak değişiklik notları ayrıca korunur.</t>
        </is>
      </c>
      <c r="N105" s="44" t="inlineStr">
        <is>
          <t>Eksik alan var</t>
        </is>
      </c>
      <c r="O105" s="44" t="inlineStr">
        <is>
          <t>Kaynakta ayrı fotoğrafçı profil bağlantısı bulunmadı; fotoğraf kaynak sayfasına atıf korunur. Bağlantı uydurulmaz.</t>
        </is>
      </c>
    </row>
    <row r="106" ht="54" customHeight="1">
      <c r="A106" s="44" t="inlineStr">
        <is>
          <t>sevilla:photo:estadio-la-cartuja-03</t>
        </is>
      </c>
      <c r="B106" s="44" t="inlineStr">
        <is>
          <t>https://commons.wikimedia.org/wiki/User:Granadino_anti-andaluz</t>
        </is>
      </c>
      <c r="C106" s="44" t="inlineStr">
        <is>
          <t>https://commons.wikimedia.org/wiki/User:Granadino_anti-andaluz</t>
        </is>
      </c>
      <c r="D106" s="44" t="inlineStr">
        <is>
          <t>https://upload.wikimedia.org/wikipedia/commons/e/e0/Estadio_Ol%C3%ADmpico_de_La_Cartuja%2C_Sevilla.jpg</t>
        </is>
      </c>
      <c r="E106" s="44" t="inlineStr">
        <is>
          <t>https://thumb.wikimedia.org/wikipedia/commons/thumb/e/e0/Estadio_Ol%C3%ADmpico_de_La_Cartuja%2C_Sevilla.jpg/1280px-Estadio_Ol%C3%ADmpico_de_La_Cartuja%2C_Sevilla.jpg</t>
        </is>
      </c>
      <c r="F106" s="53" t="n">
        <v>46320</v>
      </c>
      <c r="G106" s="44" t="inlineStr">
        <is>
          <t>Fotoğraflar/sevilla_estadio-la-cartuja_03.jpg</t>
        </is>
      </c>
      <c r="H106" s="44" t="inlineStr">
        <is>
          <t>ff2246eedecc772462c12c474ecbd9314103f86fbd30ba548dc2ec8224f35c45</t>
        </is>
      </c>
      <c r="I106" s="44" t="inlineStr">
        <is>
          <t>Teslimler/WebKopyalari/ff2246eedecc772462c12c474ecbd9314103f86fbd30ba548dc2ec8224f35c45.webp</t>
        </is>
      </c>
      <c r="J106" s="44" t="inlineStr">
        <is>
          <t>db01eb2ac66e51907e14bb663d6a191fdbf26655fba7f332e21529980fb4755e</t>
        </is>
      </c>
      <c r="K106" s="44" t="n">
        <v>1280</v>
      </c>
      <c r="L106" s="44" t="n">
        <v>964</v>
      </c>
      <c r="M106" s="44" t="inlineStr">
        <is>
          <t>Özgün teslim dosyası korundu. EXIF yönü uygulandı; kırpma yapılmadan en çok 1600 px, WebP kalite 84. Önceki kaynak değişiklik notları ayrıca korunur.</t>
        </is>
      </c>
      <c r="N106" s="44" t="inlineStr">
        <is>
          <t>Kayıttan doğrulandı</t>
        </is>
      </c>
      <c r="O106" s="44" t="n"/>
    </row>
    <row r="107" ht="54" customHeight="1">
      <c r="A107" s="44" t="inlineStr">
        <is>
          <t>sevilla:photo:teatro-de-la-maestranza-01</t>
        </is>
      </c>
      <c r="B107" s="44" t="inlineStr">
        <is>
          <t>https://commons.wikimedia.org/wiki/User:Jl_FilpoC</t>
        </is>
      </c>
      <c r="C107" s="44" t="inlineStr">
        <is>
          <t>https://commons.wikimedia.org/wiki/User:Jl_FilpoC</t>
        </is>
      </c>
      <c r="D107" s="44" t="inlineStr">
        <is>
          <t>https://upload.wikimedia.org/wikipedia/commons/9/9b/Exteriores_del_Teatro_de_la_Maestranza%2C_Sevilla.jpg</t>
        </is>
      </c>
      <c r="E107" s="44" t="inlineStr">
        <is>
          <t>https://thumb.wikimedia.org/wikipedia/commons/thumb/9/9b/Exteriores_del_Teatro_de_la_Maestranza%2C_Sevilla.jpg/1280px-Exteriores_del_Teatro_de_la_Maestranza%2C_Sevilla.jpg</t>
        </is>
      </c>
      <c r="F107" s="53" t="n">
        <v>46320</v>
      </c>
      <c r="G107" s="44" t="inlineStr">
        <is>
          <t>Fotoğraflar/sevilla_teatro-de-la-maestranza_01.jpg</t>
        </is>
      </c>
      <c r="H107" s="44" t="inlineStr">
        <is>
          <t>1d8dac9714723b599a4e810ab7767c285289ac4d8e3bdd8f3faa5c78861dcf91</t>
        </is>
      </c>
      <c r="I107" s="44" t="inlineStr">
        <is>
          <t>Teslimler/WebKopyalari/1d8dac9714723b599a4e810ab7767c285289ac4d8e3bdd8f3faa5c78861dcf91.webp</t>
        </is>
      </c>
      <c r="J107" s="44" t="inlineStr">
        <is>
          <t>1279ae5ba2dcf5dff2765fb17e191ec7536da242e1232efd5635e8707d4f2ff1</t>
        </is>
      </c>
      <c r="K107" s="44" t="n">
        <v>1280</v>
      </c>
      <c r="L107" s="44" t="n">
        <v>961</v>
      </c>
      <c r="M107" s="44" t="inlineStr">
        <is>
          <t>Özgün teslim dosyası korundu. EXIF yönü uygulandı; kırpma yapılmadan en çok 1600 px, WebP kalite 84. Önceki kaynak değişiklik notları ayrıca korunur.</t>
        </is>
      </c>
      <c r="N107" s="44" t="inlineStr">
        <is>
          <t>Kayıttan doğrulandı</t>
        </is>
      </c>
      <c r="O107" s="44" t="n"/>
    </row>
    <row r="108" ht="54" customHeight="1">
      <c r="A108" s="44" t="inlineStr">
        <is>
          <t>sevilla:photo:teatro-de-la-maestranza-02</t>
        </is>
      </c>
      <c r="B108" s="44" t="inlineStr">
        <is>
          <t>https://commons.wikimedia.org/wiki/User:CarlosVdeHabsburgo</t>
        </is>
      </c>
      <c r="C108" s="44" t="inlineStr">
        <is>
          <t>https://commons.wikimedia.org/wiki/User:CarlosVdeHabsburgo</t>
        </is>
      </c>
      <c r="D108" s="44" t="inlineStr">
        <is>
          <t>https://upload.wikimedia.org/wikipedia/commons/8/89/Maestranza_desde_jardines.jpg</t>
        </is>
      </c>
      <c r="E108" s="44" t="inlineStr">
        <is>
          <t>https://thumb.wikimedia.org/wikipedia/commons/thumb/8/89/Maestranza_desde_jardines.jpg/1280px-Maestranza_desde_jardines.jpg</t>
        </is>
      </c>
      <c r="F108" s="53" t="n">
        <v>46320</v>
      </c>
      <c r="G108" s="44" t="inlineStr">
        <is>
          <t>Fotoğraflar/sevilla_teatro-de-la-maestranza_02.jpg</t>
        </is>
      </c>
      <c r="H108" s="44" t="inlineStr">
        <is>
          <t>20eb35fd1bf38cde82b30cec52a0db08abf0ec593ceac30b1df415fa3d7f5e0e</t>
        </is>
      </c>
      <c r="I108" s="44" t="inlineStr">
        <is>
          <t>Teslimler/WebKopyalari/20eb35fd1bf38cde82b30cec52a0db08abf0ec593ceac30b1df415fa3d7f5e0e.webp</t>
        </is>
      </c>
      <c r="J108" s="44" t="inlineStr">
        <is>
          <t>afdf4fcddbc538681c3729caed8ea64d76a0d929fb164fa6e5bd613b28bf5878</t>
        </is>
      </c>
      <c r="K108" s="44" t="n">
        <v>1280</v>
      </c>
      <c r="L108" s="44" t="n">
        <v>960</v>
      </c>
      <c r="M108" s="44" t="inlineStr">
        <is>
          <t>Özgün teslim dosyası korundu. EXIF yönü uygulandı; kırpma yapılmadan en çok 1600 px, WebP kalite 84. Önceki kaynak değişiklik notları ayrıca korunur.</t>
        </is>
      </c>
      <c r="N108" s="44" t="inlineStr">
        <is>
          <t>Kayıttan doğrulandı</t>
        </is>
      </c>
      <c r="O108" s="44" t="n"/>
    </row>
    <row r="109" ht="54" customHeight="1">
      <c r="A109" s="44" t="inlineStr">
        <is>
          <t>sevilla:photo:teatro-lope-de-vega-01</t>
        </is>
      </c>
      <c r="B109" s="44" t="inlineStr">
        <is>
          <t>https://commons.wikimedia.org/wiki/User:CarlosVdeHabsburgo</t>
        </is>
      </c>
      <c r="C109" s="44" t="inlineStr">
        <is>
          <t>https://commons.wikimedia.org/wiki/User:CarlosVdeHabsburgo</t>
        </is>
      </c>
      <c r="D109" s="44" t="inlineStr">
        <is>
          <t>https://upload.wikimedia.org/wikipedia/commons/a/a7/Entrada_al_Teatro_Lope_de_Vega.JPG</t>
        </is>
      </c>
      <c r="E109" s="44" t="inlineStr">
        <is>
          <t>https://thumb.wikimedia.org/wikipedia/commons/thumb/a/a7/Entrada_al_Teatro_Lope_de_Vega.JPG/1280px-Entrada_al_Teatro_Lope_de_Vega.JPG</t>
        </is>
      </c>
      <c r="F109" s="53" t="n">
        <v>46320</v>
      </c>
      <c r="G109" s="44" t="inlineStr">
        <is>
          <t>Fotoğraflar/sevilla_teatro-lope-de-vega_01.jpg</t>
        </is>
      </c>
      <c r="H109" s="44" t="inlineStr">
        <is>
          <t>a063fbebb66605a41572bda29ea7677a2812191b7215d057a135120aac26f363</t>
        </is>
      </c>
      <c r="I109" s="44" t="inlineStr">
        <is>
          <t>Teslimler/WebKopyalari/a063fbebb66605a41572bda29ea7677a2812191b7215d057a135120aac26f363.webp</t>
        </is>
      </c>
      <c r="J109" s="44" t="inlineStr">
        <is>
          <t>1a88c69e1514fe9e532f94c40f795ce2aa6462c2cf114bb2a4999bb40e3e5557</t>
        </is>
      </c>
      <c r="K109" s="44" t="n">
        <v>1280</v>
      </c>
      <c r="L109" s="44" t="n">
        <v>960</v>
      </c>
      <c r="M109" s="44" t="inlineStr">
        <is>
          <t>Özgün teslim dosyası korundu. EXIF yönü uygulandı; kırpma yapılmadan en çok 1600 px, WebP kalite 84. Önceki kaynak değişiklik notları ayrıca korunur.</t>
        </is>
      </c>
      <c r="N109" s="44" t="inlineStr">
        <is>
          <t>Kayıttan doğrulandı</t>
        </is>
      </c>
      <c r="O109" s="44" t="n"/>
    </row>
    <row r="110" ht="54" customHeight="1">
      <c r="A110" s="44" t="inlineStr">
        <is>
          <t>sevilla:photo:teatro-lope-de-vega-02</t>
        </is>
      </c>
      <c r="B110" s="44" t="n"/>
      <c r="C110" s="44" t="inlineStr">
        <is>
          <t>https://commons.wikimedia.org/wiki/File:Lope_de_Vega_Theatre,_Seville,_Spain.jpg</t>
        </is>
      </c>
      <c r="D110" s="44" t="inlineStr">
        <is>
          <t>https://upload.wikimedia.org/wikipedia/commons/5/5d/Lope_de_Vega_Theatre%2C_Seville%2C_Spain.jpg</t>
        </is>
      </c>
      <c r="E110" s="44" t="inlineStr">
        <is>
          <t>https://thumb.wikimedia.org/wikipedia/commons/thumb/5/5d/Lope_de_Vega_Theatre%2C_Seville%2C_Spain.jpg/1280px-Lope_de_Vega_Theatre%2C_Seville%2C_Spain.jpg</t>
        </is>
      </c>
      <c r="F110" s="53" t="n">
        <v>46320</v>
      </c>
      <c r="G110" s="44" t="inlineStr">
        <is>
          <t>Fotoğraflar/sevilla_teatro-lope-de-vega_02.jpg</t>
        </is>
      </c>
      <c r="H110" s="44" t="inlineStr">
        <is>
          <t>6d831ce9e96139844576920a4d040c09267183e204ccb8ebfe498f1ffdc3bd05</t>
        </is>
      </c>
      <c r="I110" s="44" t="inlineStr">
        <is>
          <t>Teslimler/WebKopyalari/6d831ce9e96139844576920a4d040c09267183e204ccb8ebfe498f1ffdc3bd05.webp</t>
        </is>
      </c>
      <c r="J110" s="44" t="inlineStr">
        <is>
          <t>e62db8530bef80672e12fe4e2e5fceb45700efe98634f3d0bbe4dcb7298dbf6d</t>
        </is>
      </c>
      <c r="K110" s="44" t="n">
        <v>1280</v>
      </c>
      <c r="L110" s="44" t="n">
        <v>853</v>
      </c>
      <c r="M110" s="44" t="inlineStr">
        <is>
          <t>Özgün teslim dosyası korundu. EXIF yönü uygulandı; kırpma yapılmadan en çok 1600 px, WebP kalite 84. Önceki kaynak değişiklik notları ayrıca korunur.</t>
        </is>
      </c>
      <c r="N110" s="44" t="inlineStr">
        <is>
          <t>Eksik alan var</t>
        </is>
      </c>
      <c r="O110" s="44" t="inlineStr">
        <is>
          <t>Kaynakta ayrı fotoğrafçı profil bağlantısı bulunmadı; fotoğraf kaynak sayfasına atıf korunur. Bağlantı uydurulmaz.</t>
        </is>
      </c>
    </row>
    <row r="111" ht="54" customHeight="1">
      <c r="A111" s="44" t="inlineStr">
        <is>
          <t>sevilla:photo:teatro-lope-de-vega-03</t>
        </is>
      </c>
      <c r="B111" s="44" t="inlineStr">
        <is>
          <t>https://commons.wikimedia.org/wiki/User:Zarateman</t>
        </is>
      </c>
      <c r="C111" s="44" t="inlineStr">
        <is>
          <t>https://commons.wikimedia.org/wiki/User:Zarateman</t>
        </is>
      </c>
      <c r="D111" s="44" t="inlineStr">
        <is>
          <t>https://upload.wikimedia.org/wikipedia/commons/4/4f/Sevilla_-_Teatro_Lope_de_Vega_01.jpg</t>
        </is>
      </c>
      <c r="E111" s="44" t="inlineStr">
        <is>
          <t>https://thumb.wikimedia.org/wikipedia/commons/thumb/4/4f/Sevilla_-_Teatro_Lope_de_Vega_01.jpg/1280px-Sevilla_-_Teatro_Lope_de_Vega_01.jpg</t>
        </is>
      </c>
      <c r="F111" s="53" t="n">
        <v>46320</v>
      </c>
      <c r="G111" s="44" t="inlineStr">
        <is>
          <t>Fotoğraflar/sevilla_teatro-lope-de-vega_03.jpg</t>
        </is>
      </c>
      <c r="H111" s="44" t="inlineStr">
        <is>
          <t>fa0e0fa8b7075eb8d40591ff72a812e00b4b7a75fb375be3c7ab87cafedf4c99</t>
        </is>
      </c>
      <c r="I111" s="44" t="inlineStr">
        <is>
          <t>Teslimler/WebKopyalari/fa0e0fa8b7075eb8d40591ff72a812e00b4b7a75fb375be3c7ab87cafedf4c99.webp</t>
        </is>
      </c>
      <c r="J111" s="44" t="inlineStr">
        <is>
          <t>facc16de9274fd56948034732518c50f1ae146836fbdb2992bf19c1b4f236a0d</t>
        </is>
      </c>
      <c r="K111" s="44" t="n">
        <v>1280</v>
      </c>
      <c r="L111" s="44" t="n">
        <v>960</v>
      </c>
      <c r="M111" s="44" t="inlineStr">
        <is>
          <t>Özgün teslim dosyası korundu. EXIF yönü uygulandı; kırpma yapılmadan en çok 1600 px, WebP kalite 84. Önceki kaynak değişiklik notları ayrıca korunur.</t>
        </is>
      </c>
      <c r="N111" s="44" t="inlineStr">
        <is>
          <t>Kayıttan doğrulandı</t>
        </is>
      </c>
      <c r="O111" s="44" t="n"/>
    </row>
    <row r="112" ht="54" customHeight="1">
      <c r="A112" s="44" t="inlineStr">
        <is>
          <t>sevilla:photo:el-patio-sevillano-01</t>
        </is>
      </c>
      <c r="B112" s="44" t="inlineStr">
        <is>
          <t>https://commons.wikimedia.org/wiki/User:Holger_Uwe_Schmitt</t>
        </is>
      </c>
      <c r="C112" s="44" t="inlineStr">
        <is>
          <t>https://commons.wikimedia.org/wiki/User:Holger_Uwe_Schmitt</t>
        </is>
      </c>
      <c r="D112" s="44" t="inlineStr">
        <is>
          <t>https://upload.wikimedia.org/wikipedia/commons/8/8f/%22Flamenco_authentisch_und_beeindruckend%22._01.jpg</t>
        </is>
      </c>
      <c r="E112" s="44" t="inlineStr">
        <is>
          <t>https://thumb.wikimedia.org/wikipedia/commons/thumb/8/8f/%22Flamenco_authentisch_und_beeindruckend%22._01.jpg/1280px-%22Flamenco_authentisch_und_beeindruckend%22._01.jpg</t>
        </is>
      </c>
      <c r="F112" s="53" t="n">
        <v>46320</v>
      </c>
      <c r="G112" s="44" t="inlineStr">
        <is>
          <t>Fotoğraflar/sevilla_el-patio-sevillano_01.jpg</t>
        </is>
      </c>
      <c r="H112" s="44" t="inlineStr">
        <is>
          <t>3c24ccea55ad3046bd536dfc87f02631900debe49dd69e3a4273a53b07a4f0eb</t>
        </is>
      </c>
      <c r="I112" s="44" t="inlineStr">
        <is>
          <t>Teslimler/WebKopyalari/3c24ccea55ad3046bd536dfc87f02631900debe49dd69e3a4273a53b07a4f0eb.webp</t>
        </is>
      </c>
      <c r="J112" s="44" t="inlineStr">
        <is>
          <t>3badf32e8a9243cfe93ae748bb57915a0d30cd1790308cb5553c9362f40506da</t>
        </is>
      </c>
      <c r="K112" s="44" t="n">
        <v>1140</v>
      </c>
      <c r="L112" s="44" t="n">
        <v>1600</v>
      </c>
      <c r="M112" s="44" t="inlineStr">
        <is>
          <t>Özgün teslim dosyası korundu. EXIF yönü uygulandı; kırpma yapılmadan en çok 1600 px, WebP kalite 84. Önceki kaynak değişiklik notları ayrıca korunur.</t>
        </is>
      </c>
      <c r="N112" s="44" t="inlineStr">
        <is>
          <t>Kayıttan doğrulandı</t>
        </is>
      </c>
      <c r="O112" s="44" t="n"/>
    </row>
    <row r="113" ht="54" customHeight="1">
      <c r="A113" s="44" t="inlineStr">
        <is>
          <t>sevilla:photo:el-patio-sevillano-02</t>
        </is>
      </c>
      <c r="B113" s="44" t="inlineStr">
        <is>
          <t>https://commons.wikimedia.org/wiki/User:Holger_Uwe_Schmitt</t>
        </is>
      </c>
      <c r="C113" s="44" t="inlineStr">
        <is>
          <t>https://commons.wikimedia.org/wiki/User:Holger_Uwe_Schmitt</t>
        </is>
      </c>
      <c r="D113" s="44" t="inlineStr">
        <is>
          <t>https://upload.wikimedia.org/wikipedia/commons/2/2c/%22Flamenco_authentisch_und_beeindruckend%22._04.jpg</t>
        </is>
      </c>
      <c r="E113" s="44" t="inlineStr">
        <is>
          <t>https://thumb.wikimedia.org/wikipedia/commons/thumb/2/2c/%22Flamenco_authentisch_und_beeindruckend%22._04.jpg/1280px-%22Flamenco_authentisch_und_beeindruckend%22._04.jpg</t>
        </is>
      </c>
      <c r="F113" s="53" t="n">
        <v>46320</v>
      </c>
      <c r="G113" s="44" t="inlineStr">
        <is>
          <t>Fotoğraflar/sevilla_el-patio-sevillano_02.jpg</t>
        </is>
      </c>
      <c r="H113" s="44" t="inlineStr">
        <is>
          <t>57a2f2cec77495b4d81cadffa3a96c1accdab2e33b688c7beac9895bf7bfcb4c</t>
        </is>
      </c>
      <c r="I113" s="44" t="inlineStr">
        <is>
          <t>Teslimler/WebKopyalari/57a2f2cec77495b4d81cadffa3a96c1accdab2e33b688c7beac9895bf7bfcb4c.webp</t>
        </is>
      </c>
      <c r="J113" s="44" t="inlineStr">
        <is>
          <t>95de4763a129e2c0e55ea395eaec051c9f5745c71a16860f63f6f922f880b9b8</t>
        </is>
      </c>
      <c r="K113" s="44" t="n">
        <v>799</v>
      </c>
      <c r="L113" s="44" t="n">
        <v>1600</v>
      </c>
      <c r="M113" s="44" t="inlineStr">
        <is>
          <t>Özgün teslim dosyası korundu. EXIF yönü uygulandı; kırpma yapılmadan en çok 1600 px, WebP kalite 84. Önceki kaynak değişiklik notları ayrıca korunur.</t>
        </is>
      </c>
      <c r="N113" s="44" t="inlineStr">
        <is>
          <t>Kayıttan doğrulandı</t>
        </is>
      </c>
      <c r="O113" s="44" t="n"/>
    </row>
    <row r="114" ht="54" customHeight="1">
      <c r="A114" s="44" t="inlineStr">
        <is>
          <t>sevilla:photo:cartuja-center-cite-01</t>
        </is>
      </c>
      <c r="B114" s="44" t="inlineStr">
        <is>
          <t>https://commons.wikimedia.org/wiki/User:Jl_FilpoC</t>
        </is>
      </c>
      <c r="C114" s="44" t="inlineStr">
        <is>
          <t>https://commons.wikimedia.org/wiki/User:Jl_FilpoC</t>
        </is>
      </c>
      <c r="D114" s="44" t="inlineStr">
        <is>
          <t>https://upload.wikimedia.org/wikipedia/commons/a/a1/Cartuja_Center_City%2C_Cartuja_93_Sevilla.jpg</t>
        </is>
      </c>
      <c r="E114" s="44" t="inlineStr">
        <is>
          <t>https://thumb.wikimedia.org/wikipedia/commons/thumb/a/a1/Cartuja_Center_City%2C_Cartuja_93_Sevilla.jpg/1280px-Cartuja_Center_City%2C_Cartuja_93_Sevilla.jpg</t>
        </is>
      </c>
      <c r="F114" s="53" t="n">
        <v>46320</v>
      </c>
      <c r="G114" s="44" t="inlineStr">
        <is>
          <t>Fotoğraflar/sevilla_cartuja-center-cite_01.jpg</t>
        </is>
      </c>
      <c r="H114" s="44" t="inlineStr">
        <is>
          <t>5b528bcb378bde641d58e9c48aa7ed261aead94183d72d16e7abdc23c4bfef28</t>
        </is>
      </c>
      <c r="I114" s="44" t="inlineStr">
        <is>
          <t>Teslimler/WebKopyalari/5b528bcb378bde641d58e9c48aa7ed261aead94183d72d16e7abdc23c4bfef28.webp</t>
        </is>
      </c>
      <c r="J114" s="44" t="inlineStr">
        <is>
          <t>2663abbbce841dcebab476ff9d046f370d1741d2b82ca657c6eb90c433cdf918</t>
        </is>
      </c>
      <c r="K114" s="44" t="n">
        <v>1280</v>
      </c>
      <c r="L114" s="44" t="n">
        <v>720</v>
      </c>
      <c r="M114" s="44" t="inlineStr">
        <is>
          <t>Özgün teslim dosyası korundu. EXIF yönü uygulandı; kırpma yapılmadan en çok 1600 px, WebP kalite 84. Önceki kaynak değişiklik notları ayrıca korunur.</t>
        </is>
      </c>
      <c r="N114" s="44" t="inlineStr">
        <is>
          <t>Kayıttan doğrulandı</t>
        </is>
      </c>
      <c r="O114" s="44" t="n"/>
    </row>
    <row r="115" ht="54" customHeight="1">
      <c r="A115" s="44" t="inlineStr">
        <is>
          <t>sevilla:photo:cartuja-center-cite-02</t>
        </is>
      </c>
      <c r="B115" s="44" t="n"/>
      <c r="C115" s="44" t="inlineStr">
        <is>
          <t>https://commons.wikimedia.org/wiki/File:FACHADA_PRINCIPAL_-_VISTA_NOCTURNA_DETALLE.jpg</t>
        </is>
      </c>
      <c r="D115" s="44" t="inlineStr">
        <is>
          <t>https://upload.wikimedia.org/wikipedia/commons/d/d6/FACHADA_PRINCIPAL_-_VISTA_NOCTURNA_DETALLE.jpg</t>
        </is>
      </c>
      <c r="E115" s="44" t="inlineStr">
        <is>
          <t>https://thumb.wikimedia.org/wikipedia/commons/thumb/d/d6/FACHADA_PRINCIPAL_-_VISTA_NOCTURNA_DETALLE.jpg/1280px-FACHADA_PRINCIPAL_-_VISTA_NOCTURNA_DETALLE.jpg</t>
        </is>
      </c>
      <c r="F115" s="53" t="n">
        <v>46320</v>
      </c>
      <c r="G115" s="44" t="inlineStr">
        <is>
          <t>Fotoğraflar/sevilla_cartuja-center-cite_02.jpg</t>
        </is>
      </c>
      <c r="H115" s="44" t="inlineStr">
        <is>
          <t>f8851ded4716518ffe9bc341b77d51021254ea9aa367c3fb4b3227262fa9b9ef</t>
        </is>
      </c>
      <c r="I115" s="44" t="inlineStr">
        <is>
          <t>Teslimler/WebKopyalari/f8851ded4716518ffe9bc341b77d51021254ea9aa367c3fb4b3227262fa9b9ef.webp</t>
        </is>
      </c>
      <c r="J115" s="44" t="inlineStr">
        <is>
          <t>a7c16f77c696537fdc5a6894e4e8f89706f1b8d132d12ec89cf51c36e707cf46</t>
        </is>
      </c>
      <c r="K115" s="44" t="n">
        <v>1280</v>
      </c>
      <c r="L115" s="44" t="n">
        <v>853</v>
      </c>
      <c r="M115" s="44" t="inlineStr">
        <is>
          <t>Özgün teslim dosyası korundu. EXIF yönü uygulandı; kırpma yapılmadan en çok 1600 px, WebP kalite 84. Önceki kaynak değişiklik notları ayrıca korunur.</t>
        </is>
      </c>
      <c r="N115" s="44" t="inlineStr">
        <is>
          <t>Eksik alan var</t>
        </is>
      </c>
      <c r="O115" s="44" t="inlineStr">
        <is>
          <t>Kaynakta ayrı fotoğrafçı profil bağlantısı bulunmadı; fotoğraf kaynak sayfasına atıf korunur. Bağlantı uydurulmaz.</t>
        </is>
      </c>
    </row>
    <row r="116" ht="54" customHeight="1">
      <c r="A116" s="44" t="inlineStr">
        <is>
          <t>sevilla:photo:teatro-central-sevilla-01</t>
        </is>
      </c>
      <c r="B116" s="44" t="inlineStr">
        <is>
          <t>https://commons.wikimedia.org/wiki/User:CarlosVdeHabsburgo</t>
        </is>
      </c>
      <c r="C116" s="44" t="inlineStr">
        <is>
          <t>https://commons.wikimedia.org/wiki/User:CarlosVdeHabsburgo</t>
        </is>
      </c>
      <c r="D116" s="44" t="inlineStr">
        <is>
          <t>https://upload.wikimedia.org/wikipedia/commons/7/75/Teatro_Central_%28Sevilla%29.jpg</t>
        </is>
      </c>
      <c r="E116" s="44" t="inlineStr">
        <is>
          <t>https://thumb.wikimedia.org/wikipedia/commons/thumb/7/75/Teatro_Central_%28Sevilla%29.jpg/1280px-Teatro_Central_%28Sevilla%29.jpg</t>
        </is>
      </c>
      <c r="F116" s="53" t="n">
        <v>46320</v>
      </c>
      <c r="G116" s="44" t="inlineStr">
        <is>
          <t>Fotoğraflar/sevilla_teatro-central-sevilla_01.jpg</t>
        </is>
      </c>
      <c r="H116" s="44" t="inlineStr">
        <is>
          <t>8f83c7b01281f46699b6a9d238fa0e47179ca978f6f7845d65675da2f13ead83</t>
        </is>
      </c>
      <c r="I116" s="44" t="inlineStr">
        <is>
          <t>Teslimler/WebKopyalari/8f83c7b01281f46699b6a9d238fa0e47179ca978f6f7845d65675da2f13ead83.webp</t>
        </is>
      </c>
      <c r="J116" s="44" t="inlineStr">
        <is>
          <t>b7ec9b1e111f3dfdaef36567088ab63ec9fd1b6d86b46d0f76ee15e02d343c22</t>
        </is>
      </c>
      <c r="K116" s="44" t="n">
        <v>1280</v>
      </c>
      <c r="L116" s="44" t="n">
        <v>887</v>
      </c>
      <c r="M116" s="44" t="inlineStr">
        <is>
          <t>Özgün teslim dosyası korundu. EXIF yönü uygulandı; kırpma yapılmadan en çok 1600 px, WebP kalite 84. Önceki kaynak değişiklik notları ayrıca korunur.</t>
        </is>
      </c>
      <c r="N116" s="44" t="inlineStr">
        <is>
          <t>Kayıttan doğrulandı</t>
        </is>
      </c>
      <c r="O116" s="44" t="n"/>
    </row>
    <row r="117" ht="54" customHeight="1">
      <c r="A117" s="44" t="inlineStr">
        <is>
          <t>sevilla:photo:teatro-central-sevilla-02</t>
        </is>
      </c>
      <c r="B117" s="44" t="inlineStr">
        <is>
          <t>https://commons.wikimedia.org/wiki/User:CarlosVdeHabsburgo</t>
        </is>
      </c>
      <c r="C117" s="44" t="inlineStr">
        <is>
          <t>https://commons.wikimedia.org/wiki/User:CarlosVdeHabsburgo</t>
        </is>
      </c>
      <c r="D117" s="44" t="inlineStr">
        <is>
          <t>https://upload.wikimedia.org/wikipedia/commons/9/9f/Teatro_Central_1.JPG</t>
        </is>
      </c>
      <c r="E117" s="44" t="inlineStr">
        <is>
          <t>https://thumb.wikimedia.org/wikipedia/commons/thumb/9/9f/Teatro_Central_1.JPG/1280px-Teatro_Central_1.JPG</t>
        </is>
      </c>
      <c r="F117" s="53" t="n">
        <v>46320</v>
      </c>
      <c r="G117" s="44" t="inlineStr">
        <is>
          <t>Fotoğraflar/sevilla_teatro-central-sevilla_02.jpg</t>
        </is>
      </c>
      <c r="H117" s="44" t="inlineStr">
        <is>
          <t>7f9990fb23633115308939973b7ae86d3abc1d2219564c41b5c9c0598bf31080</t>
        </is>
      </c>
      <c r="I117" s="44" t="inlineStr">
        <is>
          <t>Teslimler/WebKopyalari/7f9990fb23633115308939973b7ae86d3abc1d2219564c41b5c9c0598bf31080.webp</t>
        </is>
      </c>
      <c r="J117" s="44" t="inlineStr">
        <is>
          <t>b29610a1a60d4741552e3d4a3a56e73eb48ab5b4ee0506a4e20346439f73ef6d</t>
        </is>
      </c>
      <c r="K117" s="44" t="n">
        <v>1200</v>
      </c>
      <c r="L117" s="44" t="n">
        <v>1600</v>
      </c>
      <c r="M117" s="44" t="inlineStr">
        <is>
          <t>Özgün teslim dosyası korundu. EXIF yönü uygulandı; kırpma yapılmadan en çok 1600 px, WebP kalite 84. Önceki kaynak değişiklik notları ayrıca korunur.</t>
        </is>
      </c>
      <c r="N117" s="44" t="inlineStr">
        <is>
          <t>Kayıttan doğrulandı</t>
        </is>
      </c>
      <c r="O117" s="44" t="n"/>
    </row>
    <row r="118" ht="54" customHeight="1">
      <c r="A118" s="44" t="inlineStr">
        <is>
          <t>sevilla:photo:teatro-central-sevilla-03</t>
        </is>
      </c>
      <c r="B118" s="44" t="inlineStr">
        <is>
          <t>https://commons.wikimedia.org/wiki/User:CarlosVdeHabsburgo</t>
        </is>
      </c>
      <c r="C118" s="44" t="inlineStr">
        <is>
          <t>https://commons.wikimedia.org/wiki/User:CarlosVdeHabsburgo</t>
        </is>
      </c>
      <c r="D118" s="44" t="inlineStr">
        <is>
          <t>https://upload.wikimedia.org/wikipedia/commons/9/9a/Teatro_Central_2.JPG</t>
        </is>
      </c>
      <c r="E118" s="44" t="inlineStr">
        <is>
          <t>https://thumb.wikimedia.org/wikipedia/commons/thumb/9/9a/Teatro_Central_2.JPG/1280px-Teatro_Central_2.JPG</t>
        </is>
      </c>
      <c r="F118" s="53" t="n">
        <v>46320</v>
      </c>
      <c r="G118" s="44" t="inlineStr">
        <is>
          <t>Fotoğraflar/sevilla_teatro-central-sevilla_03.jpg</t>
        </is>
      </c>
      <c r="H118" s="44" t="inlineStr">
        <is>
          <t>87faf05680c44a7c2e0b65bbf44928848b56e4c1aafad63f0ddc94e9e93621a2</t>
        </is>
      </c>
      <c r="I118" s="44" t="inlineStr">
        <is>
          <t>Teslimler/WebKopyalari/87faf05680c44a7c2e0b65bbf44928848b56e4c1aafad63f0ddc94e9e93621a2.webp</t>
        </is>
      </c>
      <c r="J118" s="44" t="inlineStr">
        <is>
          <t>e2fe5caaac5c57816c5fa1d18cfdc9b89f8f66771ab4c6d9fa080c712fe2c2da</t>
        </is>
      </c>
      <c r="K118" s="44" t="n">
        <v>1280</v>
      </c>
      <c r="L118" s="44" t="n">
        <v>960</v>
      </c>
      <c r="M118" s="44" t="inlineStr">
        <is>
          <t>Özgün teslim dosyası korundu. EXIF yönü uygulandı; kırpma yapılmadan en çok 1600 px, WebP kalite 84. Önceki kaynak değişiklik notları ayrıca korunur.</t>
        </is>
      </c>
      <c r="N118" s="44" t="inlineStr">
        <is>
          <t>Kayıttan doğrulandı</t>
        </is>
      </c>
      <c r="O118" s="44" t="n"/>
    </row>
    <row r="119" ht="54" customHeight="1">
      <c r="A119" s="44" t="inlineStr">
        <is>
          <t>sevilla:photo:auditorio-cartuja-sevilla-01</t>
        </is>
      </c>
      <c r="B119" s="44" t="n"/>
      <c r="C119" s="44" t="inlineStr">
        <is>
          <t>https://commons.wikimedia.org/wiki/File:Entrada_exterior.jpg</t>
        </is>
      </c>
      <c r="D119" s="44" t="inlineStr">
        <is>
          <t>https://upload.wikimedia.org/wikipedia/commons/6/67/Entrada_exterior.jpg</t>
        </is>
      </c>
      <c r="E119" s="44" t="inlineStr">
        <is>
          <t>https://thumb.wikimedia.org/wikipedia/commons/thumb/6/67/Entrada_exterior.jpg/1280px-Entrada_exterior.jpg</t>
        </is>
      </c>
      <c r="F119" s="53" t="n">
        <v>46320</v>
      </c>
      <c r="G119" s="44" t="inlineStr">
        <is>
          <t>Fotoğraflar/sevilla_auditorio-cartuja-sevilla_01.jpg</t>
        </is>
      </c>
      <c r="H119" s="44" t="inlineStr">
        <is>
          <t>1188a8dc7076557d353adea695eed2a4a9fdce2ede7ac940796b271df964a264</t>
        </is>
      </c>
      <c r="I119" s="44" t="inlineStr">
        <is>
          <t>Teslimler/WebKopyalari/1188a8dc7076557d353adea695eed2a4a9fdce2ede7ac940796b271df964a264.webp</t>
        </is>
      </c>
      <c r="J119" s="44" t="inlineStr">
        <is>
          <t>d40e4465a98e2025a93a1428d6e6bd6fee4cda6d18d8e1aa8145633073faaadf</t>
        </is>
      </c>
      <c r="K119" s="44" t="n">
        <v>1280</v>
      </c>
      <c r="L119" s="44" t="n">
        <v>960</v>
      </c>
      <c r="M119" s="44" t="inlineStr">
        <is>
          <t>Özgün teslim dosyası korundu. EXIF yönü uygulandı; kırpma yapılmadan en çok 1600 px, WebP kalite 84. Önceki kaynak değişiklik notları ayrıca korunur.</t>
        </is>
      </c>
      <c r="N119" s="44" t="inlineStr">
        <is>
          <t>Eksik alan var</t>
        </is>
      </c>
      <c r="O119" s="44" t="inlineStr">
        <is>
          <t>Kaynakta ayrı fotoğrafçı profil bağlantısı bulunmadı; fotoğraf kaynak sayfasına atıf korunur. Bağlantı uydurulmaz.</t>
        </is>
      </c>
    </row>
    <row r="120" ht="54" customHeight="1">
      <c r="A120" s="44" t="inlineStr">
        <is>
          <t>sevilla:photo:mercado-de-triana-01</t>
        </is>
      </c>
      <c r="B120" s="44" t="inlineStr">
        <is>
          <t>https://commons.wikimedia.org/wiki/User:Chabe01</t>
        </is>
      </c>
      <c r="C120" s="44" t="inlineStr">
        <is>
          <t>https://commons.wikimedia.org/wiki/User:Chabe01</t>
        </is>
      </c>
      <c r="D120" s="44" t="inlineStr">
        <is>
          <t>https://upload.wikimedia.org/wikipedia/commons/c/c9/Halles_March%C3%A9_Triana_-_S%C3%A9ville_%28ES61%29_-_2023-04-24_-_1.jpg</t>
        </is>
      </c>
      <c r="E120" s="44" t="inlineStr">
        <is>
          <t>https://thumb.wikimedia.org/wikipedia/commons/thumb/c/c9/Halles_March%C3%A9_Triana_-_S%C3%A9ville_%28ES61%29_-_2023-04-24_-_1.jpg/1280px-Halles_March%C3%A9_Triana_-_S%C3%A9ville_%28ES61%29_-_2023-04-24_-_1.jpg</t>
        </is>
      </c>
      <c r="F120" s="53" t="n">
        <v>46320</v>
      </c>
      <c r="G120" s="44" t="inlineStr">
        <is>
          <t>Fotoğraflar/sevilla_mercado-de-triana_01.jpg</t>
        </is>
      </c>
      <c r="H120" s="44" t="inlineStr">
        <is>
          <t>58c0dd89829f4b757be831109d23689434a724281031f30a44ab6b4037179d8d</t>
        </is>
      </c>
      <c r="I120" s="44" t="inlineStr">
        <is>
          <t>Teslimler/WebKopyalari/58c0dd89829f4b757be831109d23689434a724281031f30a44ab6b4037179d8d.webp</t>
        </is>
      </c>
      <c r="J120" s="44" t="inlineStr">
        <is>
          <t>f7325522cf0be0ac6267feae9fa035b705c8fa240bfca62a008e172e74415713</t>
        </is>
      </c>
      <c r="K120" s="44" t="n">
        <v>1280</v>
      </c>
      <c r="L120" s="44" t="n">
        <v>960</v>
      </c>
      <c r="M120" s="44" t="inlineStr">
        <is>
          <t>Özgün teslim dosyası korundu. EXIF yönü uygulandı; kırpma yapılmadan en çok 1600 px, WebP kalite 84. Önceki kaynak değişiklik notları ayrıca korunur.</t>
        </is>
      </c>
      <c r="N120" s="44" t="inlineStr">
        <is>
          <t>Kayıttan doğrulandı</t>
        </is>
      </c>
      <c r="O120" s="44" t="n"/>
    </row>
    <row r="121" ht="54" customHeight="1">
      <c r="A121" s="44" t="inlineStr">
        <is>
          <t>sevilla:photo:mercado-de-triana-02</t>
        </is>
      </c>
      <c r="B121" s="44" t="inlineStr">
        <is>
          <t>https://commons.wikimedia.org/wiki/User:Chabe01</t>
        </is>
      </c>
      <c r="C121" s="44" t="inlineStr">
        <is>
          <t>https://commons.wikimedia.org/wiki/User:Chabe01</t>
        </is>
      </c>
      <c r="D121" s="44" t="inlineStr">
        <is>
          <t>https://upload.wikimedia.org/wikipedia/commons/c/cd/Halles_March%C3%A9_Triana_-_S%C3%A9ville_%28ES61%29_-_2023-04-24_-_2.jpg</t>
        </is>
      </c>
      <c r="E121" s="44" t="inlineStr">
        <is>
          <t>https://thumb.wikimedia.org/wikipedia/commons/thumb/c/cd/Halles_March%C3%A9_Triana_-_S%C3%A9ville_%28ES61%29_-_2023-04-24_-_2.jpg/1280px-Halles_March%C3%A9_Triana_-_S%C3%A9ville_%28ES61%29_-_2023-04-24_-_2.jpg</t>
        </is>
      </c>
      <c r="F121" s="53" t="n">
        <v>46320</v>
      </c>
      <c r="G121" s="44" t="inlineStr">
        <is>
          <t>Fotoğraflar/sevilla_mercado-de-triana_02.jpg</t>
        </is>
      </c>
      <c r="H121" s="44" t="inlineStr">
        <is>
          <t>ab3ccdcb68609eefafb7c78aaae3fa8b0e5b7c1e868b574c32838909cdd023da</t>
        </is>
      </c>
      <c r="I121" s="44" t="inlineStr">
        <is>
          <t>Teslimler/WebKopyalari/ab3ccdcb68609eefafb7c78aaae3fa8b0e5b7c1e868b574c32838909cdd023da.webp</t>
        </is>
      </c>
      <c r="J121" s="44" t="inlineStr">
        <is>
          <t>acb8c2633121bd2cb2679cc34fa5d29a08a3150ca331478a4dd058ec389946e9</t>
        </is>
      </c>
      <c r="K121" s="44" t="n">
        <v>1280</v>
      </c>
      <c r="L121" s="44" t="n">
        <v>960</v>
      </c>
      <c r="M121" s="44" t="inlineStr">
        <is>
          <t>Özgün teslim dosyası korundu. EXIF yönü uygulandı; kırpma yapılmadan en çok 1600 px, WebP kalite 84. Önceki kaynak değişiklik notları ayrıca korunur.</t>
        </is>
      </c>
      <c r="N121" s="44" t="inlineStr">
        <is>
          <t>Kayıttan doğrulandı</t>
        </is>
      </c>
      <c r="O121" s="44" t="n"/>
    </row>
    <row r="122" ht="54" customHeight="1">
      <c r="A122" s="44" t="inlineStr">
        <is>
          <t>sevilla:photo:mercado-de-la-calle-feria-01</t>
        </is>
      </c>
      <c r="B122" s="44" t="inlineStr">
        <is>
          <t>https://commons.wikimedia.org/wiki/User:Zarateman</t>
        </is>
      </c>
      <c r="C122" s="44" t="inlineStr">
        <is>
          <t>https://commons.wikimedia.org/wiki/User:Zarateman</t>
        </is>
      </c>
      <c r="D122" s="44" t="inlineStr">
        <is>
          <t>https://upload.wikimedia.org/wikipedia/commons/d/d4/Sevilla_-_Mercado_de_Feria_8.jpg</t>
        </is>
      </c>
      <c r="E122" s="44" t="inlineStr">
        <is>
          <t>https://thumb.wikimedia.org/wikipedia/commons/thumb/d/d4/Sevilla_-_Mercado_de_Feria_8.jpg/1280px-Sevilla_-_Mercado_de_Feria_8.jpg</t>
        </is>
      </c>
      <c r="F122" s="53" t="n">
        <v>46320</v>
      </c>
      <c r="G122" s="44" t="inlineStr">
        <is>
          <t>Fotoğraflar/sevilla_mercado-de-la-calle-feria_01.jpg</t>
        </is>
      </c>
      <c r="H122" s="44" t="inlineStr">
        <is>
          <t>d8c741574546ab63daddcfd06a182f27802ee05e28f623d4a0bd16699990c504</t>
        </is>
      </c>
      <c r="I122" s="44" t="inlineStr">
        <is>
          <t>Teslimler/WebKopyalari/d8c741574546ab63daddcfd06a182f27802ee05e28f623d4a0bd16699990c504.webp</t>
        </is>
      </c>
      <c r="J122" s="44" t="inlineStr">
        <is>
          <t>6575d11d524ebe12806d933bf0ec12ff5194ff2142d9d43c12e86f2145f885ee</t>
        </is>
      </c>
      <c r="K122" s="44" t="n">
        <v>1280</v>
      </c>
      <c r="L122" s="44" t="n">
        <v>960</v>
      </c>
      <c r="M122" s="44" t="inlineStr">
        <is>
          <t>Özgün teslim dosyası korundu. EXIF yönü uygulandı; kırpma yapılmadan en çok 1600 px, WebP kalite 84. Önceki kaynak değişiklik notları ayrıca korunur.</t>
        </is>
      </c>
      <c r="N122" s="44" t="inlineStr">
        <is>
          <t>Kayıttan doğrulandı</t>
        </is>
      </c>
      <c r="O122" s="44" t="n"/>
    </row>
    <row r="123" ht="54" customHeight="1">
      <c r="A123" s="44" t="inlineStr">
        <is>
          <t>sevilla:photo:el-rinconcillo-01</t>
        </is>
      </c>
      <c r="B123" s="44" t="inlineStr">
        <is>
          <t>https://www.flickr.com/people/72675636@N00</t>
        </is>
      </c>
      <c r="C123" s="44" t="inlineStr">
        <is>
          <t>https://www.flickr.com/people/72675636@N00</t>
        </is>
      </c>
      <c r="D123" s="44" t="inlineStr">
        <is>
          <t>https://upload.wikimedia.org/wikipedia/commons/4/4a/El_Rinconcillo_%28108215924%29.jpg</t>
        </is>
      </c>
      <c r="E123" s="44" t="inlineStr">
        <is>
          <t>https://thumb.wikimedia.org/wikipedia/commons/thumb/4/4a/El_Rinconcillo_%28108215924%29.jpg/1280px-El_Rinconcillo_%28108215924%29.jpg</t>
        </is>
      </c>
      <c r="F123" s="53" t="n">
        <v>46320</v>
      </c>
      <c r="G123" s="44" t="inlineStr">
        <is>
          <t>Fotoğraflar/sevilla_el-rinconcillo_01.jpg</t>
        </is>
      </c>
      <c r="H123" s="44" t="inlineStr">
        <is>
          <t>dff63103a2fef2b2ae0bc249199b67de1d1da2f71a009a537768be6b5214b7f9</t>
        </is>
      </c>
      <c r="I123" s="44" t="inlineStr">
        <is>
          <t>Teslimler/WebKopyalari/dff63103a2fef2b2ae0bc249199b67de1d1da2f71a009a537768be6b5214b7f9.webp</t>
        </is>
      </c>
      <c r="J123" s="44" t="inlineStr">
        <is>
          <t>b9702b57e933894ecfd82a2edf52047de995ac264de4ddafbfe3dc88dca354d3</t>
        </is>
      </c>
      <c r="K123" s="44" t="n">
        <v>1280</v>
      </c>
      <c r="L123" s="44" t="n">
        <v>960</v>
      </c>
      <c r="M123" s="44" t="inlineStr">
        <is>
          <t>Özgün teslim dosyası korundu. EXIF yönü uygulandı; kırpma yapılmadan en çok 1600 px, WebP kalite 84. Önceki kaynak değişiklik notları ayrıca korunur.</t>
        </is>
      </c>
      <c r="N123" s="44" t="inlineStr">
        <is>
          <t>Kayıttan doğrulandı</t>
        </is>
      </c>
      <c r="O123" s="44" t="n"/>
    </row>
    <row r="124" ht="54" customHeight="1">
      <c r="A124" s="44" t="inlineStr">
        <is>
          <t>sevilla:photo:el-rinconcillo-02</t>
        </is>
      </c>
      <c r="B124" s="44" t="inlineStr">
        <is>
          <t>https://commons.wikimedia.org/wiki/User:CarlosVdeHabsburgo</t>
        </is>
      </c>
      <c r="C124" s="44" t="inlineStr">
        <is>
          <t>https://commons.wikimedia.org/wiki/User:CarlosVdeHabsburgo</t>
        </is>
      </c>
      <c r="D124" s="44" t="inlineStr">
        <is>
          <t>https://upload.wikimedia.org/wikipedia/commons/8/87/El_Rinconcillo_%28Sevilla%29.jpg</t>
        </is>
      </c>
      <c r="E124" s="44" t="inlineStr">
        <is>
          <t>https://thumb.wikimedia.org/wikipedia/commons/thumb/8/87/El_Rinconcillo_%28Sevilla%29.jpg/1280px-El_Rinconcillo_%28Sevilla%29.jpg</t>
        </is>
      </c>
      <c r="F124" s="53" t="n">
        <v>46320</v>
      </c>
      <c r="G124" s="44" t="inlineStr">
        <is>
          <t>Fotoğraflar/sevilla_el-rinconcillo_02.jpg</t>
        </is>
      </c>
      <c r="H124" s="44" t="inlineStr">
        <is>
          <t>1ddfbcb06922f48896bdcd1e210f24fa59629392033916159316437479698718</t>
        </is>
      </c>
      <c r="I124" s="44" t="inlineStr">
        <is>
          <t>Teslimler/WebKopyalari/1ddfbcb06922f48896bdcd1e210f24fa59629392033916159316437479698718.webp</t>
        </is>
      </c>
      <c r="J124" s="44" t="inlineStr">
        <is>
          <t>0ce073792d2dab623e6178bd29abbd57f73f3078477b09f023f851eab81c0a9b</t>
        </is>
      </c>
      <c r="K124" s="44" t="n">
        <v>1262</v>
      </c>
      <c r="L124" s="44" t="n">
        <v>1600</v>
      </c>
      <c r="M124" s="44" t="inlineStr">
        <is>
          <t>Özgün teslim dosyası korundu. EXIF yönü uygulandı; kırpma yapılmadan en çok 1600 px, WebP kalite 84. Önceki kaynak değişiklik notları ayrıca korunur.</t>
        </is>
      </c>
      <c r="N124" s="44" t="inlineStr">
        <is>
          <t>Kayıttan doğrulandı</t>
        </is>
      </c>
      <c r="O124" s="44" t="n"/>
    </row>
    <row r="125" ht="54" customHeight="1">
      <c r="A125" s="44" t="inlineStr">
        <is>
          <t>sevilla:photo:el-rinconcillo-03</t>
        </is>
      </c>
      <c r="B125" s="44" t="inlineStr">
        <is>
          <t>https://commons.wikimedia.org/wiki/User:CarlosVdeHabsburgo</t>
        </is>
      </c>
      <c r="C125" s="44" t="inlineStr">
        <is>
          <t>https://commons.wikimedia.org/wiki/User:CarlosVdeHabsburgo</t>
        </is>
      </c>
      <c r="D125" s="44" t="inlineStr">
        <is>
          <t>https://upload.wikimedia.org/wikipedia/commons/f/fb/El_Rinconcillo.jpg</t>
        </is>
      </c>
      <c r="E125" s="44" t="inlineStr">
        <is>
          <t>https://thumb.wikimedia.org/wikipedia/commons/thumb/f/fb/El_Rinconcillo.jpg/1280px-El_Rinconcillo.jpg</t>
        </is>
      </c>
      <c r="F125" s="53" t="n">
        <v>46320</v>
      </c>
      <c r="G125" s="44" t="inlineStr">
        <is>
          <t>Fotoğraflar/sevilla_el-rinconcillo_03.jpg</t>
        </is>
      </c>
      <c r="H125" s="44" t="inlineStr">
        <is>
          <t>1947d2bddf7bbd4e0bd470a17bdc6846fd1e8b52285b6edefbcdee06ea86895b</t>
        </is>
      </c>
      <c r="I125" s="44" t="inlineStr">
        <is>
          <t>Teslimler/WebKopyalari/1947d2bddf7bbd4e0bd470a17bdc6846fd1e8b52285b6edefbcdee06ea86895b.webp</t>
        </is>
      </c>
      <c r="J125" s="44" t="inlineStr">
        <is>
          <t>c7cdf3bc03485e6d1907a3eb4e1888f0eb68f65f6a18a8893dbe3e1ad2ac19bd</t>
        </is>
      </c>
      <c r="K125" s="44" t="n">
        <v>1280</v>
      </c>
      <c r="L125" s="44" t="n">
        <v>786</v>
      </c>
      <c r="M125" s="44" t="inlineStr">
        <is>
          <t>Özgün teslim dosyası korundu. EXIF yönü uygulandı; kırpma yapılmadan en çok 1600 px, WebP kalite 84. Önceki kaynak değişiklik notları ayrıca korunur.</t>
        </is>
      </c>
      <c r="N125" s="44" t="inlineStr">
        <is>
          <t>Kayıttan doğrulandı</t>
        </is>
      </c>
      <c r="O125" s="44" t="n"/>
    </row>
    <row r="126" ht="54" customHeight="1">
      <c r="A126" s="44" t="inlineStr">
        <is>
          <t>sevilla:photo:catedral-de-sevilla-giralda-01</t>
        </is>
      </c>
      <c r="B126" s="44" t="n"/>
      <c r="C126" s="44" t="inlineStr">
        <is>
          <t>https://commons.wikimedia.org/wiki/File:CATEDRAL_DE_SEVILLA.jpg</t>
        </is>
      </c>
      <c r="D126" s="44" t="inlineStr">
        <is>
          <t>https://upload.wikimedia.org/wikipedia/commons/a/ab/CATEDRAL_DE_SEVILLA.jpg</t>
        </is>
      </c>
      <c r="E126" s="44" t="inlineStr">
        <is>
          <t>https://thumb.wikimedia.org/wikipedia/commons/thumb/a/ab/CATEDRAL_DE_SEVILLA.jpg/1280px-CATEDRAL_DE_SEVILLA.jpg</t>
        </is>
      </c>
      <c r="F126" s="53" t="n">
        <v>46320</v>
      </c>
      <c r="G126" s="44" t="inlineStr">
        <is>
          <t>Fotoğraflar/sevilla_catedral-de-sevilla-giralda_01.jpg</t>
        </is>
      </c>
      <c r="H126" s="44" t="inlineStr">
        <is>
          <t>2dbfca3a9cd5507924bc3ddcdf4964caf4c02ff5f75aa95471ab8fcb3ac3dede</t>
        </is>
      </c>
      <c r="I126" s="44" t="inlineStr">
        <is>
          <t>Teslimler/WebKopyalari/2dbfca3a9cd5507924bc3ddcdf4964caf4c02ff5f75aa95471ab8fcb3ac3dede.webp</t>
        </is>
      </c>
      <c r="J126" s="44" t="inlineStr">
        <is>
          <t>12294bbf52fcbbe8f36ee76ce798b1c389914038600059d633b04cfa47d78ca6</t>
        </is>
      </c>
      <c r="K126" s="44" t="n">
        <v>1280</v>
      </c>
      <c r="L126" s="44" t="n">
        <v>853</v>
      </c>
      <c r="M126" s="44" t="inlineStr">
        <is>
          <t>Özgün teslim dosyası korundu. EXIF yönü uygulandı; kırpma yapılmadan en çok 1600 px, WebP kalite 84. Önceki kaynak değişiklik notları ayrıca korunur.</t>
        </is>
      </c>
      <c r="N126" s="44" t="inlineStr">
        <is>
          <t>Eksik alan var</t>
        </is>
      </c>
      <c r="O126" s="44" t="inlineStr">
        <is>
          <t>Kaynakta ayrı fotoğrafçı profil bağlantısı bulunmadı; fotoğraf kaynak sayfasına atıf korunur. Bağlantı uydurulmaz.</t>
        </is>
      </c>
    </row>
    <row r="127" ht="54" customHeight="1">
      <c r="A127" s="44" t="inlineStr">
        <is>
          <t>sevilla:photo:catedral-de-sevilla-giralda-02</t>
        </is>
      </c>
      <c r="B127" s="44" t="inlineStr">
        <is>
          <t>https://commons.wikimedia.org/wiki/User:Azukiki</t>
        </is>
      </c>
      <c r="C127" s="44" t="inlineStr">
        <is>
          <t>https://commons.wikimedia.org/wiki/User:Azukiki</t>
        </is>
      </c>
      <c r="D127" s="44" t="inlineStr">
        <is>
          <t>https://upload.wikimedia.org/wikipedia/commons/5/52/Catedral_de_Sevilla_y_Giralda..jpg</t>
        </is>
      </c>
      <c r="E127" s="44" t="inlineStr">
        <is>
          <t>https://thumb.wikimedia.org/wikipedia/commons/thumb/5/52/Catedral_de_Sevilla_y_Giralda..jpg/1280px-Catedral_de_Sevilla_y_Giralda..jpg</t>
        </is>
      </c>
      <c r="F127" s="53" t="n">
        <v>46320</v>
      </c>
      <c r="G127" s="44" t="inlineStr">
        <is>
          <t>Fotoğraflar/sevilla_catedral-de-sevilla-giralda_02.jpg</t>
        </is>
      </c>
      <c r="H127" s="44" t="inlineStr">
        <is>
          <t>5366011487389bf811ebc88dd44fa9021c4d2107a2390c5f881be8bfa86bba7f</t>
        </is>
      </c>
      <c r="I127" s="44" t="inlineStr">
        <is>
          <t>Teslimler/WebKopyalari/5366011487389bf811ebc88dd44fa9021c4d2107a2390c5f881be8bfa86bba7f.webp</t>
        </is>
      </c>
      <c r="J127" s="44" t="inlineStr">
        <is>
          <t>e901476d22c840934be9d108c30b4dcd950b73a6b32b71be3899c72ba02efc71</t>
        </is>
      </c>
      <c r="K127" s="44" t="n">
        <v>1280</v>
      </c>
      <c r="L127" s="44" t="n">
        <v>960</v>
      </c>
      <c r="M127" s="44" t="inlineStr">
        <is>
          <t>Özgün teslim dosyası korundu. EXIF yönü uygulandı; kırpma yapılmadan en çok 1600 px, WebP kalite 84. Önceki kaynak değişiklik notları ayrıca korunur.</t>
        </is>
      </c>
      <c r="N127" s="44" t="inlineStr">
        <is>
          <t>Kayıttan doğrulandı</t>
        </is>
      </c>
      <c r="O127" s="44" t="n"/>
    </row>
    <row r="128" ht="54" customHeight="1">
      <c r="A128" s="44" t="inlineStr">
        <is>
          <t>sevilla:photo:catedral-de-sevilla-giralda-03</t>
        </is>
      </c>
      <c r="B128" s="44" t="n"/>
      <c r="C128" s="44" t="inlineStr">
        <is>
          <t>https://commons.wikimedia.org/wiki/File:La_catedral_de_Sevilla_-_Cathedral_of_Seville_-_Tagzania_-_1776588949777.jpg</t>
        </is>
      </c>
      <c r="D128" s="44" t="inlineStr">
        <is>
          <t>https://upload.wikimedia.org/wikipedia/commons/f/f8/La_catedral_de_Sevilla_-_Cathedral_of_Seville_-_Tagzania_-_1776588949777.jpg</t>
        </is>
      </c>
      <c r="E128" s="44" t="inlineStr">
        <is>
          <t>https://thumb.wikimedia.org/wikipedia/commons/thumb/f/f8/La_catedral_de_Sevilla_-_Cathedral_of_Seville_-_Tagzania_-_1776588949777.jpg/1280px-La_catedral_de_Sevilla_-_Cathedral_of_Seville_-_Tagzania_-_1776588949777.jpg</t>
        </is>
      </c>
      <c r="F128" s="53" t="n">
        <v>46320</v>
      </c>
      <c r="G128" s="44" t="inlineStr">
        <is>
          <t>Fotoğraflar/sevilla_catedral-de-sevilla-giralda_03.jpg</t>
        </is>
      </c>
      <c r="H128" s="44" t="inlineStr">
        <is>
          <t>652f7effc7c580552e3e4112bed3c3927860a3b8c63ff794018c3051fb41872d</t>
        </is>
      </c>
      <c r="I128" s="44" t="inlineStr">
        <is>
          <t>Teslimler/WebKopyalari/652f7effc7c580552e3e4112bed3c3927860a3b8c63ff794018c3051fb41872d.webp</t>
        </is>
      </c>
      <c r="J128" s="44" t="inlineStr">
        <is>
          <t>ddf07e9e15a60b976f5aab7cd735772051637cd3e807b43aee693c9c237cf68f</t>
        </is>
      </c>
      <c r="K128" s="44" t="n">
        <v>1200</v>
      </c>
      <c r="L128" s="44" t="n">
        <v>1600</v>
      </c>
      <c r="M128" s="44" t="inlineStr">
        <is>
          <t>Özgün teslim dosyası korundu. EXIF yönü uygulandı; kırpma yapılmadan en çok 1600 px, WebP kalite 84. Önceki kaynak değişiklik notları ayrıca korunur.</t>
        </is>
      </c>
      <c r="N128" s="44" t="inlineStr">
        <is>
          <t>Eksik alan var</t>
        </is>
      </c>
      <c r="O128" s="44" t="inlineStr">
        <is>
          <t>Kaynakta ayrı fotoğrafçı profil bağlantısı bulunmadı; fotoğraf kaynak sayfasına atıf korunur. Bağlantı uydurulmaz.</t>
        </is>
      </c>
    </row>
    <row r="129" ht="54" customHeight="1">
      <c r="A129" s="44" t="inlineStr">
        <is>
          <t>sevilla:photo:casa-de-pilatos-01</t>
        </is>
      </c>
      <c r="B129" s="44" t="inlineStr">
        <is>
          <t>https://commons.wikimedia.org/wiki/User:Jl_FilpoC</t>
        </is>
      </c>
      <c r="C129" s="44" t="inlineStr">
        <is>
          <t>https://commons.wikimedia.org/wiki/User:Jl_FilpoC</t>
        </is>
      </c>
      <c r="D129" s="44" t="inlineStr">
        <is>
          <t>https://upload.wikimedia.org/wikipedia/commons/6/6a/Artesonado_del_Sal%C3%B3n_del_Pretorio%2C_Casa_de_Pilatos_%28Sevilla%29.jpg</t>
        </is>
      </c>
      <c r="E129" s="44" t="inlineStr">
        <is>
          <t>https://thumb.wikimedia.org/wikipedia/commons/thumb/6/6a/Artesonado_del_Sal%C3%B3n_del_Pretorio%2C_Casa_de_Pilatos_%28Sevilla%29.jpg/1280px-Artesonado_del_Sal%C3%B3n_del_Pretorio%2C_Casa_de_Pilatos_%28Sevilla%29.jpg</t>
        </is>
      </c>
      <c r="F129" s="53" t="n">
        <v>46320</v>
      </c>
      <c r="G129" s="44" t="inlineStr">
        <is>
          <t>Fotoğraflar/sevilla_casa-de-pilatos_01.jpg</t>
        </is>
      </c>
      <c r="H129" s="44" t="inlineStr">
        <is>
          <t>a50ee518269143600c995c9c4f0dc6c73230964b147c0c6dcf4799a69f8f1550</t>
        </is>
      </c>
      <c r="I129" s="44" t="inlineStr">
        <is>
          <t>Teslimler/WebKopyalari/a50ee518269143600c995c9c4f0dc6c73230964b147c0c6dcf4799a69f8f1550.webp</t>
        </is>
      </c>
      <c r="J129" s="44" t="inlineStr">
        <is>
          <t>1e6b7a645f67ca85e816508a9d4da3d2dc1c953046a1fa514b2cf2b08006e939</t>
        </is>
      </c>
      <c r="K129" s="44" t="n">
        <v>1280</v>
      </c>
      <c r="L129" s="44" t="n">
        <v>853</v>
      </c>
      <c r="M129" s="44" t="inlineStr">
        <is>
          <t>Özgün teslim dosyası korundu. EXIF yönü uygulandı; kırpma yapılmadan en çok 1600 px, WebP kalite 84. Önceki kaynak değişiklik notları ayrıca korunur.</t>
        </is>
      </c>
      <c r="N129" s="44" t="inlineStr">
        <is>
          <t>Kayıttan doğrulandı</t>
        </is>
      </c>
      <c r="O129" s="44" t="n"/>
    </row>
    <row r="130" ht="54" customHeight="1">
      <c r="A130" s="44" t="inlineStr">
        <is>
          <t>sevilla:photo:casa-de-pilatos-02</t>
        </is>
      </c>
      <c r="B130" s="44" t="n"/>
      <c r="C130" s="44" t="inlineStr">
        <is>
          <t>https://commons.wikimedia.org/wiki/File:Casa_de_Pilatos,_Sevilla_SP(1).jpg</t>
        </is>
      </c>
      <c r="D130" s="44" t="inlineStr">
        <is>
          <t>https://upload.wikimedia.org/wikipedia/commons/a/a3/Casa_de_Pilatos%2C_Sevilla_SP%281%29.jpg</t>
        </is>
      </c>
      <c r="E130" s="44" t="inlineStr">
        <is>
          <t>https://thumb.wikimedia.org/wikipedia/commons/thumb/a/a3/Casa_de_Pilatos%2C_Sevilla_SP%281%29.jpg/1280px-Casa_de_Pilatos%2C_Sevilla_SP%281%29.jpg</t>
        </is>
      </c>
      <c r="F130" s="53" t="n">
        <v>46320</v>
      </c>
      <c r="G130" s="44" t="inlineStr">
        <is>
          <t>Fotoğraflar/sevilla_casa-de-pilatos_02.jpg</t>
        </is>
      </c>
      <c r="H130" s="44" t="inlineStr">
        <is>
          <t>e64f41a32beba63b24fd001ed431d55939d6cfd2fa59dfd88d538c91d3f3a49b</t>
        </is>
      </c>
      <c r="I130" s="44" t="inlineStr">
        <is>
          <t>Teslimler/WebKopyalari/e64f41a32beba63b24fd001ed431d55939d6cfd2fa59dfd88d538c91d3f3a49b.webp</t>
        </is>
      </c>
      <c r="J130" s="44" t="inlineStr">
        <is>
          <t>26d50d3799ea42361a4408e9eae88ae15ccb6644feb1657f527009760c8873ef</t>
        </is>
      </c>
      <c r="K130" s="44" t="n">
        <v>1064</v>
      </c>
      <c r="L130" s="44" t="n">
        <v>1600</v>
      </c>
      <c r="M130" s="44" t="inlineStr">
        <is>
          <t>Özgün teslim dosyası korundu. EXIF yönü uygulandı; kırpma yapılmadan en çok 1600 px, WebP kalite 84. Önceki kaynak değişiklik notları ayrıca korunur.</t>
        </is>
      </c>
      <c r="N130" s="44" t="inlineStr">
        <is>
          <t>Eksik alan var</t>
        </is>
      </c>
      <c r="O130" s="44" t="inlineStr">
        <is>
          <t>Kaynakta ayrı fotoğrafçı profil bağlantısı bulunmadı; fotoğraf kaynak sayfasına atıf korunur. Bağlantı uydurulmaz.</t>
        </is>
      </c>
    </row>
    <row r="131" ht="54" customHeight="1">
      <c r="A131" s="44" t="inlineStr">
        <is>
          <t>sevilla:photo:basilica-de-la-macarena-01</t>
        </is>
      </c>
      <c r="B131" s="44" t="n"/>
      <c r="C131" s="44" t="inlineStr">
        <is>
          <t>https://commons.wikimedia.org/wiki/File:Bas%C3%ADlica_Macarena_paso_Rosario.jpg</t>
        </is>
      </c>
      <c r="D131" s="44" t="inlineStr">
        <is>
          <t>https://upload.wikimedia.org/wikipedia/commons/5/57/Bas%C3%ADlica_Macarena_paso_Rosario.jpg</t>
        </is>
      </c>
      <c r="E131" s="44" t="inlineStr">
        <is>
          <t>https://thumb.wikimedia.org/wikipedia/commons/thumb/5/57/Bas%C3%ADlica_Macarena_paso_Rosario.jpg/1280px-Bas%C3%ADlica_Macarena_paso_Rosario.jpg</t>
        </is>
      </c>
      <c r="F131" s="53" t="n">
        <v>46320</v>
      </c>
      <c r="G131" s="44" t="inlineStr">
        <is>
          <t>Fotoğraflar/sevilla_basilica-de-la-macarena_01.jpg</t>
        </is>
      </c>
      <c r="H131" s="44" t="inlineStr">
        <is>
          <t>f1a003c83cdcb2c31414e2f3cea4662839de4199b280a0e5511cbbb00fb3cae8</t>
        </is>
      </c>
      <c r="I131" s="44" t="inlineStr">
        <is>
          <t>Teslimler/WebKopyalari/f1a003c83cdcb2c31414e2f3cea4662839de4199b280a0e5511cbbb00fb3cae8.webp</t>
        </is>
      </c>
      <c r="J131" s="44" t="inlineStr">
        <is>
          <t>1af10b8fafce3c61f9e09a86b82f249edf77c8c4cd088ccb88b1b6a5be0cfd2b</t>
        </is>
      </c>
      <c r="K131" s="44" t="n">
        <v>900</v>
      </c>
      <c r="L131" s="44" t="n">
        <v>1600</v>
      </c>
      <c r="M131" s="44" t="inlineStr">
        <is>
          <t>Özgün teslim dosyası korundu. EXIF yönü uygulandı; kırpma yapılmadan en çok 1600 px, WebP kalite 84. Önceki kaynak değişiklik notları ayrıca korunur.</t>
        </is>
      </c>
      <c r="N131" s="44" t="inlineStr">
        <is>
          <t>Eksik alan var</t>
        </is>
      </c>
      <c r="O131" s="44" t="inlineStr">
        <is>
          <t>Kaynakta ayrı fotoğrafçı profil bağlantısı bulunmadı; fotoğraf kaynak sayfasına atıf korunur. Bağlantı uydurulmaz.</t>
        </is>
      </c>
    </row>
    <row r="132" ht="54" customHeight="1">
      <c r="A132" s="44" t="inlineStr">
        <is>
          <t>sevilla:photo:basilica-de-la-macarena-02</t>
        </is>
      </c>
      <c r="B132" s="44" t="n"/>
      <c r="C132" s="44" t="inlineStr">
        <is>
          <t>https://commons.wikimedia.org/wiki/File:Campanario_del_Templo_de_la_Macarena_en_Sevilla.JPG</t>
        </is>
      </c>
      <c r="D132" s="44" t="inlineStr">
        <is>
          <t>https://upload.wikimedia.org/wikipedia/commons/1/15/Campanario_del_Templo_de_la_Macarena_en_Sevilla.JPG</t>
        </is>
      </c>
      <c r="E132" s="44" t="inlineStr">
        <is>
          <t>https://thumb.wikimedia.org/wikipedia/commons/thumb/1/15/Campanario_del_Templo_de_la_Macarena_en_Sevilla.JPG/1280px-Campanario_del_Templo_de_la_Macarena_en_Sevilla.JPG</t>
        </is>
      </c>
      <c r="F132" s="53" t="n">
        <v>46320</v>
      </c>
      <c r="G132" s="44" t="inlineStr">
        <is>
          <t>Fotoğraflar/sevilla_basilica-de-la-macarena_02.jpg</t>
        </is>
      </c>
      <c r="H132" s="44" t="inlineStr">
        <is>
          <t>b4369490dcada1487afd26593b2b6af60a71eef30eebff3d4925b1b9808bbc75</t>
        </is>
      </c>
      <c r="I132" s="44" t="inlineStr">
        <is>
          <t>Teslimler/WebKopyalari/b4369490dcada1487afd26593b2b6af60a71eef30eebff3d4925b1b9808bbc75.webp</t>
        </is>
      </c>
      <c r="J132" s="44" t="inlineStr">
        <is>
          <t>43c857a108186732becc2b621fc840fa003437bb4258ef38c6a824a087ceeded</t>
        </is>
      </c>
      <c r="K132" s="44" t="n">
        <v>1280</v>
      </c>
      <c r="L132" s="44" t="n">
        <v>851</v>
      </c>
      <c r="M132" s="44" t="inlineStr">
        <is>
          <t>Özgün teslim dosyası korundu. EXIF yönü uygulandı; kırpma yapılmadan en çok 1600 px, WebP kalite 84. Önceki kaynak değişiklik notları ayrıca korunur.</t>
        </is>
      </c>
      <c r="N132" s="44" t="inlineStr">
        <is>
          <t>Eksik alan var</t>
        </is>
      </c>
      <c r="O132" s="44" t="inlineStr">
        <is>
          <t>Kaynakta ayrı fotoğrafçı profil bağlantısı bulunmadı; fotoğraf kaynak sayfasına atıf korunur. Bağlantı uydurulmaz.</t>
        </is>
      </c>
    </row>
    <row r="133" ht="54" customHeight="1">
      <c r="A133" s="44" t="inlineStr">
        <is>
          <t>sevilla:photo:basilica-de-la-macarena-03</t>
        </is>
      </c>
      <c r="B133" s="44" t="n"/>
      <c r="C133" s="44" t="inlineStr">
        <is>
          <t>https://commons.wikimedia.org/wiki/File:Entrada_al_Templo_de_la_Macarena_de_Sevilla.JPG</t>
        </is>
      </c>
      <c r="D133" s="44" t="inlineStr">
        <is>
          <t>https://upload.wikimedia.org/wikipedia/commons/3/38/Entrada_al_Templo_de_la_Macarena_de_Sevilla.JPG</t>
        </is>
      </c>
      <c r="E133" s="44" t="inlineStr">
        <is>
          <t>https://thumb.wikimedia.org/wikipedia/commons/thumb/3/38/Entrada_al_Templo_de_la_Macarena_de_Sevilla.JPG/1280px-Entrada_al_Templo_de_la_Macarena_de_Sevilla.JPG</t>
        </is>
      </c>
      <c r="F133" s="53" t="n">
        <v>46320</v>
      </c>
      <c r="G133" s="44" t="inlineStr">
        <is>
          <t>Fotoğraflar/sevilla_basilica-de-la-macarena_03.jpg</t>
        </is>
      </c>
      <c r="H133" s="44" t="inlineStr">
        <is>
          <t>90a94e279f7a49c9c5bdd273a6b5803177dd10484f7f92fdb211aab8212b6852</t>
        </is>
      </c>
      <c r="I133" s="44" t="inlineStr">
        <is>
          <t>Teslimler/WebKopyalari/90a94e279f7a49c9c5bdd273a6b5803177dd10484f7f92fdb211aab8212b6852.webp</t>
        </is>
      </c>
      <c r="J133" s="44" t="inlineStr">
        <is>
          <t>f602ade09353af9d28a2a55daeb524018c5dbeb5c209e5ccde81de7e59e6b7da</t>
        </is>
      </c>
      <c r="K133" s="44" t="n">
        <v>1064</v>
      </c>
      <c r="L133" s="44" t="n">
        <v>1600</v>
      </c>
      <c r="M133" s="44" t="inlineStr">
        <is>
          <t>Özgün teslim dosyası korundu. EXIF yönü uygulandı; kırpma yapılmadan en çok 1600 px, WebP kalite 84. Önceki kaynak değişiklik notları ayrıca korunur.</t>
        </is>
      </c>
      <c r="N133" s="44" t="inlineStr">
        <is>
          <t>Eksik alan var</t>
        </is>
      </c>
      <c r="O133" s="44" t="inlineStr">
        <is>
          <t>Kaynakta ayrı fotoğrafçı profil bağlantısı bulunmadı; fotoğraf kaynak sayfasına atıf korunur. Bağlantı uydurulmaz.</t>
        </is>
      </c>
    </row>
    <row r="134" ht="54" customHeight="1">
      <c r="A134" s="44" t="inlineStr">
        <is>
          <t>sevilla:photo:casa-de-la-memoria-al-andalus-01</t>
        </is>
      </c>
      <c r="B134" s="44" t="inlineStr">
        <is>
          <t>https://commons.wikimedia.org/wiki/User:Mx._Granger</t>
        </is>
      </c>
      <c r="C134" s="44" t="inlineStr">
        <is>
          <t>https://commons.wikimedia.org/wiki/User:Mx._Granger</t>
        </is>
      </c>
      <c r="D134" s="44" t="inlineStr">
        <is>
          <t>https://upload.wikimedia.org/wikipedia/commons/f/fd/Casa_de_la_Memoria_de_Al-Andalus.jpg</t>
        </is>
      </c>
      <c r="E134" s="44" t="inlineStr">
        <is>
          <t>https://thumb.wikimedia.org/wikipedia/commons/thumb/f/fd/Casa_de_la_Memoria_de_Al-Andalus.jpg/1280px-Casa_de_la_Memoria_de_Al-Andalus.jpg</t>
        </is>
      </c>
      <c r="F134" s="53" t="n">
        <v>46320</v>
      </c>
      <c r="G134" s="44" t="inlineStr">
        <is>
          <t>Fotoğraflar/sevilla_casa-de-la-memoria-al-andalus_01.jpg</t>
        </is>
      </c>
      <c r="H134" s="44" t="inlineStr">
        <is>
          <t>26afc5168af7e0c25decc9e447ff2f848aa2fa9ae25b4604f6028a46a9bfafc6</t>
        </is>
      </c>
      <c r="I134" s="44" t="inlineStr">
        <is>
          <t>Teslimler/WebKopyalari/26afc5168af7e0c25decc9e447ff2f848aa2fa9ae25b4604f6028a46a9bfafc6.webp</t>
        </is>
      </c>
      <c r="J134" s="44" t="inlineStr">
        <is>
          <t>ad26c4285063f9cdbb8d32c5f6bfd1b4b8b02103c87f52e5e93c75538f281b4a</t>
        </is>
      </c>
      <c r="K134" s="44" t="n">
        <v>1200</v>
      </c>
      <c r="L134" s="44" t="n">
        <v>1600</v>
      </c>
      <c r="M134" s="44" t="inlineStr">
        <is>
          <t>Özgün teslim dosyası korundu. EXIF yönü uygulandı; kırpma yapılmadan en çok 1600 px, WebP kalite 84. Önceki kaynak değişiklik notları ayrıca korunur.</t>
        </is>
      </c>
      <c r="N134" s="44" t="inlineStr">
        <is>
          <t>Kayıttan doğrulandı</t>
        </is>
      </c>
      <c r="O134" s="44" t="n"/>
    </row>
    <row r="135" ht="54" customHeight="1">
      <c r="A135" s="44" t="inlineStr">
        <is>
          <t>sevilla:photo:casa-de-la-memoria-al-andalus-02</t>
        </is>
      </c>
      <c r="B135" s="44" t="inlineStr">
        <is>
          <t>https://web.archive.org/web/20161031035451/http://www.panoramio.com/user/2416243?with_photo_id=117868332</t>
        </is>
      </c>
      <c r="C135" s="44" t="inlineStr">
        <is>
          <t>https://web.archive.org/web/20161031035451/http://www.panoramio.com/user/2416243?with_photo_id=117868332</t>
        </is>
      </c>
      <c r="D135" s="44" t="inlineStr">
        <is>
          <t>https://upload.wikimedia.org/wikipedia/commons/e/e0/La_Giralda_-_panoramio_%281%29.jpg</t>
        </is>
      </c>
      <c r="E135" s="44" t="inlineStr">
        <is>
          <t>https://thumb.wikimedia.org/wikipedia/commons/thumb/e/e0/La_Giralda_-_panoramio_%281%29.jpg/1280px-La_Giralda_-_panoramio_%281%29.jpg</t>
        </is>
      </c>
      <c r="F135" s="53" t="n">
        <v>46320</v>
      </c>
      <c r="G135" s="44" t="inlineStr">
        <is>
          <t>Fotoğraflar/sevilla_casa-de-la-memoria-al-andalus_02.jpg</t>
        </is>
      </c>
      <c r="H135" s="44" t="inlineStr">
        <is>
          <t>06b2eae51c5a58944a57e13b551a0a669a41b7f5490519d6dbf9726f0a4b7fdf</t>
        </is>
      </c>
      <c r="I135" s="44" t="inlineStr">
        <is>
          <t>Teslimler/WebKopyalari/06b2eae51c5a58944a57e13b551a0a669a41b7f5490519d6dbf9726f0a4b7fdf.webp</t>
        </is>
      </c>
      <c r="J135" s="44" t="inlineStr">
        <is>
          <t>2e6e60557ef9c3c4fd6394638a9874dddc2c7faa9b41c32906a86a4976664ed2</t>
        </is>
      </c>
      <c r="K135" s="44" t="n">
        <v>1200</v>
      </c>
      <c r="L135" s="44" t="n">
        <v>1600</v>
      </c>
      <c r="M135" s="44" t="inlineStr">
        <is>
          <t>Özgün teslim dosyası korundu. EXIF yönü uygulandı; kırpma yapılmadan en çok 1600 px, WebP kalite 84. Önceki kaynak değişiklik notları ayrıca korunur.</t>
        </is>
      </c>
      <c r="N135" s="44" t="inlineStr">
        <is>
          <t>Kayıttan doğrulandı</t>
        </is>
      </c>
      <c r="O135" s="44" t="n"/>
    </row>
    <row r="136" ht="54" customHeight="1">
      <c r="A136" s="44" t="inlineStr">
        <is>
          <t>sevilla:photo:isla-magica-01</t>
        </is>
      </c>
      <c r="B136" s="44" t="inlineStr">
        <is>
          <t>https://commons.wikimedia.org/wiki/User:Freddo</t>
        </is>
      </c>
      <c r="C136" s="44" t="inlineStr">
        <is>
          <t>https://commons.wikimedia.org/wiki/User:Freddo</t>
        </is>
      </c>
      <c r="D136" s="44" t="inlineStr">
        <is>
          <t>https://upload.wikimedia.org/wikipedia/commons/6/60/A_los_Ca%C3%B1ones_-_Isla_M%C3%A1gica.jpg</t>
        </is>
      </c>
      <c r="E136" s="44" t="inlineStr">
        <is>
          <t>https://thumb.wikimedia.org/wikipedia/commons/thumb/6/60/A_los_Ca%C3%B1ones_-_Isla_M%C3%A1gica.jpg/1280px-A_los_Ca%C3%B1ones_-_Isla_M%C3%A1gica.jpg</t>
        </is>
      </c>
      <c r="F136" s="53" t="n">
        <v>46320</v>
      </c>
      <c r="G136" s="44" t="inlineStr">
        <is>
          <t>Fotoğraflar/sevilla_isla-magica_01.jpg</t>
        </is>
      </c>
      <c r="H136" s="44" t="inlineStr">
        <is>
          <t>6dab639f9f8875093c5d931c59ee4b26c31270b896aef2ffd98434c4dcef6846</t>
        </is>
      </c>
      <c r="I136" s="44" t="inlineStr">
        <is>
          <t>Teslimler/WebKopyalari/6dab639f9f8875093c5d931c59ee4b26c31270b896aef2ffd98434c4dcef6846.webp</t>
        </is>
      </c>
      <c r="J136" s="44" t="inlineStr">
        <is>
          <t>920506319a9580fed57723c4b56c8f7a9ce2ee8463fe2662107c30f455a7d85a</t>
        </is>
      </c>
      <c r="K136" s="44" t="n">
        <v>1280</v>
      </c>
      <c r="L136" s="44" t="n">
        <v>960</v>
      </c>
      <c r="M136" s="44" t="inlineStr">
        <is>
          <t>Özgün teslim dosyası korundu. EXIF yönü uygulandı; kırpma yapılmadan en çok 1600 px, WebP kalite 84. Önceki kaynak değişiklik notları ayrıca korunur.</t>
        </is>
      </c>
      <c r="N136" s="44" t="inlineStr">
        <is>
          <t>Kayıttan doğrulandı</t>
        </is>
      </c>
      <c r="O136" s="44" t="n"/>
    </row>
    <row r="137" ht="54" customHeight="1">
      <c r="A137" s="44" t="inlineStr">
        <is>
          <t>sevilla:photo:isla-magica-02</t>
        </is>
      </c>
      <c r="B137" s="44" t="inlineStr">
        <is>
          <t>https://commons.wikimedia.org/wiki/User:CarlosVdeHabsburgo</t>
        </is>
      </c>
      <c r="C137" s="44" t="inlineStr">
        <is>
          <t>https://commons.wikimedia.org/wiki/User:CarlosVdeHabsburgo</t>
        </is>
      </c>
      <c r="D137" s="44" t="inlineStr">
        <is>
          <t>https://upload.wikimedia.org/wikipedia/commons/4/45/Agua_M%C3%A1gica.JPG</t>
        </is>
      </c>
      <c r="E137" s="44" t="inlineStr">
        <is>
          <t>https://thumb.wikimedia.org/wikipedia/commons/thumb/4/45/Agua_M%C3%A1gica.JPG/1280px-Agua_M%C3%A1gica.JPG</t>
        </is>
      </c>
      <c r="F137" s="53" t="n">
        <v>46320</v>
      </c>
      <c r="G137" s="44" t="inlineStr">
        <is>
          <t>Fotoğraflar/sevilla_isla-magica_02.jpg</t>
        </is>
      </c>
      <c r="H137" s="44" t="inlineStr">
        <is>
          <t>abb170ddc50d3ec2c3e8272983a08c5601dc22c38149dcf5a4c2860b1e591d0b</t>
        </is>
      </c>
      <c r="I137" s="44" t="inlineStr">
        <is>
          <t>Teslimler/WebKopyalari/abb170ddc50d3ec2c3e8272983a08c5601dc22c38149dcf5a4c2860b1e591d0b.webp</t>
        </is>
      </c>
      <c r="J137" s="44" t="inlineStr">
        <is>
          <t>8419f42aa7a0d84e13894f71267de8ff63cef145c70c55dc409ef6cde1972e1f</t>
        </is>
      </c>
      <c r="K137" s="44" t="n">
        <v>1280</v>
      </c>
      <c r="L137" s="44" t="n">
        <v>960</v>
      </c>
      <c r="M137" s="44" t="inlineStr">
        <is>
          <t>Özgün teslim dosyası korundu. EXIF yönü uygulandı; kırpma yapılmadan en çok 1600 px, WebP kalite 84. Önceki kaynak değişiklik notları ayrıca korunur.</t>
        </is>
      </c>
      <c r="N137" s="44" t="inlineStr">
        <is>
          <t>Kayıttan doğrulandı</t>
        </is>
      </c>
      <c r="O137" s="44" t="n"/>
    </row>
    <row r="138" ht="54" customHeight="1">
      <c r="A138" s="44" t="inlineStr">
        <is>
          <t>sevilla:photo:isla-magica-03</t>
        </is>
      </c>
      <c r="B138" s="44" t="inlineStr">
        <is>
          <t>https://commons.wikimedia.org/wiki/User:Freddo</t>
        </is>
      </c>
      <c r="C138" s="44" t="inlineStr">
        <is>
          <t>https://commons.wikimedia.org/wiki/User:Freddo</t>
        </is>
      </c>
      <c r="D138" s="44" t="inlineStr">
        <is>
          <t>https://upload.wikimedia.org/wikipedia/commons/a/aa/Anaconda_-_Isla_M%C3%A1gica.jpg</t>
        </is>
      </c>
      <c r="E138" s="44" t="inlineStr">
        <is>
          <t>https://thumb.wikimedia.org/wikipedia/commons/thumb/a/aa/Anaconda_-_Isla_M%C3%A1gica.jpg/1280px-Anaconda_-_Isla_M%C3%A1gica.jpg</t>
        </is>
      </c>
      <c r="F138" s="53" t="n">
        <v>46320</v>
      </c>
      <c r="G138" s="44" t="inlineStr">
        <is>
          <t>Fotoğraflar/sevilla_isla-magica_03.jpg</t>
        </is>
      </c>
      <c r="H138" s="44" t="inlineStr">
        <is>
          <t>0107881a8361a71705bf3f5c348367f80e06bf00d5ae208a5ce3d60923c2f6d8</t>
        </is>
      </c>
      <c r="I138" s="44" t="inlineStr">
        <is>
          <t>Teslimler/WebKopyalari/0107881a8361a71705bf3f5c348367f80e06bf00d5ae208a5ce3d60923c2f6d8.webp</t>
        </is>
      </c>
      <c r="J138" s="44" t="inlineStr">
        <is>
          <t>613bddade8f385692abc923afa392d6dea1648cd07b5a8d70107542c9c4828af</t>
        </is>
      </c>
      <c r="K138" s="44" t="n">
        <v>1280</v>
      </c>
      <c r="L138" s="44" t="n">
        <v>960</v>
      </c>
      <c r="M138" s="44" t="inlineStr">
        <is>
          <t>Özgün teslim dosyası korundu. EXIF yönü uygulandı; kırpma yapılmadan en çok 1600 px, WebP kalite 84. Önceki kaynak değişiklik notları ayrıca korunur.</t>
        </is>
      </c>
      <c r="N138" s="44" t="inlineStr">
        <is>
          <t>Kayıttan doğrulandı</t>
        </is>
      </c>
      <c r="O138" s="44" t="n"/>
    </row>
    <row r="139" ht="54" customHeight="1">
      <c r="A139" s="44" t="inlineStr">
        <is>
          <t>sevilla:photo:casa-de-la-ciencia-01</t>
        </is>
      </c>
      <c r="B139" s="44" t="n"/>
      <c r="C139" s="44" t="inlineStr">
        <is>
          <t>https://commons.wikimedia.org/wiki/File:Balcony_of_Casa_de_la_Ciencia,_Seville,_Spain.jpg</t>
        </is>
      </c>
      <c r="D139" s="44" t="inlineStr">
        <is>
          <t>https://upload.wikimedia.org/wikipedia/commons/1/1f/Balcony_of_Casa_de_la_Ciencia%2C_Seville%2C_Spain.jpg</t>
        </is>
      </c>
      <c r="E139" s="44" t="inlineStr">
        <is>
          <t>https://thumb.wikimedia.org/wikipedia/commons/thumb/1/1f/Balcony_of_Casa_de_la_Ciencia%2C_Seville%2C_Spain.jpg/1280px-Balcony_of_Casa_de_la_Ciencia%2C_Seville%2C_Spain.jpg</t>
        </is>
      </c>
      <c r="F139" s="53" t="n">
        <v>46320</v>
      </c>
      <c r="G139" s="44" t="inlineStr">
        <is>
          <t>Fotoğraflar/sevilla_casa-de-la-ciencia_01.jpg</t>
        </is>
      </c>
      <c r="H139" s="44" t="inlineStr">
        <is>
          <t>1ad092993896d809424ecf38d2b3c0271821d6427c704b77208fbe5d1ec4156e</t>
        </is>
      </c>
      <c r="I139" s="44" t="inlineStr">
        <is>
          <t>Teslimler/WebKopyalari/1ad092993896d809424ecf38d2b3c0271821d6427c704b77208fbe5d1ec4156e.webp</t>
        </is>
      </c>
      <c r="J139" s="44" t="inlineStr">
        <is>
          <t>e2f04abecdc4c92877c4f2b6c779b0d28a5801fd1eca59ab611b5c8b28252afd</t>
        </is>
      </c>
      <c r="K139" s="44" t="n">
        <v>1280</v>
      </c>
      <c r="L139" s="44" t="n">
        <v>853</v>
      </c>
      <c r="M139" s="44" t="inlineStr">
        <is>
          <t>Özgün teslim dosyası korundu. EXIF yönü uygulandı; kırpma yapılmadan en çok 1600 px, WebP kalite 84. Önceki kaynak değişiklik notları ayrıca korunur.</t>
        </is>
      </c>
      <c r="N139" s="44" t="inlineStr">
        <is>
          <t>Eksik alan var</t>
        </is>
      </c>
      <c r="O139" s="44" t="inlineStr">
        <is>
          <t>Kaynakta ayrı fotoğrafçı profil bağlantısı bulunmadı; fotoğraf kaynak sayfasına atıf korunur. Bağlantı uydurulmaz.</t>
        </is>
      </c>
    </row>
    <row r="140" ht="54" customHeight="1">
      <c r="A140" s="44" t="inlineStr">
        <is>
          <t>sevilla:photo:casa-de-la-ciencia-02</t>
        </is>
      </c>
      <c r="B140" s="44" t="inlineStr">
        <is>
          <t>https://commons.wikimedia.org/wiki/User:CarlosVdeHabsburgo</t>
        </is>
      </c>
      <c r="C140" s="44" t="inlineStr">
        <is>
          <t>https://commons.wikimedia.org/wiki/User:CarlosVdeHabsburgo</t>
        </is>
      </c>
      <c r="D140" s="44" t="inlineStr">
        <is>
          <t>https://upload.wikimedia.org/wikipedia/commons/e/e3/Exteriores_del_Pabell%C3%B3n_de_Per%C3%BA.jpg</t>
        </is>
      </c>
      <c r="E140" s="44" t="inlineStr">
        <is>
          <t>https://thumb.wikimedia.org/wikipedia/commons/thumb/e/e3/Exteriores_del_Pabell%C3%B3n_de_Per%C3%BA.jpg/1280px-Exteriores_del_Pabell%C3%B3n_de_Per%C3%BA.jpg</t>
        </is>
      </c>
      <c r="F140" s="53" t="n">
        <v>46320</v>
      </c>
      <c r="G140" s="44" t="inlineStr">
        <is>
          <t>Fotoğraflar/sevilla_casa-de-la-ciencia_02.jpg</t>
        </is>
      </c>
      <c r="H140" s="44" t="inlineStr">
        <is>
          <t>fe9169b59d534632e061e974da4349c866d82be3565dd92f78745faf27e9a685</t>
        </is>
      </c>
      <c r="I140" s="44" t="inlineStr">
        <is>
          <t>Teslimler/WebKopyalari/fe9169b59d534632e061e974da4349c866d82be3565dd92f78745faf27e9a685.webp</t>
        </is>
      </c>
      <c r="J140" s="44" t="inlineStr">
        <is>
          <t>8a313eaf01723e17d6b325c07266d320aa4f83bdb87ade273b5866cbecb7723e</t>
        </is>
      </c>
      <c r="K140" s="44" t="n">
        <v>1280</v>
      </c>
      <c r="L140" s="44" t="n">
        <v>960</v>
      </c>
      <c r="M140" s="44" t="inlineStr">
        <is>
          <t>Özgün teslim dosyası korundu. EXIF yönü uygulandı; kırpma yapılmadan en çok 1600 px, WebP kalite 84. Önceki kaynak değişiklik notları ayrıca korunur.</t>
        </is>
      </c>
      <c r="N140" s="44" t="inlineStr">
        <is>
          <t>Kayıttan doğrulandı</t>
        </is>
      </c>
      <c r="O140" s="44" t="n"/>
    </row>
    <row r="141" ht="54" customHeight="1">
      <c r="A141" s="44" t="inlineStr">
        <is>
          <t>sevilla:photo:casa-de-la-ciencia-03</t>
        </is>
      </c>
      <c r="B141" s="44" t="inlineStr">
        <is>
          <t>https://commons.wikimedia.org/wiki/User:CarlosVdeHabsburgo</t>
        </is>
      </c>
      <c r="C141" s="44" t="inlineStr">
        <is>
          <t>https://commons.wikimedia.org/wiki/User:CarlosVdeHabsburgo</t>
        </is>
      </c>
      <c r="D141" s="44" t="inlineStr">
        <is>
          <t>https://upload.wikimedia.org/wikipedia/commons/a/a2/G%C3%A1rgola_%28Pabell%C3%B3n_de_Per%C3%BA%29_01.jpg</t>
        </is>
      </c>
      <c r="E141" s="44" t="inlineStr">
        <is>
          <t>https://thumb.wikimedia.org/wikipedia/commons/thumb/a/a2/G%C3%A1rgola_%28Pabell%C3%B3n_de_Per%C3%BA%29_01.jpg/1280px-G%C3%A1rgola_%28Pabell%C3%B3n_de_Per%C3%BA%29_01.jpg</t>
        </is>
      </c>
      <c r="F141" s="53" t="n">
        <v>46320</v>
      </c>
      <c r="G141" s="44" t="inlineStr">
        <is>
          <t>Fotoğraflar/sevilla_casa-de-la-ciencia_03.jpg</t>
        </is>
      </c>
      <c r="H141" s="44" t="inlineStr">
        <is>
          <t>048403beb8971dd92d553af395bff87e6ed48d50410bdb6bfd607a84829574b5</t>
        </is>
      </c>
      <c r="I141" s="44" t="inlineStr">
        <is>
          <t>Teslimler/WebKopyalari/048403beb8971dd92d553af395bff87e6ed48d50410bdb6bfd607a84829574b5.webp</t>
        </is>
      </c>
      <c r="J141" s="44" t="inlineStr">
        <is>
          <t>62ecbc6734a860f8d7f46b23fd25e9200b83cf8973c87c4bb43436f2becaef64</t>
        </is>
      </c>
      <c r="K141" s="44" t="n">
        <v>1280</v>
      </c>
      <c r="L141" s="44" t="n">
        <v>960</v>
      </c>
      <c r="M141" s="44" t="inlineStr">
        <is>
          <t>Özgün teslim dosyası korundu. EXIF yönü uygulandı; kırpma yapılmadan en çok 1600 px, WebP kalite 84. Önceki kaynak değişiklik notları ayrıca korunur.</t>
        </is>
      </c>
      <c r="N141" s="44" t="inlineStr">
        <is>
          <t>Kayıttan doğrulandı</t>
        </is>
      </c>
      <c r="O141" s="44" t="n"/>
    </row>
    <row r="142" ht="54" customHeight="1">
      <c r="A142" s="44" t="inlineStr">
        <is>
          <t>sevilla:photo:estadio-benito-villamarin-tur-01</t>
        </is>
      </c>
      <c r="B142" s="44" t="n"/>
      <c r="C142" s="44" t="inlineStr">
        <is>
          <t>https://commons.wikimedia.org/wiki/File:La_Cartuja_(Betis_vs_Sevilla).jpg</t>
        </is>
      </c>
      <c r="D142" s="44" t="inlineStr">
        <is>
          <t>https://upload.wikimedia.org/wikipedia/commons/0/06/La_Cartuja_%28Betis_vs_Sevilla%29.jpg</t>
        </is>
      </c>
      <c r="E142" s="44" t="inlineStr">
        <is>
          <t>https://thumb.wikimedia.org/wikipedia/commons/thumb/0/06/La_Cartuja_%28Betis_vs_Sevilla%29.jpg/1280px-La_Cartuja_%28Betis_vs_Sevilla%29.jpg</t>
        </is>
      </c>
      <c r="F142" s="53" t="n">
        <v>46320</v>
      </c>
      <c r="G142" s="44" t="inlineStr">
        <is>
          <t>Fotoğraflar/sevilla_estadio-benito-villamarin-tur_01.jpg</t>
        </is>
      </c>
      <c r="H142" s="44" t="inlineStr">
        <is>
          <t>49c89d0747fbfd0d8286061ea4b690d1e3d003d56c0cf8239a51a68e3dde7378</t>
        </is>
      </c>
      <c r="I142" s="44" t="inlineStr">
        <is>
          <t>Teslimler/WebKopyalari/49c89d0747fbfd0d8286061ea4b690d1e3d003d56c0cf8239a51a68e3dde7378.webp</t>
        </is>
      </c>
      <c r="J142" s="44" t="inlineStr">
        <is>
          <t>1985605bc2b721d352197fd7045ded1a6f23606a5bdaa920f5a016da25694ef4</t>
        </is>
      </c>
      <c r="K142" s="44" t="n">
        <v>1280</v>
      </c>
      <c r="L142" s="44" t="n">
        <v>960</v>
      </c>
      <c r="M142" s="44" t="inlineStr">
        <is>
          <t>Özgün teslim dosyası korundu. EXIF yönü uygulandı; kırpma yapılmadan en çok 1600 px, WebP kalite 84. Önceki kaynak değişiklik notları ayrıca korunur.</t>
        </is>
      </c>
      <c r="N142" s="44" t="inlineStr">
        <is>
          <t>Eksik alan var</t>
        </is>
      </c>
      <c r="O142" s="44" t="inlineStr">
        <is>
          <t>Kaynakta ayrı fotoğrafçı profil bağlantısı bulunmadı; fotoğraf kaynak sayfasına atıf korunur. Bağlantı uydurulmaz.</t>
        </is>
      </c>
    </row>
    <row r="143" ht="54" customHeight="1">
      <c r="A143" s="44" t="inlineStr">
        <is>
          <t>sevilla:photo:estadio-benito-villamarin-tur-02</t>
        </is>
      </c>
      <c r="B143" s="44" t="n"/>
      <c r="C143" s="44" t="inlineStr">
        <is>
          <t>https://commons.wikimedia.org/wiki/File:Stade_Manuel_Ruiz_de_Lopera_S%C3%A9ville.JPG</t>
        </is>
      </c>
      <c r="D143" s="44" t="inlineStr">
        <is>
          <t>https://upload.wikimedia.org/wikipedia/commons/a/a9/Stade_Manuel_Ruiz_de_Lopera_S%C3%A9ville.JPG</t>
        </is>
      </c>
      <c r="E143" s="44" t="inlineStr">
        <is>
          <t>https://thumb.wikimedia.org/wikipedia/commons/thumb/a/a9/Stade_Manuel_Ruiz_de_Lopera_S%C3%A9ville.JPG/1280px-Stade_Manuel_Ruiz_de_Lopera_S%C3%A9ville.JPG</t>
        </is>
      </c>
      <c r="F143" s="53" t="n">
        <v>46320</v>
      </c>
      <c r="G143" s="44" t="inlineStr">
        <is>
          <t>Fotoğraflar/sevilla_estadio-benito-villamarin-tur_02.jpg</t>
        </is>
      </c>
      <c r="H143" s="44" t="inlineStr">
        <is>
          <t>38b88907ec39d7190dc1da3800fc032f215da47af07546a9e83c2fddc8ce72b1</t>
        </is>
      </c>
      <c r="I143" s="44" t="inlineStr">
        <is>
          <t>Teslimler/WebKopyalari/38b88907ec39d7190dc1da3800fc032f215da47af07546a9e83c2fddc8ce72b1.webp</t>
        </is>
      </c>
      <c r="J143" s="44" t="inlineStr">
        <is>
          <t>f8a5c4104549d7eb0c374fb6843e8ffeca037b352a58cb329bed65ddfa1d49bd</t>
        </is>
      </c>
      <c r="K143" s="44" t="n">
        <v>1280</v>
      </c>
      <c r="L143" s="44" t="n">
        <v>958</v>
      </c>
      <c r="M143" s="44" t="inlineStr">
        <is>
          <t>Özgün teslim dosyası korundu. EXIF yönü uygulandı; kırpma yapılmadan en çok 1600 px, WebP kalite 84. Önceki kaynak değişiklik notları ayrıca korunur.</t>
        </is>
      </c>
      <c r="N143" s="44" t="inlineStr">
        <is>
          <t>Eksik alan var</t>
        </is>
      </c>
      <c r="O143" s="44" t="inlineStr">
        <is>
          <t>Kaynakta ayrı fotoğrafçı profil bağlantısı bulunmadı; fotoğraf kaynak sayfasına atıf korunur. Bağlantı uydurulmaz.</t>
        </is>
      </c>
    </row>
    <row r="144" ht="54" customHeight="1">
      <c r="A144" s="44" t="inlineStr">
        <is>
          <t>sevilla:photo:estadio-benito-villamarin-tur-03</t>
        </is>
      </c>
      <c r="B144" s="44" t="inlineStr">
        <is>
          <t>https://commons.wikimedia.org/wiki/User:Anual</t>
        </is>
      </c>
      <c r="C144" s="44" t="inlineStr">
        <is>
          <t>https://commons.wikimedia.org/wiki/User:Anual</t>
        </is>
      </c>
      <c r="D144" s="44" t="inlineStr">
        <is>
          <t>https://upload.wikimedia.org/wikipedia/commons/1/16/Benito_villamarin_4_de_junio_de_2023.jpg</t>
        </is>
      </c>
      <c r="E144" s="44" t="inlineStr">
        <is>
          <t>https://thumb.wikimedia.org/wikipedia/commons/thumb/1/16/Benito_villamarin_4_de_junio_de_2023.jpg/1280px-Benito_villamarin_4_de_junio_de_2023.jpg</t>
        </is>
      </c>
      <c r="F144" s="53" t="n">
        <v>46320</v>
      </c>
      <c r="G144" s="44" t="inlineStr">
        <is>
          <t>Fotoğraflar/sevilla_estadio-benito-villamarin-tur_03.jpg</t>
        </is>
      </c>
      <c r="H144" s="44" t="inlineStr">
        <is>
          <t>59ecdbb501509f16d7dce3d4176b9b2d8ed8134d448a727603e213ade3c54c5c</t>
        </is>
      </c>
      <c r="I144" s="44" t="inlineStr">
        <is>
          <t>Teslimler/WebKopyalari/59ecdbb501509f16d7dce3d4176b9b2d8ed8134d448a727603e213ade3c54c5c.webp</t>
        </is>
      </c>
      <c r="J144" s="44" t="inlineStr">
        <is>
          <t>887b34b44d2508028975c90bc2b63eeadb2f95ddf474f7df40f0e60f4be1d667</t>
        </is>
      </c>
      <c r="K144" s="44" t="n">
        <v>1280</v>
      </c>
      <c r="L144" s="44" t="n">
        <v>576</v>
      </c>
      <c r="M144" s="44" t="inlineStr">
        <is>
          <t>Özgün teslim dosyası korundu. EXIF yönü uygulandı; kırpma yapılmadan en çok 1600 px, WebP kalite 84. Önceki kaynak değişiklik notları ayrıca korunur.</t>
        </is>
      </c>
      <c r="N144" s="44" t="inlineStr">
        <is>
          <t>Kayıttan doğrulandı</t>
        </is>
      </c>
      <c r="O144" s="44" t="n"/>
    </row>
    <row r="145" ht="54" customHeight="1">
      <c r="A145" s="44" t="inlineStr">
        <is>
          <t>sevilla:photo:tablao-el-arenal-01</t>
        </is>
      </c>
      <c r="B145" s="44" t="n"/>
      <c r="C145" s="44" t="inlineStr">
        <is>
          <t>https://commons.wikimedia.org/wiki/File:Espect%C3%A1culo_flamenco_en_Tablao_Flamenco_El_Arenal.jpg</t>
        </is>
      </c>
      <c r="D145" s="44" t="inlineStr">
        <is>
          <t>https://upload.wikimedia.org/wikipedia/commons/d/d4/Espect%C3%A1culo_flamenco_en_Tablao_Flamenco_El_Arenal.jpg</t>
        </is>
      </c>
      <c r="E145" s="44" t="inlineStr">
        <is>
          <t>https://thumb.wikimedia.org/wikipedia/commons/thumb/d/d4/Espect%C3%A1culo_flamenco_en_Tablao_Flamenco_El_Arenal.jpg/1280px-Espect%C3%A1culo_flamenco_en_Tablao_Flamenco_El_Arenal.jpg</t>
        </is>
      </c>
      <c r="F145" s="53" t="n">
        <v>46320</v>
      </c>
      <c r="G145" s="44" t="inlineStr">
        <is>
          <t>Fotoğraflar/sevilla_tablao-el-arenal_01.jpg</t>
        </is>
      </c>
      <c r="H145" s="44" t="inlineStr">
        <is>
          <t>beaf71c9421b7b0731f330215cd929e9ae46c01fbd90ad3e63d379255a1b653a</t>
        </is>
      </c>
      <c r="I145" s="44" t="inlineStr">
        <is>
          <t>Teslimler/WebKopyalari/beaf71c9421b7b0731f330215cd929e9ae46c01fbd90ad3e63d379255a1b653a.webp</t>
        </is>
      </c>
      <c r="J145" s="44" t="inlineStr">
        <is>
          <t>dfcc5f2d993aa3811f277fb02a159f03df63e4716c0b2240b96dd2fc5eea8aa4</t>
        </is>
      </c>
      <c r="K145" s="44" t="n">
        <v>1280</v>
      </c>
      <c r="L145" s="44" t="n">
        <v>853</v>
      </c>
      <c r="M145" s="44" t="inlineStr">
        <is>
          <t>Özgün teslim dosyası korundu. EXIF yönü uygulandı; kırpma yapılmadan en çok 1600 px, WebP kalite 84. Önceki kaynak değişiklik notları ayrıca korunur.</t>
        </is>
      </c>
      <c r="N145" s="44" t="inlineStr">
        <is>
          <t>Eksik alan var</t>
        </is>
      </c>
      <c r="O145" s="44" t="inlineStr">
        <is>
          <t>Kaynakta ayrı fotoğrafçı profil bağlantısı bulunmadı; fotoğraf kaynak sayfasına atıf korunur. Bağlantı uydurulmaz.</t>
        </is>
      </c>
    </row>
    <row r="146" ht="54" customHeight="1">
      <c r="A146" s="44" t="inlineStr">
        <is>
          <t>sevilla:photo:confiteria-la-campana-01</t>
        </is>
      </c>
      <c r="B146" s="44" t="n"/>
      <c r="C146" s="44" t="inlineStr">
        <is>
          <t>https://commons.wikimedia.org/wiki/File:Calle_Sierpes_1,_Sevilla,_Spain.jpg</t>
        </is>
      </c>
      <c r="D146" s="44" t="inlineStr">
        <is>
          <t>https://upload.wikimedia.org/wikipedia/commons/a/a7/Calle_Sierpes_1%2C_Sevilla%2C_Spain.jpg</t>
        </is>
      </c>
      <c r="E146" s="44" t="inlineStr">
        <is>
          <t>https://thumb.wikimedia.org/wikipedia/commons/thumb/a/a7/Calle_Sierpes_1%2C_Sevilla%2C_Spain.jpg/1280px-Calle_Sierpes_1%2C_Sevilla%2C_Spain.jpg</t>
        </is>
      </c>
      <c r="F146" s="53" t="n">
        <v>46320</v>
      </c>
      <c r="G146" s="44" t="inlineStr">
        <is>
          <t>Fotoğraflar/sevilla_confiteria-la-campana_01.jpg</t>
        </is>
      </c>
      <c r="H146" s="44" t="inlineStr">
        <is>
          <t>28fda8a8f2d7f90ca08f216e90245e55a85b924fd68b2d85fd6eb8d1c5393bcd</t>
        </is>
      </c>
      <c r="I146" s="44" t="inlineStr">
        <is>
          <t>Teslimler/WebKopyalari/28fda8a8f2d7f90ca08f216e90245e55a85b924fd68b2d85fd6eb8d1c5393bcd.webp</t>
        </is>
      </c>
      <c r="J146" s="44" t="inlineStr">
        <is>
          <t>5675ecb73dd87074aa0644e5729ead973e24be41316163b60de0b8b5e1d4ae4b</t>
        </is>
      </c>
      <c r="K146" s="44" t="n">
        <v>1280</v>
      </c>
      <c r="L146" s="44" t="n">
        <v>847</v>
      </c>
      <c r="M146" s="44" t="inlineStr">
        <is>
          <t>Özgün teslim dosyası korundu. EXIF yönü uygulandı; kırpma yapılmadan en çok 1600 px, WebP kalite 84. Önceki kaynak değişiklik notları ayrıca korunur.</t>
        </is>
      </c>
      <c r="N146" s="44" t="inlineStr">
        <is>
          <t>Eksik alan var</t>
        </is>
      </c>
      <c r="O146" s="44" t="inlineStr">
        <is>
          <t>Kaynakta ayrı fotoğrafçı profil bağlantısı bulunmadı; fotoğraf kaynak sayfasına atıf korunur. Bağlantı uydurulmaz.</t>
        </is>
      </c>
    </row>
    <row r="147" ht="54" customHeight="1">
      <c r="A147" s="44" t="inlineStr">
        <is>
          <t>sevilla:photo:confiteria-la-campana-02</t>
        </is>
      </c>
      <c r="B147" s="44" t="inlineStr">
        <is>
          <t>https://commons.wikimedia.org/wiki/User:Anual</t>
        </is>
      </c>
      <c r="C147" s="44" t="inlineStr">
        <is>
          <t>https://commons.wikimedia.org/wiki/User:Anual</t>
        </is>
      </c>
      <c r="D147" s="44" t="inlineStr">
        <is>
          <t>https://upload.wikimedia.org/wikipedia/commons/3/30/Campana2018002.jpg</t>
        </is>
      </c>
      <c r="E147" s="44" t="inlineStr">
        <is>
          <t>https://thumb.wikimedia.org/wikipedia/commons/thumb/3/30/Campana2018002.jpg/1280px-Campana2018002.jpg</t>
        </is>
      </c>
      <c r="F147" s="53" t="n">
        <v>46320</v>
      </c>
      <c r="G147" s="44" t="inlineStr">
        <is>
          <t>Fotoğraflar/sevilla_confiteria-la-campana_02.jpg</t>
        </is>
      </c>
      <c r="H147" s="44" t="inlineStr">
        <is>
          <t>d48314062926e28596eabe4d4db4336f9ec71e3c76741a0fefd83c888a69698f</t>
        </is>
      </c>
      <c r="I147" s="44" t="inlineStr">
        <is>
          <t>Teslimler/WebKopyalari/d48314062926e28596eabe4d4db4336f9ec71e3c76741a0fefd83c888a69698f.webp</t>
        </is>
      </c>
      <c r="J147" s="44" t="inlineStr">
        <is>
          <t>71258d276689bf23423adbc0508f30a92ffd80d902d5fe97d61e974e67013de1</t>
        </is>
      </c>
      <c r="K147" s="44" t="n">
        <v>1280</v>
      </c>
      <c r="L147" s="44" t="n">
        <v>853</v>
      </c>
      <c r="M147" s="44" t="inlineStr">
        <is>
          <t>Özgün teslim dosyası korundu. EXIF yönü uygulandı; kırpma yapılmadan en çok 1600 px, WebP kalite 84. Önceki kaynak değişiklik notları ayrıca korunur.</t>
        </is>
      </c>
      <c r="N147" s="44" t="inlineStr">
        <is>
          <t>Kayıttan doğrulandı</t>
        </is>
      </c>
      <c r="O147" s="44" t="n"/>
    </row>
    <row r="148" ht="54" customHeight="1">
      <c r="A148" s="44" t="inlineStr">
        <is>
          <t>sevilla:photo:confiteria-la-campana-03</t>
        </is>
      </c>
      <c r="B148" s="44" t="inlineStr">
        <is>
          <t>https://www.flickr.com/people/143738113@N06</t>
        </is>
      </c>
      <c r="C148" s="44" t="inlineStr">
        <is>
          <t>https://www.flickr.com/people/143738113@N06</t>
        </is>
      </c>
      <c r="D148" s="44" t="inlineStr">
        <is>
          <t>https://upload.wikimedia.org/wikipedia/commons/3/38/Confiter%C3%ADa_La_Campana_%2829735832038%29.jpg</t>
        </is>
      </c>
      <c r="E148" s="44" t="inlineStr">
        <is>
          <t>https://thumb.wikimedia.org/wikipedia/commons/thumb/3/38/Confiter%C3%ADa_La_Campana_%2829735832038%29.jpg/1280px-Confiter%C3%ADa_La_Campana_%2829735832038%29.jpg</t>
        </is>
      </c>
      <c r="F148" s="53" t="n">
        <v>46320</v>
      </c>
      <c r="G148" s="44" t="inlineStr">
        <is>
          <t>Fotoğraflar/sevilla_confiteria-la-campana_03.jpg</t>
        </is>
      </c>
      <c r="H148" s="44" t="inlineStr">
        <is>
          <t>1609979f9cf5e57903fe13527764ee5c1238f9f384a3d248d0a2d015447baa82</t>
        </is>
      </c>
      <c r="I148" s="44" t="inlineStr">
        <is>
          <t>Teslimler/WebKopyalari/1609979f9cf5e57903fe13527764ee5c1238f9f384a3d248d0a2d015447baa82.webp</t>
        </is>
      </c>
      <c r="J148" s="44" t="inlineStr">
        <is>
          <t>0718fcb7b6e20cc992074852fbf29ded00a8ffa1219de61e2484967372fb7f9e</t>
        </is>
      </c>
      <c r="K148" s="44" t="n">
        <v>1280</v>
      </c>
      <c r="L148" s="44" t="n">
        <v>853</v>
      </c>
      <c r="M148" s="44" t="inlineStr">
        <is>
          <t>Özgün teslim dosyası korundu. EXIF yönü uygulandı; kırpma yapılmadan en çok 1600 px, WebP kalite 84. Önceki kaynak değişiklik notları ayrıca korunur.</t>
        </is>
      </c>
      <c r="N148" s="44" t="inlineStr">
        <is>
          <t>Kayıttan doğrulandı</t>
        </is>
      </c>
      <c r="O148" s="44" t="n"/>
    </row>
    <row r="149" ht="54" customHeight="1">
      <c r="A149" s="44" t="inlineStr">
        <is>
          <t>sevilla:photo:casa-roman-sevilla-01</t>
        </is>
      </c>
      <c r="B149" s="44" t="inlineStr">
        <is>
          <t>https://www.flickr.com/people/56946749@N00</t>
        </is>
      </c>
      <c r="C149" s="44" t="inlineStr">
        <is>
          <t>https://www.flickr.com/people/56946749@N00</t>
        </is>
      </c>
      <c r="D149" s="44" t="inlineStr">
        <is>
          <t>https://upload.wikimedia.org/wikipedia/commons/6/61/Casa_Rom%C3%A1n_%2817216322978%29.jpg</t>
        </is>
      </c>
      <c r="E149" s="44" t="inlineStr">
        <is>
          <t>https://thumb.wikimedia.org/wikipedia/commons/thumb/6/61/Casa_Rom%C3%A1n_%2817216322978%29.jpg/1280px-Casa_Rom%C3%A1n_%2817216322978%29.jpg</t>
        </is>
      </c>
      <c r="F149" s="53" t="n">
        <v>46320</v>
      </c>
      <c r="G149" s="44" t="inlineStr">
        <is>
          <t>Fotoğraflar/sevilla_casa-roman-sevilla_01.jpg</t>
        </is>
      </c>
      <c r="H149" s="44" t="inlineStr">
        <is>
          <t>114ec47fe66f9c6192ad54b11442d3c401aa58c8e355bb334a2ebaacf53618cb</t>
        </is>
      </c>
      <c r="I149" s="44" t="inlineStr">
        <is>
          <t>Teslimler/WebKopyalari/114ec47fe66f9c6192ad54b11442d3c401aa58c8e355bb334a2ebaacf53618cb.webp</t>
        </is>
      </c>
      <c r="J149" s="44" t="inlineStr">
        <is>
          <t>caa112dae747b5b20604b778b7edf82b2b3e64ce39440106f3c06e7a9d20b7b6</t>
        </is>
      </c>
      <c r="K149" s="44" t="n">
        <v>1280</v>
      </c>
      <c r="L149" s="44" t="n">
        <v>960</v>
      </c>
      <c r="M149" s="44" t="inlineStr">
        <is>
          <t>Özgün teslim dosyası korundu. EXIF yönü uygulandı; kırpma yapılmadan en çok 1600 px, WebP kalite 84. Önceki kaynak değişiklik notları ayrıca korunur.</t>
        </is>
      </c>
      <c r="N149" s="44" t="inlineStr">
        <is>
          <t>Kayıttan doğrulandı</t>
        </is>
      </c>
      <c r="O149" s="44" t="n"/>
    </row>
    <row r="150" ht="54" customHeight="1">
      <c r="A150" s="44" t="inlineStr">
        <is>
          <t>sevilla:photo:casa-roman-sevilla-02</t>
        </is>
      </c>
      <c r="B150" s="44" t="inlineStr">
        <is>
          <t>https://www.flickr.com/people/56946749@N00</t>
        </is>
      </c>
      <c r="C150" s="44" t="inlineStr">
        <is>
          <t>https://www.flickr.com/people/56946749@N00</t>
        </is>
      </c>
      <c r="D150" s="44" t="inlineStr">
        <is>
          <t>https://upload.wikimedia.org/wikipedia/commons/8/85/Casa_Rom%C3%A1n_%2817156620538%29.jpg</t>
        </is>
      </c>
      <c r="E150" s="44" t="inlineStr">
        <is>
          <t>https://upload.wikimedia.org/wikipedia/commons/8/85/Casa_Rom%C3%A1n_%2817156620538%29.jpg</t>
        </is>
      </c>
      <c r="F150" s="53" t="n">
        <v>46320</v>
      </c>
      <c r="G150" s="44" t="inlineStr">
        <is>
          <t>Fotoğraflar/sevilla_casa-roman-sevilla_02.jpg</t>
        </is>
      </c>
      <c r="H150" s="44" t="inlineStr">
        <is>
          <t>eaa02f142d3b01018bd97882504cd0906b66aa65f033ac7f4db8b96ecf4b21a3</t>
        </is>
      </c>
      <c r="I150" s="44" t="inlineStr">
        <is>
          <t>Teslimler/WebKopyalari/eaa02f142d3b01018bd97882504cd0906b66aa65f033ac7f4db8b96ecf4b21a3.webp</t>
        </is>
      </c>
      <c r="J150" s="44" t="inlineStr">
        <is>
          <t>49ab5ca9559eb6a3b47d2b3494fa909088582854904419e5728ef1f1775c88bc</t>
        </is>
      </c>
      <c r="K150" s="44" t="n">
        <v>1200</v>
      </c>
      <c r="L150" s="44" t="n">
        <v>795</v>
      </c>
      <c r="M150" s="44" t="inlineStr">
        <is>
          <t>Özgün teslim dosyası korundu. EXIF yönü uygulandı; kırpma yapılmadan en çok 1600 px, WebP kalite 84. Önceki kaynak değişiklik notları ayrıca korunur.</t>
        </is>
      </c>
      <c r="N150" s="44" t="inlineStr">
        <is>
          <t>Kayıttan doğrulandı</t>
        </is>
      </c>
      <c r="O150" s="44" t="n"/>
    </row>
    <row r="151" ht="54" customHeight="1">
      <c r="A151" s="44" t="inlineStr">
        <is>
          <t>sevilla:photo:huevo-de-colon-01</t>
        </is>
      </c>
      <c r="B151" s="44" t="inlineStr">
        <is>
          <t>https://www.flickr.com/photos/67928981@N00</t>
        </is>
      </c>
      <c r="C151" s="44" t="inlineStr">
        <is>
          <t>https://www.flickr.com/photos/67928981@N00</t>
        </is>
      </c>
      <c r="D151" s="44" t="inlineStr">
        <is>
          <t>https://upload.wikimedia.org/wikipedia/commons/d/db/El_huevo_de_Col%C3%B3n.jpg</t>
        </is>
      </c>
      <c r="E151" s="44" t="inlineStr">
        <is>
          <t>https://thumb.wikimedia.org/wikipedia/commons/thumb/d/db/El_huevo_de_Col%C3%B3n.jpg/1280px-El_huevo_de_Col%C3%B3n.jpg</t>
        </is>
      </c>
      <c r="F151" s="53" t="n">
        <v>46320</v>
      </c>
      <c r="G151" s="44" t="inlineStr">
        <is>
          <t>Fotoğraflar/sevilla_huevo-de-colon_01.jpg</t>
        </is>
      </c>
      <c r="H151" s="44" t="inlineStr">
        <is>
          <t>66267b0ddd3276082021264cdd4d8544c94d3fd565ffe3f646e1768b9ebb4cbe</t>
        </is>
      </c>
      <c r="I151" s="44" t="inlineStr">
        <is>
          <t>Teslimler/WebKopyalari/66267b0ddd3276082021264cdd4d8544c94d3fd565ffe3f646e1768b9ebb4cbe.webp</t>
        </is>
      </c>
      <c r="J151" s="44" t="inlineStr">
        <is>
          <t>8617db7ef9586cec11f01773794fc3c79014e1133aa64404525bf236596d0943</t>
        </is>
      </c>
      <c r="K151" s="44" t="n">
        <v>1280</v>
      </c>
      <c r="L151" s="44" t="n">
        <v>853</v>
      </c>
      <c r="M151" s="44" t="inlineStr">
        <is>
          <t>Özgün teslim dosyası korundu. EXIF yönü uygulandı; kırpma yapılmadan en çok 1600 px, WebP kalite 84. Önceki kaynak değişiklik notları ayrıca korunur.</t>
        </is>
      </c>
      <c r="N151" s="44" t="inlineStr">
        <is>
          <t>Kayıttan doğrulandı</t>
        </is>
      </c>
      <c r="O151" s="44" t="n"/>
    </row>
    <row r="152" ht="54" customHeight="1">
      <c r="A152" s="44" t="inlineStr">
        <is>
          <t>sevilla:photo:huevo-de-colon-02</t>
        </is>
      </c>
      <c r="B152" s="44" t="inlineStr">
        <is>
          <t>https://web.archive.org/web/20161014032851/http://www.panoramio.com/user/2338466?with_photo_id=27820846</t>
        </is>
      </c>
      <c r="C152" s="44" t="inlineStr">
        <is>
          <t>https://web.archive.org/web/20161014032851/http://www.panoramio.com/user/2338466?with_photo_id=27820846</t>
        </is>
      </c>
      <c r="D152" s="44" t="inlineStr">
        <is>
          <t>https://upload.wikimedia.org/wikipedia/commons/f/fe/Huevo_de_Colon_-_Sevilla_-_Parque_de_San_Jeronimo_-_panoramio.jpg</t>
        </is>
      </c>
      <c r="E152" s="44" t="inlineStr">
        <is>
          <t>https://thumb.wikimedia.org/wikipedia/commons/thumb/f/fe/Huevo_de_Colon_-_Sevilla_-_Parque_de_San_Jeronimo_-_panoramio.jpg/1280px-Huevo_de_Colon_-_Sevilla_-_Parque_de_San_Jeronimo_-_panoramio.jpg</t>
        </is>
      </c>
      <c r="F152" s="53" t="n">
        <v>46320</v>
      </c>
      <c r="G152" s="44" t="inlineStr">
        <is>
          <t>Fotoğraflar/sevilla_huevo-de-colon_02.jpg</t>
        </is>
      </c>
      <c r="H152" s="44" t="inlineStr">
        <is>
          <t>58b36d90bb46f0727f93d66bc8f75a5e1d06fa371aca0d89b22c738a31da39f9</t>
        </is>
      </c>
      <c r="I152" s="44" t="inlineStr">
        <is>
          <t>Teslimler/WebKopyalari/58b36d90bb46f0727f93d66bc8f75a5e1d06fa371aca0d89b22c738a31da39f9.webp</t>
        </is>
      </c>
      <c r="J152" s="44" t="inlineStr">
        <is>
          <t>6c2b95299aab37058224e031ddd076a6daf1b36488b1a425cb6cb2e7d94b6cc3</t>
        </is>
      </c>
      <c r="K152" s="44" t="n">
        <v>1280</v>
      </c>
      <c r="L152" s="44" t="n">
        <v>960</v>
      </c>
      <c r="M152" s="44" t="inlineStr">
        <is>
          <t>Özgün teslim dosyası korundu. EXIF yönü uygulandı; kırpma yapılmadan en çok 1600 px, WebP kalite 84. Önceki kaynak değişiklik notları ayrıca korunur.</t>
        </is>
      </c>
      <c r="N152" s="44" t="inlineStr">
        <is>
          <t>Kayıttan doğrulandı</t>
        </is>
      </c>
      <c r="O152" s="44" t="n"/>
    </row>
    <row r="153" ht="54" customHeight="1">
      <c r="A153" s="44" t="inlineStr">
        <is>
          <t>sevilla:photo:real-fabrica-de-artilleria-01</t>
        </is>
      </c>
      <c r="B153" s="44" t="inlineStr">
        <is>
          <t>https://commons.wikimedia.org/wiki/User:Anual</t>
        </is>
      </c>
      <c r="C153" s="44" t="inlineStr">
        <is>
          <t>https://commons.wikimedia.org/wiki/User:Anual</t>
        </is>
      </c>
      <c r="D153" s="44" t="inlineStr">
        <is>
          <t>https://upload.wikimedia.org/wikipedia/commons/5/54/F%C3%A1brica_de_artiller%C3%ADa_2024An773.jpg</t>
        </is>
      </c>
      <c r="E153" s="44" t="inlineStr">
        <is>
          <t>https://thumb.wikimedia.org/wikipedia/commons/thumb/5/54/F%C3%A1brica_de_artiller%C3%ADa_2024An773.jpg/1280px-F%C3%A1brica_de_artiller%C3%ADa_2024An773.jpg</t>
        </is>
      </c>
      <c r="F153" s="53" t="n">
        <v>46320</v>
      </c>
      <c r="G153" s="44" t="inlineStr">
        <is>
          <t>Fotoğraflar/sevilla_real-fabrica-de-artilleria_01.jpg</t>
        </is>
      </c>
      <c r="H153" s="44" t="inlineStr">
        <is>
          <t>fa5a20b4c118fd220cb6b37f84fb1630670a7f0a6ca1b58b767a327f462cb372</t>
        </is>
      </c>
      <c r="I153" s="44" t="inlineStr">
        <is>
          <t>Teslimler/WebKopyalari/fa5a20b4c118fd220cb6b37f84fb1630670a7f0a6ca1b58b767a327f462cb372.webp</t>
        </is>
      </c>
      <c r="J153" s="44" t="inlineStr">
        <is>
          <t>2e78805370dc6347e7f8cd072555d88d3c4c4662b786d9ec5fd00c8a7728c1a0</t>
        </is>
      </c>
      <c r="K153" s="44" t="n">
        <v>1280</v>
      </c>
      <c r="L153" s="44" t="n">
        <v>853</v>
      </c>
      <c r="M153" s="44" t="inlineStr">
        <is>
          <t>Özgün teslim dosyası korundu. EXIF yönü uygulandı; kırpma yapılmadan en çok 1600 px, WebP kalite 84. Önceki kaynak değişiklik notları ayrıca korunur.</t>
        </is>
      </c>
      <c r="N153" s="44" t="inlineStr">
        <is>
          <t>Kayıttan doğrulandı</t>
        </is>
      </c>
      <c r="O153" s="44" t="n"/>
    </row>
    <row r="154" ht="54" customHeight="1">
      <c r="A154" s="44" t="inlineStr">
        <is>
          <t>sevilla:photo:iglesia-de-san-luis-de-los-franceses-01</t>
        </is>
      </c>
      <c r="B154" s="44" t="n"/>
      <c r="C154" s="44" t="inlineStr">
        <is>
          <t>https://commons.wikimedia.org/wiki/File:B%C3%B3veda_de_la_Iglesia_de_San_Luis_de_los_Franceses_(Sevilla).jpg</t>
        </is>
      </c>
      <c r="D154" s="44" t="inlineStr">
        <is>
          <t>https://upload.wikimedia.org/wikipedia/commons/4/40/B%C3%B3veda_de_la_Iglesia_de_San_Luis_de_los_Franceses_%28Sevilla%29.jpg</t>
        </is>
      </c>
      <c r="E154" s="44" t="inlineStr">
        <is>
          <t>https://thumb.wikimedia.org/wikipedia/commons/thumb/4/40/B%C3%B3veda_de_la_Iglesia_de_San_Luis_de_los_Franceses_%28Sevilla%29.jpg/1280px-B%C3%B3veda_de_la_Iglesia_de_San_Luis_de_los_Franceses_%28Sevilla%29.jpg</t>
        </is>
      </c>
      <c r="F154" s="53" t="n">
        <v>46320</v>
      </c>
      <c r="G154" s="44" t="inlineStr">
        <is>
          <t>Fotoğraflar/sevilla_iglesia-de-san-luis-de-los-franceses_01.jpg</t>
        </is>
      </c>
      <c r="H154" s="44" t="inlineStr">
        <is>
          <t>15354794abdf9afb8ab7e3ac0eb790d3ab413c865c56a7a846f784212d4dc4c7</t>
        </is>
      </c>
      <c r="I154" s="44" t="inlineStr">
        <is>
          <t>Teslimler/WebKopyalari/15354794abdf9afb8ab7e3ac0eb790d3ab413c865c56a7a846f784212d4dc4c7.webp</t>
        </is>
      </c>
      <c r="J154" s="44" t="inlineStr">
        <is>
          <t>8f7f5b8e902a33991f21596c72085fe303fd9cd3a0662ad6476b1fa9f5cfebdb</t>
        </is>
      </c>
      <c r="K154" s="44" t="n">
        <v>1280</v>
      </c>
      <c r="L154" s="44" t="n">
        <v>960</v>
      </c>
      <c r="M154" s="44" t="inlineStr">
        <is>
          <t>Özgün teslim dosyası korundu. EXIF yönü uygulandı; kırpma yapılmadan en çok 1600 px, WebP kalite 84. Önceki kaynak değişiklik notları ayrıca korunur.</t>
        </is>
      </c>
      <c r="N154" s="44" t="inlineStr">
        <is>
          <t>Eksik alan var</t>
        </is>
      </c>
      <c r="O154" s="44" t="inlineStr">
        <is>
          <t>Kaynakta ayrı fotoğrafçı profil bağlantısı bulunmadı; fotoğraf kaynak sayfasına atıf korunur. Bağlantı uydurulmaz.</t>
        </is>
      </c>
    </row>
    <row r="155" ht="54" customHeight="1">
      <c r="A155" s="44" t="inlineStr">
        <is>
          <t>sevilla:photo:iglesia-de-san-luis-de-los-franceses-02</t>
        </is>
      </c>
      <c r="B155" s="44" t="inlineStr">
        <is>
          <t>https://commons.wikimedia.org/wiki/User:Tdn70</t>
        </is>
      </c>
      <c r="C155" s="44" t="inlineStr">
        <is>
          <t>https://commons.wikimedia.org/wiki/User:Tdn70</t>
        </is>
      </c>
      <c r="D155" s="44" t="inlineStr">
        <is>
          <t>https://upload.wikimedia.org/wikipedia/commons/7/75/Exterior_of_the_Iglesia_de_San_Luis_de_los_Franceses_%28Sevilla%29_seen_from_the_top_of_Metropol_Parasol.jpg</t>
        </is>
      </c>
      <c r="E155" s="44" t="inlineStr">
        <is>
          <t>https://thumb.wikimedia.org/wikipedia/commons/thumb/7/75/Exterior_of_the_Iglesia_de_San_Luis_de_los_Franceses_%28Sevilla%29_seen_from_the_top_of_Metropol_Parasol.jpg/1280px-Exterior_of_the_Iglesia_de_San_Luis_de_los_Franceses_%28Sevilla%29_seen_from_the_top_of_Metropol_Parasol.jpg</t>
        </is>
      </c>
      <c r="F155" s="53" t="n">
        <v>46320</v>
      </c>
      <c r="G155" s="44" t="inlineStr">
        <is>
          <t>Fotoğraflar/sevilla_iglesia-de-san-luis-de-los-franceses_02.jpg</t>
        </is>
      </c>
      <c r="H155" s="44" t="inlineStr">
        <is>
          <t>b27fbf731e55f7445401896bd22778c2480245b5aa47dcb3310b86c53f68521d</t>
        </is>
      </c>
      <c r="I155" s="44" t="inlineStr">
        <is>
          <t>Teslimler/WebKopyalari/b27fbf731e55f7445401896bd22778c2480245b5aa47dcb3310b86c53f68521d.webp</t>
        </is>
      </c>
      <c r="J155" s="44" t="inlineStr">
        <is>
          <t>52d6af0e1c1bb96505bb6ef9b8ae6e8a4ba2fdc9898bf078d974fd046f8731d0</t>
        </is>
      </c>
      <c r="K155" s="44" t="n">
        <v>1280</v>
      </c>
      <c r="L155" s="44" t="n">
        <v>853</v>
      </c>
      <c r="M155" s="44" t="inlineStr">
        <is>
          <t>Özgün teslim dosyası korundu. EXIF yönü uygulandı; kırpma yapılmadan en çok 1600 px, WebP kalite 84. Önceki kaynak değişiklik notları ayrıca korunur.</t>
        </is>
      </c>
      <c r="N155" s="44" t="inlineStr">
        <is>
          <t>Kayıttan doğrulandı</t>
        </is>
      </c>
      <c r="O155" s="44" t="n"/>
    </row>
    <row r="156" ht="54" customHeight="1">
      <c r="A156" s="44" t="inlineStr">
        <is>
          <t>sevilla:photo:iglesia-de-san-luis-de-los-franceses-03</t>
        </is>
      </c>
      <c r="B156" s="44" t="inlineStr">
        <is>
          <t>https://commons.wikimedia.org/wiki/User:Jl_FilpoC</t>
        </is>
      </c>
      <c r="C156" s="44" t="inlineStr">
        <is>
          <t>https://commons.wikimedia.org/wiki/User:Jl_FilpoC</t>
        </is>
      </c>
      <c r="D156" s="44" t="inlineStr">
        <is>
          <t>https://upload.wikimedia.org/wikipedia/commons/2/22/Retablo_de_San_Estanislao_de_Kostka%2C_Pedro_Duque_Cornejo.jpg</t>
        </is>
      </c>
      <c r="E156" s="44" t="inlineStr">
        <is>
          <t>https://thumb.wikimedia.org/wikipedia/commons/thumb/2/22/Retablo_de_San_Estanislao_de_Kostka%2C_Pedro_Duque_Cornejo.jpg/1280px-Retablo_de_San_Estanislao_de_Kostka%2C_Pedro_Duque_Cornejo.jpg</t>
        </is>
      </c>
      <c r="F156" s="53" t="n">
        <v>46320</v>
      </c>
      <c r="G156" s="44" t="inlineStr">
        <is>
          <t>Fotoğraflar/sevilla_iglesia-de-san-luis-de-los-franceses_03.jpg</t>
        </is>
      </c>
      <c r="H156" s="44" t="inlineStr">
        <is>
          <t>ab5e499d67329f08de2086975a47dc927aec4b73b8cc1bcb1d00a15b6c505376</t>
        </is>
      </c>
      <c r="I156" s="44" t="inlineStr">
        <is>
          <t>Teslimler/WebKopyalari/ab5e499d67329f08de2086975a47dc927aec4b73b8cc1bcb1d00a15b6c505376.webp</t>
        </is>
      </c>
      <c r="J156" s="44" t="inlineStr">
        <is>
          <t>36c3a4eb8da1d29759290adb4ee37bde9994c38a6cb084e5eab2e5a6be8cacbc</t>
        </is>
      </c>
      <c r="K156" s="44" t="n">
        <v>1200</v>
      </c>
      <c r="L156" s="44" t="n">
        <v>1600</v>
      </c>
      <c r="M156" s="44" t="inlineStr">
        <is>
          <t>Özgün teslim dosyası korundu. EXIF yönü uygulandı; kırpma yapılmadan en çok 1600 px, WebP kalite 84. Önceki kaynak değişiklik notları ayrıca korunur.</t>
        </is>
      </c>
      <c r="N156" s="44" t="inlineStr">
        <is>
          <t>Kayıttan doğrulandı</t>
        </is>
      </c>
      <c r="O156" s="44" t="n"/>
    </row>
    <row r="157" ht="54" customHeight="1">
      <c r="A157" s="44" t="inlineStr">
        <is>
          <t>sevilla:photo:ceramica-santa-ana-01</t>
        </is>
      </c>
      <c r="B157" s="44" t="inlineStr">
        <is>
          <t>https://commons.wikimedia.org/wiki/User:Anual</t>
        </is>
      </c>
      <c r="C157" s="44" t="inlineStr">
        <is>
          <t>https://commons.wikimedia.org/wiki/User:Anual</t>
        </is>
      </c>
      <c r="D157" s="44" t="inlineStr">
        <is>
          <t>https://upload.wikimedia.org/wikipedia/commons/a/a0/Cer%C3%A1micas_Santa_Ana_004.jpg</t>
        </is>
      </c>
      <c r="E157" s="44" t="inlineStr">
        <is>
          <t>https://thumb.wikimedia.org/wikipedia/commons/thumb/a/a0/Cer%C3%A1micas_Santa_Ana_004.jpg/1280px-Cer%C3%A1micas_Santa_Ana_004.jpg</t>
        </is>
      </c>
      <c r="F157" s="53" t="n">
        <v>46320</v>
      </c>
      <c r="G157" s="44" t="inlineStr">
        <is>
          <t>Fotoğraflar/sevilla_ceramica-santa-ana_01.jpg</t>
        </is>
      </c>
      <c r="H157" s="44" t="inlineStr">
        <is>
          <t>806b111a5c4f8af6b00f871be9f55ba9fbe0bbd5ca078b91e522aff21c82388e</t>
        </is>
      </c>
      <c r="I157" s="44" t="inlineStr">
        <is>
          <t>Teslimler/WebKopyalari/806b111a5c4f8af6b00f871be9f55ba9fbe0bbd5ca078b91e522aff21c82388e.webp</t>
        </is>
      </c>
      <c r="J157" s="44" t="inlineStr">
        <is>
          <t>f93fede01172cc9a3596f9d84105cd10022ee99f47098d44c9fe8f000ad413d3</t>
        </is>
      </c>
      <c r="K157" s="44" t="n">
        <v>1249</v>
      </c>
      <c r="L157" s="44" t="n">
        <v>1600</v>
      </c>
      <c r="M157" s="44" t="inlineStr">
        <is>
          <t>Özgün teslim dosyası korundu. EXIF yönü uygulandı; kırpma yapılmadan en çok 1600 px, WebP kalite 84. Önceki kaynak değişiklik notları ayrıca korunur.</t>
        </is>
      </c>
      <c r="N157" s="44" t="inlineStr">
        <is>
          <t>Kayıttan doğrulandı</t>
        </is>
      </c>
      <c r="O157" s="44" t="n"/>
    </row>
    <row r="158" ht="54" customHeight="1">
      <c r="A158" s="44" t="inlineStr">
        <is>
          <t>sevilla:photo:casa-de-la-guitarra-01</t>
        </is>
      </c>
      <c r="B158" s="44" t="inlineStr">
        <is>
          <t>https://commons.wikimedia.org/wiki/User:CarlosVdeHabsburgo</t>
        </is>
      </c>
      <c r="C158" s="44" t="inlineStr">
        <is>
          <t>https://commons.wikimedia.org/wiki/User:CarlosVdeHabsburgo</t>
        </is>
      </c>
      <c r="D158" s="44" t="inlineStr">
        <is>
          <t>https://upload.wikimedia.org/wikipedia/commons/3/34/Centro_Cultural_Flamenco.jpg</t>
        </is>
      </c>
      <c r="E158" s="44" t="inlineStr">
        <is>
          <t>https://thumb.wikimedia.org/wikipedia/commons/thumb/3/34/Centro_Cultural_Flamenco.jpg/1280px-Centro_Cultural_Flamenco.jpg</t>
        </is>
      </c>
      <c r="F158" s="53" t="n">
        <v>46320</v>
      </c>
      <c r="G158" s="44" t="inlineStr">
        <is>
          <t>Fotoğraflar/sevilla_casa-de-la-guitarra_01.jpg</t>
        </is>
      </c>
      <c r="H158" s="44" t="inlineStr">
        <is>
          <t>d042783095df20216d7d7149417a90328653c4ce1526c924216ad4792d2dead0</t>
        </is>
      </c>
      <c r="I158" s="44" t="inlineStr">
        <is>
          <t>Teslimler/WebKopyalari/d042783095df20216d7d7149417a90328653c4ce1526c924216ad4792d2dead0.webp</t>
        </is>
      </c>
      <c r="J158" s="44" t="inlineStr">
        <is>
          <t>ad06c62fdeb7548528fff4fe26b5bcb19dc2b4e1df2043b03843d5efc3f96c97</t>
        </is>
      </c>
      <c r="K158" s="44" t="n">
        <v>1200</v>
      </c>
      <c r="L158" s="44" t="n">
        <v>1600</v>
      </c>
      <c r="M158" s="44" t="inlineStr">
        <is>
          <t>Özgün teslim dosyası korundu. EXIF yönü uygulandı; kırpma yapılmadan en çok 1600 px, WebP kalite 84. Önceki kaynak değişiklik notları ayrıca korunur.</t>
        </is>
      </c>
      <c r="N158" s="44" t="inlineStr">
        <is>
          <t>Kayıttan doğrulandı</t>
        </is>
      </c>
      <c r="O158" s="44" t="n"/>
    </row>
    <row r="159" ht="54" customHeight="1">
      <c r="A159" s="44" t="inlineStr">
        <is>
          <t>sevilla:photo:convento-de-santa-paula-01</t>
        </is>
      </c>
      <c r="B159" s="44" t="inlineStr">
        <is>
          <t>https://commons.wikimedia.org/wiki/User:Jl_FilpoC</t>
        </is>
      </c>
      <c r="C159" s="44" t="inlineStr">
        <is>
          <t>https://commons.wikimedia.org/wiki/User:Jl_FilpoC</t>
        </is>
      </c>
      <c r="D159" s="44" t="inlineStr">
        <is>
          <t>https://upload.wikimedia.org/wikipedia/commons/d/d1/Comp%C3%A1s_del_Convento_de_Santa_Paula%2C_Sevilla.jpg</t>
        </is>
      </c>
      <c r="E159" s="44" t="inlineStr">
        <is>
          <t>https://thumb.wikimedia.org/wikipedia/commons/thumb/d/d1/Comp%C3%A1s_del_Convento_de_Santa_Paula%2C_Sevilla.jpg/1280px-Comp%C3%A1s_del_Convento_de_Santa_Paula%2C_Sevilla.jpg</t>
        </is>
      </c>
      <c r="F159" s="53" t="n">
        <v>46320</v>
      </c>
      <c r="G159" s="44" t="inlineStr">
        <is>
          <t>Fotoğraflar/sevilla_convento-de-santa-paula_01.jpg</t>
        </is>
      </c>
      <c r="H159" s="44" t="inlineStr">
        <is>
          <t>e57c01d3e4ddebc6bc04b68d5030141897b7280bb0210c955dacd4ee8fbf3f4d</t>
        </is>
      </c>
      <c r="I159" s="44" t="inlineStr">
        <is>
          <t>Teslimler/WebKopyalari/e57c01d3e4ddebc6bc04b68d5030141897b7280bb0210c955dacd4ee8fbf3f4d.webp</t>
        </is>
      </c>
      <c r="J159" s="44" t="inlineStr">
        <is>
          <t>93d0b58c4827471b48c9ac0fb58e79fdc241ac92c54778fb955c4c3c5319ac9a</t>
        </is>
      </c>
      <c r="K159" s="44" t="n">
        <v>1280</v>
      </c>
      <c r="L159" s="44" t="n">
        <v>854</v>
      </c>
      <c r="M159" s="44" t="inlineStr">
        <is>
          <t>Özgün teslim dosyası korundu. EXIF yönü uygulandı; kırpma yapılmadan en çok 1600 px, WebP kalite 84. Önceki kaynak değişiklik notları ayrıca korunur.</t>
        </is>
      </c>
      <c r="N159" s="44" t="inlineStr">
        <is>
          <t>Kayıttan doğrulandı</t>
        </is>
      </c>
      <c r="O159" s="44" t="n"/>
    </row>
    <row r="160" ht="54" customHeight="1">
      <c r="A160" s="44" t="inlineStr">
        <is>
          <t>sevilla:photo:convento-de-santa-paula-02</t>
        </is>
      </c>
      <c r="B160" s="44" t="n"/>
      <c r="C160" s="44" t="inlineStr">
        <is>
          <t>https://commons.wikimedia.org/wiki/File:Convento_de_Santa_Paula_(Sevilla)._B%C3%B3veda.jpg</t>
        </is>
      </c>
      <c r="D160" s="44" t="inlineStr">
        <is>
          <t>https://upload.wikimedia.org/wikipedia/commons/6/69/Convento_de_Santa_Paula_%28Sevilla%29._B%C3%B3veda.jpg</t>
        </is>
      </c>
      <c r="E160" s="44" t="inlineStr">
        <is>
          <t>https://thumb.wikimedia.org/wikipedia/commons/thumb/6/69/Convento_de_Santa_Paula_%28Sevilla%29._B%C3%B3veda.jpg/1280px-Convento_de_Santa_Paula_%28Sevilla%29._B%C3%B3veda.jpg</t>
        </is>
      </c>
      <c r="F160" s="53" t="n">
        <v>46320</v>
      </c>
      <c r="G160" s="44" t="inlineStr">
        <is>
          <t>Fotoğraflar/sevilla_convento-de-santa-paula_02.jpg</t>
        </is>
      </c>
      <c r="H160" s="44" t="inlineStr">
        <is>
          <t>960929bdd989b164935d5ed1aa0e01bb2a95914a7e8efbdb21b984eeca491114</t>
        </is>
      </c>
      <c r="I160" s="44" t="inlineStr">
        <is>
          <t>Teslimler/WebKopyalari/960929bdd989b164935d5ed1aa0e01bb2a95914a7e8efbdb21b984eeca491114.webp</t>
        </is>
      </c>
      <c r="J160" s="44" t="inlineStr">
        <is>
          <t>b5d75e9b7d9df856dbf37a87249bfbb4c27e21470b66e4429e378bb098640ac8</t>
        </is>
      </c>
      <c r="K160" s="44" t="n">
        <v>1280</v>
      </c>
      <c r="L160" s="44" t="n">
        <v>1206</v>
      </c>
      <c r="M160" s="44" t="inlineStr">
        <is>
          <t>Özgün teslim dosyası korundu. EXIF yönü uygulandı; kırpma yapılmadan en çok 1600 px, WebP kalite 84. Önceki kaynak değişiklik notları ayrıca korunur.</t>
        </is>
      </c>
      <c r="N160" s="44" t="inlineStr">
        <is>
          <t>Eksik alan var</t>
        </is>
      </c>
      <c r="O160" s="44" t="inlineStr">
        <is>
          <t>Kaynakta ayrı fotoğrafçı profil bağlantısı bulunmadı; fotoğraf kaynak sayfasına atıf korunur. Bağlantı uydurulmaz.</t>
        </is>
      </c>
    </row>
    <row r="161" ht="54" customHeight="1">
      <c r="A161" s="44" t="inlineStr">
        <is>
          <t>sevilla:photo:parque-de-miraflores-01</t>
        </is>
      </c>
      <c r="B161" s="44" t="inlineStr">
        <is>
          <t>https://commons.wikimedia.org/wiki/User:Anual</t>
        </is>
      </c>
      <c r="C161" s="44" t="inlineStr">
        <is>
          <t>https://commons.wikimedia.org/wiki/User:Anual</t>
        </is>
      </c>
      <c r="D161" s="44" t="inlineStr">
        <is>
          <t>https://upload.wikimedia.org/wikipedia/commons/7/78/Huertas_en_el_Parque_miraflores_2024an003.jpg</t>
        </is>
      </c>
      <c r="E161" s="44" t="inlineStr">
        <is>
          <t>https://thumb.wikimedia.org/wikipedia/commons/thumb/7/78/Huertas_en_el_Parque_miraflores_2024an003.jpg/1280px-Huertas_en_el_Parque_miraflores_2024an003.jpg</t>
        </is>
      </c>
      <c r="F161" s="53" t="n">
        <v>46320</v>
      </c>
      <c r="G161" s="44" t="inlineStr">
        <is>
          <t>Fotoğraflar/sevilla_parque-de-miraflores_01.jpg</t>
        </is>
      </c>
      <c r="H161" s="44" t="inlineStr">
        <is>
          <t>f93a7e498d08e98b47cede6a48225871e1dc8d495b39954637178fd9738aede9</t>
        </is>
      </c>
      <c r="I161" s="44" t="inlineStr">
        <is>
          <t>Teslimler/WebKopyalari/f93a7e498d08e98b47cede6a48225871e1dc8d495b39954637178fd9738aede9.webp</t>
        </is>
      </c>
      <c r="J161" s="44" t="inlineStr">
        <is>
          <t>7e12c10b2b6f2cd8343593995656b92faaf8ee384eb0821a6249950fae3e2eff</t>
        </is>
      </c>
      <c r="K161" s="44" t="n">
        <v>1280</v>
      </c>
      <c r="L161" s="44" t="n">
        <v>853</v>
      </c>
      <c r="M161" s="44" t="inlineStr">
        <is>
          <t>Özgün teslim dosyası korundu. EXIF yönü uygulandı; kırpma yapılmadan en çok 1600 px, WebP kalite 84. Önceki kaynak değişiklik notları ayrıca korunur.</t>
        </is>
      </c>
      <c r="N161" s="44" t="inlineStr">
        <is>
          <t>Kayıttan doğrulandı</t>
        </is>
      </c>
      <c r="O161" s="44" t="n"/>
    </row>
    <row r="162" ht="54" customHeight="1">
      <c r="A162" s="44" t="inlineStr">
        <is>
          <t>sevilla:photo:parque-de-miraflores-02</t>
        </is>
      </c>
      <c r="B162" s="44" t="inlineStr">
        <is>
          <t>https://commons.wikimedia.org/wiki/User:CarlosVdeHabsburgo</t>
        </is>
      </c>
      <c r="C162" s="44" t="inlineStr">
        <is>
          <t>https://commons.wikimedia.org/wiki/User:CarlosVdeHabsburgo</t>
        </is>
      </c>
      <c r="D162" s="44" t="inlineStr">
        <is>
          <t>https://upload.wikimedia.org/wikipedia/commons/c/c4/Parque_de_Miraflores_%28Sevilla%29.jpg</t>
        </is>
      </c>
      <c r="E162" s="44" t="inlineStr">
        <is>
          <t>https://thumb.wikimedia.org/wikipedia/commons/thumb/c/c4/Parque_de_Miraflores_%28Sevilla%29.jpg/1280px-Parque_de_Miraflores_%28Sevilla%29.jpg</t>
        </is>
      </c>
      <c r="F162" s="53" t="n">
        <v>46320</v>
      </c>
      <c r="G162" s="44" t="inlineStr">
        <is>
          <t>Fotoğraflar/sevilla_parque-de-miraflores_02.jpg</t>
        </is>
      </c>
      <c r="H162" s="44" t="inlineStr">
        <is>
          <t>e320496788034fa637bf40d29169b53e54b396778afb0b19efe69e1a03d156fe</t>
        </is>
      </c>
      <c r="I162" s="44" t="inlineStr">
        <is>
          <t>Teslimler/WebKopyalari/e320496788034fa637bf40d29169b53e54b396778afb0b19efe69e1a03d156fe.webp</t>
        </is>
      </c>
      <c r="J162" s="44" t="inlineStr">
        <is>
          <t>78bfb35ed491aa1bda1a7adf6552026ecafb99c12983b1c8a6bbb9242b52bbfb</t>
        </is>
      </c>
      <c r="K162" s="44" t="n">
        <v>1280</v>
      </c>
      <c r="L162" s="44" t="n">
        <v>960</v>
      </c>
      <c r="M162" s="44" t="inlineStr">
        <is>
          <t>Özgün teslim dosyası korundu. EXIF yönü uygulandı; kırpma yapılmadan en çok 1600 px, WebP kalite 84. Önceki kaynak değişiklik notları ayrıca korunur.</t>
        </is>
      </c>
      <c r="N162" s="44" t="inlineStr">
        <is>
          <t>Kayıttan doğrulandı</t>
        </is>
      </c>
      <c r="O162" s="44" t="n"/>
    </row>
    <row r="163" ht="54" customHeight="1">
      <c r="A163" s="44" t="inlineStr">
        <is>
          <t>sevilla:photo:parque-de-miraflores-03</t>
        </is>
      </c>
      <c r="B163" s="44" t="inlineStr">
        <is>
          <t>https://commons.wikimedia.org/wiki/User:Hameryko</t>
        </is>
      </c>
      <c r="C163" s="44" t="inlineStr">
        <is>
          <t>https://commons.wikimedia.org/wiki/User:Hameryko</t>
        </is>
      </c>
      <c r="D163" s="44" t="inlineStr">
        <is>
          <t>https://upload.wikimedia.org/wikipedia/commons/8/83/Parque_de_Miraflores_-_Sevilla_001.jpg</t>
        </is>
      </c>
      <c r="E163" s="44" t="inlineStr">
        <is>
          <t>https://thumb.wikimedia.org/wikipedia/commons/thumb/8/83/Parque_de_Miraflores_-_Sevilla_001.jpg/1280px-Parque_de_Miraflores_-_Sevilla_001.jpg</t>
        </is>
      </c>
      <c r="F163" s="53" t="n">
        <v>46320</v>
      </c>
      <c r="G163" s="44" t="inlineStr">
        <is>
          <t>Fotoğraflar/sevilla_parque-de-miraflores_03.jpg</t>
        </is>
      </c>
      <c r="H163" s="44" t="inlineStr">
        <is>
          <t>858394cb72c8b1b8a832f922e1b686b8a04777e95be36612574666079de9fb19</t>
        </is>
      </c>
      <c r="I163" s="44" t="inlineStr">
        <is>
          <t>Teslimler/WebKopyalari/858394cb72c8b1b8a832f922e1b686b8a04777e95be36612574666079de9fb19.webp</t>
        </is>
      </c>
      <c r="J163" s="44" t="inlineStr">
        <is>
          <t>082e474e26e38784b745e2f4d42646abe2b01428488d0628412aea489cb6d244</t>
        </is>
      </c>
      <c r="K163" s="44" t="n">
        <v>1280</v>
      </c>
      <c r="L163" s="44" t="n">
        <v>960</v>
      </c>
      <c r="M163" s="44" t="inlineStr">
        <is>
          <t>Özgün teslim dosyası korundu. EXIF yönü uygulandı; kırpma yapılmadan en çok 1600 px, WebP kalite 84. Önceki kaynak değişiklik notları ayrıca korunur.</t>
        </is>
      </c>
      <c r="N163" s="44" t="inlineStr">
        <is>
          <t>Kayıttan doğrulandı</t>
        </is>
      </c>
      <c r="O163" s="44" t="n"/>
    </row>
    <row r="164" ht="54" customHeight="1">
      <c r="A164" s="44" t="inlineStr">
        <is>
          <t>sevilla:photo:parque-de-san-jeronimo-01</t>
        </is>
      </c>
      <c r="B164" s="44" t="inlineStr">
        <is>
          <t>https://commons.wikimedia.org/wiki/User:CarlosVdeHabsburgo</t>
        </is>
      </c>
      <c r="C164" s="44" t="inlineStr">
        <is>
          <t>https://commons.wikimedia.org/wiki/User:CarlosVdeHabsburgo</t>
        </is>
      </c>
      <c r="D164" s="44" t="inlineStr">
        <is>
          <t>https://upload.wikimedia.org/wikipedia/commons/4/46/D%C3%A1rsena_del_Guadalquivir_en_el_Parque_de_San_Jer%C3%B3nimo.JPG</t>
        </is>
      </c>
      <c r="E164" s="44" t="inlineStr">
        <is>
          <t>https://thumb.wikimedia.org/wikipedia/commons/thumb/4/46/D%C3%A1rsena_del_Guadalquivir_en_el_Parque_de_San_Jer%C3%B3nimo.JPG/1280px-D%C3%A1rsena_del_Guadalquivir_en_el_Parque_de_San_Jer%C3%B3nimo.JPG</t>
        </is>
      </c>
      <c r="F164" s="53" t="n">
        <v>46320</v>
      </c>
      <c r="G164" s="44" t="inlineStr">
        <is>
          <t>Fotoğraflar/sevilla_parque-de-san-jeronimo_01.jpg</t>
        </is>
      </c>
      <c r="H164" s="44" t="inlineStr">
        <is>
          <t>55fc689e58813dca57ec178c2029a40bad47788fc92ecb891849f3de6bffc81e</t>
        </is>
      </c>
      <c r="I164" s="44" t="inlineStr">
        <is>
          <t>Teslimler/WebKopyalari/55fc689e58813dca57ec178c2029a40bad47788fc92ecb891849f3de6bffc81e.webp</t>
        </is>
      </c>
      <c r="J164" s="44" t="inlineStr">
        <is>
          <t>4094e3c01b0d70d78d045bad8309359ad2fad3f951fd556069d20d1e0736dbc4</t>
        </is>
      </c>
      <c r="K164" s="44" t="n">
        <v>1280</v>
      </c>
      <c r="L164" s="44" t="n">
        <v>960</v>
      </c>
      <c r="M164" s="44" t="inlineStr">
        <is>
          <t>Özgün teslim dosyası korundu. EXIF yönü uygulandı; kırpma yapılmadan en çok 1600 px, WebP kalite 84. Önceki kaynak değişiklik notları ayrıca korunur.</t>
        </is>
      </c>
      <c r="N164" s="44" t="inlineStr">
        <is>
          <t>Kayıttan doğrulandı</t>
        </is>
      </c>
      <c r="O164" s="44" t="n"/>
    </row>
    <row r="165" ht="54" customHeight="1">
      <c r="A165" s="44" t="inlineStr">
        <is>
          <t>sevilla:photo:parque-de-san-jeronimo-02</t>
        </is>
      </c>
      <c r="B165" s="44" t="inlineStr">
        <is>
          <t>https://commons.wikimedia.org/wiki/User:Gzzz</t>
        </is>
      </c>
      <c r="C165" s="44" t="inlineStr">
        <is>
          <t>https://commons.wikimedia.org/wiki/User:Gzzz</t>
        </is>
      </c>
      <c r="D165" s="44" t="inlineStr">
        <is>
          <t>https://upload.wikimedia.org/wikipedia/commons/b/b0/Parque_de_San_Jer%C3%B3nimo_1.jpg</t>
        </is>
      </c>
      <c r="E165" s="44" t="inlineStr">
        <is>
          <t>https://thumb.wikimedia.org/wikipedia/commons/thumb/b/b0/Parque_de_San_Jer%C3%B3nimo_1.jpg/1280px-Parque_de_San_Jer%C3%B3nimo_1.jpg</t>
        </is>
      </c>
      <c r="F165" s="53" t="n">
        <v>46320</v>
      </c>
      <c r="G165" s="44" t="inlineStr">
        <is>
          <t>Fotoğraflar/sevilla_parque-de-san-jeronimo_02.jpg</t>
        </is>
      </c>
      <c r="H165" s="44" t="inlineStr">
        <is>
          <t>9b8d8632db95f9b4595bdd231d27ccf3470ba09fdf6e335d81cb6cae944decfb</t>
        </is>
      </c>
      <c r="I165" s="44" t="inlineStr">
        <is>
          <t>Teslimler/WebKopyalari/9b8d8632db95f9b4595bdd231d27ccf3470ba09fdf6e335d81cb6cae944decfb.webp</t>
        </is>
      </c>
      <c r="J165" s="44" t="inlineStr">
        <is>
          <t>f3e6db84afcbb44359c11c98a2a3079fc12bca74e3c48843182ddf84d5364ae7</t>
        </is>
      </c>
      <c r="K165" s="44" t="n">
        <v>1280</v>
      </c>
      <c r="L165" s="44" t="n">
        <v>837</v>
      </c>
      <c r="M165" s="44" t="inlineStr">
        <is>
          <t>Özgün teslim dosyası korundu. EXIF yönü uygulandı; kırpma yapılmadan en çok 1600 px, WebP kalite 84. Önceki kaynak değişiklik notları ayrıca korunur.</t>
        </is>
      </c>
      <c r="N165" s="44" t="inlineStr">
        <is>
          <t>Kayıttan doğrulandı</t>
        </is>
      </c>
      <c r="O165" s="44" t="n"/>
    </row>
    <row r="166" ht="54" customHeight="1">
      <c r="A166" s="44" t="inlineStr">
        <is>
          <t>sevilla:photo:parque-de-san-jeronimo-03</t>
        </is>
      </c>
      <c r="B166" s="44" t="inlineStr">
        <is>
          <t>https://commons.wikimedia.org/wiki/User:Gzzz</t>
        </is>
      </c>
      <c r="C166" s="44" t="inlineStr">
        <is>
          <t>https://commons.wikimedia.org/wiki/User:Gzzz</t>
        </is>
      </c>
      <c r="D166" s="44" t="inlineStr">
        <is>
          <t>https://upload.wikimedia.org/wikipedia/commons/9/9f/Parque_de_San_Jer%C3%B3nimo_2.jpg</t>
        </is>
      </c>
      <c r="E166" s="44" t="inlineStr">
        <is>
          <t>https://thumb.wikimedia.org/wikipedia/commons/thumb/9/9f/Parque_de_San_Jer%C3%B3nimo_2.jpg/1280px-Parque_de_San_Jer%C3%B3nimo_2.jpg</t>
        </is>
      </c>
      <c r="F166" s="53" t="n">
        <v>46320</v>
      </c>
      <c r="G166" s="44" t="inlineStr">
        <is>
          <t>Fotoğraflar/sevilla_parque-de-san-jeronimo_03.jpg</t>
        </is>
      </c>
      <c r="H166" s="44" t="inlineStr">
        <is>
          <t>86999820f40f468ba771763daf57534a9bb2fa93f76db487533f4fb16d3dd7b2</t>
        </is>
      </c>
      <c r="I166" s="44" t="inlineStr">
        <is>
          <t>Teslimler/WebKopyalari/86999820f40f468ba771763daf57534a9bb2fa93f76db487533f4fb16d3dd7b2.webp</t>
        </is>
      </c>
      <c r="J166" s="44" t="inlineStr">
        <is>
          <t>cc5e88bb96bb04227b6af4893c7bafdffbf5f8494fb42a776ed6454999e7e263</t>
        </is>
      </c>
      <c r="K166" s="44" t="n">
        <v>1280</v>
      </c>
      <c r="L166" s="44" t="n">
        <v>823</v>
      </c>
      <c r="M166" s="44" t="inlineStr">
        <is>
          <t>Özgün teslim dosyası korundu. EXIF yönü uygulandı; kırpma yapılmadan en çok 1600 px, WebP kalite 84. Önceki kaynak değişiklik notları ayrıca korunur.</t>
        </is>
      </c>
      <c r="N166" s="44" t="inlineStr">
        <is>
          <t>Kayıttan doğrulandı</t>
        </is>
      </c>
      <c r="O166" s="44" t="n"/>
    </row>
    <row r="167" ht="54" customHeight="1">
      <c r="A167" s="44" t="inlineStr">
        <is>
          <t>sevilla:photo:jardines-torre-de-los-perdigones-01</t>
        </is>
      </c>
      <c r="B167" s="44" t="n"/>
      <c r="C167" s="44" t="inlineStr">
        <is>
          <t>https://commons.wikimedia.org/wiki/File:Sevilla_historic_monuments_wall_6.jpg</t>
        </is>
      </c>
      <c r="D167" s="44" t="inlineStr">
        <is>
          <t>https://upload.wikimedia.org/wikipedia/commons/e/ea/Sevilla_historic_monuments_wall_6.jpg</t>
        </is>
      </c>
      <c r="E167" s="44" t="inlineStr">
        <is>
          <t>https://thumb.wikimedia.org/wikipedia/commons/thumb/e/ea/Sevilla_historic_monuments_wall_6.jpg/1280px-Sevilla_historic_monuments_wall_6.jpg</t>
        </is>
      </c>
      <c r="F167" s="53" t="n">
        <v>46320</v>
      </c>
      <c r="G167" s="44" t="inlineStr">
        <is>
          <t>Fotoğraflar/sevilla_jardines-torre-de-los-perdigones_01.jpg</t>
        </is>
      </c>
      <c r="H167" s="44" t="inlineStr">
        <is>
          <t>e3ae2916f016895d0d863508adbd784b1c88b864b51eb7cc15371cefd3c5f6f5</t>
        </is>
      </c>
      <c r="I167" s="44" t="inlineStr">
        <is>
          <t>Teslimler/WebKopyalari/e3ae2916f016895d0d863508adbd784b1c88b864b51eb7cc15371cefd3c5f6f5.webp</t>
        </is>
      </c>
      <c r="J167" s="44" t="inlineStr">
        <is>
          <t>5018becfae63196e40c62b49cc7c6f0d1493bc7c44ea3637034d7d5ba0b68402</t>
        </is>
      </c>
      <c r="K167" s="44" t="n">
        <v>1200</v>
      </c>
      <c r="L167" s="44" t="n">
        <v>1600</v>
      </c>
      <c r="M167" s="44" t="inlineStr">
        <is>
          <t>Özgün teslim dosyası korundu. EXIF yönü uygulandı; kırpma yapılmadan en çok 1600 px, WebP kalite 84. Önceki kaynak değişiklik notları ayrıca korunur.</t>
        </is>
      </c>
      <c r="N167" s="44" t="inlineStr">
        <is>
          <t>Eksik alan var</t>
        </is>
      </c>
      <c r="O167" s="44" t="inlineStr">
        <is>
          <t>Kaynakta ayrı fotoğrafçı profil bağlantısı bulunmadı; fotoğraf kaynak sayfasına atıf korunur. Bağlantı uydurulmaz.</t>
        </is>
      </c>
    </row>
    <row r="168" ht="54" customHeight="1">
      <c r="A168" s="44" t="inlineStr">
        <is>
          <t>sevilla:photo:jardines-torre-de-los-perdigones-02</t>
        </is>
      </c>
      <c r="B168" s="44" t="inlineStr">
        <is>
          <t>https://commons.wikimedia.org/wiki/User:Lobillo</t>
        </is>
      </c>
      <c r="C168" s="44" t="inlineStr">
        <is>
          <t>https://commons.wikimedia.org/wiki/User:Lobillo</t>
        </is>
      </c>
      <c r="D168" s="44" t="inlineStr">
        <is>
          <t>https://upload.wikimedia.org/wikipedia/commons/0/0f/SevillaTorreDeLosPerdigones01.JPG</t>
        </is>
      </c>
      <c r="E168" s="44" t="inlineStr">
        <is>
          <t>https://thumb.wikimedia.org/wikipedia/commons/thumb/0/0f/SevillaTorreDeLosPerdigones01.JPG/1280px-SevillaTorreDeLosPerdigones01.JPG</t>
        </is>
      </c>
      <c r="F168" s="53" t="n">
        <v>46320</v>
      </c>
      <c r="G168" s="44" t="inlineStr">
        <is>
          <t>Fotoğraflar/sevilla_jardines-torre-de-los-perdigones_02.jpg</t>
        </is>
      </c>
      <c r="H168" s="44" t="inlineStr">
        <is>
          <t>e2f8ad8972ac9e10a192533ec3364e2cb5df04512911362bf0672c066c1dfe64</t>
        </is>
      </c>
      <c r="I168" s="44" t="inlineStr">
        <is>
          <t>Teslimler/WebKopyalari/e2f8ad8972ac9e10a192533ec3364e2cb5df04512911362bf0672c066c1dfe64.webp</t>
        </is>
      </c>
      <c r="J168" s="44" t="inlineStr">
        <is>
          <t>685a6969b0516c1d7e84b4c1ee19f3eda265317cd7e889b47620d181ce13ed60</t>
        </is>
      </c>
      <c r="K168" s="44" t="n">
        <v>1200</v>
      </c>
      <c r="L168" s="44" t="n">
        <v>1600</v>
      </c>
      <c r="M168" s="44" t="inlineStr">
        <is>
          <t>Özgün teslim dosyası korundu. EXIF yönü uygulandı; kırpma yapılmadan en çok 1600 px, WebP kalite 84. Önceki kaynak değişiklik notları ayrıca korunur.</t>
        </is>
      </c>
      <c r="N168" s="44" t="inlineStr">
        <is>
          <t>Kayıttan doğrulandı</t>
        </is>
      </c>
      <c r="O168" s="44" t="n"/>
    </row>
    <row r="169" ht="54" customHeight="1">
      <c r="A169" s="44" t="inlineStr">
        <is>
          <t>sevilla:photo:jardines-torre-de-los-perdigones-03</t>
        </is>
      </c>
      <c r="B169" s="44" t="inlineStr">
        <is>
          <t>https://web.archive.org/web/20161023202822/http://www.panoramio.com/user/2338466?with_photo_id=55407650</t>
        </is>
      </c>
      <c r="C169" s="44" t="inlineStr">
        <is>
          <t>https://web.archive.org/web/20161023202822/http://www.panoramio.com/user/2338466?with_photo_id=55407650</t>
        </is>
      </c>
      <c r="D169" s="44" t="inlineStr">
        <is>
          <t>https://upload.wikimedia.org/wikipedia/commons/a/a1/Seville%2C_Sevilla%2C_Spain_-_panoramio_%2823%29.jpg</t>
        </is>
      </c>
      <c r="E169" s="44" t="inlineStr">
        <is>
          <t>https://thumb.wikimedia.org/wikipedia/commons/thumb/a/a1/Seville%2C_Sevilla%2C_Spain_-_panoramio_%2823%29.jpg/1280px-Seville%2C_Sevilla%2C_Spain_-_panoramio_%2823%29.jpg</t>
        </is>
      </c>
      <c r="F169" s="53" t="n">
        <v>46320</v>
      </c>
      <c r="G169" s="44" t="inlineStr">
        <is>
          <t>Fotoğraflar/sevilla_jardines-torre-de-los-perdigones_03.jpg</t>
        </is>
      </c>
      <c r="H169" s="44" t="inlineStr">
        <is>
          <t>d39a3accc4ea30d5c30703a65b5c58c4f6409fd752e2b20a1d513e22abf8c23d</t>
        </is>
      </c>
      <c r="I169" s="44" t="inlineStr">
        <is>
          <t>Teslimler/WebKopyalari/d39a3accc4ea30d5c30703a65b5c58c4f6409fd752e2b20a1d513e22abf8c23d.webp</t>
        </is>
      </c>
      <c r="J169" s="44" t="inlineStr">
        <is>
          <t>19088e68ecb4e60f5442ed881630a4060361fb8642c6b23bb1eb9a6290e1ae52</t>
        </is>
      </c>
      <c r="K169" s="44" t="n">
        <v>1280</v>
      </c>
      <c r="L169" s="44" t="n">
        <v>960</v>
      </c>
      <c r="M169" s="44" t="inlineStr">
        <is>
          <t>Özgün teslim dosyası korundu. EXIF yönü uygulandı; kırpma yapılmadan en çok 1600 px, WebP kalite 84. Önceki kaynak değişiklik notları ayrıca korunur.</t>
        </is>
      </c>
      <c r="N169" s="44" t="inlineStr">
        <is>
          <t>Kayıttan doğrulandı</t>
        </is>
      </c>
      <c r="O169" s="44" t="n"/>
    </row>
    <row r="170" ht="54" customHeight="1">
      <c r="A170" s="44" t="inlineStr">
        <is>
          <t>sevilla:photo:parque-de-los-principes-01</t>
        </is>
      </c>
      <c r="B170" s="44" t="inlineStr">
        <is>
          <t>https://commons.wikimedia.org/wiki/User:CarlosVdeHabsburgo</t>
        </is>
      </c>
      <c r="C170" s="44" t="inlineStr">
        <is>
          <t>https://commons.wikimedia.org/wiki/User:CarlosVdeHabsburgo</t>
        </is>
      </c>
      <c r="D170" s="44" t="inlineStr">
        <is>
          <t>https://upload.wikimedia.org/wikipedia/commons/4/4d/Glorieta_de_Viena.jpg</t>
        </is>
      </c>
      <c r="E170" s="44" t="inlineStr">
        <is>
          <t>https://thumb.wikimedia.org/wikipedia/commons/thumb/4/4d/Glorieta_de_Viena.jpg/1280px-Glorieta_de_Viena.jpg</t>
        </is>
      </c>
      <c r="F170" s="53" t="n">
        <v>46320</v>
      </c>
      <c r="G170" s="44" t="inlineStr">
        <is>
          <t>Fotoğraflar/sevilla_parque-de-los-principes_01.jpg</t>
        </is>
      </c>
      <c r="H170" s="44" t="inlineStr">
        <is>
          <t>82ed94ac3d38850bce6f5b6eb706514aef869e1a137d43328899f4d73e459ef1</t>
        </is>
      </c>
      <c r="I170" s="44" t="inlineStr">
        <is>
          <t>Teslimler/WebKopyalari/82ed94ac3d38850bce6f5b6eb706514aef869e1a137d43328899f4d73e459ef1.webp</t>
        </is>
      </c>
      <c r="J170" s="44" t="inlineStr">
        <is>
          <t>7d0b22e5da73de4a7a49d287a2a0bd0b0e8479619dcec2c6ae5d50d96b92bff4</t>
        </is>
      </c>
      <c r="K170" s="44" t="n">
        <v>1280</v>
      </c>
      <c r="L170" s="44" t="n">
        <v>960</v>
      </c>
      <c r="M170" s="44" t="inlineStr">
        <is>
          <t>Özgün teslim dosyası korundu. EXIF yönü uygulandı; kırpma yapılmadan en çok 1600 px, WebP kalite 84. Önceki kaynak değişiklik notları ayrıca korunur.</t>
        </is>
      </c>
      <c r="N170" s="44" t="inlineStr">
        <is>
          <t>Kayıttan doğrulandı</t>
        </is>
      </c>
      <c r="O170" s="44" t="n"/>
    </row>
    <row r="171" ht="54" customHeight="1">
      <c r="A171" s="44" t="inlineStr">
        <is>
          <t>sevilla:photo:parque-de-los-principes-02</t>
        </is>
      </c>
      <c r="B171" s="44" t="inlineStr">
        <is>
          <t>https://commons.wikimedia.org/wiki/User:CarlosVdeHabsburgo</t>
        </is>
      </c>
      <c r="C171" s="44" t="inlineStr">
        <is>
          <t>https://commons.wikimedia.org/wiki/User:CarlosVdeHabsburgo</t>
        </is>
      </c>
      <c r="D171" s="44" t="inlineStr">
        <is>
          <t>https://upload.wikimedia.org/wikipedia/commons/b/b5/Isla_artificial_en_el_parque_de_los_Pr%C3%ADncipes.JPG</t>
        </is>
      </c>
      <c r="E171" s="44" t="inlineStr">
        <is>
          <t>https://thumb.wikimedia.org/wikipedia/commons/thumb/b/b5/Isla_artificial_en_el_parque_de_los_Pr%C3%ADncipes.JPG/1280px-Isla_artificial_en_el_parque_de_los_Pr%C3%ADncipes.JPG</t>
        </is>
      </c>
      <c r="F171" s="53" t="n">
        <v>46320</v>
      </c>
      <c r="G171" s="44" t="inlineStr">
        <is>
          <t>Fotoğraflar/sevilla_parque-de-los-principes_02.jpg</t>
        </is>
      </c>
      <c r="H171" s="44" t="inlineStr">
        <is>
          <t>57ab48b28311234c291a36adb39616c441b6bc45ddce49ec422b7014fbb116fc</t>
        </is>
      </c>
      <c r="I171" s="44" t="inlineStr">
        <is>
          <t>Teslimler/WebKopyalari/57ab48b28311234c291a36adb39616c441b6bc45ddce49ec422b7014fbb116fc.webp</t>
        </is>
      </c>
      <c r="J171" s="44" t="inlineStr">
        <is>
          <t>48b1f250fdf16c7ec2f5ff77e577cc3b1ff87003e0de95c449562a866f953e6c</t>
        </is>
      </c>
      <c r="K171" s="44" t="n">
        <v>1280</v>
      </c>
      <c r="L171" s="44" t="n">
        <v>960</v>
      </c>
      <c r="M171" s="44" t="inlineStr">
        <is>
          <t>Özgün teslim dosyası korundu. EXIF yönü uygulandı; kırpma yapılmadan en çok 1600 px, WebP kalite 84. Önceki kaynak değişiklik notları ayrıca korunur.</t>
        </is>
      </c>
      <c r="N171" s="44" t="inlineStr">
        <is>
          <t>Kayıttan doğrulandı</t>
        </is>
      </c>
      <c r="O171" s="44" t="n"/>
    </row>
    <row r="172" ht="54" customHeight="1">
      <c r="A172" s="44" t="inlineStr">
        <is>
          <t>sevilla:photo:parque-de-los-principes-03</t>
        </is>
      </c>
      <c r="B172" s="44" t="inlineStr">
        <is>
          <t>https://commons.wikimedia.org/wiki/User:CarlosVdeHabsburgo</t>
        </is>
      </c>
      <c r="C172" s="44" t="inlineStr">
        <is>
          <t>https://commons.wikimedia.org/wiki/User:CarlosVdeHabsburgo</t>
        </is>
      </c>
      <c r="D172" s="44" t="inlineStr">
        <is>
          <t>https://upload.wikimedia.org/wikipedia/commons/e/ec/Jacarandas_en_Sevilla_1.JPG</t>
        </is>
      </c>
      <c r="E172" s="44" t="inlineStr">
        <is>
          <t>https://thumb.wikimedia.org/wikipedia/commons/thumb/e/ec/Jacarandas_en_Sevilla_1.JPG/1280px-Jacarandas_en_Sevilla_1.JPG</t>
        </is>
      </c>
      <c r="F172" s="53" t="n">
        <v>46320</v>
      </c>
      <c r="G172" s="44" t="inlineStr">
        <is>
          <t>Fotoğraflar/sevilla_parque-de-los-principes_03.jpg</t>
        </is>
      </c>
      <c r="H172" s="44" t="inlineStr">
        <is>
          <t>8e2c86f834790e0c41ade417a9b5c3c662a5821ac6075a7e8f7f71d6ed3d5718</t>
        </is>
      </c>
      <c r="I172" s="44" t="inlineStr">
        <is>
          <t>Teslimler/WebKopyalari/8e2c86f834790e0c41ade417a9b5c3c662a5821ac6075a7e8f7f71d6ed3d5718.webp</t>
        </is>
      </c>
      <c r="J172" s="44" t="inlineStr">
        <is>
          <t>a2ee44ef1475fa1656b25dc71e928e229bf191a9d776ef4767e95ac4fdb26f16</t>
        </is>
      </c>
      <c r="K172" s="44" t="n">
        <v>1280</v>
      </c>
      <c r="L172" s="44" t="n">
        <v>960</v>
      </c>
      <c r="M172" s="44" t="inlineStr">
        <is>
          <t>Özgün teslim dosyası korundu. EXIF yönü uygulandı; kırpma yapılmadan en çok 1600 px, WebP kalite 84. Önceki kaynak değişiklik notları ayrıca korunur.</t>
        </is>
      </c>
      <c r="N172" s="44" t="inlineStr">
        <is>
          <t>Kayıttan doğrulandı</t>
        </is>
      </c>
      <c r="O172" s="44" t="n"/>
    </row>
    <row r="173" ht="54" customHeight="1">
      <c r="A173" s="44" t="inlineStr">
        <is>
          <t>sevilla:photo:iglesia-de-santa-catalina-01</t>
        </is>
      </c>
      <c r="B173" s="44" t="inlineStr">
        <is>
          <t>https://commons.wikimedia.org/wiki/User:Jl_FilpoC</t>
        </is>
      </c>
      <c r="C173" s="44" t="inlineStr">
        <is>
          <t>https://commons.wikimedia.org/wiki/User:Jl_FilpoC</t>
        </is>
      </c>
      <c r="D173" s="44" t="inlineStr">
        <is>
          <t>https://upload.wikimedia.org/wikipedia/commons/9/91/Capilla_sacramental_de_la_Iglesia_de_Santa_Catalina%2C_Sevilla.jpg</t>
        </is>
      </c>
      <c r="E173" s="44" t="inlineStr">
        <is>
          <t>https://thumb.wikimedia.org/wikipedia/commons/thumb/9/91/Capilla_sacramental_de_la_Iglesia_de_Santa_Catalina%2C_Sevilla.jpg/1280px-Capilla_sacramental_de_la_Iglesia_de_Santa_Catalina%2C_Sevilla.jpg</t>
        </is>
      </c>
      <c r="F173" s="53" t="n">
        <v>46320</v>
      </c>
      <c r="G173" s="44" t="inlineStr">
        <is>
          <t>Fotoğraflar/sevilla_iglesia-de-santa-catalina_01.jpg</t>
        </is>
      </c>
      <c r="H173" s="44" t="inlineStr">
        <is>
          <t>d0cb7d669e922f00f82eda785042f8b7cc305b8455d500f94c0e7611e71c3495</t>
        </is>
      </c>
      <c r="I173" s="44" t="inlineStr">
        <is>
          <t>Teslimler/WebKopyalari/d0cb7d669e922f00f82eda785042f8b7cc305b8455d500f94c0e7611e71c3495.webp</t>
        </is>
      </c>
      <c r="J173" s="44" t="inlineStr">
        <is>
          <t>18eef566b0514dcee518deda1adba9bf7ba06802fa3dffcff002d76e98805ffb</t>
        </is>
      </c>
      <c r="K173" s="44" t="n">
        <v>1200</v>
      </c>
      <c r="L173" s="44" t="n">
        <v>1600</v>
      </c>
      <c r="M173" s="44" t="inlineStr">
        <is>
          <t>Özgün teslim dosyası korundu. EXIF yönü uygulandı; kırpma yapılmadan en çok 1600 px, WebP kalite 84. Önceki kaynak değişiklik notları ayrıca korunur.</t>
        </is>
      </c>
      <c r="N173" s="44" t="inlineStr">
        <is>
          <t>Kayıttan doğrulandı</t>
        </is>
      </c>
      <c r="O173" s="44" t="n"/>
    </row>
    <row r="174" ht="54" customHeight="1">
      <c r="A174" s="44" t="inlineStr">
        <is>
          <t>sevilla:photo:iglesia-de-santa-catalina-02</t>
        </is>
      </c>
      <c r="B174" s="44" t="inlineStr">
        <is>
          <t>https://commons.wikimedia.org/wiki/User:Anual</t>
        </is>
      </c>
      <c r="C174" s="44" t="inlineStr">
        <is>
          <t>https://commons.wikimedia.org/wiki/User:Anual</t>
        </is>
      </c>
      <c r="D174" s="44" t="inlineStr">
        <is>
          <t>https://upload.wikimedia.org/wikipedia/commons/d/da/Iglesia_de_Santa_Catalina_001.jpg</t>
        </is>
      </c>
      <c r="E174" s="44" t="inlineStr">
        <is>
          <t>https://thumb.wikimedia.org/wikipedia/commons/thumb/d/da/Iglesia_de_Santa_Catalina_001.jpg/1280px-Iglesia_de_Santa_Catalina_001.jpg</t>
        </is>
      </c>
      <c r="F174" s="53" t="n">
        <v>46320</v>
      </c>
      <c r="G174" s="44" t="inlineStr">
        <is>
          <t>Fotoğraflar/sevilla_iglesia-de-santa-catalina_02.jpg</t>
        </is>
      </c>
      <c r="H174" s="44" t="inlineStr">
        <is>
          <t>e4f6d30de0f0109580694cba81a76483323126ba45a9c6ac8cdfe71e109cf40a</t>
        </is>
      </c>
      <c r="I174" s="44" t="inlineStr">
        <is>
          <t>Teslimler/WebKopyalari/e4f6d30de0f0109580694cba81a76483323126ba45a9c6ac8cdfe71e109cf40a.webp</t>
        </is>
      </c>
      <c r="J174" s="44" t="inlineStr">
        <is>
          <t>06efc92fb13494e4d35530537ddf3c5a805e0502847f33dcba87fe6ddf1222be</t>
        </is>
      </c>
      <c r="K174" s="44" t="n">
        <v>1280</v>
      </c>
      <c r="L174" s="44" t="n">
        <v>1084</v>
      </c>
      <c r="M174" s="44" t="inlineStr">
        <is>
          <t>Özgün teslim dosyası korundu. EXIF yönü uygulandı; kırpma yapılmadan en çok 1600 px, WebP kalite 84. Önceki kaynak değişiklik notları ayrıca korunur.</t>
        </is>
      </c>
      <c r="N174" s="44" t="inlineStr">
        <is>
          <t>Kayıttan doğrulandı</t>
        </is>
      </c>
      <c r="O174" s="44" t="n"/>
    </row>
    <row r="175" ht="54" customHeight="1">
      <c r="A175" s="44" t="inlineStr">
        <is>
          <t>sevilla:photo:iglesia-de-santa-catalina-03</t>
        </is>
      </c>
      <c r="B175" s="44" t="inlineStr">
        <is>
          <t>https://commons.wikimedia.org/wiki/User:Anual</t>
        </is>
      </c>
      <c r="C175" s="44" t="inlineStr">
        <is>
          <t>https://commons.wikimedia.org/wiki/User:Anual</t>
        </is>
      </c>
      <c r="D175" s="44" t="inlineStr">
        <is>
          <t>https://upload.wikimedia.org/wikipedia/commons/c/c4/Iglesia_de_Santa_Catalina_003.jpg</t>
        </is>
      </c>
      <c r="E175" s="44" t="inlineStr">
        <is>
          <t>https://thumb.wikimedia.org/wikipedia/commons/thumb/c/c4/Iglesia_de_Santa_Catalina_003.jpg/1280px-Iglesia_de_Santa_Catalina_003.jpg</t>
        </is>
      </c>
      <c r="F175" s="53" t="n">
        <v>46320</v>
      </c>
      <c r="G175" s="44" t="inlineStr">
        <is>
          <t>Fotoğraflar/sevilla_iglesia-de-santa-catalina_03.jpg</t>
        </is>
      </c>
      <c r="H175" s="44" t="inlineStr">
        <is>
          <t>f9857a38c79b82f19ba3e121196fdf16329bf2846259361cf2ed843bc9b5d408</t>
        </is>
      </c>
      <c r="I175" s="44" t="inlineStr">
        <is>
          <t>Teslimler/WebKopyalari/f9857a38c79b82f19ba3e121196fdf16329bf2846259361cf2ed843bc9b5d408.webp</t>
        </is>
      </c>
      <c r="J175" s="44" t="inlineStr">
        <is>
          <t>6579c5420ae2507bc6b0307cce2f28f3964571a799b8146d1dce7607d0d4ee6d</t>
        </is>
      </c>
      <c r="K175" s="44" t="n">
        <v>1071</v>
      </c>
      <c r="L175" s="44" t="n">
        <v>1600</v>
      </c>
      <c r="M175" s="44" t="inlineStr">
        <is>
          <t>Özgün teslim dosyası korundu. EXIF yönü uygulandı; kırpma yapılmadan en çok 1600 px, WebP kalite 84. Önceki kaynak değişiklik notları ayrıca korunur.</t>
        </is>
      </c>
      <c r="N175" s="44" t="inlineStr">
        <is>
          <t>Kayıttan doğrulandı</t>
        </is>
      </c>
      <c r="O175" s="44" t="n"/>
    </row>
    <row r="176" ht="54" customHeight="1">
      <c r="A176" s="44" t="inlineStr">
        <is>
          <t>sevilla:photo:iglesia-de-san-marcos-01</t>
        </is>
      </c>
      <c r="B176" s="44" t="inlineStr">
        <is>
          <t>https://commons.wikimedia.org/wiki/User:CarlosVdeHabsburgo</t>
        </is>
      </c>
      <c r="C176" s="44" t="inlineStr">
        <is>
          <t>https://commons.wikimedia.org/wiki/User:CarlosVdeHabsburgo</t>
        </is>
      </c>
      <c r="D176" s="44" t="inlineStr">
        <is>
          <t>https://upload.wikimedia.org/wikipedia/commons/e/ee/Iglesia_de_San_Marcos_%28Sevilla%29_01.jpg</t>
        </is>
      </c>
      <c r="E176" s="44" t="inlineStr">
        <is>
          <t>https://thumb.wikimedia.org/wikipedia/commons/thumb/e/ee/Iglesia_de_San_Marcos_%28Sevilla%29_01.jpg/1280px-Iglesia_de_San_Marcos_%28Sevilla%29_01.jpg</t>
        </is>
      </c>
      <c r="F176" s="53" t="n">
        <v>46320</v>
      </c>
      <c r="G176" s="44" t="inlineStr">
        <is>
          <t>Fotoğraflar/sevilla_iglesia-de-san-marcos_01.jpg</t>
        </is>
      </c>
      <c r="H176" s="44" t="inlineStr">
        <is>
          <t>f5645e3a9e4d4bc478a9f70c27587b30033b039cfaba14f8fdcd73f769de51b9</t>
        </is>
      </c>
      <c r="I176" s="44" t="inlineStr">
        <is>
          <t>Teslimler/WebKopyalari/f5645e3a9e4d4bc478a9f70c27587b30033b039cfaba14f8fdcd73f769de51b9.webp</t>
        </is>
      </c>
      <c r="J176" s="44" t="inlineStr">
        <is>
          <t>bc77b7f504ebbc1944835fce22cf76272c1262cc7e3f06898b0696753b8ab0b7</t>
        </is>
      </c>
      <c r="K176" s="44" t="n">
        <v>1280</v>
      </c>
      <c r="L176" s="44" t="n">
        <v>960</v>
      </c>
      <c r="M176" s="44" t="inlineStr">
        <is>
          <t>Özgün teslim dosyası korundu. EXIF yönü uygulandı; kırpma yapılmadan en çok 1600 px, WebP kalite 84. Önceki kaynak değişiklik notları ayrıca korunur.</t>
        </is>
      </c>
      <c r="N176" s="44" t="inlineStr">
        <is>
          <t>Kayıttan doğrulandı</t>
        </is>
      </c>
      <c r="O176" s="44" t="n"/>
    </row>
    <row r="177" ht="54" customHeight="1">
      <c r="A177" s="44" t="inlineStr">
        <is>
          <t>sevilla:photo:iglesia-de-san-marcos-02</t>
        </is>
      </c>
      <c r="B177" s="44" t="inlineStr">
        <is>
          <t>https://meta.wikimedia.org/wiki/User:Emijrp</t>
        </is>
      </c>
      <c r="C177" s="44" t="inlineStr">
        <is>
          <t>https://meta.wikimedia.org/wiki/User:Emijrp</t>
        </is>
      </c>
      <c r="D177" s="44" t="inlineStr">
        <is>
          <t>https://upload.wikimedia.org/wikipedia/commons/2/25/Iglesia_de_San_Marcos_-_Sevilla_001.jpg</t>
        </is>
      </c>
      <c r="E177" s="44" t="inlineStr">
        <is>
          <t>https://thumb.wikimedia.org/wikipedia/commons/thumb/2/25/Iglesia_de_San_Marcos_-_Sevilla_001.jpg/1280px-Iglesia_de_San_Marcos_-_Sevilla_001.jpg</t>
        </is>
      </c>
      <c r="F177" s="53" t="n">
        <v>46320</v>
      </c>
      <c r="G177" s="44" t="inlineStr">
        <is>
          <t>Fotoğraflar/sevilla_iglesia-de-san-marcos_02.jpg</t>
        </is>
      </c>
      <c r="H177" s="44" t="inlineStr">
        <is>
          <t>894a744c5b8862d6d32d22b11f20e3157b43722fa81687a0fe87549288ea9e25</t>
        </is>
      </c>
      <c r="I177" s="44" t="inlineStr">
        <is>
          <t>Teslimler/WebKopyalari/894a744c5b8862d6d32d22b11f20e3157b43722fa81687a0fe87549288ea9e25.webp</t>
        </is>
      </c>
      <c r="J177" s="44" t="inlineStr">
        <is>
          <t>06f075a9cfb93131c0a335ac836da94e978adc8c08c27feda065eba76a070a04</t>
        </is>
      </c>
      <c r="K177" s="44" t="n">
        <v>1200</v>
      </c>
      <c r="L177" s="44" t="n">
        <v>1600</v>
      </c>
      <c r="M177" s="44" t="inlineStr">
        <is>
          <t>Özgün teslim dosyası korundu. EXIF yönü uygulandı; kırpma yapılmadan en çok 1600 px, WebP kalite 84. Önceki kaynak değişiklik notları ayrıca korunur.</t>
        </is>
      </c>
      <c r="N177" s="44" t="inlineStr">
        <is>
          <t>Kayıttan doğrulandı</t>
        </is>
      </c>
      <c r="O177" s="44" t="n"/>
    </row>
    <row r="178" ht="54" customHeight="1">
      <c r="A178" s="44" t="inlineStr">
        <is>
          <t>sevilla:photo:iglesia-de-san-marcos-03</t>
        </is>
      </c>
      <c r="B178" s="44" t="inlineStr">
        <is>
          <t>https://meta.wikimedia.org/wiki/User:Emijrp</t>
        </is>
      </c>
      <c r="C178" s="44" t="inlineStr">
        <is>
          <t>https://meta.wikimedia.org/wiki/User:Emijrp</t>
        </is>
      </c>
      <c r="D178" s="44" t="inlineStr">
        <is>
          <t>https://upload.wikimedia.org/wikipedia/commons/1/11/Iglesia_de_San_Marcos_-_Sevilla_002.jpg</t>
        </is>
      </c>
      <c r="E178" s="44" t="inlineStr">
        <is>
          <t>https://thumb.wikimedia.org/wikipedia/commons/thumb/1/11/Iglesia_de_San_Marcos_-_Sevilla_002.jpg/1280px-Iglesia_de_San_Marcos_-_Sevilla_002.jpg</t>
        </is>
      </c>
      <c r="F178" s="53" t="n">
        <v>46320</v>
      </c>
      <c r="G178" s="44" t="inlineStr">
        <is>
          <t>Fotoğraflar/sevilla_iglesia-de-san-marcos_03.jpg</t>
        </is>
      </c>
      <c r="H178" s="44" t="inlineStr">
        <is>
          <t>c2f75b425a6e3f3e995491a0def4b66ba29c0eed9bdd4ba15d7560ae426413db</t>
        </is>
      </c>
      <c r="I178" s="44" t="inlineStr">
        <is>
          <t>Teslimler/WebKopyalari/c2f75b425a6e3f3e995491a0def4b66ba29c0eed9bdd4ba15d7560ae426413db.webp</t>
        </is>
      </c>
      <c r="J178" s="44" t="inlineStr">
        <is>
          <t>6e92b3ccade2790d52b9723cdca3ad4651dd189261893450b4605cc2e85c2d0f</t>
        </is>
      </c>
      <c r="K178" s="44" t="n">
        <v>1280</v>
      </c>
      <c r="L178" s="44" t="n">
        <v>960</v>
      </c>
      <c r="M178" s="44" t="inlineStr">
        <is>
          <t>Özgün teslim dosyası korundu. EXIF yönü uygulandı; kırpma yapılmadan en çok 1600 px, WebP kalite 84. Önceki kaynak değişiklik notları ayrıca korunur.</t>
        </is>
      </c>
      <c r="N178" s="44" t="inlineStr">
        <is>
          <t>Kayıttan doğrulandı</t>
        </is>
      </c>
      <c r="O178" s="44" t="n"/>
    </row>
    <row r="179" ht="54" customHeight="1">
      <c r="A179" s="44" t="inlineStr">
        <is>
          <t>sevilla:photo:iglesia-de-san-roman-01</t>
        </is>
      </c>
      <c r="B179" s="44" t="inlineStr">
        <is>
          <t>https://meta.wikimedia.org/wiki/User:Emijrp</t>
        </is>
      </c>
      <c r="C179" s="44" t="inlineStr">
        <is>
          <t>https://meta.wikimedia.org/wiki/User:Emijrp</t>
        </is>
      </c>
      <c r="D179" s="44" t="inlineStr">
        <is>
          <t>https://upload.wikimedia.org/wikipedia/commons/6/6f/Iglesia_de_San_Rom%C3%A1n_001_-_Sevilla.jpg</t>
        </is>
      </c>
      <c r="E179" s="44" t="inlineStr">
        <is>
          <t>https://thumb.wikimedia.org/wikipedia/commons/thumb/6/6f/Iglesia_de_San_Rom%C3%A1n_001_-_Sevilla.jpg/1280px-Iglesia_de_San_Rom%C3%A1n_001_-_Sevilla.jpg</t>
        </is>
      </c>
      <c r="F179" s="53" t="n">
        <v>46320</v>
      </c>
      <c r="G179" s="44" t="inlineStr">
        <is>
          <t>Fotoğraflar/sevilla_iglesia-de-san-roman_01.jpg</t>
        </is>
      </c>
      <c r="H179" s="44" t="inlineStr">
        <is>
          <t>5fc134ea64d6ee8ca2956427ae58e62015f3fb41d797b2609c0923727e99a129</t>
        </is>
      </c>
      <c r="I179" s="44" t="inlineStr">
        <is>
          <t>Teslimler/WebKopyalari/5fc134ea64d6ee8ca2956427ae58e62015f3fb41d797b2609c0923727e99a129.webp</t>
        </is>
      </c>
      <c r="J179" s="44" t="inlineStr">
        <is>
          <t>632426d94eef40e9e7510d524d3c43c5a76349db84ec7207fa4aebb2882eb606</t>
        </is>
      </c>
      <c r="K179" s="44" t="n">
        <v>1280</v>
      </c>
      <c r="L179" s="44" t="n">
        <v>960</v>
      </c>
      <c r="M179" s="44" t="inlineStr">
        <is>
          <t>Özgün teslim dosyası korundu. EXIF yönü uygulandı; kırpma yapılmadan en çok 1600 px, WebP kalite 84. Önceki kaynak değişiklik notları ayrıca korunur.</t>
        </is>
      </c>
      <c r="N179" s="44" t="inlineStr">
        <is>
          <t>Kayıttan doğrulandı</t>
        </is>
      </c>
      <c r="O179" s="44" t="n"/>
    </row>
    <row r="180" ht="54" customHeight="1">
      <c r="A180" s="44" t="inlineStr">
        <is>
          <t>sevilla:photo:iglesia-de-san-roman-02</t>
        </is>
      </c>
      <c r="B180" s="44" t="inlineStr">
        <is>
          <t>https://commons.wikimedia.org/wiki/User:Mx._Granger</t>
        </is>
      </c>
      <c r="C180" s="44" t="inlineStr">
        <is>
          <t>https://commons.wikimedia.org/wiki/User:Mx._Granger</t>
        </is>
      </c>
      <c r="D180" s="44" t="inlineStr">
        <is>
          <t>https://upload.wikimedia.org/wikipedia/commons/3/33/Iglesia_de_San_Rom%C3%A1n%2C_Sevilla%2C_exterior.jpg</t>
        </is>
      </c>
      <c r="E180" s="44" t="inlineStr">
        <is>
          <t>https://thumb.wikimedia.org/wikipedia/commons/thumb/3/33/Iglesia_de_San_Rom%C3%A1n%2C_Sevilla%2C_exterior.jpg/1280px-Iglesia_de_San_Rom%C3%A1n%2C_Sevilla%2C_exterior.jpg</t>
        </is>
      </c>
      <c r="F180" s="53" t="n">
        <v>46320</v>
      </c>
      <c r="G180" s="44" t="inlineStr">
        <is>
          <t>Fotoğraflar/sevilla_iglesia-de-san-roman_02.jpg</t>
        </is>
      </c>
      <c r="H180" s="44" t="inlineStr">
        <is>
          <t>51d30a7747f0ea20405bd0bd13db203ac1d7d546b3c52d50bfedbc47c6b661d9</t>
        </is>
      </c>
      <c r="I180" s="44" t="inlineStr">
        <is>
          <t>Teslimler/WebKopyalari/51d30a7747f0ea20405bd0bd13db203ac1d7d546b3c52d50bfedbc47c6b661d9.webp</t>
        </is>
      </c>
      <c r="J180" s="44" t="inlineStr">
        <is>
          <t>541fc753c76cbf5facd3c29ae5a29d81041cd37ecb45d7e1d81fb0d3658f12d8</t>
        </is>
      </c>
      <c r="K180" s="44" t="n">
        <v>1280</v>
      </c>
      <c r="L180" s="44" t="n">
        <v>960</v>
      </c>
      <c r="M180" s="44" t="inlineStr">
        <is>
          <t>Özgün teslim dosyası korundu. EXIF yönü uygulandı; kırpma yapılmadan en çok 1600 px, WebP kalite 84. Önceki kaynak değişiklik notları ayrıca korunur.</t>
        </is>
      </c>
      <c r="N180" s="44" t="inlineStr">
        <is>
          <t>Kayıttan doğrulandı</t>
        </is>
      </c>
      <c r="O180" s="44" t="n"/>
    </row>
    <row r="181" ht="54" customHeight="1">
      <c r="A181" s="44" t="inlineStr">
        <is>
          <t>sevilla:photo:iglesia-de-la-magdalena-01</t>
        </is>
      </c>
      <c r="B181" s="44" t="n"/>
      <c r="C181" s="44" t="inlineStr">
        <is>
          <t>https://commons.wikimedia.org/wiki/File:Campanario_de_la_Iglesia_de_Santa_Mar%C3%ADa_Magdalena,_Sevilla.jpg</t>
        </is>
      </c>
      <c r="D181" s="44" t="inlineStr">
        <is>
          <t>https://upload.wikimedia.org/wikipedia/commons/c/c9/Campanario_de_la_Iglesia_de_Santa_Mar%C3%ADa_Magdalena%2C_Sevilla.jpg</t>
        </is>
      </c>
      <c r="E181" s="44" t="inlineStr">
        <is>
          <t>https://thumb.wikimedia.org/wikipedia/commons/thumb/c/c9/Campanario_de_la_Iglesia_de_Santa_Mar%C3%ADa_Magdalena%2C_Sevilla.jpg/1280px-Campanario_de_la_Iglesia_de_Santa_Mar%C3%ADa_Magdalena%2C_Sevilla.jpg</t>
        </is>
      </c>
      <c r="F181" s="53" t="n">
        <v>46320</v>
      </c>
      <c r="G181" s="44" t="inlineStr">
        <is>
          <t>Fotoğraflar/sevilla_iglesia-de-la-magdalena_01.jpg</t>
        </is>
      </c>
      <c r="H181" s="44" t="inlineStr">
        <is>
          <t>3b53d94df3f094fc03fb815ad05eced80911fc00cebc7bdaa7f951f91dd12808</t>
        </is>
      </c>
      <c r="I181" s="44" t="inlineStr">
        <is>
          <t>Teslimler/WebKopyalari/3b53d94df3f094fc03fb815ad05eced80911fc00cebc7bdaa7f951f91dd12808.webp</t>
        </is>
      </c>
      <c r="J181" s="44" t="inlineStr">
        <is>
          <t>ea6a1a74e28380565ffcd24e8a83aa51d4f790e7d77232b5ed341f7d09408f32</t>
        </is>
      </c>
      <c r="K181" s="44" t="n">
        <v>1280</v>
      </c>
      <c r="L181" s="44" t="n">
        <v>720</v>
      </c>
      <c r="M181" s="44" t="inlineStr">
        <is>
          <t>Özgün teslim dosyası korundu. EXIF yönü uygulandı; kırpma yapılmadan en çok 1600 px, WebP kalite 84. Önceki kaynak değişiklik notları ayrıca korunur.</t>
        </is>
      </c>
      <c r="N181" s="44" t="inlineStr">
        <is>
          <t>Eksik alan var</t>
        </is>
      </c>
      <c r="O181" s="44" t="inlineStr">
        <is>
          <t>Kaynakta ayrı fotoğrafçı profil bağlantısı bulunmadı; fotoğraf kaynak sayfasına atıf korunur. Bağlantı uydurulmaz.</t>
        </is>
      </c>
    </row>
    <row r="182" ht="54" customHeight="1">
      <c r="A182" s="44" t="inlineStr">
        <is>
          <t>sevilla:photo:iglesia-de-la-magdalena-02</t>
        </is>
      </c>
      <c r="B182" s="44" t="inlineStr">
        <is>
          <t>https://commons.wikimedia.org/wiki/User:Anual</t>
        </is>
      </c>
      <c r="C182" s="44" t="inlineStr">
        <is>
          <t>https://commons.wikimedia.org/wiki/User:Anual</t>
        </is>
      </c>
      <c r="D182" s="44" t="inlineStr">
        <is>
          <t>https://upload.wikimedia.org/wikipedia/commons/a/a5/Iglesia_Magdalena_Sevilla_006.jpg</t>
        </is>
      </c>
      <c r="E182" s="44" t="inlineStr">
        <is>
          <t>https://thumb.wikimedia.org/wikipedia/commons/thumb/a/a5/Iglesia_Magdalena_Sevilla_006.jpg/1280px-Iglesia_Magdalena_Sevilla_006.jpg</t>
        </is>
      </c>
      <c r="F182" s="53" t="n">
        <v>46320</v>
      </c>
      <c r="G182" s="44" t="inlineStr">
        <is>
          <t>Fotoğraflar/sevilla_iglesia-de-la-magdalena_02.jpg</t>
        </is>
      </c>
      <c r="H182" s="44" t="inlineStr">
        <is>
          <t>1c6e139724827d0b1b093481364a36b8ec2426354c09978f2b4992a6e27e3518</t>
        </is>
      </c>
      <c r="I182" s="44" t="inlineStr">
        <is>
          <t>Teslimler/WebKopyalari/1c6e139724827d0b1b093481364a36b8ec2426354c09978f2b4992a6e27e3518.webp</t>
        </is>
      </c>
      <c r="J182" s="44" t="inlineStr">
        <is>
          <t>67674e924516a2dcbbd625bdcd8f116856beb43334fe31ddf92a1eb27564a002</t>
        </is>
      </c>
      <c r="K182" s="44" t="n">
        <v>1280</v>
      </c>
      <c r="L182" s="44" t="n">
        <v>857</v>
      </c>
      <c r="M182" s="44" t="inlineStr">
        <is>
          <t>Özgün teslim dosyası korundu. EXIF yönü uygulandı; kırpma yapılmadan en çok 1600 px, WebP kalite 84. Önceki kaynak değişiklik notları ayrıca korunur.</t>
        </is>
      </c>
      <c r="N182" s="44" t="inlineStr">
        <is>
          <t>Kayıttan doğrulandı</t>
        </is>
      </c>
      <c r="O182" s="44" t="n"/>
    </row>
    <row r="183" ht="54" customHeight="1">
      <c r="A183" s="44" t="inlineStr">
        <is>
          <t>sevilla:photo:iglesia-de-la-magdalena-03</t>
        </is>
      </c>
      <c r="B183" s="44" t="inlineStr">
        <is>
          <t>https://commons.wikimedia.org/wiki/User:Anual</t>
        </is>
      </c>
      <c r="C183" s="44" t="inlineStr">
        <is>
          <t>https://commons.wikimedia.org/wiki/User:Anual</t>
        </is>
      </c>
      <c r="D183" s="44" t="inlineStr">
        <is>
          <t>https://upload.wikimedia.org/wikipedia/commons/c/c0/Iglesia_Magdalena_Sevilla_05.jpg</t>
        </is>
      </c>
      <c r="E183" s="44" t="inlineStr">
        <is>
          <t>https://thumb.wikimedia.org/wikipedia/commons/thumb/c/c0/Iglesia_Magdalena_Sevilla_05.jpg/1280px-Iglesia_Magdalena_Sevilla_05.jpg</t>
        </is>
      </c>
      <c r="F183" s="53" t="n">
        <v>46320</v>
      </c>
      <c r="G183" s="44" t="inlineStr">
        <is>
          <t>Fotoğraflar/sevilla_iglesia-de-la-magdalena_03.jpg</t>
        </is>
      </c>
      <c r="H183" s="44" t="inlineStr">
        <is>
          <t>8d7d6523b456e30e75dcd123cf9efa15a72e469d3e397919b47a689a946de8ef</t>
        </is>
      </c>
      <c r="I183" s="44" t="inlineStr">
        <is>
          <t>Teslimler/WebKopyalari/8d7d6523b456e30e75dcd123cf9efa15a72e469d3e397919b47a689a946de8ef.webp</t>
        </is>
      </c>
      <c r="J183" s="44" t="inlineStr">
        <is>
          <t>1adf306ee2bfb5a20b349846f528aa74d18980d3c0097ea88b13db769838fcfc</t>
        </is>
      </c>
      <c r="K183" s="44" t="n">
        <v>1280</v>
      </c>
      <c r="L183" s="44" t="n">
        <v>1190</v>
      </c>
      <c r="M183" s="44" t="inlineStr">
        <is>
          <t>Özgün teslim dosyası korundu. EXIF yönü uygulandı; kırpma yapılmadan en çok 1600 px, WebP kalite 84. Önceki kaynak değişiklik notları ayrıca korunur.</t>
        </is>
      </c>
      <c r="N183" s="44" t="inlineStr">
        <is>
          <t>Kayıttan doğrulandı</t>
        </is>
      </c>
      <c r="O183" s="44" t="n"/>
    </row>
    <row r="184" ht="54" customHeight="1">
      <c r="A184" s="44" t="inlineStr">
        <is>
          <t>sevilla:photo:santa-cruz-01</t>
        </is>
      </c>
      <c r="B184" s="44" t="n"/>
      <c r="C184" s="44" t="inlineStr">
        <is>
          <t>https://commons.wikimedia.org/wiki/File:Calle_Miguel_Ma%C3%B1ara,_Sevilla_SP.jpg</t>
        </is>
      </c>
      <c r="D184" s="44" t="inlineStr">
        <is>
          <t>https://upload.wikimedia.org/wikipedia/commons/9/95/Calle_Miguel_Ma%C3%B1ara%2C_Sevilla_SP.jpg</t>
        </is>
      </c>
      <c r="E184" s="44" t="inlineStr">
        <is>
          <t>https://thumb.wikimedia.org/wikipedia/commons/thumb/9/95/Calle_Miguel_Ma%C3%B1ara%2C_Sevilla_SP.jpg/1280px-Calle_Miguel_Ma%C3%B1ara%2C_Sevilla_SP.jpg</t>
        </is>
      </c>
      <c r="F184" s="53" t="n">
        <v>46320</v>
      </c>
      <c r="G184" s="44" t="inlineStr">
        <is>
          <t>Fotoğraflar/sevilla_santa-cruz_01.jpg</t>
        </is>
      </c>
      <c r="H184" s="44" t="inlineStr">
        <is>
          <t>e8479f087763634e4f345adf0a64b351d45d14cb37fafc4817c289a1e906d4b4</t>
        </is>
      </c>
      <c r="I184" s="44" t="inlineStr">
        <is>
          <t>Teslimler/WebKopyalari/e8479f087763634e4f345adf0a64b351d45d14cb37fafc4817c289a1e906d4b4.webp</t>
        </is>
      </c>
      <c r="J184" s="44" t="inlineStr">
        <is>
          <t>084fb1cebe4356960be24d3ee1ec25ed59fdccc173a9fbc4012d87dbde11f8f9</t>
        </is>
      </c>
      <c r="K184" s="44" t="n">
        <v>1280</v>
      </c>
      <c r="L184" s="44" t="n">
        <v>851</v>
      </c>
      <c r="M184" s="44" t="inlineStr">
        <is>
          <t>Özgün teslim dosyası korundu. EXIF yönü uygulandı; kırpma yapılmadan en çok 1600 px, WebP kalite 84. Önceki kaynak değişiklik notları ayrıca korunur.</t>
        </is>
      </c>
      <c r="N184" s="44" t="inlineStr">
        <is>
          <t>Eksik alan var</t>
        </is>
      </c>
      <c r="O184" s="44" t="inlineStr">
        <is>
          <t>Kaynakta ayrı fotoğrafçı profil bağlantısı bulunmadı; fotoğraf kaynak sayfasına atıf korunur. Bağlantı uydurulmaz.</t>
        </is>
      </c>
    </row>
    <row r="185" ht="54" customHeight="1">
      <c r="A185" s="44" t="inlineStr">
        <is>
          <t>sevilla:photo:santa-cruz-02</t>
        </is>
      </c>
      <c r="B185" s="44" t="inlineStr">
        <is>
          <t>https://web.archive.org/web/20161031065649/http://www.panoramio.com/user/7020820?with_photo_id=115602040</t>
        </is>
      </c>
      <c r="C185" s="44" t="inlineStr">
        <is>
          <t>https://web.archive.org/web/20161031065649/http://www.panoramio.com/user/7020820?with_photo_id=115602040</t>
        </is>
      </c>
      <c r="D185" s="44" t="inlineStr">
        <is>
          <t>https://upload.wikimedia.org/wikipedia/commons/9/94/Charming_Old_House_%40_Seville_-_panoramio.jpg</t>
        </is>
      </c>
      <c r="E185" s="44" t="inlineStr">
        <is>
          <t>https://thumb.wikimedia.org/wikipedia/commons/thumb/9/94/Charming_Old_House_%40_Seville_-_panoramio.jpg/1280px-Charming_Old_House_%40_Seville_-_panoramio.jpg</t>
        </is>
      </c>
      <c r="F185" s="53" t="n">
        <v>46320</v>
      </c>
      <c r="G185" s="44" t="inlineStr">
        <is>
          <t>Fotoğraflar/sevilla_santa-cruz_02.jpg</t>
        </is>
      </c>
      <c r="H185" s="44" t="inlineStr">
        <is>
          <t>8bd39978bc1b393fa625e8526d3cfe500f91e430ca4ac9fdb02cfaaecdf156b1</t>
        </is>
      </c>
      <c r="I185" s="44" t="inlineStr">
        <is>
          <t>Teslimler/WebKopyalari/8bd39978bc1b393fa625e8526d3cfe500f91e430ca4ac9fdb02cfaaecdf156b1.webp</t>
        </is>
      </c>
      <c r="J185" s="44" t="inlineStr">
        <is>
          <t>d6477f7edd4abf87206c1c67306d1caf6448180bdb4c9d39bfa4dd9ae0ac8511</t>
        </is>
      </c>
      <c r="K185" s="44" t="n">
        <v>1200</v>
      </c>
      <c r="L185" s="44" t="n">
        <v>1600</v>
      </c>
      <c r="M185" s="44" t="inlineStr">
        <is>
          <t>Özgün teslim dosyası korundu. EXIF yönü uygulandı; kırpma yapılmadan en çok 1600 px, WebP kalite 84. Önceki kaynak değişiklik notları ayrıca korunur.</t>
        </is>
      </c>
      <c r="N185" s="44" t="inlineStr">
        <is>
          <t>Kayıttan doğrulandı</t>
        </is>
      </c>
      <c r="O185" s="44" t="n"/>
    </row>
    <row r="186" ht="54" customHeight="1">
      <c r="A186" s="44" t="inlineStr">
        <is>
          <t>sevilla:photo:el-arenal-01</t>
        </is>
      </c>
      <c r="B186" s="44" t="inlineStr">
        <is>
          <t>https://commons.wikimedia.org/wiki/User:Gzzz</t>
        </is>
      </c>
      <c r="C186" s="44" t="inlineStr">
        <is>
          <t>https://commons.wikimedia.org/wiki/User:Gzzz</t>
        </is>
      </c>
      <c r="D186" s="44" t="inlineStr">
        <is>
          <t>https://upload.wikimedia.org/wikipedia/commons/a/a7/Calle_Circo_Sevilla.jpg</t>
        </is>
      </c>
      <c r="E186" s="44" t="inlineStr">
        <is>
          <t>https://thumb.wikimedia.org/wikipedia/commons/thumb/a/a7/Calle_Circo_Sevilla.jpg/1280px-Calle_Circo_Sevilla.jpg</t>
        </is>
      </c>
      <c r="F186" s="53" t="n">
        <v>46320</v>
      </c>
      <c r="G186" s="44" t="inlineStr">
        <is>
          <t>Fotoğraflar/sevilla_el-arenal_01.jpg</t>
        </is>
      </c>
      <c r="H186" s="44" t="inlineStr">
        <is>
          <t>4bf02dd77f9e62ed97ff344b96f9529ee022a8712beb72fd8f13cbff30e3c19b</t>
        </is>
      </c>
      <c r="I186" s="44" t="inlineStr">
        <is>
          <t>Teslimler/WebKopyalari/4bf02dd77f9e62ed97ff344b96f9529ee022a8712beb72fd8f13cbff30e3c19b.webp</t>
        </is>
      </c>
      <c r="J186" s="44" t="inlineStr">
        <is>
          <t>db1e8b38f86b8e5e9f68fdc060ad0d2e0f4e6f4f28e4b5d0ad75d11ae46cb089</t>
        </is>
      </c>
      <c r="K186" s="44" t="n">
        <v>1280</v>
      </c>
      <c r="L186" s="44" t="n">
        <v>952</v>
      </c>
      <c r="M186" s="44" t="inlineStr">
        <is>
          <t>Özgün teslim dosyası korundu. EXIF yönü uygulandı; kırpma yapılmadan en çok 1600 px, WebP kalite 84. Önceki kaynak değişiklik notları ayrıca korunur.</t>
        </is>
      </c>
      <c r="N186" s="44" t="inlineStr">
        <is>
          <t>Kayıttan doğrulandı</t>
        </is>
      </c>
      <c r="O186" s="44" t="n"/>
    </row>
    <row r="187" ht="54" customHeight="1">
      <c r="A187" s="44" t="inlineStr">
        <is>
          <t>sevilla:photo:el-arenal-02</t>
        </is>
      </c>
      <c r="B187" s="44" t="inlineStr">
        <is>
          <t>https://commons.wikimedia.org/wiki/User:CarlosVdeHabsburgo</t>
        </is>
      </c>
      <c r="C187" s="44" t="inlineStr">
        <is>
          <t>https://commons.wikimedia.org/wiki/User:CarlosVdeHabsburgo</t>
        </is>
      </c>
      <c r="D187" s="44" t="inlineStr">
        <is>
          <t>https://upload.wikimedia.org/wikipedia/commons/2/2d/Restaurante_%28Sevilla%29.jpg</t>
        </is>
      </c>
      <c r="E187" s="44" t="inlineStr">
        <is>
          <t>https://thumb.wikimedia.org/wikipedia/commons/thumb/2/2d/Restaurante_%28Sevilla%29.jpg/1280px-Restaurante_%28Sevilla%29.jpg</t>
        </is>
      </c>
      <c r="F187" s="53" t="n">
        <v>46320</v>
      </c>
      <c r="G187" s="44" t="inlineStr">
        <is>
          <t>Fotoğraflar/sevilla_el-arenal_02.jpg</t>
        </is>
      </c>
      <c r="H187" s="44" t="inlineStr">
        <is>
          <t>dbb11b6c50549bc90d2f830eabb071147b6c54746778c87e44283de76bda52ad</t>
        </is>
      </c>
      <c r="I187" s="44" t="inlineStr">
        <is>
          <t>Teslimler/WebKopyalari/dbb11b6c50549bc90d2f830eabb071147b6c54746778c87e44283de76bda52ad.webp</t>
        </is>
      </c>
      <c r="J187" s="44" t="inlineStr">
        <is>
          <t>5b2a89910975633be93f062db71924a3811f9a98dfa910735bf93ad1fabc4712</t>
        </is>
      </c>
      <c r="K187" s="44" t="n">
        <v>1280</v>
      </c>
      <c r="L187" s="44" t="n">
        <v>960</v>
      </c>
      <c r="M187" s="44" t="inlineStr">
        <is>
          <t>Özgün teslim dosyası korundu. EXIF yönü uygulandı; kırpma yapılmadan en çok 1600 px, WebP kalite 84. Önceki kaynak değişiklik notları ayrıca korunur.</t>
        </is>
      </c>
      <c r="N187" s="44" t="inlineStr">
        <is>
          <t>Kayıttan doğrulandı</t>
        </is>
      </c>
      <c r="O187" s="44" t="n"/>
    </row>
    <row r="188" ht="54" customHeight="1">
      <c r="A188" s="44" t="inlineStr">
        <is>
          <t>sevilla:photo:triana-01</t>
        </is>
      </c>
      <c r="B188" s="44" t="inlineStr">
        <is>
          <t>https://commons.wikimedia.org/wiki/User:Feranza</t>
        </is>
      </c>
      <c r="C188" s="44" t="inlineStr">
        <is>
          <t>https://commons.wikimedia.org/wiki/User:Feranza</t>
        </is>
      </c>
      <c r="D188" s="44" t="inlineStr">
        <is>
          <t>https://upload.wikimedia.org/wikipedia/commons/c/cd/Balc%C3%B3n_t%C3%ADpico_de_Triana.JPG</t>
        </is>
      </c>
      <c r="E188" s="44" t="inlineStr">
        <is>
          <t>https://thumb.wikimedia.org/wikipedia/commons/thumb/c/cd/Balc%C3%B3n_t%C3%ADpico_de_Triana.JPG/1280px-Balc%C3%B3n_t%C3%ADpico_de_Triana.JPG</t>
        </is>
      </c>
      <c r="F188" s="53" t="n">
        <v>46320</v>
      </c>
      <c r="G188" s="44" t="inlineStr">
        <is>
          <t>Fotoğraflar/sevilla_triana_01.jpg</t>
        </is>
      </c>
      <c r="H188" s="44" t="inlineStr">
        <is>
          <t>5b980a28ad76df99f63d0dca354f25561fc6a5bd4714b43977621d57bea0bf4f</t>
        </is>
      </c>
      <c r="I188" s="44" t="inlineStr">
        <is>
          <t>Teslimler/WebKopyalari/5b980a28ad76df99f63d0dca354f25561fc6a5bd4714b43977621d57bea0bf4f.webp</t>
        </is>
      </c>
      <c r="J188" s="44" t="inlineStr">
        <is>
          <t>a68e3d1e66f59f41317a2cd49bcde4bb67be6fd6cadb8589827ad58e93f91313</t>
        </is>
      </c>
      <c r="K188" s="44" t="n">
        <v>1280</v>
      </c>
      <c r="L188" s="44" t="n">
        <v>853</v>
      </c>
      <c r="M188" s="44" t="inlineStr">
        <is>
          <t>Özgün teslim dosyası korundu. EXIF yönü uygulandı; kırpma yapılmadan en çok 1600 px, WebP kalite 84. Önceki kaynak değişiklik notları ayrıca korunur.</t>
        </is>
      </c>
      <c r="N188" s="44" t="inlineStr">
        <is>
          <t>Kayıttan doğrulandı</t>
        </is>
      </c>
      <c r="O188" s="44" t="n"/>
    </row>
    <row r="189" ht="54" customHeight="1">
      <c r="A189" s="44" t="inlineStr">
        <is>
          <t>sevilla:photo:triana-02</t>
        </is>
      </c>
      <c r="B189" s="44" t="inlineStr">
        <is>
          <t>https://commons.wikimedia.org/wiki/User:CarlosVdeHabsburgo</t>
        </is>
      </c>
      <c r="C189" s="44" t="inlineStr">
        <is>
          <t>https://commons.wikimedia.org/wiki/User:CarlosVdeHabsburgo</t>
        </is>
      </c>
      <c r="D189" s="44" t="inlineStr">
        <is>
          <t>https://upload.wikimedia.org/wikipedia/commons/1/1c/Barcos_en_el_Guadalquivir.jpg</t>
        </is>
      </c>
      <c r="E189" s="44" t="inlineStr">
        <is>
          <t>https://thumb.wikimedia.org/wikipedia/commons/thumb/1/1c/Barcos_en_el_Guadalquivir.jpg/1280px-Barcos_en_el_Guadalquivir.jpg</t>
        </is>
      </c>
      <c r="F189" s="53" t="n">
        <v>46320</v>
      </c>
      <c r="G189" s="44" t="inlineStr">
        <is>
          <t>Fotoğraflar/sevilla_triana_02.jpg</t>
        </is>
      </c>
      <c r="H189" s="44" t="inlineStr">
        <is>
          <t>de71278d170c7023c7c00409de13ac18c07f812d3d2d082c33f326016b390890</t>
        </is>
      </c>
      <c r="I189" s="44" t="inlineStr">
        <is>
          <t>Teslimler/WebKopyalari/de71278d170c7023c7c00409de13ac18c07f812d3d2d082c33f326016b390890.webp</t>
        </is>
      </c>
      <c r="J189" s="44" t="inlineStr">
        <is>
          <t>618c0758a6722afc82aa166639f49d29306c9f1a08c7674b03c8f6811a133aaa</t>
        </is>
      </c>
      <c r="K189" s="44" t="n">
        <v>1280</v>
      </c>
      <c r="L189" s="44" t="n">
        <v>960</v>
      </c>
      <c r="M189" s="44" t="inlineStr">
        <is>
          <t>Özgün teslim dosyası korundu. EXIF yönü uygulandı; kırpma yapılmadan en çok 1600 px, WebP kalite 84. Önceki kaynak değişiklik notları ayrıca korunur.</t>
        </is>
      </c>
      <c r="N189" s="44" t="inlineStr">
        <is>
          <t>Kayıttan doğrulandı</t>
        </is>
      </c>
      <c r="O189" s="44" t="n"/>
    </row>
    <row r="190" ht="54" customHeight="1">
      <c r="A190" s="44" t="inlineStr">
        <is>
          <t>sevilla:photo:triana-03</t>
        </is>
      </c>
      <c r="B190" s="44" t="inlineStr">
        <is>
          <t>https://commons.wikimedia.org/wiki/User:Gzzz</t>
        </is>
      </c>
      <c r="C190" s="44" t="inlineStr">
        <is>
          <t>https://commons.wikimedia.org/wiki/User:Gzzz</t>
        </is>
      </c>
      <c r="D190" s="44" t="inlineStr">
        <is>
          <t>https://upload.wikimedia.org/wikipedia/commons/f/fd/Betis_Sevilla.jpg</t>
        </is>
      </c>
      <c r="E190" s="44" t="inlineStr">
        <is>
          <t>https://thumb.wikimedia.org/wikipedia/commons/thumb/f/fd/Betis_Sevilla.jpg/1280px-Betis_Sevilla.jpg</t>
        </is>
      </c>
      <c r="F190" s="53" t="n">
        <v>46320</v>
      </c>
      <c r="G190" s="44" t="inlineStr">
        <is>
          <t>Fotoğraflar/sevilla_triana_03.jpg</t>
        </is>
      </c>
      <c r="H190" s="44" t="inlineStr">
        <is>
          <t>ad9ad84005fe56065037b509b286225fbcca048ff3950600324331d850a55a83</t>
        </is>
      </c>
      <c r="I190" s="44" t="inlineStr">
        <is>
          <t>Teslimler/WebKopyalari/ad9ad84005fe56065037b509b286225fbcca048ff3950600324331d850a55a83.webp</t>
        </is>
      </c>
      <c r="J190" s="44" t="inlineStr">
        <is>
          <t>aa3c03e2fb22978aaa96f96e87b75386c6bb1c2acb81c2325870781ac881fcc9</t>
        </is>
      </c>
      <c r="K190" s="44" t="n">
        <v>1280</v>
      </c>
      <c r="L190" s="44" t="n">
        <v>960</v>
      </c>
      <c r="M190" s="44" t="inlineStr">
        <is>
          <t>Özgün teslim dosyası korundu. EXIF yönü uygulandı; kırpma yapılmadan en çok 1600 px, WebP kalite 84. Önceki kaynak değişiklik notları ayrıca korunur.</t>
        </is>
      </c>
      <c r="N190" s="44" t="inlineStr">
        <is>
          <t>Kayıttan doğrulandı</t>
        </is>
      </c>
      <c r="O190" s="44" t="n"/>
    </row>
    <row r="191" ht="54" customHeight="1">
      <c r="A191" s="44" t="inlineStr">
        <is>
          <t>sevilla:photo:los-remedios-01</t>
        </is>
      </c>
      <c r="B191" s="44" t="inlineStr">
        <is>
          <t>https://commons.wikimedia.org/wiki/User:CarlosVdeHabsburgo</t>
        </is>
      </c>
      <c r="C191" s="44" t="inlineStr">
        <is>
          <t>https://commons.wikimedia.org/wiki/User:CarlosVdeHabsburgo</t>
        </is>
      </c>
      <c r="D191" s="44" t="inlineStr">
        <is>
          <t>https://upload.wikimedia.org/wikipedia/commons/9/9b/Bar_Pr%C3%ADncipe.jpg</t>
        </is>
      </c>
      <c r="E191" s="44" t="inlineStr">
        <is>
          <t>https://thumb.wikimedia.org/wikipedia/commons/thumb/9/9b/Bar_Pr%C3%ADncipe.jpg/1280px-Bar_Pr%C3%ADncipe.jpg</t>
        </is>
      </c>
      <c r="F191" s="53" t="n">
        <v>46320</v>
      </c>
      <c r="G191" s="44" t="inlineStr">
        <is>
          <t>Fotoğraflar/sevilla_los-remedios_01.jpg</t>
        </is>
      </c>
      <c r="H191" s="44" t="inlineStr">
        <is>
          <t>106b246fc7af2eaa9bc14de2ee1086e14423747f80a20650a03c60a66fd6a792</t>
        </is>
      </c>
      <c r="I191" s="44" t="inlineStr">
        <is>
          <t>Teslimler/WebKopyalari/106b246fc7af2eaa9bc14de2ee1086e14423747f80a20650a03c60a66fd6a792.webp</t>
        </is>
      </c>
      <c r="J191" s="44" t="inlineStr">
        <is>
          <t>c323f7cdf5efb2be5d0594fc8dc5ef164be0e94931bca0f0e1b82af5e67c3446</t>
        </is>
      </c>
      <c r="K191" s="44" t="n">
        <v>1280</v>
      </c>
      <c r="L191" s="44" t="n">
        <v>960</v>
      </c>
      <c r="M191" s="44" t="inlineStr">
        <is>
          <t>Özgün teslim dosyası korundu. EXIF yönü uygulandı; kırpma yapılmadan en çok 1600 px, WebP kalite 84. Önceki kaynak değişiklik notları ayrıca korunur.</t>
        </is>
      </c>
      <c r="N191" s="44" t="inlineStr">
        <is>
          <t>Kayıttan doğrulandı</t>
        </is>
      </c>
      <c r="O191" s="44" t="n"/>
    </row>
    <row r="192" ht="54" customHeight="1">
      <c r="A192" s="44" t="inlineStr">
        <is>
          <t>sevilla:photo:los-remedios-02</t>
        </is>
      </c>
      <c r="B192" s="44" t="inlineStr">
        <is>
          <t>https://commons.wikimedia.org/wiki/User:El_Pantera</t>
        </is>
      </c>
      <c r="C192" s="44" t="inlineStr">
        <is>
          <t>https://commons.wikimedia.org/wiki/User:El_Pantera</t>
        </is>
      </c>
      <c r="D192" s="44" t="inlineStr">
        <is>
          <t>https://upload.wikimedia.org/wikipedia/commons/d/de/Capilla_en_Sevilla_-_IMG_20220620_170708.jpg</t>
        </is>
      </c>
      <c r="E192" s="44" t="inlineStr">
        <is>
          <t>https://thumb.wikimedia.org/wikipedia/commons/thumb/d/de/Capilla_en_Sevilla_-_IMG_20220620_170708.jpg/1280px-Capilla_en_Sevilla_-_IMG_20220620_170708.jpg</t>
        </is>
      </c>
      <c r="F192" s="53" t="n">
        <v>46320</v>
      </c>
      <c r="G192" s="44" t="inlineStr">
        <is>
          <t>Fotoğraflar/sevilla_los-remedios_02.jpg</t>
        </is>
      </c>
      <c r="H192" s="44" t="inlineStr">
        <is>
          <t>e2b94c568f402f31a00cc953cc1b27f8e7023915bffa1e816c047fbce015dbfe</t>
        </is>
      </c>
      <c r="I192" s="44" t="inlineStr">
        <is>
          <t>Teslimler/WebKopyalari/e2b94c568f402f31a00cc953cc1b27f8e7023915bffa1e816c047fbce015dbfe.webp</t>
        </is>
      </c>
      <c r="J192" s="44" t="inlineStr">
        <is>
          <t>02a83270a2970d1985eb10ed20444425bee414271e7f574ce287b0aeb4fa3d58</t>
        </is>
      </c>
      <c r="K192" s="44" t="n">
        <v>1200</v>
      </c>
      <c r="L192" s="44" t="n">
        <v>1600</v>
      </c>
      <c r="M192" s="44" t="inlineStr">
        <is>
          <t>Özgün teslim dosyası korundu. EXIF yönü uygulandı; kırpma yapılmadan en çok 1600 px, WebP kalite 84. Önceki kaynak değişiklik notları ayrıca korunur.</t>
        </is>
      </c>
      <c r="N192" s="44" t="inlineStr">
        <is>
          <t>Kayıttan doğrulandı</t>
        </is>
      </c>
      <c r="O192" s="44" t="n"/>
    </row>
    <row r="193" ht="54" customHeight="1">
      <c r="A193" s="44" t="inlineStr">
        <is>
          <t>sevilla:photo:los-remedios-03</t>
        </is>
      </c>
      <c r="B193" s="44" t="inlineStr">
        <is>
          <t>https://commons.wikimedia.org/wiki/User:CarlosVdeHabsburgo</t>
        </is>
      </c>
      <c r="C193" s="44" t="inlineStr">
        <is>
          <t>https://commons.wikimedia.org/wiki/User:CarlosVdeHabsburgo</t>
        </is>
      </c>
      <c r="D193" s="44" t="inlineStr">
        <is>
          <t>https://upload.wikimedia.org/wikipedia/commons/5/51/Chocolater%C3%ADa_Virgen_de_Luj%C3%A1n.jpg</t>
        </is>
      </c>
      <c r="E193" s="44" t="inlineStr">
        <is>
          <t>https://thumb.wikimedia.org/wikipedia/commons/thumb/5/51/Chocolater%C3%ADa_Virgen_de_Luj%C3%A1n.jpg/1280px-Chocolater%C3%ADa_Virgen_de_Luj%C3%A1n.jpg</t>
        </is>
      </c>
      <c r="F193" s="53" t="n">
        <v>46320</v>
      </c>
      <c r="G193" s="44" t="inlineStr">
        <is>
          <t>Fotoğraflar/sevilla_los-remedios_03.jpg</t>
        </is>
      </c>
      <c r="H193" s="44" t="inlineStr">
        <is>
          <t>77c531d6313b817ae0a60e7e232db11737c92922a5bf9e9db34230a0179973c2</t>
        </is>
      </c>
      <c r="I193" s="44" t="inlineStr">
        <is>
          <t>Teslimler/WebKopyalari/77c531d6313b817ae0a60e7e232db11737c92922a5bf9e9db34230a0179973c2.webp</t>
        </is>
      </c>
      <c r="J193" s="44" t="inlineStr">
        <is>
          <t>335d0eb7a0763f96863c7d6bbfb69e49a5651f8ea291d9d427976a42cdd5509d</t>
        </is>
      </c>
      <c r="K193" s="44" t="n">
        <v>1280</v>
      </c>
      <c r="L193" s="44" t="n">
        <v>864</v>
      </c>
      <c r="M193" s="44" t="inlineStr">
        <is>
          <t>Özgün teslim dosyası korundu. EXIF yönü uygulandı; kırpma yapılmadan en çok 1600 px, WebP kalite 84. Önceki kaynak değişiklik notları ayrıca korunur.</t>
        </is>
      </c>
      <c r="N193" s="44" t="inlineStr">
        <is>
          <t>Kayıttan doğrulandı</t>
        </is>
      </c>
      <c r="O193" s="44" t="n"/>
    </row>
    <row r="194" ht="54" customHeight="1">
      <c r="A194" s="44" t="inlineStr">
        <is>
          <t>sevilla:photo:la-macarena-01</t>
        </is>
      </c>
      <c r="B194" s="44" t="inlineStr">
        <is>
          <t>https://commons.wikimedia.org/wiki/User:El_Mono_Espa%C3%B1ol</t>
        </is>
      </c>
      <c r="C194" s="44" t="inlineStr">
        <is>
          <t>https://commons.wikimedia.org/wiki/User:El_Mono_Espa%C3%B1ol</t>
        </is>
      </c>
      <c r="D194" s="44" t="inlineStr">
        <is>
          <t>https://upload.wikimedia.org/wikipedia/commons/a/aa/Adelantado_Square_%28Seville%2C_Spain%29.jpg</t>
        </is>
      </c>
      <c r="E194" s="44" t="inlineStr">
        <is>
          <t>https://thumb.wikimedia.org/wikipedia/commons/thumb/a/aa/Adelantado_Square_%28Seville%2C_Spain%29.jpg/1280px-Adelantado_Square_%28Seville%2C_Spain%29.jpg</t>
        </is>
      </c>
      <c r="F194" s="53" t="n">
        <v>46320</v>
      </c>
      <c r="G194" s="44" t="inlineStr">
        <is>
          <t>Fotoğraflar/sevilla_la-macarena_01.jpg</t>
        </is>
      </c>
      <c r="H194" s="44" t="inlineStr">
        <is>
          <t>c9ffea13c6c43160f090e6254e47d856ed2cf3930ef72b531a85a6796a795676</t>
        </is>
      </c>
      <c r="I194" s="44" t="inlineStr">
        <is>
          <t>Teslimler/WebKopyalari/c9ffea13c6c43160f090e6254e47d856ed2cf3930ef72b531a85a6796a795676.webp</t>
        </is>
      </c>
      <c r="J194" s="44" t="inlineStr">
        <is>
          <t>a44475bf2dd30ff1da0045a1781fcb5635e5f71c149da9d89440b3d1a8e6e7ba</t>
        </is>
      </c>
      <c r="K194" s="44" t="n">
        <v>1280</v>
      </c>
      <c r="L194" s="44" t="n">
        <v>960</v>
      </c>
      <c r="M194" s="44" t="inlineStr">
        <is>
          <t>Özgün teslim dosyası korundu. EXIF yönü uygulandı; kırpma yapılmadan en çok 1600 px, WebP kalite 84. Önceki kaynak değişiklik notları ayrıca korunur.</t>
        </is>
      </c>
      <c r="N194" s="44" t="inlineStr">
        <is>
          <t>Kayıttan doğrulandı</t>
        </is>
      </c>
      <c r="O194" s="44" t="n"/>
    </row>
    <row r="195" ht="54" customHeight="1">
      <c r="A195" s="44" t="inlineStr">
        <is>
          <t>sevilla:photo:la-macarena-02</t>
        </is>
      </c>
      <c r="B195" s="44" t="inlineStr">
        <is>
          <t>https://commons.wikimedia.org/wiki/User:CarlosVdeHabsburgo</t>
        </is>
      </c>
      <c r="C195" s="44" t="inlineStr">
        <is>
          <t>https://commons.wikimedia.org/wiki/User:CarlosVdeHabsburgo</t>
        </is>
      </c>
      <c r="D195" s="44" t="inlineStr">
        <is>
          <t>https://upload.wikimedia.org/wikipedia/commons/6/64/Casa_hermandad_de_la_Macarena_%28Sevilla%29.jpg</t>
        </is>
      </c>
      <c r="E195" s="44" t="inlineStr">
        <is>
          <t>https://thumb.wikimedia.org/wikipedia/commons/thumb/6/64/Casa_hermandad_de_la_Macarena_%28Sevilla%29.jpg/1280px-Casa_hermandad_de_la_Macarena_%28Sevilla%29.jpg</t>
        </is>
      </c>
      <c r="F195" s="53" t="n">
        <v>46320</v>
      </c>
      <c r="G195" s="44" t="inlineStr">
        <is>
          <t>Fotoğraflar/sevilla_la-macarena_02.jpg</t>
        </is>
      </c>
      <c r="H195" s="44" t="inlineStr">
        <is>
          <t>f34041a406c08e5b6ce5a390c53e4117dc3dcfe21f118662a2112eef1989456e</t>
        </is>
      </c>
      <c r="I195" s="44" t="inlineStr">
        <is>
          <t>Teslimler/WebKopyalari/f34041a406c08e5b6ce5a390c53e4117dc3dcfe21f118662a2112eef1989456e.webp</t>
        </is>
      </c>
      <c r="J195" s="44" t="inlineStr">
        <is>
          <t>8f8714f11c9c82de985bdd544271fc46b294c5d0064260b5915697902ed708d7</t>
        </is>
      </c>
      <c r="K195" s="44" t="n">
        <v>1280</v>
      </c>
      <c r="L195" s="44" t="n">
        <v>1538</v>
      </c>
      <c r="M195" s="44" t="inlineStr">
        <is>
          <t>Özgün teslim dosyası korundu. EXIF yönü uygulandı; kırpma yapılmadan en çok 1600 px, WebP kalite 84. Önceki kaynak değişiklik notları ayrıca korunur.</t>
        </is>
      </c>
      <c r="N195" s="44" t="inlineStr">
        <is>
          <t>Kayıttan doğrulandı</t>
        </is>
      </c>
      <c r="O195" s="44" t="n"/>
    </row>
    <row r="196" ht="54" customHeight="1">
      <c r="A196" s="44" t="inlineStr">
        <is>
          <t>sevilla:photo:nervion-01</t>
        </is>
      </c>
      <c r="B196" s="44" t="inlineStr">
        <is>
          <t>https://commons.wikimedia.org/wiki/User:Peejayem</t>
        </is>
      </c>
      <c r="C196" s="44" t="inlineStr">
        <is>
          <t>https://commons.wikimedia.org/wiki/User:Peejayem</t>
        </is>
      </c>
      <c r="D196" s="44" t="inlineStr">
        <is>
          <t>https://upload.wikimedia.org/wikipedia/commons/6/68/Calle_Pablo_Picasso%2C_6_%28Sevilla%29_-_Sede_de_la_Consejer%C3%ADa_de_Fomento%2C_Infraestructuras_y_Ordenaci%C3%B3n_del_Territorio_de_la_Junta_de_Andaluc%C3%ADa_%28Edificio%29.jpg</t>
        </is>
      </c>
      <c r="E196" s="44" t="inlineStr">
        <is>
          <t>https://thumb.wikimedia.org/wikipedia/commons/thumb/6/68/Calle_Pablo_Picasso%2C_6_%28Sevilla%29_-_Sede_de_la_Consejer%C3%ADa_de_Fomento%2C_Infraestructuras_y_Ordenaci%C3%B3n_del_Territorio_de_la_Junta_de_Andaluc%C3%ADa_%28Edificio%29.jpg/1280px-Calle_Pablo_Picasso%2C_6_%28Sevilla%29_-_Sede_de_la_Consejer%C3%ADa_de_Fomento%2C_Infraestructuras_y_Ordenaci%C3%B3n_del_Territorio_de_la_Junta_de_Andaluc%C3%ADa_%28Edificio%29.jpg</t>
        </is>
      </c>
      <c r="F196" s="53" t="n">
        <v>46320</v>
      </c>
      <c r="G196" s="44" t="inlineStr">
        <is>
          <t>Fotoğraflar/sevilla_nervion_01.jpg</t>
        </is>
      </c>
      <c r="H196" s="44" t="inlineStr">
        <is>
          <t>91cfc7dbd36cd44da829b26e0c103c7988bac87276b2a9985e1a9ab4d40402ce</t>
        </is>
      </c>
      <c r="I196" s="44" t="inlineStr">
        <is>
          <t>Teslimler/WebKopyalari/91cfc7dbd36cd44da829b26e0c103c7988bac87276b2a9985e1a9ab4d40402ce.webp</t>
        </is>
      </c>
      <c r="J196" s="44" t="inlineStr">
        <is>
          <t>842cd13005880dc4f227ebff7ff0912561a696924efa63ed6cd42a473507e34c</t>
        </is>
      </c>
      <c r="K196" s="44" t="n">
        <v>1280</v>
      </c>
      <c r="L196" s="44" t="n">
        <v>591</v>
      </c>
      <c r="M196" s="44" t="inlineStr">
        <is>
          <t>Özgün teslim dosyası korundu. EXIF yönü uygulandı; kırpma yapılmadan en çok 1600 px, WebP kalite 84. Önceki kaynak değişiklik notları ayrıca korunur.</t>
        </is>
      </c>
      <c r="N196" s="44" t="inlineStr">
        <is>
          <t>Kayıttan doğrulandı</t>
        </is>
      </c>
      <c r="O196" s="44" t="n"/>
    </row>
    <row r="197" ht="54" customHeight="1">
      <c r="A197" s="44" t="inlineStr">
        <is>
          <t>sevilla:photo:nervion-02</t>
        </is>
      </c>
      <c r="B197" s="44" t="inlineStr">
        <is>
          <t>https://commons.wikimedia.org/wiki/User:Peejayem</t>
        </is>
      </c>
      <c r="C197" s="44" t="inlineStr">
        <is>
          <t>https://commons.wikimedia.org/wiki/User:Peejayem</t>
        </is>
      </c>
      <c r="D197" s="44" t="inlineStr">
        <is>
          <t>https://upload.wikimedia.org/wikipedia/commons/2/24/Calle_Pablo_Picasso%2C_6_%28Sevilla%29_-_Sede_de_la_Consejer%C3%ADa_de_Fomento%2C_Infraestructuras_y_Ordenaci%C3%B3n_del_Territorio_de_la_Junta_de_Andaluc%C3%ADa_%28Portada%29.jpg</t>
        </is>
      </c>
      <c r="E197" s="44" t="inlineStr">
        <is>
          <t>https://thumb.wikimedia.org/wikipedia/commons/thumb/2/24/Calle_Pablo_Picasso%2C_6_%28Sevilla%29_-_Sede_de_la_Consejer%C3%ADa_de_Fomento%2C_Infraestructuras_y_Ordenaci%C3%B3n_del_Territorio_de_la_Junta_de_Andaluc%C3%ADa_%28Portada%29.jpg/1280px-Calle_Pablo_Picasso%2C_6_%28Sevilla%29_-_Sede_de_la_Consejer%C3%ADa_de_Fomento%2C_Infraestructuras_y_Ordenaci%C3%B3n_del_Territorio_de_la_Junta_de_Andaluc%C3%ADa_%28Portada%29.jpg</t>
        </is>
      </c>
      <c r="F197" s="53" t="n">
        <v>46320</v>
      </c>
      <c r="G197" s="44" t="inlineStr">
        <is>
          <t>Fotoğraflar/sevilla_nervion_02.jpg</t>
        </is>
      </c>
      <c r="H197" s="44" t="inlineStr">
        <is>
          <t>be5df705ac04327f88d2a7488bad1748e4553b76600cdaaa02e399f356b47265</t>
        </is>
      </c>
      <c r="I197" s="44" t="inlineStr">
        <is>
          <t>Teslimler/WebKopyalari/be5df705ac04327f88d2a7488bad1748e4553b76600cdaaa02e399f356b47265.webp</t>
        </is>
      </c>
      <c r="J197" s="44" t="inlineStr">
        <is>
          <t>536f1f6a96b7ec5870a192e6590d3de4d40184eb0dca226f41d726d077c382b5</t>
        </is>
      </c>
      <c r="K197" s="44" t="n">
        <v>1280</v>
      </c>
      <c r="L197" s="44" t="n">
        <v>591</v>
      </c>
      <c r="M197" s="44" t="inlineStr">
        <is>
          <t>Özgün teslim dosyası korundu. EXIF yönü uygulandı; kırpma yapılmadan en çok 1600 px, WebP kalite 84. Önceki kaynak değişiklik notları ayrıca korunur.</t>
        </is>
      </c>
      <c r="N197" s="44" t="inlineStr">
        <is>
          <t>Kayıttan doğrulandı</t>
        </is>
      </c>
      <c r="O197" s="44" t="n"/>
    </row>
    <row r="198" ht="54" customHeight="1">
      <c r="A198" s="44" t="inlineStr">
        <is>
          <t>sevilla:photo:nervion-03</t>
        </is>
      </c>
      <c r="B198" s="44" t="inlineStr">
        <is>
          <t>https://commons.wikimedia.org/wiki/User:CarlosVdeHabsburgo</t>
        </is>
      </c>
      <c r="C198" s="44" t="inlineStr">
        <is>
          <t>https://commons.wikimedia.org/wiki/User:CarlosVdeHabsburgo</t>
        </is>
      </c>
      <c r="D198" s="44" t="inlineStr">
        <is>
          <t>https://upload.wikimedia.org/wikipedia/commons/4/48/Centra_de_Telef%C3%B3nica_de_Sevilla_Oriente.jpg</t>
        </is>
      </c>
      <c r="E198" s="44" t="inlineStr">
        <is>
          <t>https://thumb.wikimedia.org/wikipedia/commons/thumb/4/48/Centra_de_Telef%C3%B3nica_de_Sevilla_Oriente.jpg/1280px-Centra_de_Telef%C3%B3nica_de_Sevilla_Oriente.jpg</t>
        </is>
      </c>
      <c r="F198" s="53" t="n">
        <v>46320</v>
      </c>
      <c r="G198" s="44" t="inlineStr">
        <is>
          <t>Fotoğraflar/sevilla_nervion_03.jpg</t>
        </is>
      </c>
      <c r="H198" s="44" t="inlineStr">
        <is>
          <t>ec65e784fe8779dc5c4b250057f8627cb0c9d50c0063836cd8eadcf37df2e358</t>
        </is>
      </c>
      <c r="I198" s="44" t="inlineStr">
        <is>
          <t>Teslimler/WebKopyalari/ec65e784fe8779dc5c4b250057f8627cb0c9d50c0063836cd8eadcf37df2e358.webp</t>
        </is>
      </c>
      <c r="J198" s="44" t="inlineStr">
        <is>
          <t>39f8ae05aa0fd502065116e16e98856e2097470626873e26a2117c86c72362f8</t>
        </is>
      </c>
      <c r="K198" s="44" t="n">
        <v>1280</v>
      </c>
      <c r="L198" s="44" t="n">
        <v>960</v>
      </c>
      <c r="M198" s="44" t="inlineStr">
        <is>
          <t>Özgün teslim dosyası korundu. EXIF yönü uygulandı; kırpma yapılmadan en çok 1600 px, WebP kalite 84. Önceki kaynak değişiklik notları ayrıca korunur.</t>
        </is>
      </c>
      <c r="N198" s="44" t="inlineStr">
        <is>
          <t>Kayıttan doğrulandı</t>
        </is>
      </c>
      <c r="O198" s="44" t="n"/>
    </row>
    <row r="199" ht="54" customHeight="1">
      <c r="A199" s="44" t="inlineStr">
        <is>
          <t>sevilla:photo:la-cartuja-01</t>
        </is>
      </c>
      <c r="B199" s="44" t="n"/>
      <c r="C199" s="44" t="inlineStr">
        <is>
          <t>https://commons.wikimedia.org/wiki/File:Cartuja_de_Sevilla,_claustro.jpg</t>
        </is>
      </c>
      <c r="D199" s="44" t="inlineStr">
        <is>
          <t>https://upload.wikimedia.org/wikipedia/commons/2/22/Cartuja_de_Sevilla%2C_claustro.jpg</t>
        </is>
      </c>
      <c r="E199" s="44" t="inlineStr">
        <is>
          <t>https://thumb.wikimedia.org/wikipedia/commons/thumb/2/22/Cartuja_de_Sevilla%2C_claustro.jpg/1280px-Cartuja_de_Sevilla%2C_claustro.jpg</t>
        </is>
      </c>
      <c r="F199" s="53" t="n">
        <v>46320</v>
      </c>
      <c r="G199" s="44" t="inlineStr">
        <is>
          <t>Fotoğraflar/sevilla_la-cartuja_01.jpg</t>
        </is>
      </c>
      <c r="H199" s="44" t="inlineStr">
        <is>
          <t>76e2bbefa38f7ee29e8a356b93526a7e881d6755dc6b9a025abb5c8b35c13a48</t>
        </is>
      </c>
      <c r="I199" s="44" t="inlineStr">
        <is>
          <t>Teslimler/WebKopyalari/76e2bbefa38f7ee29e8a356b93526a7e881d6755dc6b9a025abb5c8b35c13a48.webp</t>
        </is>
      </c>
      <c r="J199" s="44" t="inlineStr">
        <is>
          <t>cdf031b215a850f8cf149f1ca69d64aeae902cff2045858171964fd4000819b6</t>
        </is>
      </c>
      <c r="K199" s="44" t="n">
        <v>1280</v>
      </c>
      <c r="L199" s="44" t="n">
        <v>961</v>
      </c>
      <c r="M199" s="44" t="inlineStr">
        <is>
          <t>Özgün teslim dosyası korundu. EXIF yönü uygulandı; kırpma yapılmadan en çok 1600 px, WebP kalite 84. Önceki kaynak değişiklik notları ayrıca korunur.</t>
        </is>
      </c>
      <c r="N199" s="44" t="inlineStr">
        <is>
          <t>Eksik alan var</t>
        </is>
      </c>
      <c r="O199" s="44" t="inlineStr">
        <is>
          <t>Kaynakta ayrı fotoğrafçı profil bağlantısı bulunmadı; fotoğraf kaynak sayfasına atıf korunur. Bağlantı uydurulmaz.</t>
        </is>
      </c>
    </row>
    <row r="200" ht="54" customHeight="1">
      <c r="A200" s="44" t="inlineStr">
        <is>
          <t>sevilla:photo:la-cartuja-02</t>
        </is>
      </c>
      <c r="B200" s="44" t="n"/>
      <c r="C200" s="44" t="inlineStr">
        <is>
          <t>https://commons.wikimedia.org/wiki/File:Cartuja_de_Sevilla._Azulejos.jpg</t>
        </is>
      </c>
      <c r="D200" s="44" t="inlineStr">
        <is>
          <t>https://upload.wikimedia.org/wikipedia/commons/f/fc/Cartuja_de_Sevilla._Azulejos.jpg</t>
        </is>
      </c>
      <c r="E200" s="44" t="inlineStr">
        <is>
          <t>https://thumb.wikimedia.org/wikipedia/commons/thumb/f/fc/Cartuja_de_Sevilla._Azulejos.jpg/1280px-Cartuja_de_Sevilla._Azulejos.jpg</t>
        </is>
      </c>
      <c r="F200" s="53" t="n">
        <v>46320</v>
      </c>
      <c r="G200" s="44" t="inlineStr">
        <is>
          <t>Fotoğraflar/sevilla_la-cartuja_02.jpg</t>
        </is>
      </c>
      <c r="H200" s="44" t="inlineStr">
        <is>
          <t>3f20d8c61c006d76b9c0b8a3638896ec0a0169861efd84b09913245fa61fd86d</t>
        </is>
      </c>
      <c r="I200" s="44" t="inlineStr">
        <is>
          <t>Teslimler/WebKopyalari/3f20d8c61c006d76b9c0b8a3638896ec0a0169861efd84b09913245fa61fd86d.webp</t>
        </is>
      </c>
      <c r="J200" s="44" t="inlineStr">
        <is>
          <t>eb79a2626b68aa8034475d7ac78dfbdb3cf90f1537a1b6cbc66ef1892c8c4202</t>
        </is>
      </c>
      <c r="K200" s="44" t="n">
        <v>1200</v>
      </c>
      <c r="L200" s="44" t="n">
        <v>1600</v>
      </c>
      <c r="M200" s="44" t="inlineStr">
        <is>
          <t>Özgün teslim dosyası korundu. EXIF yönü uygulandı; kırpma yapılmadan en çok 1600 px, WebP kalite 84. Önceki kaynak değişiklik notları ayrıca korunur.</t>
        </is>
      </c>
      <c r="N200" s="44" t="inlineStr">
        <is>
          <t>Eksik alan var</t>
        </is>
      </c>
      <c r="O200" s="44" t="inlineStr">
        <is>
          <t>Kaynakta ayrı fotoğrafçı profil bağlantısı bulunmadı; fotoğraf kaynak sayfasına atıf korunur. Bağlantı uydurulmaz.</t>
        </is>
      </c>
    </row>
    <row r="201" ht="54" customHeight="1">
      <c r="A201" s="44" t="inlineStr">
        <is>
          <t>sevilla:photo:la-cartuja-03</t>
        </is>
      </c>
      <c r="B201" s="44" t="inlineStr">
        <is>
          <t>https://commons.wikimedia.org/wiki/User:Jl_FilpoC</t>
        </is>
      </c>
      <c r="C201" s="44" t="inlineStr">
        <is>
          <t>https://commons.wikimedia.org/wiki/User:Jl_FilpoC</t>
        </is>
      </c>
      <c r="D201" s="44" t="inlineStr">
        <is>
          <t>https://upload.wikimedia.org/wikipedia/commons/3/39/Edificio_Bluenet%2C_Cartuja_93_%28Sevilla%29.jpg</t>
        </is>
      </c>
      <c r="E201" s="44" t="inlineStr">
        <is>
          <t>https://thumb.wikimedia.org/wikipedia/commons/thumb/3/39/Edificio_Bluenet%2C_Cartuja_93_%28Sevilla%29.jpg/1280px-Edificio_Bluenet%2C_Cartuja_93_%28Sevilla%29.jpg</t>
        </is>
      </c>
      <c r="F201" s="53" t="n">
        <v>46320</v>
      </c>
      <c r="G201" s="44" t="inlineStr">
        <is>
          <t>Fotoğraflar/sevilla_la-cartuja_03.jpg</t>
        </is>
      </c>
      <c r="H201" s="44" t="inlineStr">
        <is>
          <t>162940a7582eeaae989cc05ca8f713e9dacc5a9e5832c6c2d5edcb9d02b605a8</t>
        </is>
      </c>
      <c r="I201" s="44" t="inlineStr">
        <is>
          <t>Teslimler/WebKopyalari/162940a7582eeaae989cc05ca8f713e9dacc5a9e5832c6c2d5edcb9d02b605a8.webp</t>
        </is>
      </c>
      <c r="J201" s="44" t="inlineStr">
        <is>
          <t>33083b3eb0be858bf7653ec6a33a9dcdf878efc9af7acdc4f5e551f1edf85f84</t>
        </is>
      </c>
      <c r="K201" s="44" t="n">
        <v>1280</v>
      </c>
      <c r="L201" s="44" t="n">
        <v>961</v>
      </c>
      <c r="M201" s="44" t="inlineStr">
        <is>
          <t>Özgün teslim dosyası korundu. EXIF yönü uygulandı; kırpma yapılmadan en çok 1600 px, WebP kalite 84. Önceki kaynak değişiklik notları ayrıca korunur.</t>
        </is>
      </c>
      <c r="N201" s="44" t="inlineStr">
        <is>
          <t>Kayıttan doğrulandı</t>
        </is>
      </c>
      <c r="O201" s="44" t="n"/>
    </row>
    <row r="202" ht="54" customHeight="1">
      <c r="A202" s="44" t="inlineStr">
        <is>
          <t>sevilla:photo:san-bernardo-01</t>
        </is>
      </c>
      <c r="B202" s="44" t="inlineStr">
        <is>
          <t>https://commons.wikimedia.org/wiki/User:CarlosVdeHabsburgo</t>
        </is>
      </c>
      <c r="C202" s="44" t="inlineStr">
        <is>
          <t>https://commons.wikimedia.org/wiki/User:CarlosVdeHabsburgo</t>
        </is>
      </c>
      <c r="D202" s="44" t="inlineStr">
        <is>
          <t>https://upload.wikimedia.org/wikipedia/commons/d/de/Antigua_escuela_San_Bernardo.jpg</t>
        </is>
      </c>
      <c r="E202" s="44" t="inlineStr">
        <is>
          <t>https://thumb.wikimedia.org/wikipedia/commons/thumb/d/de/Antigua_escuela_San_Bernardo.jpg/1280px-Antigua_escuela_San_Bernardo.jpg</t>
        </is>
      </c>
      <c r="F202" s="53" t="n">
        <v>46320</v>
      </c>
      <c r="G202" s="44" t="inlineStr">
        <is>
          <t>Fotoğraflar/sevilla_san-bernardo_01.jpg</t>
        </is>
      </c>
      <c r="H202" s="44" t="inlineStr">
        <is>
          <t>2fe24eeb3f7b52afd319f3e5de716410e148740731db4325b7e6304eabb3a081</t>
        </is>
      </c>
      <c r="I202" s="44" t="inlineStr">
        <is>
          <t>Teslimler/WebKopyalari/2fe24eeb3f7b52afd319f3e5de716410e148740731db4325b7e6304eabb3a081.webp</t>
        </is>
      </c>
      <c r="J202" s="44" t="inlineStr">
        <is>
          <t>ec88fa3d480b10b14a9814eca9e0c3d7b4ff95a343f6a090adc30d15d3c7c7cf</t>
        </is>
      </c>
      <c r="K202" s="44" t="n">
        <v>1280</v>
      </c>
      <c r="L202" s="44" t="n">
        <v>960</v>
      </c>
      <c r="M202" s="44" t="inlineStr">
        <is>
          <t>Özgün teslim dosyası korundu. EXIF yönü uygulandı; kırpma yapılmadan en çok 1600 px, WebP kalite 84. Önceki kaynak değişiklik notları ayrıca korunur.</t>
        </is>
      </c>
      <c r="N202" s="44" t="inlineStr">
        <is>
          <t>Kayıttan doğrulandı</t>
        </is>
      </c>
      <c r="O202" s="44" t="n"/>
    </row>
    <row r="203" ht="54" customHeight="1">
      <c r="A203" s="44" t="inlineStr">
        <is>
          <t>sevilla:photo:san-bernardo-02</t>
        </is>
      </c>
      <c r="B203" s="44" t="inlineStr">
        <is>
          <t>https://commons.wikimedia.org/wiki/User:CarlosVdeHabsburgo</t>
        </is>
      </c>
      <c r="C203" s="44" t="inlineStr">
        <is>
          <t>https://commons.wikimedia.org/wiki/User:CarlosVdeHabsburgo</t>
        </is>
      </c>
      <c r="D203" s="44" t="inlineStr">
        <is>
          <t>https://upload.wikimedia.org/wikipedia/commons/8/82/Edificios_de_apartamentos_%28San_Bernardo%29.jpg</t>
        </is>
      </c>
      <c r="E203" s="44" t="inlineStr">
        <is>
          <t>https://thumb.wikimedia.org/wikipedia/commons/thumb/8/82/Edificios_de_apartamentos_%28San_Bernardo%29.jpg/1280px-Edificios_de_apartamentos_%28San_Bernardo%29.jpg</t>
        </is>
      </c>
      <c r="F203" s="53" t="n">
        <v>46320</v>
      </c>
      <c r="G203" s="44" t="inlineStr">
        <is>
          <t>Fotoğraflar/sevilla_san-bernardo_02.jpg</t>
        </is>
      </c>
      <c r="H203" s="44" t="inlineStr">
        <is>
          <t>6b2d7522b84d08919aab1dedb60f1b37e3a24f5dae641d8a57881827388b4ff8</t>
        </is>
      </c>
      <c r="I203" s="44" t="inlineStr">
        <is>
          <t>Teslimler/WebKopyalari/6b2d7522b84d08919aab1dedb60f1b37e3a24f5dae641d8a57881827388b4ff8.webp</t>
        </is>
      </c>
      <c r="J203" s="44" t="inlineStr">
        <is>
          <t>39cb92d7794f14b13a9da91aa7db3156548b4d05742cea90e842495dd2b7a24f</t>
        </is>
      </c>
      <c r="K203" s="44" t="n">
        <v>1280</v>
      </c>
      <c r="L203" s="44" t="n">
        <v>1175</v>
      </c>
      <c r="M203" s="44" t="inlineStr">
        <is>
          <t>Özgün teslim dosyası korundu. EXIF yönü uygulandı; kırpma yapılmadan en çok 1600 px, WebP kalite 84. Önceki kaynak değişiklik notları ayrıca korunur.</t>
        </is>
      </c>
      <c r="N203" s="44" t="inlineStr">
        <is>
          <t>Kayıttan doğrulandı</t>
        </is>
      </c>
      <c r="O203" s="44" t="n"/>
    </row>
    <row r="204" ht="54" customHeight="1">
      <c r="A204" s="44" t="inlineStr">
        <is>
          <t>sevilla:photo:el-porvenir-01</t>
        </is>
      </c>
      <c r="B204" s="44" t="inlineStr">
        <is>
          <t>https://commons.wikimedia.org/wiki/User:CarlosVdeHabsburgo</t>
        </is>
      </c>
      <c r="C204" s="44" t="inlineStr">
        <is>
          <t>https://commons.wikimedia.org/wiki/User:CarlosVdeHabsburgo</t>
        </is>
      </c>
      <c r="D204" s="44" t="inlineStr">
        <is>
          <t>https://upload.wikimedia.org/wikipedia/commons/e/e4/Bloques_de_pisos_%28El_Porvenir%29.jpg</t>
        </is>
      </c>
      <c r="E204" s="44" t="inlineStr">
        <is>
          <t>https://thumb.wikimedia.org/wikipedia/commons/thumb/e/e4/Bloques_de_pisos_%28El_Porvenir%29.jpg/1280px-Bloques_de_pisos_%28El_Porvenir%29.jpg</t>
        </is>
      </c>
      <c r="F204" s="53" t="n">
        <v>46320</v>
      </c>
      <c r="G204" s="44" t="inlineStr">
        <is>
          <t>Fotoğraflar/sevilla_el-porvenir_01.jpg</t>
        </is>
      </c>
      <c r="H204" s="44" t="inlineStr">
        <is>
          <t>99cfac3ab3d766bcbfa6c994731c96ec670738ad2cd67cc12eddb450ea1a582e</t>
        </is>
      </c>
      <c r="I204" s="44" t="inlineStr">
        <is>
          <t>Teslimler/WebKopyalari/99cfac3ab3d766bcbfa6c994731c96ec670738ad2cd67cc12eddb450ea1a582e.webp</t>
        </is>
      </c>
      <c r="J204" s="44" t="inlineStr">
        <is>
          <t>99ee006e0bd4c72746c10172d4c1b7a815c9af7ac8d5da0eb6b69bc607058ed5</t>
        </is>
      </c>
      <c r="K204" s="44" t="n">
        <v>1280</v>
      </c>
      <c r="L204" s="44" t="n">
        <v>1019</v>
      </c>
      <c r="M204" s="44" t="inlineStr">
        <is>
          <t>Özgün teslim dosyası korundu. EXIF yönü uygulandı; kırpma yapılmadan en çok 1600 px, WebP kalite 84. Önceki kaynak değişiklik notları ayrıca korunur.</t>
        </is>
      </c>
      <c r="N204" s="44" t="inlineStr">
        <is>
          <t>Kayıttan doğrulandı</t>
        </is>
      </c>
      <c r="O204" s="44" t="n"/>
    </row>
    <row r="205" ht="54" customHeight="1">
      <c r="A205" s="44" t="inlineStr">
        <is>
          <t>sevilla:photo:el-porvenir-02</t>
        </is>
      </c>
      <c r="B205" s="44" t="inlineStr">
        <is>
          <t>https://commons.wikimedia.org/wiki/User:CarlosVdeHabsburgo</t>
        </is>
      </c>
      <c r="C205" s="44" t="inlineStr">
        <is>
          <t>https://commons.wikimedia.org/wiki/User:CarlosVdeHabsburgo</t>
        </is>
      </c>
      <c r="D205" s="44" t="inlineStr">
        <is>
          <t>https://upload.wikimedia.org/wikipedia/commons/6/62/Casa_%28El_Porvenir%29.jpg</t>
        </is>
      </c>
      <c r="E205" s="44" t="inlineStr">
        <is>
          <t>https://thumb.wikimedia.org/wikipedia/commons/thumb/6/62/Casa_%28El_Porvenir%29.jpg/1280px-Casa_%28El_Porvenir%29.jpg</t>
        </is>
      </c>
      <c r="F205" s="53" t="n">
        <v>46320</v>
      </c>
      <c r="G205" s="44" t="inlineStr">
        <is>
          <t>Fotoğraflar/sevilla_el-porvenir_02.jpg</t>
        </is>
      </c>
      <c r="H205" s="44" t="inlineStr">
        <is>
          <t>1f5fdcf79b3a79a12ddd8b001911e9a35f3093492d20f9ea6da05bc76829a94a</t>
        </is>
      </c>
      <c r="I205" s="44" t="inlineStr">
        <is>
          <t>Teslimler/WebKopyalari/1f5fdcf79b3a79a12ddd8b001911e9a35f3093492d20f9ea6da05bc76829a94a.webp</t>
        </is>
      </c>
      <c r="J205" s="44" t="inlineStr">
        <is>
          <t>50d85500bf52ae48b81370fcc468d3cae27210c8692086c03cf4f2bad96b358c</t>
        </is>
      </c>
      <c r="K205" s="44" t="n">
        <v>1200</v>
      </c>
      <c r="L205" s="44" t="n">
        <v>1600</v>
      </c>
      <c r="M205" s="44" t="inlineStr">
        <is>
          <t>Özgün teslim dosyası korundu. EXIF yönü uygulandı; kırpma yapılmadan en çok 1600 px, WebP kalite 84. Önceki kaynak değişiklik notları ayrıca korunur.</t>
        </is>
      </c>
      <c r="N205" s="44" t="inlineStr">
        <is>
          <t>Kayıttan doğrulandı</t>
        </is>
      </c>
      <c r="O205" s="44" t="n"/>
    </row>
    <row r="206" ht="54" customHeight="1">
      <c r="A206" s="44" t="inlineStr">
        <is>
          <t>sevilla:photo:el-porvenir-03</t>
        </is>
      </c>
      <c r="B206" s="44" t="inlineStr">
        <is>
          <t>https://commons.wikimedia.org/wiki/User:CarlosVdeHabsburgo</t>
        </is>
      </c>
      <c r="C206" s="44" t="inlineStr">
        <is>
          <t>https://commons.wikimedia.org/wiki/User:CarlosVdeHabsburgo</t>
        </is>
      </c>
      <c r="D206" s="44" t="inlineStr">
        <is>
          <t>https://upload.wikimedia.org/wikipedia/commons/0/03/Comisar%C3%ADa_y_sede_del_distrito_Sur_01.jpg</t>
        </is>
      </c>
      <c r="E206" s="44" t="inlineStr">
        <is>
          <t>https://thumb.wikimedia.org/wikipedia/commons/thumb/0/03/Comisar%C3%ADa_y_sede_del_distrito_Sur_01.jpg/1280px-Comisar%C3%ADa_y_sede_del_distrito_Sur_01.jpg</t>
        </is>
      </c>
      <c r="F206" s="53" t="n">
        <v>46320</v>
      </c>
      <c r="G206" s="44" t="inlineStr">
        <is>
          <t>Fotoğraflar/sevilla_el-porvenir_03.jpg</t>
        </is>
      </c>
      <c r="H206" s="44" t="inlineStr">
        <is>
          <t>0d3f52e9c78bb8dfab7c5825d25bc2a303b424d6967734c6012c40faee7ff590</t>
        </is>
      </c>
      <c r="I206" s="44" t="inlineStr">
        <is>
          <t>Teslimler/WebKopyalari/0d3f52e9c78bb8dfab7c5825d25bc2a303b424d6967734c6012c40faee7ff590.webp</t>
        </is>
      </c>
      <c r="J206" s="44" t="inlineStr">
        <is>
          <t>5b3e3c30429c1e4884f1d9efcb2634064a0528f0e9f17ba903d777171cf6900d</t>
        </is>
      </c>
      <c r="K206" s="44" t="n">
        <v>1280</v>
      </c>
      <c r="L206" s="44" t="n">
        <v>960</v>
      </c>
      <c r="M206" s="44" t="inlineStr">
        <is>
          <t>Özgün teslim dosyası korundu. EXIF yönü uygulandı; kırpma yapılmadan en çok 1600 px, WebP kalite 84. Önceki kaynak değişiklik notları ayrıca korunur.</t>
        </is>
      </c>
      <c r="N206" s="44" t="inlineStr">
        <is>
          <t>Kayıttan doğrulandı</t>
        </is>
      </c>
      <c r="O206" s="44" t="n"/>
    </row>
    <row r="207" ht="54" customHeight="1">
      <c r="A207" s="44" t="inlineStr">
        <is>
          <t>sevilla:photo:iglesia-del-divino-salvador-01</t>
        </is>
      </c>
      <c r="B207" s="44" t="inlineStr">
        <is>
          <t>https://commons.wikimedia.org/wiki/User:Posible2006</t>
        </is>
      </c>
      <c r="C207" s="44" t="inlineStr">
        <is>
          <t>https://commons.wikimedia.org/wiki/User:Posible2006</t>
        </is>
      </c>
      <c r="D207" s="44" t="inlineStr">
        <is>
          <t>https://upload.wikimedia.org/wikipedia/commons/e/e4/Iglesia_Salvador2.jpg</t>
        </is>
      </c>
      <c r="E207" s="44" t="inlineStr">
        <is>
          <t>https://thumb.wikimedia.org/wikipedia/commons/thumb/e/e4/Iglesia_Salvador2.jpg/1280px-Iglesia_Salvador2.jpg</t>
        </is>
      </c>
      <c r="F207" s="53" t="n">
        <v>46320</v>
      </c>
      <c r="G207" s="44" t="inlineStr">
        <is>
          <t>Fotoğraflar/sevilla_iglesia-del-divino-salvador_01.jpg</t>
        </is>
      </c>
      <c r="H207" s="44" t="inlineStr">
        <is>
          <t>b000114f7bc741a9a05fe47d5880a7650c751cfc1051458bc61cf920f4c8f46b</t>
        </is>
      </c>
      <c r="I207" s="44" t="inlineStr">
        <is>
          <t>Teslimler/WebKopyalari/b000114f7bc741a9a05fe47d5880a7650c751cfc1051458bc61cf920f4c8f46b.webp</t>
        </is>
      </c>
      <c r="J207" s="44" t="inlineStr">
        <is>
          <t>985cc3dbd9df3a2f88ccfba31ab43d39134f61e72d2b99786a5204d2c4413632</t>
        </is>
      </c>
      <c r="K207" s="44" t="n">
        <v>1280</v>
      </c>
      <c r="L207" s="44" t="n">
        <v>1533</v>
      </c>
      <c r="M207" s="44" t="inlineStr">
        <is>
          <t>Özgün teslim dosyası korundu. EXIF yönü uygulandı; kırpma yapılmadan en çok 1600 px, WebP kalite 84. Önceki kaynak değişiklik notları ayrıca korunur.</t>
        </is>
      </c>
      <c r="N207" s="44" t="inlineStr">
        <is>
          <t>Kayıttan doğrulandı</t>
        </is>
      </c>
      <c r="O207" s="44" t="n"/>
    </row>
    <row r="208" ht="54" customHeight="1">
      <c r="A208" s="44" t="inlineStr">
        <is>
          <t>sevilla:photo:iglesia-del-divino-salvador-02</t>
        </is>
      </c>
      <c r="B208" s="44" t="inlineStr">
        <is>
          <t>https://commons.wikimedia.org/wiki/User:Anual</t>
        </is>
      </c>
      <c r="C208" s="44" t="inlineStr">
        <is>
          <t>https://commons.wikimedia.org/wiki/User:Anual</t>
        </is>
      </c>
      <c r="D208" s="44" t="inlineStr">
        <is>
          <t>https://upload.wikimedia.org/wikipedia/commons/6/66/Iglesia_del_Salvador_006.jpg</t>
        </is>
      </c>
      <c r="E208" s="44" t="inlineStr">
        <is>
          <t>https://thumb.wikimedia.org/wikipedia/commons/thumb/6/66/Iglesia_del_Salvador_006.jpg/1280px-Iglesia_del_Salvador_006.jpg</t>
        </is>
      </c>
      <c r="F208" s="53" t="n">
        <v>46320</v>
      </c>
      <c r="G208" s="44" t="inlineStr">
        <is>
          <t>Fotoğraflar/sevilla_iglesia-del-divino-salvador_02.jpg</t>
        </is>
      </c>
      <c r="H208" s="44" t="inlineStr">
        <is>
          <t>eb4ce3b4043f7f48ef9727895828edd714ef9822e15d83c111b01cea49a69a7b</t>
        </is>
      </c>
      <c r="I208" s="44" t="inlineStr">
        <is>
          <t>Teslimler/WebKopyalari/eb4ce3b4043f7f48ef9727895828edd714ef9822e15d83c111b01cea49a69a7b.webp</t>
        </is>
      </c>
      <c r="J208" s="44" t="inlineStr">
        <is>
          <t>3817853dd41fc3d9fe65e873adec7e3815160fbfe7e9596253d00266af011c06</t>
        </is>
      </c>
      <c r="K208" s="44" t="n">
        <v>1280</v>
      </c>
      <c r="L208" s="44" t="n">
        <v>857</v>
      </c>
      <c r="M208" s="44" t="inlineStr">
        <is>
          <t>Özgün teslim dosyası korundu. EXIF yönü uygulandı; kırpma yapılmadan en çok 1600 px, WebP kalite 84. Önceki kaynak değişiklik notları ayrıca korunur.</t>
        </is>
      </c>
      <c r="N208" s="44" t="inlineStr">
        <is>
          <t>Kayıttan doğrulandı</t>
        </is>
      </c>
      <c r="O208" s="44" t="n"/>
    </row>
    <row r="209" ht="54" customHeight="1">
      <c r="A209" s="44" t="inlineStr">
        <is>
          <t>sevilla:photo:palacio-de-san-telmo-03</t>
        </is>
      </c>
      <c r="B209" s="44" t="inlineStr">
        <is>
          <t>https://www.wikidata.org/wiki/Q28147777</t>
        </is>
      </c>
      <c r="C209" s="44" t="inlineStr">
        <is>
          <t>https://www.wikidata.org/wiki/Q28147777</t>
        </is>
      </c>
      <c r="D209" s="44" t="inlineStr">
        <is>
          <t>https://upload.wikimedia.org/wikipedia/commons/c/c8/Palacio_de_San_Telmo%2C_Sevilla%2C_Espa%C3%B1a%2C_2015-12-06%2C_DD_74.JPG</t>
        </is>
      </c>
      <c r="E209" s="44" t="inlineStr">
        <is>
          <t>https://thumb.wikimedia.org/wikipedia/commons/thumb/c/c8/Palacio_de_San_Telmo%2C_Sevilla%2C_Espa%C3%B1a%2C_2015-12-06%2C_DD_74.JPG/1280px-Palacio_de_San_Telmo%2C_Sevilla%2C_Espa%C3%B1a%2C_2015-12-06%2C_DD_74.JPG</t>
        </is>
      </c>
      <c r="F209" s="53" t="n">
        <v>46320</v>
      </c>
      <c r="G209" s="44" t="inlineStr">
        <is>
          <t>Fotoğraflar/sevilla_palacio-de-san-telmo_03.jpg</t>
        </is>
      </c>
      <c r="H209" s="44" t="inlineStr">
        <is>
          <t>5eeb76bb66bafa8a50a420abb13a96e671479c43c58cea47ee9dc0524c73b68a</t>
        </is>
      </c>
      <c r="I209" s="44" t="inlineStr">
        <is>
          <t>Teslimler/WebKopyalari/5eeb76bb66bafa8a50a420abb13a96e671479c43c58cea47ee9dc0524c73b68a.webp</t>
        </is>
      </c>
      <c r="J209" s="44" t="inlineStr">
        <is>
          <t>fafc7348689d53659d0f96412c16978c6b78a4e4564073916a7910b175cf73f7</t>
        </is>
      </c>
      <c r="K209" s="44" t="n">
        <v>1280</v>
      </c>
      <c r="L209" s="44" t="n">
        <v>1042</v>
      </c>
      <c r="M209" s="44" t="inlineStr">
        <is>
          <t>Özgün teslim dosyası korundu. EXIF yönü uygulandı; kırpma yapılmadan en çok 1600 px, WebP kalite 84. Önceki kaynak değişiklik notları ayrıca korunur.</t>
        </is>
      </c>
      <c r="N209" s="44" t="inlineStr">
        <is>
          <t>Kayıttan doğrulandı</t>
        </is>
      </c>
      <c r="O209" s="44" t="n"/>
    </row>
    <row r="210" ht="54" customHeight="1">
      <c r="A210" s="44" t="inlineStr">
        <is>
          <t>sevilla:photo:puente-de-triana-02</t>
        </is>
      </c>
      <c r="B210" s="44" t="inlineStr">
        <is>
          <t>https://commons.wikimedia.org/wiki/User:Gzzz</t>
        </is>
      </c>
      <c r="C210" s="44" t="inlineStr">
        <is>
          <t>https://commons.wikimedia.org/wiki/User:Gzzz</t>
        </is>
      </c>
      <c r="D210" s="44" t="inlineStr">
        <is>
          <t>https://upload.wikimedia.org/wikipedia/commons/c/c8/Castillo_de_San_Jorge_y_Puente_de_Triana.jpg</t>
        </is>
      </c>
      <c r="E210" s="44" t="inlineStr">
        <is>
          <t>https://thumb.wikimedia.org/wikipedia/commons/thumb/c/c8/Castillo_de_San_Jorge_y_Puente_de_Triana.jpg/1280px-Castillo_de_San_Jorge_y_Puente_de_Triana.jpg</t>
        </is>
      </c>
      <c r="F210" s="53" t="n">
        <v>46320</v>
      </c>
      <c r="G210" s="44" t="inlineStr">
        <is>
          <t>Fotoğraflar/sevilla_puente-de-triana_02.jpg</t>
        </is>
      </c>
      <c r="H210" s="44" t="inlineStr">
        <is>
          <t>c156929d36c61d379fe694e6b7e3996aa9d621cb0029aaefaa1eac6566b488f9</t>
        </is>
      </c>
      <c r="I210" s="44" t="inlineStr">
        <is>
          <t>Teslimler/WebKopyalari/c156929d36c61d379fe694e6b7e3996aa9d621cb0029aaefaa1eac6566b488f9.webp</t>
        </is>
      </c>
      <c r="J210" s="44" t="inlineStr">
        <is>
          <t>c7e8f20441745551160ef341d006787480853c9ba2512924568d3442804428f6</t>
        </is>
      </c>
      <c r="K210" s="44" t="n">
        <v>1280</v>
      </c>
      <c r="L210" s="44" t="n">
        <v>933</v>
      </c>
      <c r="M210" s="44" t="inlineStr">
        <is>
          <t>Özgün teslim dosyası korundu. EXIF yönü uygulandı; kırpma yapılmadan en çok 1600 px, WebP kalite 84. Önceki kaynak değişiklik notları ayrıca korunur.</t>
        </is>
      </c>
      <c r="N210" s="44" t="inlineStr">
        <is>
          <t>Kayıttan doğrulandı</t>
        </is>
      </c>
      <c r="O210" s="44" t="n"/>
    </row>
    <row r="211" ht="54" customHeight="1">
      <c r="A211" s="44" t="inlineStr">
        <is>
          <t>sevilla:photo:plaza-de-toros-de-la-maestranza-03</t>
        </is>
      </c>
      <c r="B211" s="44" t="inlineStr">
        <is>
          <t>https://www.flickr.com/people/10299779@N03</t>
        </is>
      </c>
      <c r="C211" s="44" t="inlineStr">
        <is>
          <t>https://www.flickr.com/people/10299779@N03</t>
        </is>
      </c>
      <c r="D211" s="44" t="inlineStr">
        <is>
          <t>https://upload.wikimedia.org/wikipedia/commons/7/72/Sevilla_2015_10_18_1524_%2824438025006%29.jpg</t>
        </is>
      </c>
      <c r="E211" s="44" t="inlineStr">
        <is>
          <t>https://thumb.wikimedia.org/wikipedia/commons/thumb/7/72/Sevilla_2015_10_18_1524_%2824438025006%29.jpg/1280px-Sevilla_2015_10_18_1524_%2824438025006%29.jpg</t>
        </is>
      </c>
      <c r="F211" s="53" t="n">
        <v>46320</v>
      </c>
      <c r="G211" s="44" t="inlineStr">
        <is>
          <t>Fotoğraflar/sevilla_plaza-de-toros-de-la-maestranza_03.jpg</t>
        </is>
      </c>
      <c r="H211" s="44" t="inlineStr">
        <is>
          <t>2a5b8b1fa9411d22af8d67b253add083ad93f8fe358b3bffde6b05aa87381bd9</t>
        </is>
      </c>
      <c r="I211" s="44" t="inlineStr">
        <is>
          <t>Teslimler/WebKopyalari/2a5b8b1fa9411d22af8d67b253add083ad93f8fe358b3bffde6b05aa87381bd9.webp</t>
        </is>
      </c>
      <c r="J211" s="44" t="inlineStr">
        <is>
          <t>c34765a2ed39617e8cc4e2fce88803abdefd6d76a98e102e6bc291f87da15c87</t>
        </is>
      </c>
      <c r="K211" s="44" t="n">
        <v>1280</v>
      </c>
      <c r="L211" s="44" t="n">
        <v>854</v>
      </c>
      <c r="M211" s="44" t="inlineStr">
        <is>
          <t>Özgün teslim dosyası korundu. EXIF yönü uygulandı; kırpma yapılmadan en çok 1600 px, WebP kalite 84. Önceki kaynak değişiklik notları ayrıca korunur.</t>
        </is>
      </c>
      <c r="N211" s="44" t="inlineStr">
        <is>
          <t>Kayıttan doğrulandı</t>
        </is>
      </c>
      <c r="O211" s="44" t="n"/>
    </row>
    <row r="212" ht="54" customHeight="1">
      <c r="A212" s="44" t="inlineStr">
        <is>
          <t>sevilla:photo:jardines-de-murillo-03</t>
        </is>
      </c>
      <c r="B212" s="44" t="n"/>
      <c r="C212" s="44" t="inlineStr">
        <is>
          <t>https://commons.wikimedia.org/wiki/File:Banco_en_Jardines_Murillo._Sevilla..JPG</t>
        </is>
      </c>
      <c r="D212" s="44" t="inlineStr">
        <is>
          <t>https://upload.wikimedia.org/wikipedia/commons/f/ff/Banco_en_Jardines_Murillo._Sevilla..JPG</t>
        </is>
      </c>
      <c r="E212" s="44" t="inlineStr">
        <is>
          <t>https://thumb.wikimedia.org/wikipedia/commons/thumb/f/ff/Banco_en_Jardines_Murillo._Sevilla..JPG/1280px-Banco_en_Jardines_Murillo._Sevilla..JPG</t>
        </is>
      </c>
      <c r="F212" s="53" t="n">
        <v>46320</v>
      </c>
      <c r="G212" s="44" t="inlineStr">
        <is>
          <t>Fotoğraflar/sevilla_jardines-de-murillo_03.jpg</t>
        </is>
      </c>
      <c r="H212" s="44" t="inlineStr">
        <is>
          <t>04daff7bf050e2e0c7c0967cf0248b688e8db42f205679f46b60f388bf36ff3e</t>
        </is>
      </c>
      <c r="I212" s="44" t="inlineStr">
        <is>
          <t>Teslimler/WebKopyalari/04daff7bf050e2e0c7c0967cf0248b688e8db42f205679f46b60f388bf36ff3e.webp</t>
        </is>
      </c>
      <c r="J212" s="44" t="inlineStr">
        <is>
          <t>54da6b35d080181d39e329ce9ee5db946fc335059077670c59fb779ce71e88ad</t>
        </is>
      </c>
      <c r="K212" s="44" t="n">
        <v>1280</v>
      </c>
      <c r="L212" s="44" t="n">
        <v>952</v>
      </c>
      <c r="M212" s="44" t="inlineStr">
        <is>
          <t>Özgün teslim dosyası korundu. EXIF yönü uygulandı; kırpma yapılmadan en çok 1600 px, WebP kalite 84. Önceki kaynak değişiklik notları ayrıca korunur.</t>
        </is>
      </c>
      <c r="N212" s="44" t="inlineStr">
        <is>
          <t>Eksik alan var</t>
        </is>
      </c>
      <c r="O212" s="44" t="inlineStr">
        <is>
          <t>Kaynakta ayrı fotoğrafçı profil bağlantısı bulunmadı; fotoğraf kaynak sayfasına atıf korunur. Bağlantı uydurulmaz.</t>
        </is>
      </c>
    </row>
    <row r="213" ht="54" customHeight="1">
      <c r="A213" s="44" t="inlineStr">
        <is>
          <t>sevilla:photo:museo-de-bellas-artes-de-sevilla-03</t>
        </is>
      </c>
      <c r="B213" s="44" t="n"/>
      <c r="C213" s="44" t="inlineStr">
        <is>
          <t>https://commons.wikimedia.org/wiki/File:Patio_del_Aljibe,_Museo_de_Bellas_Artes_de_Sevilla.jpg</t>
        </is>
      </c>
      <c r="D213" s="44" t="inlineStr">
        <is>
          <t>https://upload.wikimedia.org/wikipedia/commons/5/53/Patio_del_Aljibe%2C_Museo_de_Bellas_Artes_de_Sevilla.jpg</t>
        </is>
      </c>
      <c r="E213" s="44" t="inlineStr">
        <is>
          <t>https://thumb.wikimedia.org/wikipedia/commons/thumb/5/53/Patio_del_Aljibe%2C_Museo_de_Bellas_Artes_de_Sevilla.jpg/1280px-Patio_del_Aljibe%2C_Museo_de_Bellas_Artes_de_Sevilla.jpg</t>
        </is>
      </c>
      <c r="F213" s="53" t="n">
        <v>46320</v>
      </c>
      <c r="G213" s="44" t="inlineStr">
        <is>
          <t>Fotoğraflar/sevilla_museo-de-bellas-artes-de-sevilla_03.jpg</t>
        </is>
      </c>
      <c r="H213" s="44" t="inlineStr">
        <is>
          <t>0c114efc77fb01b4f56d201c6765f26da6e8df389e764ea7ba94177abb2cbfad</t>
        </is>
      </c>
      <c r="I213" s="44" t="inlineStr">
        <is>
          <t>Teslimler/WebKopyalari/0c114efc77fb01b4f56d201c6765f26da6e8df389e764ea7ba94177abb2cbfad.webp</t>
        </is>
      </c>
      <c r="J213" s="44" t="inlineStr">
        <is>
          <t>1a199d5e00f6d8a8604300b0b02b008d7513a8d25bccf6bc3f40434dda705679</t>
        </is>
      </c>
      <c r="K213" s="44" t="n">
        <v>1200</v>
      </c>
      <c r="L213" s="44" t="n">
        <v>1600</v>
      </c>
      <c r="M213" s="44" t="inlineStr">
        <is>
          <t>Özgün teslim dosyası korundu. EXIF yönü uygulandı; kırpma yapılmadan en çok 1600 px, WebP kalite 84. Önceki kaynak değişiklik notları ayrıca korunur.</t>
        </is>
      </c>
      <c r="N213" s="44" t="inlineStr">
        <is>
          <t>Eksik alan var</t>
        </is>
      </c>
      <c r="O213" s="44" t="inlineStr">
        <is>
          <t>Kaynakta ayrı fotoğrafçı profil bağlantısı bulunmadı; fotoğraf kaynak sayfasına atıf korunur. Bağlantı uydurulmaz.</t>
        </is>
      </c>
    </row>
    <row r="214" ht="54" customHeight="1">
      <c r="A214" s="44" t="inlineStr">
        <is>
          <t>sevilla:photo:museo-de-artes-y-costumbres-populares-02</t>
        </is>
      </c>
      <c r="B214" s="44" t="inlineStr">
        <is>
          <t>https://commons.wikimedia.org/wiki/User:Alberto-g-rovi</t>
        </is>
      </c>
      <c r="C214" s="44" t="inlineStr">
        <is>
          <t>https://commons.wikimedia.org/wiki/User:Alberto-g-rovi</t>
        </is>
      </c>
      <c r="D214" s="44" t="inlineStr">
        <is>
          <t>https://upload.wikimedia.org/wikipedia/commons/2/27/Museo_de_Artes_y_Costumbres_Populares_de_Sevilla_%282%29.jpg</t>
        </is>
      </c>
      <c r="E214" s="44" t="inlineStr">
        <is>
          <t>https://thumb.wikimedia.org/wikipedia/commons/thumb/2/27/Museo_de_Artes_y_Costumbres_Populares_de_Sevilla_%282%29.jpg/1280px-Museo_de_Artes_y_Costumbres_Populares_de_Sevilla_%282%29.jpg</t>
        </is>
      </c>
      <c r="F214" s="53" t="n">
        <v>46320</v>
      </c>
      <c r="G214" s="44" t="inlineStr">
        <is>
          <t>Fotoğraflar/sevilla_museo-de-artes-y-costumbres-populares_02.jpg</t>
        </is>
      </c>
      <c r="H214" s="44" t="inlineStr">
        <is>
          <t>c30687a3655d27f8d8629c45aea2f08fd794c6bb532d5f9ae3f449d2f862fbdf</t>
        </is>
      </c>
      <c r="I214" s="44" t="inlineStr">
        <is>
          <t>Teslimler/WebKopyalari/c30687a3655d27f8d8629c45aea2f08fd794c6bb532d5f9ae3f449d2f862fbdf.webp</t>
        </is>
      </c>
      <c r="J214" s="44" t="inlineStr">
        <is>
          <t>b767ea8f9976a920b4fe904fc3a66268a7f9e032c9212743ff6d41e0c3299dff</t>
        </is>
      </c>
      <c r="K214" s="44" t="n">
        <v>1093</v>
      </c>
      <c r="L214" s="44" t="n">
        <v>1600</v>
      </c>
      <c r="M214" s="44" t="inlineStr">
        <is>
          <t>Özgün teslim dosyası korundu. EXIF yönü uygulandı; kırpma yapılmadan en çok 1600 px, WebP kalite 84. Önceki kaynak değişiklik notları ayrıca korunur.</t>
        </is>
      </c>
      <c r="N214" s="44" t="inlineStr">
        <is>
          <t>Kayıttan doğrulandı</t>
        </is>
      </c>
      <c r="O214" s="44" t="n"/>
    </row>
    <row r="215" ht="54" customHeight="1">
      <c r="A215" s="44" t="inlineStr">
        <is>
          <t>sevilla:photo:museo-de-artes-y-costumbres-populares-03</t>
        </is>
      </c>
      <c r="B215" s="44" t="inlineStr">
        <is>
          <t>https://meta.wikimedia.org/wiki/User:Emijrp</t>
        </is>
      </c>
      <c r="C215" s="44" t="inlineStr">
        <is>
          <t>https://meta.wikimedia.org/wiki/User:Emijrp</t>
        </is>
      </c>
      <c r="D215" s="44" t="inlineStr">
        <is>
          <t>https://upload.wikimedia.org/wikipedia/commons/d/d2/Museo_de_Artes_y_Costumbres_Populares_de_Sevilla_%289920920043%29.jpg</t>
        </is>
      </c>
      <c r="E215" s="44" t="inlineStr">
        <is>
          <t>https://thumb.wikimedia.org/wikipedia/commons/thumb/d/d2/Museo_de_Artes_y_Costumbres_Populares_de_Sevilla_%289920920043%29.jpg/1280px-Museo_de_Artes_y_Costumbres_Populares_de_Sevilla_%289920920043%29.jpg</t>
        </is>
      </c>
      <c r="F215" s="53" t="n">
        <v>46320</v>
      </c>
      <c r="G215" s="44" t="inlineStr">
        <is>
          <t>Fotoğraflar/sevilla_museo-de-artes-y-costumbres-populares_03.jpg</t>
        </is>
      </c>
      <c r="H215" s="44" t="inlineStr">
        <is>
          <t>08aa2fb4332c127395ce169c74ec0e46759c224f31dd9bacbbe098b342b17057</t>
        </is>
      </c>
      <c r="I215" s="44" t="inlineStr">
        <is>
          <t>Teslimler/WebKopyalari/08aa2fb4332c127395ce169c74ec0e46759c224f31dd9bacbbe098b342b17057.webp</t>
        </is>
      </c>
      <c r="J215" s="44" t="inlineStr">
        <is>
          <t>f80ff5a1bae4bf49315bca9bb426b1c679b9d3f924d984d6be9eb100cc56580d</t>
        </is>
      </c>
      <c r="K215" s="44" t="n">
        <v>1280</v>
      </c>
      <c r="L215" s="44" t="n">
        <v>852</v>
      </c>
      <c r="M215" s="44" t="inlineStr">
        <is>
          <t>Özgün teslim dosyası korundu. EXIF yönü uygulandı; kırpma yapılmadan en çok 1600 px, WebP kalite 84. Önceki kaynak değişiklik notları ayrıca korunur.</t>
        </is>
      </c>
      <c r="N215" s="44" t="inlineStr">
        <is>
          <t>Kayıttan doğrulandı</t>
        </is>
      </c>
      <c r="O215" s="44" t="n"/>
    </row>
    <row r="216" ht="54" customHeight="1">
      <c r="A216" s="44" t="inlineStr">
        <is>
          <t>sevilla:photo:museo-del-baile-flamenco-03</t>
        </is>
      </c>
      <c r="B216" s="44" t="n"/>
      <c r="C216" s="44" t="inlineStr">
        <is>
          <t>https://commons.wikimedia.org/wiki/File:Espect%C3%A1culo_Sue%C3%B1os_Flamencos.jpg</t>
        </is>
      </c>
      <c r="D216" s="44" t="inlineStr">
        <is>
          <t>https://upload.wikimedia.org/wikipedia/commons/6/68/Espect%C3%A1culo_Sue%C3%B1os_Flamencos.jpg</t>
        </is>
      </c>
      <c r="E216" s="44" t="inlineStr">
        <is>
          <t>https://thumb.wikimedia.org/wikipedia/commons/thumb/6/68/Espect%C3%A1culo_Sue%C3%B1os_Flamencos.jpg/1280px-Espect%C3%A1culo_Sue%C3%B1os_Flamencos.jpg</t>
        </is>
      </c>
      <c r="F216" s="53" t="n">
        <v>46320</v>
      </c>
      <c r="G216" s="44" t="inlineStr">
        <is>
          <t>Fotoğraflar/sevilla_museo-del-baile-flamenco_03.jpg</t>
        </is>
      </c>
      <c r="H216" s="44" t="inlineStr">
        <is>
          <t>59a63437a5305732ace224189642602bc13512cfe55ca7f666728a357de955e3</t>
        </is>
      </c>
      <c r="I216" s="44" t="inlineStr">
        <is>
          <t>Teslimler/WebKopyalari/59a63437a5305732ace224189642602bc13512cfe55ca7f666728a357de955e3.webp</t>
        </is>
      </c>
      <c r="J216" s="44" t="inlineStr">
        <is>
          <t>e4f8b557d6a9e5ef2f4fdee844c5d3625e853e43d1c744ced409bda60442714f</t>
        </is>
      </c>
      <c r="K216" s="44" t="n">
        <v>1280</v>
      </c>
      <c r="L216" s="44" t="n">
        <v>936</v>
      </c>
      <c r="M216" s="44" t="inlineStr">
        <is>
          <t>Özgün teslim dosyası korundu. EXIF yönü uygulandı; kırpma yapılmadan en çok 1600 px, WebP kalite 84. Önceki kaynak değişiklik notları ayrıca korunur.</t>
        </is>
      </c>
      <c r="N216" s="44" t="inlineStr">
        <is>
          <t>Eksik alan var</t>
        </is>
      </c>
      <c r="O216" s="44" t="inlineStr">
        <is>
          <t>Kaynakta ayrı fotoğrafçı profil bağlantısı bulunmadı; fotoğraf kaynak sayfasına atıf korunur. Bağlantı uydurulmaz.</t>
        </is>
      </c>
    </row>
    <row r="217" ht="54" customHeight="1">
      <c r="A217" s="44" t="inlineStr">
        <is>
          <t>sevilla:photo:museo-taurino-real-maestranza-02</t>
        </is>
      </c>
      <c r="B217" s="44" t="inlineStr">
        <is>
          <t>https://commons.wikimedia.org/wiki/User:CarlosVdeHabsburgo</t>
        </is>
      </c>
      <c r="C217" s="44" t="inlineStr">
        <is>
          <t>https://commons.wikimedia.org/wiki/User:CarlosVdeHabsburgo</t>
        </is>
      </c>
      <c r="D217" s="44" t="inlineStr">
        <is>
          <t>https://upload.wikimedia.org/wikipedia/commons/4/41/Escudo_%28Museo_Taurino%29.jpg</t>
        </is>
      </c>
      <c r="E217" s="44" t="inlineStr">
        <is>
          <t>https://thumb.wikimedia.org/wikipedia/commons/thumb/4/41/Escudo_%28Museo_Taurino%29.jpg/1280px-Escudo_%28Museo_Taurino%29.jpg</t>
        </is>
      </c>
      <c r="F217" s="53" t="n">
        <v>46320</v>
      </c>
      <c r="G217" s="44" t="inlineStr">
        <is>
          <t>Fotoğraflar/sevilla_museo-taurino-real-maestranza_02.jpg</t>
        </is>
      </c>
      <c r="H217" s="44" t="inlineStr">
        <is>
          <t>735ba3a49362fd396b282adb8f3360fe702af8bdb27d6aa086ae74bf57fd3cb5</t>
        </is>
      </c>
      <c r="I217" s="44" t="inlineStr">
        <is>
          <t>Teslimler/WebKopyalari/735ba3a49362fd396b282adb8f3360fe702af8bdb27d6aa086ae74bf57fd3cb5.webp</t>
        </is>
      </c>
      <c r="J217" s="44" t="inlineStr">
        <is>
          <t>ada8b2a26ed1d110c2540a28e19f91c2b26892f7db80c203002c9d24c09daadf</t>
        </is>
      </c>
      <c r="K217" s="44" t="n">
        <v>1280</v>
      </c>
      <c r="L217" s="44" t="n">
        <v>960</v>
      </c>
      <c r="M217" s="44" t="inlineStr">
        <is>
          <t>Özgün teslim dosyası korundu. EXIF yönü uygulandı; kırpma yapılmadan en çok 1600 px, WebP kalite 84. Önceki kaynak değişiklik notları ayrıca korunur.</t>
        </is>
      </c>
      <c r="N217" s="44" t="inlineStr">
        <is>
          <t>Kayıttan doğrulandı</t>
        </is>
      </c>
      <c r="O217" s="44" t="n"/>
    </row>
    <row r="218" ht="54" customHeight="1">
      <c r="A218" s="44" t="inlineStr">
        <is>
          <t>sevilla:photo:museo-maritimo-torre-del-oro-03</t>
        </is>
      </c>
      <c r="B218" s="44" t="n"/>
      <c r="C218" s="44" t="inlineStr">
        <is>
          <t>https://commons.wikimedia.org/wiki/File:Sevilla_Torre_del_oro.JPG</t>
        </is>
      </c>
      <c r="D218" s="44" t="inlineStr">
        <is>
          <t>https://upload.wikimedia.org/wikipedia/commons/9/95/Sevilla_Torre_del_oro.JPG</t>
        </is>
      </c>
      <c r="E218" s="44" t="inlineStr">
        <is>
          <t>https://thumb.wikimedia.org/wikipedia/commons/thumb/9/95/Sevilla_Torre_del_oro.JPG/1280px-Sevilla_Torre_del_oro.JPG</t>
        </is>
      </c>
      <c r="F218" s="53" t="n">
        <v>46320</v>
      </c>
      <c r="G218" s="44" t="inlineStr">
        <is>
          <t>Fotoğraflar/sevilla_museo-maritimo-torre-del-oro_03.jpg</t>
        </is>
      </c>
      <c r="H218" s="44" t="inlineStr">
        <is>
          <t>f9c5f6ada5fc41e846363baeaa283ff4fb1f198a7a2b3cb8fb474661ec8a64ff</t>
        </is>
      </c>
      <c r="I218" s="44" t="inlineStr">
        <is>
          <t>Teslimler/WebKopyalari/f9c5f6ada5fc41e846363baeaa283ff4fb1f198a7a2b3cb8fb474661ec8a64ff.webp</t>
        </is>
      </c>
      <c r="J218" s="44" t="inlineStr">
        <is>
          <t>1166afcf2cb715be12508030add82b4aca16d5b7efbffea730945a148cb8ef51</t>
        </is>
      </c>
      <c r="K218" s="44" t="n">
        <v>1200</v>
      </c>
      <c r="L218" s="44" t="n">
        <v>1600</v>
      </c>
      <c r="M218" s="44" t="inlineStr">
        <is>
          <t>Özgün teslim dosyası korundu. EXIF yönü uygulandı; kırpma yapılmadan en çok 1600 px, WebP kalite 84. Önceki kaynak değişiklik notları ayrıca korunur.</t>
        </is>
      </c>
      <c r="N218" s="44" t="inlineStr">
        <is>
          <t>Eksik alan var</t>
        </is>
      </c>
      <c r="O218" s="44" t="inlineStr">
        <is>
          <t>Kaynakta ayrı fotoğrafçı profil bağlantısı bulunmadı; fotoğraf kaynak sayfasına atıf korunur. Bağlantı uydurulmaz.</t>
        </is>
      </c>
    </row>
    <row r="219" ht="54" customHeight="1">
      <c r="A219" s="44" t="inlineStr">
        <is>
          <t>sevilla:photo:caac-centro-andaluz-arte-contemporaneo-03</t>
        </is>
      </c>
      <c r="B219" s="44" t="inlineStr">
        <is>
          <t>https://commons.wikimedia.org/wiki/User:Zarateman</t>
        </is>
      </c>
      <c r="C219" s="44" t="inlineStr">
        <is>
          <t>https://commons.wikimedia.org/wiki/User:Zarateman</t>
        </is>
      </c>
      <c r="D219" s="44" t="inlineStr">
        <is>
          <t>https://upload.wikimedia.org/wikipedia/commons/a/a5/Sevilla_-_Centro_Andaluz_de_Arte_Contempor%C3%A1neo_%28Cartuja_de_Santa_Mar%C3%ADa_de_las_Cuevas%29_05.jpg</t>
        </is>
      </c>
      <c r="E219" s="44" t="inlineStr">
        <is>
          <t>https://thumb.wikimedia.org/wikipedia/commons/thumb/a/a5/Sevilla_-_Centro_Andaluz_de_Arte_Contempor%C3%A1neo_%28Cartuja_de_Santa_Mar%C3%ADa_de_las_Cuevas%29_05.jpg/1280px-Sevilla_-_Centro_Andaluz_de_Arte_Contempor%C3%A1neo_%28Cartuja_de_Santa_Mar%C3%ADa_de_las_Cuevas%29_05.jpg</t>
        </is>
      </c>
      <c r="F219" s="53" t="n">
        <v>46320</v>
      </c>
      <c r="G219" s="44" t="inlineStr">
        <is>
          <t>Fotoğraflar/sevilla_caac-centro-andaluz-arte-contemporaneo_03.jpg</t>
        </is>
      </c>
      <c r="H219" s="44" t="inlineStr">
        <is>
          <t>8a57cdd85c07fd277cf32b047d3d29183d853e100308795a51dfd993be67d96e</t>
        </is>
      </c>
      <c r="I219" s="44" t="inlineStr">
        <is>
          <t>Teslimler/WebKopyalari/8a57cdd85c07fd277cf32b047d3d29183d853e100308795a51dfd993be67d96e.webp</t>
        </is>
      </c>
      <c r="J219" s="44" t="inlineStr">
        <is>
          <t>7cff9a150a2b2be886ed16c477e04fff499842220e461091d57e1748b93efadd</t>
        </is>
      </c>
      <c r="K219" s="44" t="n">
        <v>1200</v>
      </c>
      <c r="L219" s="44" t="n">
        <v>1600</v>
      </c>
      <c r="M219" s="44" t="inlineStr">
        <is>
          <t>Özgün teslim dosyası korundu. EXIF yönü uygulandı; kırpma yapılmadan en çok 1600 px, WebP kalite 84. Önceki kaynak değişiklik notları ayrıca korunur.</t>
        </is>
      </c>
      <c r="N219" s="44" t="inlineStr">
        <is>
          <t>Kayıttan doğrulandı</t>
        </is>
      </c>
      <c r="O219" s="44" t="n"/>
    </row>
    <row r="220" ht="54" customHeight="1">
      <c r="A220" s="44" t="inlineStr">
        <is>
          <t>sevilla:photo:real-academia-bellas-artes-sevilla-02</t>
        </is>
      </c>
      <c r="B220" s="44" t="n"/>
      <c r="C220" s="44" t="inlineStr">
        <is>
          <t>https://commons.wikimedia.org/wiki/File:Renacimiento_en_Sevilla,_Casa_de_los_Pinelo.jpg</t>
        </is>
      </c>
      <c r="D220" s="44" t="inlineStr">
        <is>
          <t>https://upload.wikimedia.org/wikipedia/commons/f/f3/Renacimiento_en_Sevilla%2C_Casa_de_los_Pinelo.jpg</t>
        </is>
      </c>
      <c r="E220" s="44" t="inlineStr">
        <is>
          <t>https://thumb.wikimedia.org/wikipedia/commons/thumb/f/f3/Renacimiento_en_Sevilla%2C_Casa_de_los_Pinelo.jpg/1280px-Renacimiento_en_Sevilla%2C_Casa_de_los_Pinelo.jpg</t>
        </is>
      </c>
      <c r="F220" s="53" t="n">
        <v>46320</v>
      </c>
      <c r="G220" s="44" t="inlineStr">
        <is>
          <t>Fotoğraflar/sevilla_real-academia-bellas-artes-sevilla_02.jpg</t>
        </is>
      </c>
      <c r="H220" s="44" t="inlineStr">
        <is>
          <t>970b978e843e21e486346177a99f2a5d8dbde9707fec20d364236d58f14d2515</t>
        </is>
      </c>
      <c r="I220" s="44" t="inlineStr">
        <is>
          <t>Teslimler/WebKopyalari/970b978e843e21e486346177a99f2a5d8dbde9707fec20d364236d58f14d2515.webp</t>
        </is>
      </c>
      <c r="J220" s="44" t="inlineStr">
        <is>
          <t>77250784f71d643eed67fd942c1fdaa9091b88e95601e66470c90827c10c98de</t>
        </is>
      </c>
      <c r="K220" s="44" t="n">
        <v>1280</v>
      </c>
      <c r="L220" s="44" t="n">
        <v>720</v>
      </c>
      <c r="M220" s="44" t="inlineStr">
        <is>
          <t>Özgün teslim dosyası korundu. EXIF yönü uygulandı; kırpma yapılmadan en çok 1600 px, WebP kalite 84. Önceki kaynak değişiklik notları ayrıca korunur.</t>
        </is>
      </c>
      <c r="N220" s="44" t="inlineStr">
        <is>
          <t>Eksik alan var</t>
        </is>
      </c>
      <c r="O220" s="44" t="inlineStr">
        <is>
          <t>Kaynakta ayrı fotoğrafçı profil bağlantısı bulunmadı; fotoğraf kaynak sayfasına atıf korunur. Bağlantı uydurulmaz.</t>
        </is>
      </c>
    </row>
    <row r="221" ht="54" customHeight="1">
      <c r="A221" s="44" t="inlineStr">
        <is>
          <t>sevilla:photo:real-academia-bellas-artes-sevilla-03</t>
        </is>
      </c>
      <c r="B221" s="44" t="inlineStr">
        <is>
          <t>https://commons.wikimedia.org/wiki/User:Jl_FilpoC</t>
        </is>
      </c>
      <c r="C221" s="44" t="inlineStr">
        <is>
          <t>https://commons.wikimedia.org/wiki/User:Jl_FilpoC</t>
        </is>
      </c>
      <c r="D221" s="44" t="inlineStr">
        <is>
          <t>https://upload.wikimedia.org/wikipedia/commons/8/8e/Sala_de_Juntas_de_la_Real_Academia_de_Bellas_Artes_de_Santa_Isabel_de_Hungr%C3%ADa%2C_Sevilla.jpg</t>
        </is>
      </c>
      <c r="E221" s="44" t="inlineStr">
        <is>
          <t>https://thumb.wikimedia.org/wikipedia/commons/thumb/8/8e/Sala_de_Juntas_de_la_Real_Academia_de_Bellas_Artes_de_Santa_Isabel_de_Hungr%C3%ADa%2C_Sevilla.jpg/1280px-Sala_de_Juntas_de_la_Real_Academia_de_Bellas_Artes_de_Santa_Isabel_de_Hungr%C3%ADa%2C_Sevilla.jpg</t>
        </is>
      </c>
      <c r="F221" s="53" t="n">
        <v>46320</v>
      </c>
      <c r="G221" s="44" t="inlineStr">
        <is>
          <t>Fotoğraflar/sevilla_real-academia-bellas-artes-sevilla_03.jpg</t>
        </is>
      </c>
      <c r="H221" s="44" t="inlineStr">
        <is>
          <t>cbb6ee11464ab525974681f7b9c7182b4d30502e45053ec649899ceee3d1c69d</t>
        </is>
      </c>
      <c r="I221" s="44" t="inlineStr">
        <is>
          <t>Teslimler/WebKopyalari/cbb6ee11464ab525974681f7b9c7182b4d30502e45053ec649899ceee3d1c69d.webp</t>
        </is>
      </c>
      <c r="J221" s="44" t="inlineStr">
        <is>
          <t>e97ad8c63e4764eccd7342da419df3f4492d9ceeb8b19db6001f0c00e6dfd752</t>
        </is>
      </c>
      <c r="K221" s="44" t="n">
        <v>1280</v>
      </c>
      <c r="L221" s="44" t="n">
        <v>961</v>
      </c>
      <c r="M221" s="44" t="inlineStr">
        <is>
          <t>Özgün teslim dosyası korundu. EXIF yönü uygulandı; kırpma yapılmadan en çok 1600 px, WebP kalite 84. Önceki kaynak değişiklik notları ayrıca korunur.</t>
        </is>
      </c>
      <c r="N221" s="44" t="inlineStr">
        <is>
          <t>Kayıttan doğrulandı</t>
        </is>
      </c>
      <c r="O221" s="44" t="n"/>
    </row>
    <row r="222" ht="54" customHeight="1">
      <c r="A222" s="44" t="inlineStr">
        <is>
          <t>sevilla:photo:teatro-de-la-maestranza-03</t>
        </is>
      </c>
      <c r="B222" s="44" t="inlineStr">
        <is>
          <t>https://www.flickr.com/people/10299779@N03</t>
        </is>
      </c>
      <c r="C222" s="44" t="inlineStr">
        <is>
          <t>https://www.flickr.com/people/10299779@N03</t>
        </is>
      </c>
      <c r="D222" s="44" t="inlineStr">
        <is>
          <t>https://upload.wikimedia.org/wikipedia/commons/8/8b/Sevilla_2015_10_18_1519_%2824096439679%29.jpg</t>
        </is>
      </c>
      <c r="E222" s="44" t="inlineStr">
        <is>
          <t>https://thumb.wikimedia.org/wikipedia/commons/thumb/8/8b/Sevilla_2015_10_18_1519_%2824096439679%29.jpg/1280px-Sevilla_2015_10_18_1519_%2824096439679%29.jpg</t>
        </is>
      </c>
      <c r="F222" s="53" t="n">
        <v>46320</v>
      </c>
      <c r="G222" s="44" t="inlineStr">
        <is>
          <t>Fotoğraflar/sevilla_teatro-de-la-maestranza_03.jpg</t>
        </is>
      </c>
      <c r="H222" s="44" t="inlineStr">
        <is>
          <t>2c49fd0f5bf78f3d2ec228b212de18079f0b74b3cca31ae07a28cbb9629a8bcb</t>
        </is>
      </c>
      <c r="I222" s="44" t="inlineStr">
        <is>
          <t>Teslimler/WebKopyalari/2c49fd0f5bf78f3d2ec228b212de18079f0b74b3cca31ae07a28cbb9629a8bcb.webp</t>
        </is>
      </c>
      <c r="J222" s="44" t="inlineStr">
        <is>
          <t>26360fa1bb69fd24598edbdc7e49983be4a2b17d7e04674e97aaf1afa6898ac6</t>
        </is>
      </c>
      <c r="K222" s="44" t="n">
        <v>1280</v>
      </c>
      <c r="L222" s="44" t="n">
        <v>854</v>
      </c>
      <c r="M222" s="44" t="inlineStr">
        <is>
          <t>Özgün teslim dosyası korundu. EXIF yönü uygulandı; kırpma yapılmadan en çok 1600 px, WebP kalite 84. Önceki kaynak değişiklik notları ayrıca korunur.</t>
        </is>
      </c>
      <c r="N222" s="44" t="inlineStr">
        <is>
          <t>Kayıttan doğrulandı</t>
        </is>
      </c>
      <c r="O222" s="44" t="n"/>
    </row>
    <row r="223" ht="54" customHeight="1">
      <c r="A223" s="44" t="inlineStr">
        <is>
          <t>sevilla:photo:el-patio-sevillano-03</t>
        </is>
      </c>
      <c r="B223" s="44" t="inlineStr">
        <is>
          <t>https://commons.wikimedia.org/wiki/User:Holger_Uwe_Schmitt</t>
        </is>
      </c>
      <c r="C223" s="44" t="inlineStr">
        <is>
          <t>https://commons.wikimedia.org/wiki/User:Holger_Uwe_Schmitt</t>
        </is>
      </c>
      <c r="D223" s="44" t="inlineStr">
        <is>
          <t>https://upload.wikimedia.org/wikipedia/commons/8/80/%22Flamenco_authentisch_und_beeindruckend%22._05.jpg</t>
        </is>
      </c>
      <c r="E223" s="44" t="inlineStr">
        <is>
          <t>https://thumb.wikimedia.org/wikipedia/commons/thumb/8/80/%22Flamenco_authentisch_und_beeindruckend%22._05.jpg/1280px-%22Flamenco_authentisch_und_beeindruckend%22._05.jpg</t>
        </is>
      </c>
      <c r="F223" s="53" t="n">
        <v>46320</v>
      </c>
      <c r="G223" s="44" t="inlineStr">
        <is>
          <t>Fotoğraflar/sevilla_el-patio-sevillano_03.jpg</t>
        </is>
      </c>
      <c r="H223" s="44" t="inlineStr">
        <is>
          <t>36a9ff6a13c417aeab0ed3db5e4c956752edac67e4c78b31e1386b75f7fc80c6</t>
        </is>
      </c>
      <c r="I223" s="44" t="inlineStr">
        <is>
          <t>Teslimler/WebKopyalari/36a9ff6a13c417aeab0ed3db5e4c956752edac67e4c78b31e1386b75f7fc80c6.webp</t>
        </is>
      </c>
      <c r="J223" s="44" t="inlineStr">
        <is>
          <t>72ccebfaa5c34b52c898ee4179e19487d45b116503e63ab83478a9a2478f43ed</t>
        </is>
      </c>
      <c r="K223" s="44" t="n">
        <v>1039</v>
      </c>
      <c r="L223" s="44" t="n">
        <v>1600</v>
      </c>
      <c r="M223" s="44" t="inlineStr">
        <is>
          <t>Özgün teslim dosyası korundu. EXIF yönü uygulandı; kırpma yapılmadan en çok 1600 px, WebP kalite 84. Önceki kaynak değişiklik notları ayrıca korunur.</t>
        </is>
      </c>
      <c r="N223" s="44" t="inlineStr">
        <is>
          <t>Kayıttan doğrulandı</t>
        </is>
      </c>
      <c r="O223" s="44" t="n"/>
    </row>
    <row r="224" ht="54" customHeight="1">
      <c r="A224" s="44" t="inlineStr">
        <is>
          <t>sevilla:photo:cartuja-center-cite-03</t>
        </is>
      </c>
      <c r="B224" s="44" t="inlineStr">
        <is>
          <t>https://commons.wikimedia.org/wiki/User:Zarateman</t>
        </is>
      </c>
      <c r="C224" s="44" t="inlineStr">
        <is>
          <t>https://commons.wikimedia.org/wiki/User:Zarateman</t>
        </is>
      </c>
      <c r="D224" s="44" t="inlineStr">
        <is>
          <t>https://upload.wikimedia.org/wikipedia/commons/d/de/Sevilla_-_PCT_Cartuja%2C_Cartuja_Center_CITE.jpg</t>
        </is>
      </c>
      <c r="E224" s="44" t="inlineStr">
        <is>
          <t>https://thumb.wikimedia.org/wikipedia/commons/thumb/d/de/Sevilla_-_PCT_Cartuja%2C_Cartuja_Center_CITE.jpg/1280px-Sevilla_-_PCT_Cartuja%2C_Cartuja_Center_CITE.jpg</t>
        </is>
      </c>
      <c r="F224" s="53" t="n">
        <v>46320</v>
      </c>
      <c r="G224" s="44" t="inlineStr">
        <is>
          <t>Fotoğraflar/sevilla_cartuja-center-cite_03.jpg</t>
        </is>
      </c>
      <c r="H224" s="44" t="inlineStr">
        <is>
          <t>b9065b64f280aa9321e401803947af1f549a65776a2fed1d5d5c0794d7450c42</t>
        </is>
      </c>
      <c r="I224" s="44" t="inlineStr">
        <is>
          <t>Teslimler/WebKopyalari/b9065b64f280aa9321e401803947af1f549a65776a2fed1d5d5c0794d7450c42.webp</t>
        </is>
      </c>
      <c r="J224" s="44" t="inlineStr">
        <is>
          <t>ff780dba20763983b2be88ce7b4262a2d713c24af0b4ccf9f6843af16f611f20</t>
        </is>
      </c>
      <c r="K224" s="44" t="n">
        <v>1280</v>
      </c>
      <c r="L224" s="44" t="n">
        <v>937</v>
      </c>
      <c r="M224" s="44" t="inlineStr">
        <is>
          <t>Özgün teslim dosyası korundu. EXIF yönü uygulandı; kırpma yapılmadan en çok 1600 px, WebP kalite 84. Önceki kaynak değişiklik notları ayrıca korunur.</t>
        </is>
      </c>
      <c r="N224" s="44" t="inlineStr">
        <is>
          <t>Kayıttan doğrulandı</t>
        </is>
      </c>
      <c r="O224" s="44" t="n"/>
    </row>
    <row r="225" ht="54" customHeight="1">
      <c r="A225" s="44" t="inlineStr">
        <is>
          <t>sevilla:photo:auditorio-cartuja-sevilla-02</t>
        </is>
      </c>
      <c r="B225" s="44" t="n"/>
      <c r="C225" s="44" t="inlineStr">
        <is>
          <t>https://commons.wikimedia.org/wiki/File:Auditorio_Nissan_Cartuja.jpg</t>
        </is>
      </c>
      <c r="D225" s="44" t="inlineStr">
        <is>
          <t>https://upload.wikimedia.org/wikipedia/commons/c/ca/Auditorio_Nissan_Cartuja.jpg</t>
        </is>
      </c>
      <c r="E225" s="44" t="inlineStr">
        <is>
          <t>https://thumb.wikimedia.org/wikipedia/commons/thumb/c/ca/Auditorio_Nissan_Cartuja.jpg/1280px-Auditorio_Nissan_Cartuja.jpg</t>
        </is>
      </c>
      <c r="F225" s="53" t="n">
        <v>46320</v>
      </c>
      <c r="G225" s="44" t="inlineStr">
        <is>
          <t>Fotoğraflar/sevilla_auditorio-cartuja-sevilla_02.jpg</t>
        </is>
      </c>
      <c r="H225" s="44" t="inlineStr">
        <is>
          <t>30b1db589b012a5f175cfc4149b21af6c135566b647f2101022c3f3710c26114</t>
        </is>
      </c>
      <c r="I225" s="44" t="inlineStr">
        <is>
          <t>Teslimler/WebKopyalari/30b1db589b012a5f175cfc4149b21af6c135566b647f2101022c3f3710c26114.webp</t>
        </is>
      </c>
      <c r="J225" s="44" t="inlineStr">
        <is>
          <t>4498eba594d7b9a2ed211bd3356e95abad4642b500ed7e4c34aaf1ff05fc9454</t>
        </is>
      </c>
      <c r="K225" s="44" t="n">
        <v>1280</v>
      </c>
      <c r="L225" s="44" t="n">
        <v>835</v>
      </c>
      <c r="M225" s="44" t="inlineStr">
        <is>
          <t>Özgün teslim dosyası korundu. EXIF yönü uygulandı; kırpma yapılmadan en çok 1600 px, WebP kalite 84. Önceki kaynak değişiklik notları ayrıca korunur.</t>
        </is>
      </c>
      <c r="N225" s="44" t="inlineStr">
        <is>
          <t>Eksik alan var</t>
        </is>
      </c>
      <c r="O225" s="44" t="inlineStr">
        <is>
          <t>Kaynakta ayrı fotoğrafçı profil bağlantısı bulunmadı; fotoğraf kaynak sayfasına atıf korunur. Bağlantı uydurulmaz.</t>
        </is>
      </c>
    </row>
    <row r="226" ht="54" customHeight="1">
      <c r="A226" s="44" t="inlineStr">
        <is>
          <t>sevilla:photo:auditorio-cartuja-sevilla-03</t>
        </is>
      </c>
      <c r="B226" s="44" t="n"/>
      <c r="C226" s="44" t="inlineStr">
        <is>
          <t>https://commons.wikimedia.org/wiki/File:Butacas_Interior_Auditorio.jpg</t>
        </is>
      </c>
      <c r="D226" s="44" t="inlineStr">
        <is>
          <t>https://upload.wikimedia.org/wikipedia/commons/1/14/Butacas_Interior_Auditorio.jpg</t>
        </is>
      </c>
      <c r="E226" s="44" t="inlineStr">
        <is>
          <t>https://thumb.wikimedia.org/wikipedia/commons/thumb/1/14/Butacas_Interior_Auditorio.jpg/1280px-Butacas_Interior_Auditorio.jpg</t>
        </is>
      </c>
      <c r="F226" s="53" t="n">
        <v>46320</v>
      </c>
      <c r="G226" s="44" t="inlineStr">
        <is>
          <t>Fotoğraflar/sevilla_auditorio-cartuja-sevilla_03.jpg</t>
        </is>
      </c>
      <c r="H226" s="44" t="inlineStr">
        <is>
          <t>c89dce45d03c2f939ca569e52d6db347fad2df30c4201e9d6aff943034aba87f</t>
        </is>
      </c>
      <c r="I226" s="44" t="inlineStr">
        <is>
          <t>Teslimler/WebKopyalari/c89dce45d03c2f939ca569e52d6db347fad2df30c4201e9d6aff943034aba87f.webp</t>
        </is>
      </c>
      <c r="J226" s="44" t="inlineStr">
        <is>
          <t>ddebc3c491302c8c23a416606d6cbb80b73bcb261f879339ce356dd8f67a27e5</t>
        </is>
      </c>
      <c r="K226" s="44" t="n">
        <v>1200</v>
      </c>
      <c r="L226" s="44" t="n">
        <v>1600</v>
      </c>
      <c r="M226" s="44" t="inlineStr">
        <is>
          <t>Özgün teslim dosyası korundu. EXIF yönü uygulandı; kırpma yapılmadan en çok 1600 px, WebP kalite 84. Önceki kaynak değişiklik notları ayrıca korunur.</t>
        </is>
      </c>
      <c r="N226" s="44" t="inlineStr">
        <is>
          <t>Eksik alan var</t>
        </is>
      </c>
      <c r="O226" s="44" t="inlineStr">
        <is>
          <t>Kaynakta ayrı fotoğrafçı profil bağlantısı bulunmadı; fotoğraf kaynak sayfasına atıf korunur. Bağlantı uydurulmaz.</t>
        </is>
      </c>
    </row>
    <row r="227" ht="54" customHeight="1">
      <c r="A227" s="44" t="inlineStr">
        <is>
          <t>sevilla:photo:mercado-de-triana-03</t>
        </is>
      </c>
      <c r="B227" s="44" t="inlineStr">
        <is>
          <t>https://commons.wikimedia.org/wiki/User:Alberto-g-rovi</t>
        </is>
      </c>
      <c r="C227" s="44" t="inlineStr">
        <is>
          <t>https://commons.wikimedia.org/wiki/User:Alberto-g-rovi</t>
        </is>
      </c>
      <c r="D227" s="44" t="inlineStr">
        <is>
          <t>https://upload.wikimedia.org/wikipedia/commons/2/20/Mercado_de_Triana_%281%29.jpg</t>
        </is>
      </c>
      <c r="E227" s="44" t="inlineStr">
        <is>
          <t>https://thumb.wikimedia.org/wikipedia/commons/thumb/2/20/Mercado_de_Triana_%281%29.jpg/1280px-Mercado_de_Triana_%281%29.jpg</t>
        </is>
      </c>
      <c r="F227" s="53" t="n">
        <v>46320</v>
      </c>
      <c r="G227" s="44" t="inlineStr">
        <is>
          <t>Fotoğraflar/sevilla_mercado-de-triana_03.jpg</t>
        </is>
      </c>
      <c r="H227" s="44" t="inlineStr">
        <is>
          <t>6fe4e4aea80bde9fbd84769dc28e9eb20b50f19d9f211d918497850eba3b4f68</t>
        </is>
      </c>
      <c r="I227" s="44" t="inlineStr">
        <is>
          <t>Teslimler/WebKopyalari/6fe4e4aea80bde9fbd84769dc28e9eb20b50f19d9f211d918497850eba3b4f68.webp</t>
        </is>
      </c>
      <c r="J227" s="44" t="inlineStr">
        <is>
          <t>8b85b0079f3ae5cad7f3181f05408e873f7406cc78fc7ae0352381c4f7aaab15</t>
        </is>
      </c>
      <c r="K227" s="44" t="n">
        <v>1280</v>
      </c>
      <c r="L227" s="44" t="n">
        <v>854</v>
      </c>
      <c r="M227" s="44" t="inlineStr">
        <is>
          <t>Özgün teslim dosyası korundu. EXIF yönü uygulandı; kırpma yapılmadan en çok 1600 px, WebP kalite 84. Önceki kaynak değişiklik notları ayrıca korunur.</t>
        </is>
      </c>
      <c r="N227" s="44" t="inlineStr">
        <is>
          <t>Kayıttan doğrulandı</t>
        </is>
      </c>
      <c r="O227" s="44" t="n"/>
    </row>
    <row r="228" ht="54" customHeight="1">
      <c r="A228" s="44" t="inlineStr">
        <is>
          <t>sevilla:photo:casa-de-pilatos-03</t>
        </is>
      </c>
      <c r="B228" s="44" t="n"/>
      <c r="C228" s="44" t="inlineStr">
        <is>
          <t>https://commons.wikimedia.org/wiki/File:Casa_de_Pilatos,_Sevilla_SP(3).jpg</t>
        </is>
      </c>
      <c r="D228" s="44" t="inlineStr">
        <is>
          <t>https://upload.wikimedia.org/wikipedia/commons/2/2a/Casa_de_Pilatos%2C_Sevilla_SP%283%29.jpg</t>
        </is>
      </c>
      <c r="E228" s="44" t="inlineStr">
        <is>
          <t>https://thumb.wikimedia.org/wikipedia/commons/thumb/2/2a/Casa_de_Pilatos%2C_Sevilla_SP%283%29.jpg/1280px-Casa_de_Pilatos%2C_Sevilla_SP%283%29.jpg</t>
        </is>
      </c>
      <c r="F228" s="53" t="n">
        <v>46320</v>
      </c>
      <c r="G228" s="44" t="inlineStr">
        <is>
          <t>Fotoğraflar/sevilla_casa-de-pilatos_03.jpg</t>
        </is>
      </c>
      <c r="H228" s="44" t="inlineStr">
        <is>
          <t>3788a0500b002d2ee7a006ba2e47057ea702038e398e1135c38d4bd4eddfcafe</t>
        </is>
      </c>
      <c r="I228" s="44" t="inlineStr">
        <is>
          <t>Teslimler/WebKopyalari/3788a0500b002d2ee7a006ba2e47057ea702038e398e1135c38d4bd4eddfcafe.webp</t>
        </is>
      </c>
      <c r="J228" s="44" t="inlineStr">
        <is>
          <t>f4b8f6250b6353db8c02a0e31e9bee01f9c48c1ecb3af63ec2e98cb434a4b532</t>
        </is>
      </c>
      <c r="K228" s="44" t="n">
        <v>1280</v>
      </c>
      <c r="L228" s="44" t="n">
        <v>851</v>
      </c>
      <c r="M228" s="44" t="inlineStr">
        <is>
          <t>Özgün teslim dosyası korundu. EXIF yönü uygulandı; kırpma yapılmadan en çok 1600 px, WebP kalite 84. Önceki kaynak değişiklik notları ayrıca korunur.</t>
        </is>
      </c>
      <c r="N228" s="44" t="inlineStr">
        <is>
          <t>Eksik alan var</t>
        </is>
      </c>
      <c r="O228" s="44" t="inlineStr">
        <is>
          <t>Kaynakta ayrı fotoğrafçı profil bağlantısı bulunmadı; fotoğraf kaynak sayfasına atıf korunur. Bağlantı uydurulmaz.</t>
        </is>
      </c>
    </row>
    <row r="229" ht="54" customHeight="1">
      <c r="A229" s="44" t="inlineStr">
        <is>
          <t>sevilla:photo:real-fabrica-de-artilleria-02</t>
        </is>
      </c>
      <c r="B229" s="44" t="inlineStr">
        <is>
          <t>https://commons.wikimedia.org/wiki/User:CarlosVdeHabsburgo</t>
        </is>
      </c>
      <c r="C229" s="44" t="inlineStr">
        <is>
          <t>https://commons.wikimedia.org/wiki/User:CarlosVdeHabsburgo</t>
        </is>
      </c>
      <c r="D229" s="44" t="inlineStr">
        <is>
          <t>https://upload.wikimedia.org/wikipedia/commons/6/69/Portada_de_la_Real_F%C3%A1brica_de_Artiller%C3%ADa_de_Sevilla.JPG</t>
        </is>
      </c>
      <c r="E229" s="44" t="inlineStr">
        <is>
          <t>https://thumb.wikimedia.org/wikipedia/commons/thumb/6/69/Portada_de_la_Real_F%C3%A1brica_de_Artiller%C3%ADa_de_Sevilla.JPG/1280px-Portada_de_la_Real_F%C3%A1brica_de_Artiller%C3%ADa_de_Sevilla.JPG</t>
        </is>
      </c>
      <c r="F229" s="53" t="n">
        <v>46320</v>
      </c>
      <c r="G229" s="44" t="inlineStr">
        <is>
          <t>Fotoğraflar/sevilla_real-fabrica-de-artilleria_02.jpg</t>
        </is>
      </c>
      <c r="H229" s="44" t="inlineStr">
        <is>
          <t>1afe7d7a10082b959d8ff0eed0fd6dd07c91e69598d3202a5d92e66ab774b3cc</t>
        </is>
      </c>
      <c r="I229" s="44" t="inlineStr">
        <is>
          <t>Teslimler/WebKopyalari/1afe7d7a10082b959d8ff0eed0fd6dd07c91e69598d3202a5d92e66ab774b3cc.webp</t>
        </is>
      </c>
      <c r="J229" s="44" t="inlineStr">
        <is>
          <t>f960b0668e19ef222314acf76f0736703a99f119f80cb64fe45018bf702fc4fc</t>
        </is>
      </c>
      <c r="K229" s="44" t="n">
        <v>1200</v>
      </c>
      <c r="L229" s="44" t="n">
        <v>1600</v>
      </c>
      <c r="M229" s="44" t="inlineStr">
        <is>
          <t>Özgün teslim dosyası korundu. EXIF yönü uygulandı; kırpma yapılmadan en çok 1600 px, WebP kalite 84. Önceki kaynak değişiklik notları ayrıca korunur.</t>
        </is>
      </c>
      <c r="N229" s="44" t="inlineStr">
        <is>
          <t>Kayıttan doğrulandı</t>
        </is>
      </c>
      <c r="O229" s="44" t="n"/>
    </row>
    <row r="230" ht="54" customHeight="1">
      <c r="A230" s="44" t="inlineStr">
        <is>
          <t>sevilla:photo:real-fabrica-de-artilleria-03</t>
        </is>
      </c>
      <c r="B230" s="44" t="inlineStr">
        <is>
          <t>https://commons.wikimedia.org/wiki/User:CarlosVdeHabsburgo</t>
        </is>
      </c>
      <c r="C230" s="44" t="inlineStr">
        <is>
          <t>https://commons.wikimedia.org/wiki/User:CarlosVdeHabsburgo</t>
        </is>
      </c>
      <c r="D230" s="44" t="inlineStr">
        <is>
          <t>https://upload.wikimedia.org/wikipedia/commons/e/e1/Real_F%C3%A1brica_de_Artiller%C3%ADa_de_Sevilla.jpg</t>
        </is>
      </c>
      <c r="E230" s="44" t="inlineStr">
        <is>
          <t>https://thumb.wikimedia.org/wikipedia/commons/thumb/e/e1/Real_F%C3%A1brica_de_Artiller%C3%ADa_de_Sevilla.jpg/1280px-Real_F%C3%A1brica_de_Artiller%C3%ADa_de_Sevilla.jpg</t>
        </is>
      </c>
      <c r="F230" s="53" t="n">
        <v>46320</v>
      </c>
      <c r="G230" s="44" t="inlineStr">
        <is>
          <t>Fotoğraflar/sevilla_real-fabrica-de-artilleria_03.jpg</t>
        </is>
      </c>
      <c r="H230" s="44" t="inlineStr">
        <is>
          <t>62bf21b2cfbfd2ef1b5e97a29f7cd8a6ef5b91f287c056558303e193bb72d4d0</t>
        </is>
      </c>
      <c r="I230" s="44" t="inlineStr">
        <is>
          <t>Teslimler/WebKopyalari/62bf21b2cfbfd2ef1b5e97a29f7cd8a6ef5b91f287c056558303e193bb72d4d0.webp</t>
        </is>
      </c>
      <c r="J230" s="44" t="inlineStr">
        <is>
          <t>01a3c247bd87b9b4fe29c3cd8f1cee9dd286d081521b7292ca4cc2a127b73587</t>
        </is>
      </c>
      <c r="K230" s="44" t="n">
        <v>1280</v>
      </c>
      <c r="L230" s="44" t="n">
        <v>1247</v>
      </c>
      <c r="M230" s="44" t="inlineStr">
        <is>
          <t>Özgün teslim dosyası korundu. EXIF yönü uygulandı; kırpma yapılmadan en çok 1600 px, WebP kalite 84. Önceki kaynak değişiklik notları ayrıca korunur.</t>
        </is>
      </c>
      <c r="N230" s="44" t="inlineStr">
        <is>
          <t>Kayıttan doğrulandı</t>
        </is>
      </c>
      <c r="O230" s="44" t="n"/>
    </row>
    <row r="231" ht="54" customHeight="1">
      <c r="A231" s="44" t="inlineStr">
        <is>
          <t>sevilla:photo:convento-de-santa-paula-03</t>
        </is>
      </c>
      <c r="B231" s="44" t="n"/>
      <c r="C231" s="44" t="inlineStr">
        <is>
          <t>https://commons.wikimedia.org/wiki/File:Convento_de_Santa_Paula,_Sevilla._Espada%C3%B1a.jpg</t>
        </is>
      </c>
      <c r="D231" s="44" t="inlineStr">
        <is>
          <t>https://upload.wikimedia.org/wikipedia/commons/6/6a/Convento_de_Santa_Paula%2C_Sevilla._Espada%C3%B1a.jpg</t>
        </is>
      </c>
      <c r="E231" s="44" t="inlineStr">
        <is>
          <t>https://thumb.wikimedia.org/wikipedia/commons/thumb/6/6a/Convento_de_Santa_Paula%2C_Sevilla._Espada%C3%B1a.jpg/1280px-Convento_de_Santa_Paula%2C_Sevilla._Espada%C3%B1a.jpg</t>
        </is>
      </c>
      <c r="F231" s="53" t="n">
        <v>46320</v>
      </c>
      <c r="G231" s="44" t="inlineStr">
        <is>
          <t>Fotoğraflar/sevilla_convento-de-santa-paula_03.jpg</t>
        </is>
      </c>
      <c r="H231" s="44" t="inlineStr">
        <is>
          <t>46f46a101f9935bb63cd0acf88c8662eb4301eca117d235a060a6818e3584018</t>
        </is>
      </c>
      <c r="I231" s="44" t="inlineStr">
        <is>
          <t>Teslimler/WebKopyalari/46f46a101f9935bb63cd0acf88c8662eb4301eca117d235a060a6818e3584018.webp</t>
        </is>
      </c>
      <c r="J231" s="44" t="inlineStr">
        <is>
          <t>c9dd8d6096e984eccd508f3035540d58b142b1afb954aeb8ac437dba94cd5303</t>
        </is>
      </c>
      <c r="K231" s="44" t="n">
        <v>1200</v>
      </c>
      <c r="L231" s="44" t="n">
        <v>1600</v>
      </c>
      <c r="M231" s="44" t="inlineStr">
        <is>
          <t>Özgün teslim dosyası korundu. EXIF yönü uygulandı; kırpma yapılmadan en çok 1600 px, WebP kalite 84. Önceki kaynak değişiklik notları ayrıca korunur.</t>
        </is>
      </c>
      <c r="N231" s="44" t="inlineStr">
        <is>
          <t>Eksik alan var</t>
        </is>
      </c>
      <c r="O231" s="44" t="inlineStr">
        <is>
          <t>Kaynakta ayrı fotoğrafçı profil bağlantısı bulunmadı; fotoğraf kaynak sayfasına atıf korunur. Bağlantı uydurulmaz.</t>
        </is>
      </c>
    </row>
    <row r="232" ht="54" customHeight="1">
      <c r="A232" s="44" t="inlineStr">
        <is>
          <t>sevilla:photo:iglesia-de-san-roman-03</t>
        </is>
      </c>
      <c r="B232" s="44" t="inlineStr">
        <is>
          <t>https://commons.wikimedia.org/wiki/User:Anual</t>
        </is>
      </c>
      <c r="C232" s="44" t="inlineStr">
        <is>
          <t>https://commons.wikimedia.org/wiki/User:Anual</t>
        </is>
      </c>
      <c r="D232" s="44" t="inlineStr">
        <is>
          <t>https://upload.wikimedia.org/wikipedia/commons/f/f8/Iglesia_de_san_roman_2018001.jpg</t>
        </is>
      </c>
      <c r="E232" s="44" t="inlineStr">
        <is>
          <t>https://thumb.wikimedia.org/wikipedia/commons/thumb/f/f8/Iglesia_de_san_roman_2018001.jpg/1280px-Iglesia_de_san_roman_2018001.jpg</t>
        </is>
      </c>
      <c r="F232" s="53" t="n">
        <v>46320</v>
      </c>
      <c r="G232" s="44" t="inlineStr">
        <is>
          <t>Fotoğraflar/sevilla_iglesia-de-san-roman_03.jpg</t>
        </is>
      </c>
      <c r="H232" s="44" t="inlineStr">
        <is>
          <t>22f97620ff0adc92de5923d26ef75d4ef79c5e928cb1104289daef77b599fa3d</t>
        </is>
      </c>
      <c r="I232" s="44" t="inlineStr">
        <is>
          <t>Teslimler/WebKopyalari/22f97620ff0adc92de5923d26ef75d4ef79c5e928cb1104289daef77b599fa3d.webp</t>
        </is>
      </c>
      <c r="J232" s="44" t="inlineStr">
        <is>
          <t>2f204206659406e082b108b8e31e0e76686ccaa416ff3b25f6b21e566a50d296</t>
        </is>
      </c>
      <c r="K232" s="44" t="n">
        <v>1280</v>
      </c>
      <c r="L232" s="44" t="n">
        <v>853</v>
      </c>
      <c r="M232" s="44" t="inlineStr">
        <is>
          <t>Özgün teslim dosyası korundu. EXIF yönü uygulandı; kırpma yapılmadan en çok 1600 px, WebP kalite 84. Önceki kaynak değişiklik notları ayrıca korunur.</t>
        </is>
      </c>
      <c r="N232" s="44" t="inlineStr">
        <is>
          <t>Kayıttan doğrulandı</t>
        </is>
      </c>
      <c r="O232" s="44" t="n"/>
    </row>
    <row r="233" ht="54" customHeight="1">
      <c r="A233" s="44" t="inlineStr">
        <is>
          <t>sevilla:photo:santa-cruz-03</t>
        </is>
      </c>
      <c r="B233" s="44" t="inlineStr">
        <is>
          <t>https://web.archive.org/web/20161102201115/http://www.panoramio.com/user/7020820?with_photo_id=115602274</t>
        </is>
      </c>
      <c r="C233" s="44" t="inlineStr">
        <is>
          <t>https://web.archive.org/web/20161102201115/http://www.panoramio.com/user/7020820?with_photo_id=115602274</t>
        </is>
      </c>
      <c r="D233" s="44" t="inlineStr">
        <is>
          <t>https://upload.wikimedia.org/wikipedia/commons/c/c4/Patio_Seville_-_panoramio.jpg</t>
        </is>
      </c>
      <c r="E233" s="44" t="inlineStr">
        <is>
          <t>https://thumb.wikimedia.org/wikipedia/commons/thumb/c/c4/Patio_Seville_-_panoramio.jpg/1280px-Patio_Seville_-_panoramio.jpg</t>
        </is>
      </c>
      <c r="F233" s="53" t="n">
        <v>46320</v>
      </c>
      <c r="G233" s="44" t="inlineStr">
        <is>
          <t>Fotoğraflar/sevilla_santa-cruz_03.jpg</t>
        </is>
      </c>
      <c r="H233" s="44" t="inlineStr">
        <is>
          <t>c82dc68ebbffc2237a8fa25c5f6635a3d2355048e7ce41cf4937589b175cbdd5</t>
        </is>
      </c>
      <c r="I233" s="44" t="inlineStr">
        <is>
          <t>Teslimler/WebKopyalari/c82dc68ebbffc2237a8fa25c5f6635a3d2355048e7ce41cf4937589b175cbdd5.webp</t>
        </is>
      </c>
      <c r="J233" s="44" t="inlineStr">
        <is>
          <t>7e4301b439cc300ef5ec95fcd7d88a9589b1a8871c453099f92c30c13a5b5b2b</t>
        </is>
      </c>
      <c r="K233" s="44" t="n">
        <v>1280</v>
      </c>
      <c r="L233" s="44" t="n">
        <v>960</v>
      </c>
      <c r="M233" s="44" t="inlineStr">
        <is>
          <t>Özgün teslim dosyası korundu. EXIF yönü uygulandı; kırpma yapılmadan en çok 1600 px, WebP kalite 84. Önceki kaynak değişiklik notları ayrıca korunur.</t>
        </is>
      </c>
      <c r="N233" s="44" t="inlineStr">
        <is>
          <t>Kayıttan doğrulandı</t>
        </is>
      </c>
      <c r="O233" s="44" t="n"/>
    </row>
    <row r="234" ht="54" customHeight="1">
      <c r="A234" s="44" t="inlineStr">
        <is>
          <t>sevilla:photo:el-arenal-03</t>
        </is>
      </c>
      <c r="B234" s="44" t="inlineStr">
        <is>
          <t>https://500px.com/hjkret</t>
        </is>
      </c>
      <c r="C234" s="44" t="inlineStr">
        <is>
          <t>https://500px.com/hjkret</t>
        </is>
      </c>
      <c r="D234" s="44" t="inlineStr">
        <is>
          <t>https://upload.wikimedia.org/wikipedia/commons/f/f5/Sevilla_Barrio_Santa_Cruz_%2825574119%29.jpeg</t>
        </is>
      </c>
      <c r="E234" s="44" t="inlineStr">
        <is>
          <t>https://thumb.wikimedia.org/wikipedia/commons/thumb/f/f5/Sevilla_Barrio_Santa_Cruz_%2825574119%29.jpeg/1280px-Sevilla_Barrio_Santa_Cruz_%2825574119%29.jpeg</t>
        </is>
      </c>
      <c r="F234" s="53" t="n">
        <v>46320</v>
      </c>
      <c r="G234" s="44" t="inlineStr">
        <is>
          <t>Fotoğraflar/sevilla_el-arenal_03.jpg</t>
        </is>
      </c>
      <c r="H234" s="44" t="inlineStr">
        <is>
          <t>e913dfe696832d4a28156fd63cc9ca11c0ce6b6587ad269f2eaa9ed5c98ffb12</t>
        </is>
      </c>
      <c r="I234" s="44" t="inlineStr">
        <is>
          <t>Teslimler/WebKopyalari/e913dfe696832d4a28156fd63cc9ca11c0ce6b6587ad269f2eaa9ed5c98ffb12.webp</t>
        </is>
      </c>
      <c r="J234" s="44" t="inlineStr">
        <is>
          <t>b11709fa1a39a50b842750f6762508856870aa238c60659965cc7c97e563f118</t>
        </is>
      </c>
      <c r="K234" s="44" t="n">
        <v>1280</v>
      </c>
      <c r="L234" s="44" t="n">
        <v>960</v>
      </c>
      <c r="M234" s="44" t="inlineStr">
        <is>
          <t>Özgün teslim dosyası korundu. EXIF yönü uygulandı; kırpma yapılmadan en çok 1600 px, WebP kalite 84. Önceki kaynak değişiklik notları ayrıca korunur.</t>
        </is>
      </c>
      <c r="N234" s="44" t="inlineStr">
        <is>
          <t>Kayıttan doğrulandı</t>
        </is>
      </c>
      <c r="O234" s="44" t="n"/>
    </row>
    <row r="235" ht="54" customHeight="1">
      <c r="A235" s="44" t="inlineStr">
        <is>
          <t>sevilla:photo:la-macarena-03</t>
        </is>
      </c>
      <c r="B235" s="44" t="inlineStr">
        <is>
          <t>https://commons.wikimedia.org/wiki/User:El_Mono_Espa%C3%B1ol</t>
        </is>
      </c>
      <c r="C235" s="44" t="inlineStr">
        <is>
          <t>https://commons.wikimedia.org/wiki/User:El_Mono_Espa%C3%B1ol</t>
        </is>
      </c>
      <c r="D235" s="44" t="inlineStr">
        <is>
          <t>https://upload.wikimedia.org/wikipedia/commons/b/bb/Centuria_Macarena_Square_%28Seville%2C_Spain%29.jpg</t>
        </is>
      </c>
      <c r="E235" s="44" t="inlineStr">
        <is>
          <t>https://thumb.wikimedia.org/wikipedia/commons/thumb/b/bb/Centuria_Macarena_Square_%28Seville%2C_Spain%29.jpg/1280px-Centuria_Macarena_Square_%28Seville%2C_Spain%29.jpg</t>
        </is>
      </c>
      <c r="F235" s="53" t="n">
        <v>46320</v>
      </c>
      <c r="G235" s="44" t="inlineStr">
        <is>
          <t>Fotoğraflar/sevilla_la-macarena_03.jpg</t>
        </is>
      </c>
      <c r="H235" s="44" t="inlineStr">
        <is>
          <t>0b37d37d0978185ea4af622927ffc3f6b8a4a146f4f20ebf42315460a87d4664</t>
        </is>
      </c>
      <c r="I235" s="44" t="inlineStr">
        <is>
          <t>Teslimler/WebKopyalari/0b37d37d0978185ea4af622927ffc3f6b8a4a146f4f20ebf42315460a87d4664.webp</t>
        </is>
      </c>
      <c r="J235" s="44" t="inlineStr">
        <is>
          <t>ad9fd5aaca6a880c5829a660d93b7d024e37ff29fa8126823ff365336143a88a</t>
        </is>
      </c>
      <c r="K235" s="44" t="n">
        <v>1280</v>
      </c>
      <c r="L235" s="44" t="n">
        <v>960</v>
      </c>
      <c r="M235" s="44" t="inlineStr">
        <is>
          <t>Özgün teslim dosyası korundu. EXIF yönü uygulandı; kırpma yapılmadan en çok 1600 px, WebP kalite 84. Önceki kaynak değişiklik notları ayrıca korunur.</t>
        </is>
      </c>
      <c r="N235" s="44" t="inlineStr">
        <is>
          <t>Kayıttan doğrulandı</t>
        </is>
      </c>
      <c r="O235" s="44" t="n"/>
    </row>
    <row r="236" ht="54" customHeight="1">
      <c r="A236" s="44" t="inlineStr">
        <is>
          <t>sevilla:photo:sevilla-este-01</t>
        </is>
      </c>
      <c r="B236" s="44" t="inlineStr">
        <is>
          <t>https://commons.wikimedia.org/wiki/User:Benjam%C3%ADn_N%C3%BA%C3%B1ez_Gonz%C3%A1lez</t>
        </is>
      </c>
      <c r="C236" s="44" t="inlineStr">
        <is>
          <t>https://commons.wikimedia.org/wiki/User:Benjam%C3%ADn_N%C3%BA%C3%B1ez_Gonz%C3%A1lez</t>
        </is>
      </c>
      <c r="D236" s="44" t="inlineStr">
        <is>
          <t>https://upload.wikimedia.org/wikipedia/commons/c/c1/Carril_bici%2C_Sevilla_Este%2C_Sevilla%2C_Espa%C3%B1a%2C_2015_01.JPG</t>
        </is>
      </c>
      <c r="E236" s="44" t="inlineStr">
        <is>
          <t>https://thumb.wikimedia.org/wikipedia/commons/thumb/c/c1/Carril_bici%2C_Sevilla_Este%2C_Sevilla%2C_Espa%C3%B1a%2C_2015_01.JPG/1280px-Carril_bici%2C_Sevilla_Este%2C_Sevilla%2C_Espa%C3%B1a%2C_2015_01.JPG</t>
        </is>
      </c>
      <c r="F236" s="53" t="n">
        <v>46320</v>
      </c>
      <c r="G236" s="44" t="inlineStr">
        <is>
          <t>Fotoğraflar/sevilla_sevilla-este_01.jpg</t>
        </is>
      </c>
      <c r="H236" s="44" t="inlineStr">
        <is>
          <t>bb1a92198fa5b90483df3158fcd601c7367848b184631ae6048d33285ead1396</t>
        </is>
      </c>
      <c r="I236" s="44" t="inlineStr">
        <is>
          <t>Teslimler/WebKopyalari/bb1a92198fa5b90483df3158fcd601c7367848b184631ae6048d33285ead1396.webp</t>
        </is>
      </c>
      <c r="J236" s="44" t="inlineStr">
        <is>
          <t>dc9e9d2b908b3c3501118c788cecf5ef0d3c86b2e725c10adca9805022ab8b68</t>
        </is>
      </c>
      <c r="K236" s="44" t="n">
        <v>1280</v>
      </c>
      <c r="L236" s="44" t="n">
        <v>960</v>
      </c>
      <c r="M236" s="44" t="inlineStr">
        <is>
          <t>Özgün teslim dosyası korundu. EXIF yönü uygulandı; kırpma yapılmadan en çok 1600 px, WebP kalite 84. Önceki kaynak değişiklik notları ayrıca korunur.</t>
        </is>
      </c>
      <c r="N236" s="44" t="inlineStr">
        <is>
          <t>Kayıttan doğrulandı</t>
        </is>
      </c>
      <c r="O236" s="44" t="n"/>
    </row>
    <row r="237" ht="54" customHeight="1">
      <c r="A237" s="44" t="inlineStr">
        <is>
          <t>sevilla:photo:hospital-de-las-cinco-llagas-01</t>
        </is>
      </c>
      <c r="B237" s="44" t="inlineStr">
        <is>
          <t>https://commons.wikimedia.org/wiki/User:Anual</t>
        </is>
      </c>
      <c r="C237" s="44" t="inlineStr">
        <is>
          <t>https://commons.wikimedia.org/wiki/User:Anual</t>
        </is>
      </c>
      <c r="D237" s="44" t="inlineStr">
        <is>
          <t>https://upload.wikimedia.org/wikipedia/commons/3/36/Hospital_5_llagas_2017001.jpg</t>
        </is>
      </c>
      <c r="E237" s="44" t="inlineStr">
        <is>
          <t>https://thumb.wikimedia.org/wikipedia/commons/thumb/3/36/Hospital_5_llagas_2017001.jpg/1280px-Hospital_5_llagas_2017001.jpg</t>
        </is>
      </c>
      <c r="F237" s="53" t="n">
        <v>46320</v>
      </c>
      <c r="G237" s="44" t="inlineStr">
        <is>
          <t>Fotoğraflar/sevilla_hospital-de-las-cinco-llagas_01.jpg</t>
        </is>
      </c>
      <c r="H237" s="44" t="inlineStr">
        <is>
          <t>020d120a7badb98f56bf7a029687eec1af6d6fbc8768311f3a7936c0a4f7c23b</t>
        </is>
      </c>
      <c r="I237" s="44" t="inlineStr">
        <is>
          <t>Teslimler/WebKopyalari/020d120a7badb98f56bf7a029687eec1af6d6fbc8768311f3a7936c0a4f7c23b.webp</t>
        </is>
      </c>
      <c r="J237" s="44" t="inlineStr">
        <is>
          <t>e57eb0788a3e5fc0a727fb439e8d339c996a9c6a01196e310f40d9be62ec1615</t>
        </is>
      </c>
      <c r="K237" s="44" t="n">
        <v>1280</v>
      </c>
      <c r="L237" s="44" t="n">
        <v>853</v>
      </c>
      <c r="M237" s="44" t="inlineStr">
        <is>
          <t>Özgün teslim dosyası korundu. EXIF yönü uygulandı; kırpma yapılmadan en çok 1600 px, WebP kalite 84. Önceki kaynak değişiklik notları ayrıca korunur.</t>
        </is>
      </c>
      <c r="N237" s="44" t="inlineStr">
        <is>
          <t>Kayıttan doğrulandı</t>
        </is>
      </c>
      <c r="O237" s="44" t="n"/>
    </row>
    <row r="238" ht="54" customHeight="1">
      <c r="A238" s="44" t="inlineStr">
        <is>
          <t>sevilla:photo:hospital-de-las-cinco-llagas-02</t>
        </is>
      </c>
      <c r="B238" s="44" t="n"/>
      <c r="C238" s="44" t="inlineStr">
        <is>
          <t>https://commons.wikimedia.org/wiki/File:Hospital_de_las_Cinco_Llagas_(Sevilla)._B%C3%B3veda.jpg</t>
        </is>
      </c>
      <c r="D238" s="44" t="inlineStr">
        <is>
          <t>https://upload.wikimedia.org/wikipedia/commons/d/d2/Hospital_de_las_Cinco_Llagas_%28Sevilla%29._B%C3%B3veda.jpg</t>
        </is>
      </c>
      <c r="E238" s="44" t="inlineStr">
        <is>
          <t>https://thumb.wikimedia.org/wikipedia/commons/thumb/d/d2/Hospital_de_las_Cinco_Llagas_%28Sevilla%29._B%C3%B3veda.jpg/1280px-Hospital_de_las_Cinco_Llagas_%28Sevilla%29._B%C3%B3veda.jpg</t>
        </is>
      </c>
      <c r="F238" s="53" t="n">
        <v>46320</v>
      </c>
      <c r="G238" s="44" t="inlineStr">
        <is>
          <t>Fotoğraflar/sevilla_hospital-de-las-cinco-llagas_02.jpg</t>
        </is>
      </c>
      <c r="H238" s="44" t="inlineStr">
        <is>
          <t>3dc6d5ce15db0f9e6b343f6e3210e17f6ce684674f04f1b8f6a41f53482774c6</t>
        </is>
      </c>
      <c r="I238" s="44" t="inlineStr">
        <is>
          <t>Teslimler/WebKopyalari/3dc6d5ce15db0f9e6b343f6e3210e17f6ce684674f04f1b8f6a41f53482774c6.webp</t>
        </is>
      </c>
      <c r="J238" s="44" t="inlineStr">
        <is>
          <t>9e7744b6d1dd3a2ac2c8b41b1bbe4b445596cad31a0c76d1c8d90b2a463a45af</t>
        </is>
      </c>
      <c r="K238" s="44" t="n">
        <v>1280</v>
      </c>
      <c r="L238" s="44" t="n">
        <v>853</v>
      </c>
      <c r="M238" s="44" t="inlineStr">
        <is>
          <t>Özgün teslim dosyası korundu. EXIF yönü uygulandı; kırpma yapılmadan en çok 1600 px, WebP kalite 84. Önceki kaynak değişiklik notları ayrıca korunur.</t>
        </is>
      </c>
      <c r="N238" s="44" t="inlineStr">
        <is>
          <t>Eksik alan var</t>
        </is>
      </c>
      <c r="O238" s="44" t="inlineStr">
        <is>
          <t>Kaynakta ayrı fotoğrafçı profil bağlantısı bulunmadı; fotoğraf kaynak sayfasına atıf korunur. Bağlantı uydurulmaz.</t>
        </is>
      </c>
    </row>
    <row r="239" ht="54" customHeight="1">
      <c r="A239" s="44" t="inlineStr">
        <is>
          <t>sevilla:photo:hospital-de-las-cinco-llagas-03</t>
        </is>
      </c>
      <c r="B239" s="44" t="inlineStr">
        <is>
          <t>https://www.flickr.com/people/11010911@N03</t>
        </is>
      </c>
      <c r="C239" s="44" t="inlineStr">
        <is>
          <t>https://www.flickr.com/people/11010911@N03</t>
        </is>
      </c>
      <c r="D239" s="44" t="inlineStr">
        <is>
          <t>https://upload.wikimedia.org/wikipedia/commons/b/b2/Parlamento_de_Andaluc%C3%ADa_%283508393367%29.jpg</t>
        </is>
      </c>
      <c r="E239" s="44" t="inlineStr">
        <is>
          <t>https://thumb.wikimedia.org/wikipedia/commons/thumb/b/b2/Parlamento_de_Andaluc%C3%ADa_%283508393367%29.jpg/1280px-Parlamento_de_Andaluc%C3%ADa_%283508393367%29.jpg</t>
        </is>
      </c>
      <c r="F239" s="53" t="n">
        <v>46320</v>
      </c>
      <c r="G239" s="44" t="inlineStr">
        <is>
          <t>Fotoğraflar/sevilla_hospital-de-las-cinco-llagas_03.jpg</t>
        </is>
      </c>
      <c r="H239" s="44" t="inlineStr">
        <is>
          <t>6b94b5dbb451ccab8cab96e0ddc2dcb643075e66d897e3f957eb3976e148d0e1</t>
        </is>
      </c>
      <c r="I239" s="44" t="inlineStr">
        <is>
          <t>Teslimler/WebKopyalari/6b94b5dbb451ccab8cab96e0ddc2dcb643075e66d897e3f957eb3976e148d0e1.webp</t>
        </is>
      </c>
      <c r="J239" s="44" t="inlineStr">
        <is>
          <t>d6bc82087ca10e2640895049a2cdbf41b02a497ceb276a3b7fc213ba8f585892</t>
        </is>
      </c>
      <c r="K239" s="44" t="n">
        <v>1280</v>
      </c>
      <c r="L239" s="44" t="n">
        <v>959</v>
      </c>
      <c r="M239" s="44" t="inlineStr">
        <is>
          <t>Özgün teslim dosyası korundu. EXIF yönü uygulandı; kırpma yapılmadan en çok 1600 px, WebP kalite 84. Önceki kaynak değişiklik notları ayrıca korunur.</t>
        </is>
      </c>
      <c r="N239" s="44" t="inlineStr">
        <is>
          <t>Kayıttan doğrulandı</t>
        </is>
      </c>
      <c r="O239" s="44" t="n"/>
    </row>
    <row r="240" ht="54" customHeight="1">
      <c r="A240" s="44" t="inlineStr">
        <is>
          <t>sevilla:photo:convento-de-santa-ines-01</t>
        </is>
      </c>
      <c r="B240" s="44" t="inlineStr">
        <is>
          <t>https://commons.wikimedia.org/wiki/User:Jl_FilpoC</t>
        </is>
      </c>
      <c r="C240" s="44" t="inlineStr">
        <is>
          <t>https://commons.wikimedia.org/wiki/User:Jl_FilpoC</t>
        </is>
      </c>
      <c r="D240" s="44" t="inlineStr">
        <is>
          <t>https://upload.wikimedia.org/wikipedia/commons/f/f1/Atrio_del_Convento_de_Santa_In%C3%A9s%2C_Sevilla.jpg</t>
        </is>
      </c>
      <c r="E240" s="44" t="inlineStr">
        <is>
          <t>https://thumb.wikimedia.org/wikipedia/commons/thumb/f/f1/Atrio_del_Convento_de_Santa_In%C3%A9s%2C_Sevilla.jpg/1280px-Atrio_del_Convento_de_Santa_In%C3%A9s%2C_Sevilla.jpg</t>
        </is>
      </c>
      <c r="F240" s="53" t="n">
        <v>46320</v>
      </c>
      <c r="G240" s="44" t="inlineStr">
        <is>
          <t>Fotoğraflar/sevilla_convento-de-santa-ines_01.jpg</t>
        </is>
      </c>
      <c r="H240" s="44" t="inlineStr">
        <is>
          <t>55d27ecbc5c620b0b2631193c92b9c1de99feb41462b5b4b54680840836120f8</t>
        </is>
      </c>
      <c r="I240" s="44" t="inlineStr">
        <is>
          <t>Teslimler/WebKopyalari/55d27ecbc5c620b0b2631193c92b9c1de99feb41462b5b4b54680840836120f8.webp</t>
        </is>
      </c>
      <c r="J240" s="44" t="inlineStr">
        <is>
          <t>e33e2ac3dade7d2bbd7596974b7f071b9c7ed4d33fc78bf9b6d5bbf2b43dfc46</t>
        </is>
      </c>
      <c r="K240" s="44" t="n">
        <v>1280</v>
      </c>
      <c r="L240" s="44" t="n">
        <v>720</v>
      </c>
      <c r="M240" s="44" t="inlineStr">
        <is>
          <t>Özgün teslim dosyası korundu. EXIF yönü uygulandı; kırpma yapılmadan en çok 1600 px, WebP kalite 84. Önceki kaynak değişiklik notları ayrıca korunur.</t>
        </is>
      </c>
      <c r="N240" s="44" t="inlineStr">
        <is>
          <t>Kayıttan doğrulandı</t>
        </is>
      </c>
      <c r="O240" s="44" t="n"/>
    </row>
    <row r="241" ht="54" customHeight="1">
      <c r="A241" s="44" t="inlineStr">
        <is>
          <t>sevilla:photo:convento-de-santa-ines-02</t>
        </is>
      </c>
      <c r="B241" s="44" t="inlineStr">
        <is>
          <t>https://commons.wikimedia.org/wiki/User:Jl_FilpoC</t>
        </is>
      </c>
      <c r="C241" s="44" t="inlineStr">
        <is>
          <t>https://commons.wikimedia.org/wiki/User:Jl_FilpoC</t>
        </is>
      </c>
      <c r="D241" s="44" t="inlineStr">
        <is>
          <t>https://upload.wikimedia.org/wikipedia/commons/2/2e/Comp%C3%A1s_del_Convento_de_Santa_In%C3%A9s_%28Sevilla%29.jpg</t>
        </is>
      </c>
      <c r="E241" s="44" t="inlineStr">
        <is>
          <t>https://thumb.wikimedia.org/wikipedia/commons/thumb/2/2e/Comp%C3%A1s_del_Convento_de_Santa_In%C3%A9s_%28Sevilla%29.jpg/1280px-Comp%C3%A1s_del_Convento_de_Santa_In%C3%A9s_%28Sevilla%29.jpg</t>
        </is>
      </c>
      <c r="F241" s="53" t="n">
        <v>46320</v>
      </c>
      <c r="G241" s="44" t="inlineStr">
        <is>
          <t>Fotoğraflar/sevilla_convento-de-santa-ines_02.jpg</t>
        </is>
      </c>
      <c r="H241" s="44" t="inlineStr">
        <is>
          <t>2554a3f115e4b3bb2fd7696bc11f286c817f651badc630d9c624ebfd863092cf</t>
        </is>
      </c>
      <c r="I241" s="44" t="inlineStr">
        <is>
          <t>Teslimler/WebKopyalari/2554a3f115e4b3bb2fd7696bc11f286c817f651badc630d9c624ebfd863092cf.webp</t>
        </is>
      </c>
      <c r="J241" s="44" t="inlineStr">
        <is>
          <t>818c9888790e6dc2273613177313caa05b625d4f8b74da10a15e874de6bd61d1</t>
        </is>
      </c>
      <c r="K241" s="44" t="n">
        <v>1202</v>
      </c>
      <c r="L241" s="44" t="n">
        <v>1600</v>
      </c>
      <c r="M241" s="44" t="inlineStr">
        <is>
          <t>Özgün teslim dosyası korundu. EXIF yönü uygulandı; kırpma yapılmadan en çok 1600 px, WebP kalite 84. Önceki kaynak değişiklik notları ayrıca korunur.</t>
        </is>
      </c>
      <c r="N241" s="44" t="inlineStr">
        <is>
          <t>Kayıttan doğrulandı</t>
        </is>
      </c>
      <c r="O241" s="44" t="n"/>
    </row>
    <row r="242" ht="54" customHeight="1">
      <c r="A242" s="44" t="inlineStr">
        <is>
          <t>sevilla:photo:convento-de-santa-ines-03</t>
        </is>
      </c>
      <c r="B242" s="44" t="inlineStr">
        <is>
          <t>https://commons.wikimedia.org/wiki/User:Jl_FilpoC</t>
        </is>
      </c>
      <c r="C242" s="44" t="inlineStr">
        <is>
          <t>https://commons.wikimedia.org/wiki/User:Jl_FilpoC</t>
        </is>
      </c>
      <c r="D242" s="44" t="inlineStr">
        <is>
          <t>https://upload.wikimedia.org/wikipedia/commons/3/36/Comp%C3%A1s_y_portada_de_la_iglesia_del_Convento_de_Santa_In%C3%A9s%2C_Sevilla.jpg</t>
        </is>
      </c>
      <c r="E242" s="44" t="inlineStr">
        <is>
          <t>https://thumb.wikimedia.org/wikipedia/commons/thumb/3/36/Comp%C3%A1s_y_portada_de_la_iglesia_del_Convento_de_Santa_In%C3%A9s%2C_Sevilla.jpg/1280px-Comp%C3%A1s_y_portada_de_la_iglesia_del_Convento_de_Santa_In%C3%A9s%2C_Sevilla.jpg</t>
        </is>
      </c>
      <c r="F242" s="53" t="n">
        <v>46320</v>
      </c>
      <c r="G242" s="44" t="inlineStr">
        <is>
          <t>Fotoğraflar/sevilla_convento-de-santa-ines_03.jpg</t>
        </is>
      </c>
      <c r="H242" s="44" t="inlineStr">
        <is>
          <t>d94e9f65235ed01fde923190fc634abaad64659b4681cbd1f7bec34964d0a8a7</t>
        </is>
      </c>
      <c r="I242" s="44" t="inlineStr">
        <is>
          <t>Teslimler/WebKopyalari/d94e9f65235ed01fde923190fc634abaad64659b4681cbd1f7bec34964d0a8a7.webp</t>
        </is>
      </c>
      <c r="J242" s="44" t="inlineStr">
        <is>
          <t>b2e0bab19c7a9c79b445c29ef23da19f2c8d282592fb77e2794de7f6ce28dd93</t>
        </is>
      </c>
      <c r="K242" s="44" t="n">
        <v>1200</v>
      </c>
      <c r="L242" s="44" t="n">
        <v>1600</v>
      </c>
      <c r="M242" s="44" t="inlineStr">
        <is>
          <t>Özgün teslim dosyası korundu. EXIF yönü uygulandı; kırpma yapılmadan en çok 1600 px, WebP kalite 84. Önceki kaynak değişiklik notları ayrıca korunur.</t>
        </is>
      </c>
      <c r="N242" s="44" t="inlineStr">
        <is>
          <t>Kayıttan doğrulandı</t>
        </is>
      </c>
      <c r="O242" s="44" t="n"/>
    </row>
    <row r="243" ht="54" customHeight="1">
      <c r="A243" s="44" t="inlineStr">
        <is>
          <t>sevilla:photo:monasterio-de-san-clemente-01</t>
        </is>
      </c>
      <c r="B243" s="44" t="inlineStr">
        <is>
          <t>https://commons.wikimedia.org/wiki/User:CarlosVdeHabsburgo</t>
        </is>
      </c>
      <c r="C243" s="44" t="inlineStr">
        <is>
          <t>https://commons.wikimedia.org/wiki/User:CarlosVdeHabsburgo</t>
        </is>
      </c>
      <c r="D243" s="44" t="inlineStr">
        <is>
          <t>https://upload.wikimedia.org/wikipedia/commons/e/e9/Monasterio_de_San_Clemente_%28Sevilla%29_01.jpg</t>
        </is>
      </c>
      <c r="E243" s="44" t="inlineStr">
        <is>
          <t>https://thumb.wikimedia.org/wikipedia/commons/thumb/e/e9/Monasterio_de_San_Clemente_%28Sevilla%29_01.jpg/1280px-Monasterio_de_San_Clemente_%28Sevilla%29_01.jpg</t>
        </is>
      </c>
      <c r="F243" s="53" t="n">
        <v>46320</v>
      </c>
      <c r="G243" s="44" t="inlineStr">
        <is>
          <t>Fotoğraflar/sevilla_monasterio-de-san-clemente_01.jpg</t>
        </is>
      </c>
      <c r="H243" s="44" t="inlineStr">
        <is>
          <t>77dd3e690bae8b6d4d114ab8aec48bc89f902395e63bc31841dfa4b69f35f37f</t>
        </is>
      </c>
      <c r="I243" s="44" t="inlineStr">
        <is>
          <t>Teslimler/WebKopyalari/77dd3e690bae8b6d4d114ab8aec48bc89f902395e63bc31841dfa4b69f35f37f.webp</t>
        </is>
      </c>
      <c r="J243" s="44" t="inlineStr">
        <is>
          <t>c534286043b5178ae2a6ed97c53c25e60b036cbd7d11d08a622c33e6cc8d25ea</t>
        </is>
      </c>
      <c r="K243" s="44" t="n">
        <v>1280</v>
      </c>
      <c r="L243" s="44" t="n">
        <v>960</v>
      </c>
      <c r="M243" s="44" t="inlineStr">
        <is>
          <t>Özgün teslim dosyası korundu. EXIF yönü uygulandı; kırpma yapılmadan en çok 1600 px, WebP kalite 84. Önceki kaynak değişiklik notları ayrıca korunur.</t>
        </is>
      </c>
      <c r="N243" s="44" t="inlineStr">
        <is>
          <t>Kayıttan doğrulandı</t>
        </is>
      </c>
      <c r="O243" s="44" t="n"/>
    </row>
    <row r="244" ht="54" customHeight="1">
      <c r="A244" s="44" t="inlineStr">
        <is>
          <t>sevilla:photo:monasterio-de-san-clemente-02</t>
        </is>
      </c>
      <c r="B244" s="44" t="n"/>
      <c r="C244" s="44" t="inlineStr">
        <is>
          <t>https://commons.wikimedia.org/wiki/File:Monasterio_de_San_Clemente_(Sevilla)._Claustro.jpg</t>
        </is>
      </c>
      <c r="D244" s="44" t="inlineStr">
        <is>
          <t>https://upload.wikimedia.org/wikipedia/commons/1/14/Monasterio_de_San_Clemente_%28Sevilla%29._Claustro.jpg</t>
        </is>
      </c>
      <c r="E244" s="44" t="inlineStr">
        <is>
          <t>https://thumb.wikimedia.org/wikipedia/commons/thumb/1/14/Monasterio_de_San_Clemente_%28Sevilla%29._Claustro.jpg/1280px-Monasterio_de_San_Clemente_%28Sevilla%29._Claustro.jpg</t>
        </is>
      </c>
      <c r="F244" s="53" t="n">
        <v>46320</v>
      </c>
      <c r="G244" s="44" t="inlineStr">
        <is>
          <t>Fotoğraflar/sevilla_monasterio-de-san-clemente_02.jpg</t>
        </is>
      </c>
      <c r="H244" s="44" t="inlineStr">
        <is>
          <t>a2e268cdf1d936effa4c808475b0cd59337b902e475abe1bcdb67ed8663a5ad9</t>
        </is>
      </c>
      <c r="I244" s="44" t="inlineStr">
        <is>
          <t>Teslimler/WebKopyalari/a2e268cdf1d936effa4c808475b0cd59337b902e475abe1bcdb67ed8663a5ad9.webp</t>
        </is>
      </c>
      <c r="J244" s="44" t="inlineStr">
        <is>
          <t>b70d0cb9ed6438391b45dd6b12e2b0c8e59c416f3a3e9bcf44cc636f51c0ad5f</t>
        </is>
      </c>
      <c r="K244" s="44" t="n">
        <v>1280</v>
      </c>
      <c r="L244" s="44" t="n">
        <v>720</v>
      </c>
      <c r="M244" s="44" t="inlineStr">
        <is>
          <t>Özgün teslim dosyası korundu. EXIF yönü uygulandı; kırpma yapılmadan en çok 1600 px, WebP kalite 84. Önceki kaynak değişiklik notları ayrıca korunur.</t>
        </is>
      </c>
      <c r="N244" s="44" t="inlineStr">
        <is>
          <t>Eksik alan var</t>
        </is>
      </c>
      <c r="O244" s="44" t="inlineStr">
        <is>
          <t>Kaynakta ayrı fotoğrafçı profil bağlantısı bulunmadı; fotoğraf kaynak sayfasına atıf korunur. Bağlantı uydurulmaz.</t>
        </is>
      </c>
    </row>
    <row r="245" ht="54" customHeight="1">
      <c r="A245" s="44" t="inlineStr">
        <is>
          <t>sevilla:photo:monasterio-de-san-clemente-03</t>
        </is>
      </c>
      <c r="B245" s="44" t="n"/>
      <c r="C245" s="44" t="inlineStr">
        <is>
          <t>https://commons.wikimedia.org/wiki/File:Monasterio_de_San_Clemente_(Sevilla)._Iglesia.jpg</t>
        </is>
      </c>
      <c r="D245" s="44" t="inlineStr">
        <is>
          <t>https://upload.wikimedia.org/wikipedia/commons/7/7f/Monasterio_de_San_Clemente_%28Sevilla%29._Iglesia.jpg</t>
        </is>
      </c>
      <c r="E245" s="44" t="inlineStr">
        <is>
          <t>https://thumb.wikimedia.org/wikipedia/commons/thumb/7/7f/Monasterio_de_San_Clemente_%28Sevilla%29._Iglesia.jpg/1280px-Monasterio_de_San_Clemente_%28Sevilla%29._Iglesia.jpg</t>
        </is>
      </c>
      <c r="F245" s="53" t="n">
        <v>46320</v>
      </c>
      <c r="G245" s="44" t="inlineStr">
        <is>
          <t>Fotoğraflar/sevilla_monasterio-de-san-clemente_03.jpg</t>
        </is>
      </c>
      <c r="H245" s="44" t="inlineStr">
        <is>
          <t>55b52bbe323f57c64d155b8ba66723a54be154f554984505e3fc6cebd8b365f1</t>
        </is>
      </c>
      <c r="I245" s="44" t="inlineStr">
        <is>
          <t>Teslimler/WebKopyalari/55b52bbe323f57c64d155b8ba66723a54be154f554984505e3fc6cebd8b365f1.webp</t>
        </is>
      </c>
      <c r="J245" s="44" t="inlineStr">
        <is>
          <t>545ac7df4bcae07bafa590ecee04d5817d3936ff879e9a3f55c5a3db528f8b41</t>
        </is>
      </c>
      <c r="K245" s="44" t="n">
        <v>1280</v>
      </c>
      <c r="L245" s="44" t="n">
        <v>1280</v>
      </c>
      <c r="M245" s="44" t="inlineStr">
        <is>
          <t>Özgün teslim dosyası korundu. EXIF yönü uygulandı; kırpma yapılmadan en çok 1600 px, WebP kalite 84. Önceki kaynak değişiklik notları ayrıca korunur.</t>
        </is>
      </c>
      <c r="N245" s="44" t="inlineStr">
        <is>
          <t>Eksik alan var</t>
        </is>
      </c>
      <c r="O245" s="44" t="inlineStr">
        <is>
          <t>Kaynakta ayrı fotoğrafçı profil bağlantısı bulunmadı; fotoğraf kaynak sayfasına atıf korunur. Bağlantı uydurulmaz.</t>
        </is>
      </c>
    </row>
    <row r="246" ht="54" customHeight="1">
      <c r="A246" s="44" t="inlineStr">
        <is>
          <t>sevilla:photo:real-fabrica-de-tabacos-rectorado-01</t>
        </is>
      </c>
      <c r="B246" s="44" t="inlineStr">
        <is>
          <t>https://commons.wikimedia.org/wiki/User:Chabe01</t>
        </is>
      </c>
      <c r="C246" s="44" t="inlineStr">
        <is>
          <t>https://commons.wikimedia.org/wiki/User:Chabe01</t>
        </is>
      </c>
      <c r="D246" s="44" t="inlineStr">
        <is>
          <t>https://upload.wikimedia.org/wikipedia/commons/5/5a/Fabrique_Royale_Tabac_-_S%C3%A9ville_%28ES61%29_-_2023-04-25_-_1.jpg</t>
        </is>
      </c>
      <c r="E246" s="44" t="inlineStr">
        <is>
          <t>https://thumb.wikimedia.org/wikipedia/commons/thumb/5/5a/Fabrique_Royale_Tabac_-_S%C3%A9ville_%28ES61%29_-_2023-04-25_-_1.jpg/1280px-Fabrique_Royale_Tabac_-_S%C3%A9ville_%28ES61%29_-_2023-04-25_-_1.jpg</t>
        </is>
      </c>
      <c r="F246" s="53" t="n">
        <v>46320</v>
      </c>
      <c r="G246" s="44" t="inlineStr">
        <is>
          <t>Fotoğraflar/sevilla_real-fabrica-de-tabacos-rectorado_01.jpg</t>
        </is>
      </c>
      <c r="H246" s="44" t="inlineStr">
        <is>
          <t>38386b67e293fa7d76b3606988083479f1e0ccbaef0aeddfdcfca83645cb9ae2</t>
        </is>
      </c>
      <c r="I246" s="44" t="inlineStr">
        <is>
          <t>Teslimler/WebKopyalari/38386b67e293fa7d76b3606988083479f1e0ccbaef0aeddfdcfca83645cb9ae2.webp</t>
        </is>
      </c>
      <c r="J246" s="44" t="inlineStr">
        <is>
          <t>2fd73ac618f489d6750eecb012610dbd6951bb98c91d696b542ad80d3b45bfd4</t>
        </is>
      </c>
      <c r="K246" s="44" t="n">
        <v>1280</v>
      </c>
      <c r="L246" s="44" t="n">
        <v>960</v>
      </c>
      <c r="M246" s="44" t="inlineStr">
        <is>
          <t>Özgün teslim dosyası korundu. EXIF yönü uygulandı; kırpma yapılmadan en çok 1600 px, WebP kalite 84. Önceki kaynak değişiklik notları ayrıca korunur.</t>
        </is>
      </c>
      <c r="N246" s="44" t="inlineStr">
        <is>
          <t>Kayıttan doğrulandı</t>
        </is>
      </c>
      <c r="O246" s="44" t="n"/>
    </row>
    <row r="247" ht="54" customHeight="1">
      <c r="A247" s="44" t="inlineStr">
        <is>
          <t>sevilla:photo:real-fabrica-de-tabacos-rectorado-02</t>
        </is>
      </c>
      <c r="B247" s="44" t="inlineStr">
        <is>
          <t>https://commons.wikimedia.org/wiki/User:Chabe01</t>
        </is>
      </c>
      <c r="C247" s="44" t="inlineStr">
        <is>
          <t>https://commons.wikimedia.org/wiki/User:Chabe01</t>
        </is>
      </c>
      <c r="D247" s="44" t="inlineStr">
        <is>
          <t>https://upload.wikimedia.org/wikipedia/commons/1/1f/Fabrique_Royale_Tabac_-_S%C3%A9ville_%28ES61%29_-_2023-04-25_-_2.jpg</t>
        </is>
      </c>
      <c r="E247" s="44" t="inlineStr">
        <is>
          <t>https://thumb.wikimedia.org/wikipedia/commons/thumb/1/1f/Fabrique_Royale_Tabac_-_S%C3%A9ville_%28ES61%29_-_2023-04-25_-_2.jpg/1280px-Fabrique_Royale_Tabac_-_S%C3%A9ville_%28ES61%29_-_2023-04-25_-_2.jpg</t>
        </is>
      </c>
      <c r="F247" s="53" t="n">
        <v>46320</v>
      </c>
      <c r="G247" s="44" t="inlineStr">
        <is>
          <t>Fotoğraflar/sevilla_real-fabrica-de-tabacos-rectorado_02.jpg</t>
        </is>
      </c>
      <c r="H247" s="44" t="inlineStr">
        <is>
          <t>2760dca23e3314ae02e134c9016cae3094208c1dc1a770e2c6cd677f7ed27289</t>
        </is>
      </c>
      <c r="I247" s="44" t="inlineStr">
        <is>
          <t>Teslimler/WebKopyalari/2760dca23e3314ae02e134c9016cae3094208c1dc1a770e2c6cd677f7ed27289.webp</t>
        </is>
      </c>
      <c r="J247" s="44" t="inlineStr">
        <is>
          <t>0ff584e5e0483b77a08d89f6db9388b9bc7d3a052d9b9185993616df473dc8ae</t>
        </is>
      </c>
      <c r="K247" s="44" t="n">
        <v>1280</v>
      </c>
      <c r="L247" s="44" t="n">
        <v>960</v>
      </c>
      <c r="M247" s="44" t="inlineStr">
        <is>
          <t>Özgün teslim dosyası korundu. EXIF yönü uygulandı; kırpma yapılmadan en çok 1600 px, WebP kalite 84. Önceki kaynak değişiklik notları ayrıca korunur.</t>
        </is>
      </c>
      <c r="N247" s="44" t="inlineStr">
        <is>
          <t>Kayıttan doğrulandı</t>
        </is>
      </c>
      <c r="O247" s="44" t="n"/>
    </row>
    <row r="248" ht="54" customHeight="1">
      <c r="A248" s="44" t="inlineStr">
        <is>
          <t>sevilla:photo:real-fabrica-de-tabacos-rectorado-03</t>
        </is>
      </c>
      <c r="B248" s="44" t="inlineStr">
        <is>
          <t>https://commons.wikimedia.org/wiki/User:Chabe01</t>
        </is>
      </c>
      <c r="C248" s="44" t="inlineStr">
        <is>
          <t>https://commons.wikimedia.org/wiki/User:Chabe01</t>
        </is>
      </c>
      <c r="D248" s="44" t="inlineStr">
        <is>
          <t>https://upload.wikimedia.org/wikipedia/commons/c/ce/Fabrique_Royale_Tabac_-_S%C3%A9ville_%28ES61%29_-_2023-04-25_-_4.jpg</t>
        </is>
      </c>
      <c r="E248" s="44" t="inlineStr">
        <is>
          <t>https://thumb.wikimedia.org/wikipedia/commons/thumb/c/ce/Fabrique_Royale_Tabac_-_S%C3%A9ville_%28ES61%29_-_2023-04-25_-_4.jpg/1280px-Fabrique_Royale_Tabac_-_S%C3%A9ville_%28ES61%29_-_2023-04-25_-_4.jpg</t>
        </is>
      </c>
      <c r="F248" s="53" t="n">
        <v>46320</v>
      </c>
      <c r="G248" s="44" t="inlineStr">
        <is>
          <t>Fotoğraflar/sevilla_real-fabrica-de-tabacos-rectorado_03.jpg</t>
        </is>
      </c>
      <c r="H248" s="44" t="inlineStr">
        <is>
          <t>3866d55974c60a9e63030f2a766d03e9707cc8667e942861e17701e2313de02c</t>
        </is>
      </c>
      <c r="I248" s="44" t="inlineStr">
        <is>
          <t>Teslimler/WebKopyalari/3866d55974c60a9e63030f2a766d03e9707cc8667e942861e17701e2313de02c.webp</t>
        </is>
      </c>
      <c r="J248" s="44" t="inlineStr">
        <is>
          <t>36202edac4f1d35b676ba141983ffbcc64d8786e364c6eacbf5350da18458841</t>
        </is>
      </c>
      <c r="K248" s="44" t="n">
        <v>1280</v>
      </c>
      <c r="L248" s="44" t="n">
        <v>960</v>
      </c>
      <c r="M248" s="44" t="inlineStr">
        <is>
          <t>Özgün teslim dosyası korundu. EXIF yönü uygulandı; kırpma yapılmadan en çok 1600 px, WebP kalite 84. Önceki kaynak değişiklik notları ayrıca korunur.</t>
        </is>
      </c>
      <c r="N248" s="44" t="inlineStr">
        <is>
          <t>Kayıttan doğrulandı</t>
        </is>
      </c>
      <c r="O248" s="44" t="n"/>
    </row>
    <row r="249" ht="54" customHeight="1">
      <c r="A249" s="44" t="inlineStr">
        <is>
          <t>sevilla:photo:parroquia-de-san-jacinto-01</t>
        </is>
      </c>
      <c r="B249" s="44" t="inlineStr">
        <is>
          <t>https://commons.wikimedia.org/wiki/User:Tdn70</t>
        </is>
      </c>
      <c r="C249" s="44" t="inlineStr">
        <is>
          <t>https://commons.wikimedia.org/wiki/User:Tdn70</t>
        </is>
      </c>
      <c r="D249" s="44" t="inlineStr">
        <is>
          <t>https://upload.wikimedia.org/wikipedia/commons/a/a0/Ficus_Centenario_de_San_Jacinto.jpg</t>
        </is>
      </c>
      <c r="E249" s="44" t="inlineStr">
        <is>
          <t>https://thumb.wikimedia.org/wikipedia/commons/thumb/a/a0/Ficus_Centenario_de_San_Jacinto.jpg/1280px-Ficus_Centenario_de_San_Jacinto.jpg</t>
        </is>
      </c>
      <c r="F249" s="53" t="n">
        <v>46320</v>
      </c>
      <c r="G249" s="44" t="inlineStr">
        <is>
          <t>Fotoğraflar/sevilla_parroquia-de-san-jacinto_01.jpg</t>
        </is>
      </c>
      <c r="H249" s="44" t="inlineStr">
        <is>
          <t>7c63de8093a55ed2b9f2927ad08d4c0278af002da96e8bbbb2d6abcf2cd8040a</t>
        </is>
      </c>
      <c r="I249" s="44" t="inlineStr">
        <is>
          <t>Teslimler/WebKopyalari/7c63de8093a55ed2b9f2927ad08d4c0278af002da96e8bbbb2d6abcf2cd8040a.webp</t>
        </is>
      </c>
      <c r="J249" s="44" t="inlineStr">
        <is>
          <t>ddaf3313a8e115d1f617ff9ccc266d51de3e37ef971da7f6824fa3fc6cedf543</t>
        </is>
      </c>
      <c r="K249" s="44" t="n">
        <v>1280</v>
      </c>
      <c r="L249" s="44" t="n">
        <v>853</v>
      </c>
      <c r="M249" s="44" t="inlineStr">
        <is>
          <t>Özgün teslim dosyası korundu. EXIF yönü uygulandı; kırpma yapılmadan en çok 1600 px, WebP kalite 84. Önceki kaynak değişiklik notları ayrıca korunur.</t>
        </is>
      </c>
      <c r="N249" s="44" t="inlineStr">
        <is>
          <t>Kayıttan doğrulandı</t>
        </is>
      </c>
      <c r="O249" s="44" t="n"/>
    </row>
    <row r="250" ht="54" customHeight="1">
      <c r="A250" s="44" t="inlineStr">
        <is>
          <t>sevilla:photo:parroquia-de-san-jacinto-02</t>
        </is>
      </c>
      <c r="B250" s="44" t="inlineStr">
        <is>
          <t>https://commons.wikimedia.org/wiki/User:Anual</t>
        </is>
      </c>
      <c r="C250" s="44" t="inlineStr">
        <is>
          <t>https://commons.wikimedia.org/wiki/User:Anual</t>
        </is>
      </c>
      <c r="D250" s="44" t="inlineStr">
        <is>
          <t>https://upload.wikimedia.org/wikipedia/commons/4/47/San_jacinto_2016001.jpg</t>
        </is>
      </c>
      <c r="E250" s="44" t="inlineStr">
        <is>
          <t>https://thumb.wikimedia.org/wikipedia/commons/thumb/4/47/San_jacinto_2016001.jpg/1280px-San_jacinto_2016001.jpg</t>
        </is>
      </c>
      <c r="F250" s="53" t="n">
        <v>46320</v>
      </c>
      <c r="G250" s="44" t="inlineStr">
        <is>
          <t>Fotoğraflar/sevilla_parroquia-de-san-jacinto_02.jpg</t>
        </is>
      </c>
      <c r="H250" s="44" t="inlineStr">
        <is>
          <t>3ab1a2552d26a123257b900fc12be689d3c2efc2ec1f78a52cefc7088498bb7c</t>
        </is>
      </c>
      <c r="I250" s="44" t="inlineStr">
        <is>
          <t>Teslimler/WebKopyalari/3ab1a2552d26a123257b900fc12be689d3c2efc2ec1f78a52cefc7088498bb7c.webp</t>
        </is>
      </c>
      <c r="J250" s="44" t="inlineStr">
        <is>
          <t>c256e35160e4c8ad3eb4b5eaa8de75c4a1f747f9ce21f08a9ce3461efbb14fd5</t>
        </is>
      </c>
      <c r="K250" s="44" t="n">
        <v>1280</v>
      </c>
      <c r="L250" s="44" t="n">
        <v>853</v>
      </c>
      <c r="M250" s="44" t="inlineStr">
        <is>
          <t>Özgün teslim dosyası korundu. EXIF yönü uygulandı; kırpma yapılmadan en çok 1600 px, WebP kalite 84. Önceki kaynak değişiklik notları ayrıca korunur.</t>
        </is>
      </c>
      <c r="N250" s="44" t="inlineStr">
        <is>
          <t>Kayıttan doğrulandı</t>
        </is>
      </c>
      <c r="O250" s="44" t="n"/>
    </row>
    <row r="251" ht="54" customHeight="1">
      <c r="A251" s="44" t="inlineStr">
        <is>
          <t>sevilla:photo:capilla-del-carmen-triana-01</t>
        </is>
      </c>
      <c r="B251" s="44" t="inlineStr">
        <is>
          <t>https://commons.wikimedia.org/wiki/User:Anual</t>
        </is>
      </c>
      <c r="C251" s="44" t="inlineStr">
        <is>
          <t>https://commons.wikimedia.org/wiki/User:Anual</t>
        </is>
      </c>
      <c r="D251" s="44" t="inlineStr">
        <is>
          <t>https://upload.wikimedia.org/wikipedia/commons/d/df/20120810_4503v02.JPG</t>
        </is>
      </c>
      <c r="E251" s="44" t="inlineStr">
        <is>
          <t>https://thumb.wikimedia.org/wikipedia/commons/thumb/d/df/20120810_4503v02.JPG/1280px-20120810_4503v02.JPG</t>
        </is>
      </c>
      <c r="F251" s="53" t="n">
        <v>46320</v>
      </c>
      <c r="G251" s="44" t="inlineStr">
        <is>
          <t>Fotoğraflar/sevilla_capilla-del-carmen-triana_01.jpg</t>
        </is>
      </c>
      <c r="H251" s="44" t="inlineStr">
        <is>
          <t>9c79132fd1b4a65138fd93db8bb4f778d854e03a00ce87f51d4eee4debe6c752</t>
        </is>
      </c>
      <c r="I251" s="44" t="inlineStr">
        <is>
          <t>Teslimler/WebKopyalari/9c79132fd1b4a65138fd93db8bb4f778d854e03a00ce87f51d4eee4debe6c752.webp</t>
        </is>
      </c>
      <c r="J251" s="44" t="inlineStr">
        <is>
          <t>6576727257fad5ef8b310f11fd32ce6f61d0ff06ce13fcd23dfb146fc03e9b7d</t>
        </is>
      </c>
      <c r="K251" s="44" t="n">
        <v>1280</v>
      </c>
      <c r="L251" s="44" t="n">
        <v>853</v>
      </c>
      <c r="M251" s="44" t="inlineStr">
        <is>
          <t>Özgün teslim dosyası korundu. EXIF yönü uygulandı; kırpma yapılmadan en çok 1600 px, WebP kalite 84. Önceki kaynak değişiklik notları ayrıca korunur.</t>
        </is>
      </c>
      <c r="N251" s="44" t="inlineStr">
        <is>
          <t>Kayıttan doğrulandı</t>
        </is>
      </c>
      <c r="O251" s="44" t="n"/>
    </row>
    <row r="252" ht="54" customHeight="1">
      <c r="A252" s="44" t="inlineStr">
        <is>
          <t>sevilla:photo:capilla-del-carmen-triana-02</t>
        </is>
      </c>
      <c r="B252" s="44" t="inlineStr">
        <is>
          <t>https://commons.wikimedia.org/wiki/User:Tdn70</t>
        </is>
      </c>
      <c r="C252" s="44" t="inlineStr">
        <is>
          <t>https://commons.wikimedia.org/wiki/User:Tdn70</t>
        </is>
      </c>
      <c r="D252" s="44" t="inlineStr">
        <is>
          <t>https://upload.wikimedia.org/wikipedia/commons/9/95/Capilla_Virgen_del_Carmen%2C_2022.jpg</t>
        </is>
      </c>
      <c r="E252" s="44" t="inlineStr">
        <is>
          <t>https://thumb.wikimedia.org/wikipedia/commons/thumb/9/95/Capilla_Virgen_del_Carmen%2C_2022.jpg/1280px-Capilla_Virgen_del_Carmen%2C_2022.jpg</t>
        </is>
      </c>
      <c r="F252" s="53" t="n">
        <v>46320</v>
      </c>
      <c r="G252" s="44" t="inlineStr">
        <is>
          <t>Fotoğraflar/sevilla_capilla-del-carmen-triana_02.jpg</t>
        </is>
      </c>
      <c r="H252" s="44" t="inlineStr">
        <is>
          <t>e4e43bd79f8b9e7d3fe69b7b421d2775f4158ff1912f81d08a2e943edb1b144d</t>
        </is>
      </c>
      <c r="I252" s="44" t="inlineStr">
        <is>
          <t>Teslimler/WebKopyalari/e4e43bd79f8b9e7d3fe69b7b421d2775f4158ff1912f81d08a2e943edb1b144d.webp</t>
        </is>
      </c>
      <c r="J252" s="44" t="inlineStr">
        <is>
          <t>052569ba95f46f7eb9aadf084d0fdcf1c356f8f94549f3d181c3bc7f7a90450f</t>
        </is>
      </c>
      <c r="K252" s="44" t="n">
        <v>1280</v>
      </c>
      <c r="L252" s="44" t="n">
        <v>853</v>
      </c>
      <c r="M252" s="44" t="inlineStr">
        <is>
          <t>Özgün teslim dosyası korundu. EXIF yönü uygulandı; kırpma yapılmadan en çok 1600 px, WebP kalite 84. Önceki kaynak değişiklik notları ayrıca korunur.</t>
        </is>
      </c>
      <c r="N252" s="44" t="inlineStr">
        <is>
          <t>Kayıttan doğrulandı</t>
        </is>
      </c>
      <c r="O252" s="44" t="n"/>
    </row>
    <row r="253" ht="54" customHeight="1">
      <c r="A253" s="44" t="inlineStr">
        <is>
          <t>sevilla:photo:capilla-del-carmen-triana-03</t>
        </is>
      </c>
      <c r="B253" s="44" t="inlineStr">
        <is>
          <t>https://commons.wikimedia.org/wiki/User:Anual</t>
        </is>
      </c>
      <c r="C253" s="44" t="inlineStr">
        <is>
          <t>https://commons.wikimedia.org/wiki/User:Anual</t>
        </is>
      </c>
      <c r="D253" s="44" t="inlineStr">
        <is>
          <t>https://upload.wikimedia.org/wikipedia/commons/d/d7/Capilla_del_Carmen_001.jpg</t>
        </is>
      </c>
      <c r="E253" s="44" t="inlineStr">
        <is>
          <t>https://thumb.wikimedia.org/wikipedia/commons/thumb/d/d7/Capilla_del_Carmen_001.jpg/1280px-Capilla_del_Carmen_001.jpg</t>
        </is>
      </c>
      <c r="F253" s="53" t="n">
        <v>46320</v>
      </c>
      <c r="G253" s="44" t="inlineStr">
        <is>
          <t>Fotoğraflar/sevilla_capilla-del-carmen-triana_03.jpg</t>
        </is>
      </c>
      <c r="H253" s="44" t="inlineStr">
        <is>
          <t>d672cb1f2e9116f6eee998c08404673ee524f4189a5feffe71b4dadb999688d9</t>
        </is>
      </c>
      <c r="I253" s="44" t="inlineStr">
        <is>
          <t>Teslimler/WebKopyalari/d672cb1f2e9116f6eee998c08404673ee524f4189a5feffe71b4dadb999688d9.webp</t>
        </is>
      </c>
      <c r="J253" s="44" t="inlineStr">
        <is>
          <t>374a067c7d5d13710815e7afe5bb00cafcb890df60671bd4693e9500098947af</t>
        </is>
      </c>
      <c r="K253" s="44" t="n">
        <v>1071</v>
      </c>
      <c r="L253" s="44" t="n">
        <v>1600</v>
      </c>
      <c r="M253" s="44" t="inlineStr">
        <is>
          <t>Özgün teslim dosyası korundu. EXIF yönü uygulandı; kırpma yapılmadan en çok 1600 px, WebP kalite 84. Önceki kaynak değişiklik notları ayrıca korunur.</t>
        </is>
      </c>
      <c r="N253" s="44" t="inlineStr">
        <is>
          <t>Kayıttan doğrulandı</t>
        </is>
      </c>
      <c r="O253" s="44" t="n"/>
    </row>
    <row r="254" ht="54" customHeight="1">
      <c r="A254" s="44" t="inlineStr">
        <is>
          <t>sevilla:photo:iglesia-de-santa-maria-la-blanca-01</t>
        </is>
      </c>
      <c r="B254" s="44" t="inlineStr">
        <is>
          <t>https://commons.wikimedia.org/wiki/User:CarlosVdeHabsburgo</t>
        </is>
      </c>
      <c r="C254" s="44" t="inlineStr">
        <is>
          <t>https://commons.wikimedia.org/wiki/User:CarlosVdeHabsburgo</t>
        </is>
      </c>
      <c r="D254" s="44" t="inlineStr">
        <is>
          <t>https://upload.wikimedia.org/wikipedia/commons/8/89/Iglesia_de_Santa_Mar%C3%ADa_la_Blanca_%28Sevilla%29.jpg</t>
        </is>
      </c>
      <c r="E254" s="44" t="inlineStr">
        <is>
          <t>https://thumb.wikimedia.org/wikipedia/commons/thumb/8/89/Iglesia_de_Santa_Mar%C3%ADa_la_Blanca_%28Sevilla%29.jpg/1280px-Iglesia_de_Santa_Mar%C3%ADa_la_Blanca_%28Sevilla%29.jpg</t>
        </is>
      </c>
      <c r="F254" s="53" t="n">
        <v>46320</v>
      </c>
      <c r="G254" s="44" t="inlineStr">
        <is>
          <t>Fotoğraflar/sevilla_iglesia-de-santa-maria-la-blanca_01.jpg</t>
        </is>
      </c>
      <c r="H254" s="44" t="inlineStr">
        <is>
          <t>c8ec9fcd47b3981aac5f3f3b26945e41fe20bc0565fe384f73f2168935219b4d</t>
        </is>
      </c>
      <c r="I254" s="44" t="inlineStr">
        <is>
          <t>Teslimler/WebKopyalari/c8ec9fcd47b3981aac5f3f3b26945e41fe20bc0565fe384f73f2168935219b4d.webp</t>
        </is>
      </c>
      <c r="J254" s="44" t="inlineStr">
        <is>
          <t>a399f3360d306c7189c3e3df21feb7b8631fd4be04f809d2ad54d455825bd6b8</t>
        </is>
      </c>
      <c r="K254" s="44" t="n">
        <v>1200</v>
      </c>
      <c r="L254" s="44" t="n">
        <v>1600</v>
      </c>
      <c r="M254" s="44" t="inlineStr">
        <is>
          <t>Özgün teslim dosyası korundu. EXIF yönü uygulandı; kırpma yapılmadan en çok 1600 px, WebP kalite 84. Önceki kaynak değişiklik notları ayrıca korunur.</t>
        </is>
      </c>
      <c r="N254" s="44" t="inlineStr">
        <is>
          <t>Kayıttan doğrulandı</t>
        </is>
      </c>
      <c r="O254" s="44" t="n"/>
    </row>
    <row r="255" ht="54" customHeight="1">
      <c r="A255" s="44" t="inlineStr">
        <is>
          <t>sevilla:photo:iglesia-de-santa-maria-la-blanca-02</t>
        </is>
      </c>
      <c r="B255" s="44" t="inlineStr">
        <is>
          <t>https://commons.wikimedia.org/wiki/User:Anual</t>
        </is>
      </c>
      <c r="C255" s="44" t="inlineStr">
        <is>
          <t>https://commons.wikimedia.org/wiki/User:Anual</t>
        </is>
      </c>
      <c r="D255" s="44" t="inlineStr">
        <is>
          <t>https://upload.wikimedia.org/wikipedia/commons/a/a7/Iglesia_de_Santa_Mar%C3%ADa_la_Blanca%2C_Sevilla.jpg</t>
        </is>
      </c>
      <c r="E255" s="44" t="inlineStr">
        <is>
          <t>https://thumb.wikimedia.org/wikipedia/commons/thumb/a/a7/Iglesia_de_Santa_Mar%C3%ADa_la_Blanca%2C_Sevilla.jpg/1280px-Iglesia_de_Santa_Mar%C3%ADa_la_Blanca%2C_Sevilla.jpg</t>
        </is>
      </c>
      <c r="F255" s="53" t="n">
        <v>46320</v>
      </c>
      <c r="G255" s="44" t="inlineStr">
        <is>
          <t>Fotoğraflar/sevilla_iglesia-de-santa-maria-la-blanca_02.jpg</t>
        </is>
      </c>
      <c r="H255" s="44" t="inlineStr">
        <is>
          <t>a6a0f28bdd5b7f45e27a1a02448f7caaa6937a7d1177f4771a7464ec81097021</t>
        </is>
      </c>
      <c r="I255" s="44" t="inlineStr">
        <is>
          <t>Teslimler/WebKopyalari/a6a0f28bdd5b7f45e27a1a02448f7caaa6937a7d1177f4771a7464ec81097021.webp</t>
        </is>
      </c>
      <c r="J255" s="44" t="inlineStr">
        <is>
          <t>0c80eac044ee49d0b451c214be20cf048880cadbc818f63e34f351944ac0dbca</t>
        </is>
      </c>
      <c r="K255" s="44" t="n">
        <v>1032</v>
      </c>
      <c r="L255" s="44" t="n">
        <v>1600</v>
      </c>
      <c r="M255" s="44" t="inlineStr">
        <is>
          <t>Özgün teslim dosyası korundu. EXIF yönü uygulandı; kırpma yapılmadan en çok 1600 px, WebP kalite 84. Önceki kaynak değişiklik notları ayrıca korunur.</t>
        </is>
      </c>
      <c r="N255" s="44" t="inlineStr">
        <is>
          <t>Kayıttan doğrulandı</t>
        </is>
      </c>
      <c r="O255" s="44" t="n"/>
    </row>
    <row r="256" ht="54" customHeight="1">
      <c r="A256" s="44" t="inlineStr">
        <is>
          <t>sevilla:photo:iglesia-de-san-pedro-01</t>
        </is>
      </c>
      <c r="B256" s="44" t="inlineStr">
        <is>
          <t>https://commons.wikimedia.org/wiki/User:Jl_FilpoC</t>
        </is>
      </c>
      <c r="C256" s="44" t="inlineStr">
        <is>
          <t>https://commons.wikimedia.org/wiki/User:Jl_FilpoC</t>
        </is>
      </c>
      <c r="D256" s="44" t="inlineStr">
        <is>
          <t>https://upload.wikimedia.org/wikipedia/commons/3/3c/Altar_de_la_Iglesia_de_San_Pedro_de_Alc%C3%A1ntara%2C_Sevilla.jpg</t>
        </is>
      </c>
      <c r="E256" s="44" t="inlineStr">
        <is>
          <t>https://thumb.wikimedia.org/wikipedia/commons/thumb/3/3c/Altar_de_la_Iglesia_de_San_Pedro_de_Alc%C3%A1ntara%2C_Sevilla.jpg/1280px-Altar_de_la_Iglesia_de_San_Pedro_de_Alc%C3%A1ntara%2C_Sevilla.jpg</t>
        </is>
      </c>
      <c r="F256" s="53" t="n">
        <v>46320</v>
      </c>
      <c r="G256" s="44" t="inlineStr">
        <is>
          <t>Fotoğraflar/sevilla_iglesia-de-san-pedro_01.jpg</t>
        </is>
      </c>
      <c r="H256" s="44" t="inlineStr">
        <is>
          <t>ff07e67d35a2003c0a258d06263b078341dfdb8b5a09b3f623855a66b1c77faf</t>
        </is>
      </c>
      <c r="I256" s="44" t="inlineStr">
        <is>
          <t>Teslimler/WebKopyalari/ff07e67d35a2003c0a258d06263b078341dfdb8b5a09b3f623855a66b1c77faf.webp</t>
        </is>
      </c>
      <c r="J256" s="44" t="inlineStr">
        <is>
          <t>7a192b50d9d5cf201515cbd13a043a54c240a24faf71c3d314103739f6f0e854</t>
        </is>
      </c>
      <c r="K256" s="44" t="n">
        <v>1200</v>
      </c>
      <c r="L256" s="44" t="n">
        <v>1600</v>
      </c>
      <c r="M256" s="44" t="inlineStr">
        <is>
          <t>Özgün teslim dosyası korundu. EXIF yönü uygulandı; kırpma yapılmadan en çok 1600 px, WebP kalite 84. Önceki kaynak değişiklik notları ayrıca korunur.</t>
        </is>
      </c>
      <c r="N256" s="44" t="inlineStr">
        <is>
          <t>Kayıttan doğrulandı</t>
        </is>
      </c>
      <c r="O256" s="44" t="n"/>
    </row>
    <row r="257" ht="54" customHeight="1">
      <c r="A257" s="44" t="inlineStr">
        <is>
          <t>sevilla:photo:iglesia-de-san-pedro-02</t>
        </is>
      </c>
      <c r="B257" s="44" t="inlineStr">
        <is>
          <t>https://commons.wikimedia.org/wiki/User:Jl_FilpoC</t>
        </is>
      </c>
      <c r="C257" s="44" t="inlineStr">
        <is>
          <t>https://commons.wikimedia.org/wiki/User:Jl_FilpoC</t>
        </is>
      </c>
      <c r="D257" s="44" t="inlineStr">
        <is>
          <t>https://upload.wikimedia.org/wikipedia/commons/a/a3/Capilla_mayor_de_la_Iglesia_de_San_Pedro_%28Sevilla%29.jpg</t>
        </is>
      </c>
      <c r="E257" s="44" t="inlineStr">
        <is>
          <t>https://thumb.wikimedia.org/wikipedia/commons/thumb/a/a3/Capilla_mayor_de_la_Iglesia_de_San_Pedro_%28Sevilla%29.jpg/1280px-Capilla_mayor_de_la_Iglesia_de_San_Pedro_%28Sevilla%29.jpg</t>
        </is>
      </c>
      <c r="F257" s="53" t="n">
        <v>46320</v>
      </c>
      <c r="G257" s="44" t="inlineStr">
        <is>
          <t>Fotoğraflar/sevilla_iglesia-de-san-pedro_02.jpg</t>
        </is>
      </c>
      <c r="H257" s="44" t="inlineStr">
        <is>
          <t>f8084aba4c0baa14c4680f527b76fb0ca9a9575974c42c9a057fdb26e7ac19e4</t>
        </is>
      </c>
      <c r="I257" s="44" t="inlineStr">
        <is>
          <t>Teslimler/WebKopyalari/f8084aba4c0baa14c4680f527b76fb0ca9a9575974c42c9a057fdb26e7ac19e4.webp</t>
        </is>
      </c>
      <c r="J257" s="44" t="inlineStr">
        <is>
          <t>f7d3a821f2856c5e2169a856f7fc5aa42e4154f158612422b92060b2ce13b060</t>
        </is>
      </c>
      <c r="K257" s="44" t="n">
        <v>1280</v>
      </c>
      <c r="L257" s="44" t="n">
        <v>1280</v>
      </c>
      <c r="M257" s="44" t="inlineStr">
        <is>
          <t>Özgün teslim dosyası korundu. EXIF yönü uygulandı; kırpma yapılmadan en çok 1600 px, WebP kalite 84. Önceki kaynak değişiklik notları ayrıca korunur.</t>
        </is>
      </c>
      <c r="N257" s="44" t="inlineStr">
        <is>
          <t>Kayıttan doğrulandı</t>
        </is>
      </c>
      <c r="O257" s="44" t="n"/>
    </row>
    <row r="258" ht="54" customHeight="1">
      <c r="A258" s="44" t="inlineStr">
        <is>
          <t>sevilla:photo:kapak-01</t>
        </is>
      </c>
      <c r="B258" s="44" t="inlineStr">
        <is>
          <t>https://commons.wikimedia.org/wiki/User:Holger_Uwe_Schmitt</t>
        </is>
      </c>
      <c r="C258" s="44" t="inlineStr">
        <is>
          <t>https://commons.wikimedia.org/wiki/User:Holger_Uwe_Schmitt</t>
        </is>
      </c>
      <c r="D258" s="44" t="inlineStr">
        <is>
          <t>https://upload.wikimedia.org/wikipedia/commons/1/1d/9._Mai_1929%2C_an_diesem_Tag_wurde_die_Iberoamerikanische_Ausstellung_in_Sevilla_er%C3%B6ffnet._01.jpg</t>
        </is>
      </c>
      <c r="E258" s="44" t="inlineStr">
        <is>
          <t>https://thumb.wikimedia.org/wikipedia/commons/thumb/1/1d/9._Mai_1929%2C_an_diesem_Tag_wurde_die_Iberoamerikanische_Ausstellung_in_Sevilla_er%C3%B6ffnet._01.jpg/1280px-9._Mai_1929%2C_an_diesem_Tag_wurde_die_Iberoamerikanische_Ausstellung_in_Sevilla_er%C3%B6ffnet._01.jpg</t>
        </is>
      </c>
      <c r="F258" s="53" t="n">
        <v>46320</v>
      </c>
      <c r="G258" s="44" t="inlineStr">
        <is>
          <t>Fotoğraflar/sevilla_kapak_01.jpg</t>
        </is>
      </c>
      <c r="H258" s="44" t="inlineStr">
        <is>
          <t>931993f5b1e06c6f5e9a5ecdaff97804bf4bfb6fb5048f40695d1f5246dd6e2b</t>
        </is>
      </c>
      <c r="I258" s="44" t="inlineStr">
        <is>
          <t>Teslimler/WebKopyalari/931993f5b1e06c6f5e9a5ecdaff97804bf4bfb6fb5048f40695d1f5246dd6e2b.webp</t>
        </is>
      </c>
      <c r="J258" s="44" t="inlineStr">
        <is>
          <t>54ecce4c5a0a2268e4639a0dbeed625767767fb9208d6acecc4d4f10dca6143f</t>
        </is>
      </c>
      <c r="K258" s="44" t="n">
        <v>1280</v>
      </c>
      <c r="L258" s="44" t="n">
        <v>574</v>
      </c>
      <c r="M258" s="44" t="inlineStr">
        <is>
          <t>Özgün teslim dosyası korundu. EXIF yönü uygulandı; kırpma yapılmadan en çok 1600 px, WebP kalite 84. Önceki kaynak değişiklik notları ayrıca korunur.</t>
        </is>
      </c>
      <c r="N258" s="44" t="inlineStr">
        <is>
          <t>Kayıttan doğrulandı</t>
        </is>
      </c>
      <c r="O258" s="44" t="n"/>
    </row>
    <row r="259" ht="54" customHeight="1">
      <c r="A259" s="44" t="inlineStr">
        <is>
          <t>sevilla:photo:kapak-02</t>
        </is>
      </c>
      <c r="B259" s="44" t="n"/>
      <c r="C259" s="44" t="inlineStr">
        <is>
          <t>https://commons.wikimedia.org/wiki/File:CATEDRAL_DE_SEVILLA.jpg</t>
        </is>
      </c>
      <c r="D259" s="44" t="inlineStr">
        <is>
          <t>https://upload.wikimedia.org/wikipedia/commons/a/ab/CATEDRAL_DE_SEVILLA.jpg</t>
        </is>
      </c>
      <c r="E259" s="44" t="inlineStr">
        <is>
          <t>https://thumb.wikimedia.org/wikipedia/commons/thumb/a/ab/CATEDRAL_DE_SEVILLA.jpg/1280px-CATEDRAL_DE_SEVILLA.jpg</t>
        </is>
      </c>
      <c r="F259" s="53" t="n">
        <v>46320</v>
      </c>
      <c r="G259" s="44" t="inlineStr">
        <is>
          <t>Fotoğraflar/sevilla_kapak_02.jpg</t>
        </is>
      </c>
      <c r="H259" s="44" t="inlineStr">
        <is>
          <t>2dbfca3a9cd5507924bc3ddcdf4964caf4c02ff5f75aa95471ab8fcb3ac3dede</t>
        </is>
      </c>
      <c r="I259" s="44" t="inlineStr">
        <is>
          <t>Teslimler/WebKopyalari/2dbfca3a9cd5507924bc3ddcdf4964caf4c02ff5f75aa95471ab8fcb3ac3dede.webp</t>
        </is>
      </c>
      <c r="J259" s="44" t="inlineStr">
        <is>
          <t>12294bbf52fcbbe8f36ee76ce798b1c389914038600059d633b04cfa47d78ca6</t>
        </is>
      </c>
      <c r="K259" s="44" t="n">
        <v>1280</v>
      </c>
      <c r="L259" s="44" t="n">
        <v>853</v>
      </c>
      <c r="M259" s="44" t="inlineStr">
        <is>
          <t>Özgün teslim dosyası korundu. EXIF yönü uygulandı; kırpma yapılmadan en çok 1600 px, WebP kalite 84. Önceki kaynak değişiklik notları ayrıca korunur.</t>
        </is>
      </c>
      <c r="N259" s="44" t="inlineStr">
        <is>
          <t>Eksik alan var</t>
        </is>
      </c>
      <c r="O259" s="44" t="inlineStr">
        <is>
          <t>Kaynakta ayrı fotoğrafçı profil bağlantısı bulunmadı; fotoğraf kaynak sayfasına atıf korunur. Bağlantı uydurulmaz.</t>
        </is>
      </c>
    </row>
    <row r="260" ht="54" customHeight="1">
      <c r="A260" s="44" t="inlineStr">
        <is>
          <t>sevilla:photo:kapak-03</t>
        </is>
      </c>
      <c r="B260" s="44" t="inlineStr">
        <is>
          <t>https://commons.wikimedia.org/wiki/User:Adam63</t>
        </is>
      </c>
      <c r="C260" s="44" t="inlineStr">
        <is>
          <t>https://commons.wikimedia.org/wiki/User:Adam63</t>
        </is>
      </c>
      <c r="D260" s="44" t="inlineStr">
        <is>
          <t>https://upload.wikimedia.org/wikipedia/commons/f/fe/Bridge_with_Jacaranda_Tree_in_Bloom_-_Seville_-_Spain.jpg</t>
        </is>
      </c>
      <c r="E260" s="44" t="inlineStr">
        <is>
          <t>https://thumb.wikimedia.org/wikipedia/commons/thumb/f/fe/Bridge_with_Jacaranda_Tree_in_Bloom_-_Seville_-_Spain.jpg/1280px-Bridge_with_Jacaranda_Tree_in_Bloom_-_Seville_-_Spain.jpg</t>
        </is>
      </c>
      <c r="F260" s="53" t="n">
        <v>46320</v>
      </c>
      <c r="G260" s="44" t="inlineStr">
        <is>
          <t>Fotoğraflar/sevilla_kapak_03.jpg</t>
        </is>
      </c>
      <c r="H260" s="44" t="inlineStr">
        <is>
          <t>3ef99414f915c060326e46c7dfc55c3d0c8644fc91f582ec19cd1d6f97ae3d5b</t>
        </is>
      </c>
      <c r="I260" s="44" t="inlineStr">
        <is>
          <t>Teslimler/WebKopyalari/3ef99414f915c060326e46c7dfc55c3d0c8644fc91f582ec19cd1d6f97ae3d5b.webp</t>
        </is>
      </c>
      <c r="J260" s="44" t="inlineStr">
        <is>
          <t>5131197593a3411d279e0fb1500e28b402bfffc00386a7bf927eadb0e957ee1f</t>
        </is>
      </c>
      <c r="K260" s="44" t="n">
        <v>1280</v>
      </c>
      <c r="L260" s="44" t="n">
        <v>853</v>
      </c>
      <c r="M260" s="44" t="inlineStr">
        <is>
          <t>Özgün teslim dosyası korundu. EXIF yönü uygulandı; kırpma yapılmadan en çok 1600 px, WebP kalite 84. Önceki kaynak değişiklik notları ayrıca korunur.</t>
        </is>
      </c>
      <c r="N260" s="44" t="inlineStr">
        <is>
          <t>Kayıttan doğrulandı</t>
        </is>
      </c>
      <c r="O260" s="44" t="n"/>
    </row>
    <row r="261" ht="54" customHeight="1">
      <c r="A261" s="44" t="inlineStr">
        <is>
          <t>sevilla:photo:kapak-04</t>
        </is>
      </c>
      <c r="B261" s="44" t="inlineStr">
        <is>
          <t>https://commons.wikimedia.org/wiki/User:Massalim</t>
        </is>
      </c>
      <c r="C261" s="44" t="inlineStr">
        <is>
          <t>https://commons.wikimedia.org/wiki/User:Massalim</t>
        </is>
      </c>
      <c r="D261" s="44" t="inlineStr">
        <is>
          <t>https://upload.wikimedia.org/wikipedia/commons/a/a1/Andaluc%C3%ADa%2C_Sevilla%2C_plaza_de_America_%2816488311286%29.jpg</t>
        </is>
      </c>
      <c r="E261" s="44" t="inlineStr">
        <is>
          <t>https://thumb.wikimedia.org/wikipedia/commons/thumb/a/a1/Andaluc%C3%ADa%2C_Sevilla%2C_plaza_de_America_%2816488311286%29.jpg/1280px-Andaluc%C3%ADa%2C_Sevilla%2C_plaza_de_America_%2816488311286%29.jpg</t>
        </is>
      </c>
      <c r="F261" s="53" t="n">
        <v>46320</v>
      </c>
      <c r="G261" s="44" t="inlineStr">
        <is>
          <t>Fotoğraflar/sevilla_kapak_04.jpg</t>
        </is>
      </c>
      <c r="H261" s="44" t="inlineStr">
        <is>
          <t>6a35efd62fb5f61d58af688d5d72137a1af47a33b0cb859ee686e8469032be30</t>
        </is>
      </c>
      <c r="I261" s="44" t="inlineStr">
        <is>
          <t>Teslimler/WebKopyalari/6a35efd62fb5f61d58af688d5d72137a1af47a33b0cb859ee686e8469032be30.webp</t>
        </is>
      </c>
      <c r="J261" s="44" t="inlineStr">
        <is>
          <t>dc76008f71bd6e9f5992878a95dd73ddc52cf25768507c3926efa77a3163097c</t>
        </is>
      </c>
      <c r="K261" s="44" t="n">
        <v>1280</v>
      </c>
      <c r="L261" s="44" t="n">
        <v>848</v>
      </c>
      <c r="M261" s="44" t="inlineStr">
        <is>
          <t>Özgün teslim dosyası korundu. EXIF yönü uygulandı; kırpma yapılmadan en çok 1600 px, WebP kalite 84. Önceki kaynak değişiklik notları ayrıca korunur.</t>
        </is>
      </c>
      <c r="N261" s="44" t="inlineStr">
        <is>
          <t>Kayıttan doğrulandı</t>
        </is>
      </c>
      <c r="O261" s="44" t="n"/>
    </row>
    <row r="262" ht="54" customHeight="1">
      <c r="A262" s="44" t="inlineStr">
        <is>
          <t>sevilla:photo:kapak-05</t>
        </is>
      </c>
      <c r="B262" s="44" t="inlineStr">
        <is>
          <t>https://commons.wikimedia.org/wiki/User:CarlosVdeHabsburgo</t>
        </is>
      </c>
      <c r="C262" s="44" t="inlineStr">
        <is>
          <t>https://commons.wikimedia.org/wiki/User:CarlosVdeHabsburgo</t>
        </is>
      </c>
      <c r="D262" s="44" t="inlineStr">
        <is>
          <t>https://upload.wikimedia.org/wikipedia/commons/1/1c/Barcos_en_el_Guadalquivir.jpg</t>
        </is>
      </c>
      <c r="E262" s="44" t="inlineStr">
        <is>
          <t>https://thumb.wikimedia.org/wikipedia/commons/thumb/1/1c/Barcos_en_el_Guadalquivir.jpg/1280px-Barcos_en_el_Guadalquivir.jpg</t>
        </is>
      </c>
      <c r="F262" s="53" t="n">
        <v>46320</v>
      </c>
      <c r="G262" s="44" t="inlineStr">
        <is>
          <t>Fotoğraflar/sevilla_kapak_05.jpg</t>
        </is>
      </c>
      <c r="H262" s="44" t="inlineStr">
        <is>
          <t>de71278d170c7023c7c00409de13ac18c07f812d3d2d082c33f326016b390890</t>
        </is>
      </c>
      <c r="I262" s="44" t="inlineStr">
        <is>
          <t>Teslimler/WebKopyalari/de71278d170c7023c7c00409de13ac18c07f812d3d2d082c33f326016b390890.webp</t>
        </is>
      </c>
      <c r="J262" s="44" t="inlineStr">
        <is>
          <t>618c0758a6722afc82aa166639f49d29306c9f1a08c7674b03c8f6811a133aaa</t>
        </is>
      </c>
      <c r="K262" s="44" t="n">
        <v>1280</v>
      </c>
      <c r="L262" s="44" t="n">
        <v>960</v>
      </c>
      <c r="M262" s="44" t="inlineStr">
        <is>
          <t>Özgün teslim dosyası korundu. EXIF yönü uygulandı; kırpma yapılmadan en çok 1600 px, WebP kalite 84. Önceki kaynak değişiklik notları ayrıca korunur.</t>
        </is>
      </c>
      <c r="N262" s="44" t="inlineStr">
        <is>
          <t>Kayıttan doğrulandı</t>
        </is>
      </c>
      <c r="O262" s="44" t="n"/>
    </row>
    <row r="263" ht="54" customHeight="1">
      <c r="A263" s="44" t="inlineStr">
        <is>
          <t>sevilla:photo:kapak-06</t>
        </is>
      </c>
      <c r="B263" s="44" t="inlineStr">
        <is>
          <t>https://www.flickr.com/people/32248854@N00</t>
        </is>
      </c>
      <c r="C263" s="44" t="inlineStr">
        <is>
          <t>https://www.flickr.com/people/32248854@N00</t>
        </is>
      </c>
      <c r="D263" s="44" t="inlineStr">
        <is>
          <t>https://upload.wikimedia.org/wikipedia/commons/1/10/Andalucia-01-0062_%288086361611%29.jpg</t>
        </is>
      </c>
      <c r="E263" s="44" t="inlineStr">
        <is>
          <t>https://thumb.wikimedia.org/wikipedia/commons/thumb/1/10/Andalucia-01-0062_%288086361611%29.jpg/1280px-Andalucia-01-0062_%288086361611%29.jpg</t>
        </is>
      </c>
      <c r="F263" s="53" t="n">
        <v>46320</v>
      </c>
      <c r="G263" s="44" t="inlineStr">
        <is>
          <t>Fotoğraflar/sevilla_kapak_06.jpg</t>
        </is>
      </c>
      <c r="H263" s="44" t="inlineStr">
        <is>
          <t>41635123510449125b72ad2e6ae69fd302ac901c331b304329f9fb030e24d63f</t>
        </is>
      </c>
      <c r="I263" s="44" t="inlineStr">
        <is>
          <t>Teslimler/WebKopyalari/41635123510449125b72ad2e6ae69fd302ac901c331b304329f9fb030e24d63f.webp</t>
        </is>
      </c>
      <c r="J263" s="44" t="inlineStr">
        <is>
          <t>d776bb591c6253d841817d20b67af43965b47435a5eab8e19079eb73a54c6e3e</t>
        </is>
      </c>
      <c r="K263" s="44" t="n">
        <v>1280</v>
      </c>
      <c r="L263" s="44" t="n">
        <v>857</v>
      </c>
      <c r="M263" s="44" t="inlineStr">
        <is>
          <t>Özgün teslim dosyası korundu. EXIF yönü uygulandı; kırpma yapılmadan en çok 1600 px, WebP kalite 84. Önceki kaynak değişiklik notları ayrıca korunur.</t>
        </is>
      </c>
      <c r="N263" s="44" t="inlineStr">
        <is>
          <t>Kayıttan doğrulandı</t>
        </is>
      </c>
      <c r="O263" s="44" t="n"/>
    </row>
    <row r="264" ht="54" customHeight="1">
      <c r="A264" s="44" t="inlineStr">
        <is>
          <t>sevilla:photo:kapak-07</t>
        </is>
      </c>
      <c r="B264" s="44" t="n"/>
      <c r="C264" s="44" t="inlineStr">
        <is>
          <t>https://commons.wikimedia.org/wiki/File:Palacio_San_Telmo_de_Sevilla.jpg</t>
        </is>
      </c>
      <c r="D264" s="44" t="inlineStr">
        <is>
          <t>https://upload.wikimedia.org/wikipedia/commons/1/16/Palacio_San_Telmo_de_Sevilla.jpg</t>
        </is>
      </c>
      <c r="E264" s="44" t="inlineStr">
        <is>
          <t>https://thumb.wikimedia.org/wikipedia/commons/thumb/1/16/Palacio_San_Telmo_de_Sevilla.jpg/1280px-Palacio_San_Telmo_de_Sevilla.jpg</t>
        </is>
      </c>
      <c r="F264" s="53" t="n">
        <v>46320</v>
      </c>
      <c r="G264" s="44" t="inlineStr">
        <is>
          <t>Fotoğraflar/sevilla_kapak_07.jpg</t>
        </is>
      </c>
      <c r="H264" s="44" t="inlineStr">
        <is>
          <t>3b015c3b3a8c7d5839acbb477cb71cc8b8812983d7ab5fe4ce40057bbfb56aba</t>
        </is>
      </c>
      <c r="I264" s="44" t="inlineStr">
        <is>
          <t>Teslimler/WebKopyalari/3b015c3b3a8c7d5839acbb477cb71cc8b8812983d7ab5fe4ce40057bbfb56aba.webp</t>
        </is>
      </c>
      <c r="J264" s="44" t="inlineStr">
        <is>
          <t>9af050a90c68adbc56e33a7da57261e205f758c0d294dbfad9f0f3cbfee28d29</t>
        </is>
      </c>
      <c r="K264" s="44" t="n">
        <v>1280</v>
      </c>
      <c r="L264" s="44" t="n">
        <v>853</v>
      </c>
      <c r="M264" s="44" t="inlineStr">
        <is>
          <t>Özgün teslim dosyası korundu. EXIF yönü uygulandı; kırpma yapılmadan en çok 1600 px, WebP kalite 84. Önceki kaynak değişiklik notları ayrıca korunur.</t>
        </is>
      </c>
      <c r="N264" s="44" t="inlineStr">
        <is>
          <t>Eksik alan var</t>
        </is>
      </c>
      <c r="O264" s="44" t="inlineStr">
        <is>
          <t>Kaynakta ayrı fotoğrafçı profil bağlantısı bulunmadı; fotoğraf kaynak sayfasına atıf korunur. Bağlantı uydurulmaz.</t>
        </is>
      </c>
    </row>
    <row r="265" ht="54" customHeight="1">
      <c r="A265" s="44" t="inlineStr">
        <is>
          <t>sevilla:photo:kapak-08</t>
        </is>
      </c>
      <c r="B265" s="44" t="inlineStr">
        <is>
          <t>https://commons.wikimedia.org/wiki/User:Chabe01</t>
        </is>
      </c>
      <c r="C265" s="44" t="inlineStr">
        <is>
          <t>https://commons.wikimedia.org/wiki/User:Chabe01</t>
        </is>
      </c>
      <c r="D265" s="44" t="inlineStr">
        <is>
          <t>https://upload.wikimedia.org/wikipedia/commons/d/d2/Alameda_H%C3%A9rcules_-_S%C3%A9ville_%28ES-SE%29_-_2023-04-24_-_1.jpg</t>
        </is>
      </c>
      <c r="E265" s="44" t="inlineStr">
        <is>
          <t>https://thumb.wikimedia.org/wikipedia/commons/thumb/d/d2/Alameda_H%C3%A9rcules_-_S%C3%A9ville_%28ES-SE%29_-_2023-04-24_-_1.jpg/1280px-Alameda_H%C3%A9rcules_-_S%C3%A9ville_%28ES-SE%29_-_2023-04-24_-_1.jpg</t>
        </is>
      </c>
      <c r="F265" s="53" t="n">
        <v>46320</v>
      </c>
      <c r="G265" s="44" t="inlineStr">
        <is>
          <t>Fotoğraflar/sevilla_kapak_08.jpg</t>
        </is>
      </c>
      <c r="H265" s="44" t="inlineStr">
        <is>
          <t>f0d69c26993dfa07e671917e2607329a20873b7d44b368ea288904370731f868</t>
        </is>
      </c>
      <c r="I265" s="44" t="inlineStr">
        <is>
          <t>Teslimler/WebKopyalari/f0d69c26993dfa07e671917e2607329a20873b7d44b368ea288904370731f868.webp</t>
        </is>
      </c>
      <c r="J265" s="44" t="inlineStr">
        <is>
          <t>2ba71861c52c8fcc2f88d003540630a657273188f29a657128f25c2d6727d7ec</t>
        </is>
      </c>
      <c r="K265" s="44" t="n">
        <v>1280</v>
      </c>
      <c r="L265" s="44" t="n">
        <v>960</v>
      </c>
      <c r="M265" s="44" t="inlineStr">
        <is>
          <t>Özgün teslim dosyası korundu. EXIF yönü uygulandı; kırpma yapılmadan en çok 1600 px, WebP kalite 84. Önceki kaynak değişiklik notları ayrıca korunur.</t>
        </is>
      </c>
      <c r="N265" s="44" t="inlineStr">
        <is>
          <t>Kayıttan doğrulandı</t>
        </is>
      </c>
      <c r="O265" s="44" t="n"/>
    </row>
    <row r="266" ht="54" customHeight="1">
      <c r="A266" s="44" t="n"/>
      <c r="B266" s="44" t="n"/>
      <c r="C266" s="44" t="n"/>
      <c r="D266" s="44" t="n"/>
      <c r="E266" s="44" t="n"/>
      <c r="F266" s="44" t="n"/>
      <c r="G266" s="44" t="n"/>
      <c r="H266" s="44" t="n"/>
      <c r="I266" s="44" t="n"/>
      <c r="J266" s="44" t="n"/>
      <c r="K266" s="44" t="n"/>
      <c r="L266" s="44" t="n"/>
      <c r="M266" s="44" t="n"/>
      <c r="N266" s="44" t="n"/>
      <c r="O266" s="44" t="n"/>
    </row>
    <row r="267" ht="54" customHeight="1">
      <c r="A267" s="44" t="n"/>
      <c r="B267" s="44" t="n"/>
      <c r="C267" s="44" t="n"/>
      <c r="D267" s="44" t="n"/>
      <c r="E267" s="44" t="n"/>
      <c r="F267" s="44" t="n"/>
      <c r="G267" s="44" t="n"/>
      <c r="H267" s="44" t="n"/>
      <c r="I267" s="44" t="n"/>
      <c r="J267" s="44" t="n"/>
      <c r="K267" s="44" t="n"/>
      <c r="L267" s="44" t="n"/>
      <c r="M267" s="44" t="n"/>
      <c r="N267" s="44" t="n"/>
      <c r="O267" s="44" t="n"/>
    </row>
    <row r="268" ht="54" customHeight="1">
      <c r="A268" s="44" t="n"/>
      <c r="B268" s="44" t="n"/>
      <c r="C268" s="44" t="n"/>
      <c r="D268" s="44" t="n"/>
      <c r="E268" s="44" t="n"/>
      <c r="F268" s="44" t="n"/>
      <c r="G268" s="44" t="n"/>
      <c r="H268" s="44" t="n"/>
      <c r="I268" s="44" t="n"/>
      <c r="J268" s="44" t="n"/>
      <c r="K268" s="44" t="n"/>
      <c r="L268" s="44" t="n"/>
      <c r="M268" s="44" t="n"/>
      <c r="N268" s="44" t="n"/>
      <c r="O268" s="44" t="n"/>
    </row>
    <row r="269" ht="54" customHeight="1">
      <c r="A269" s="44" t="n"/>
      <c r="B269" s="44" t="n"/>
      <c r="C269" s="44" t="n"/>
      <c r="D269" s="44" t="n"/>
      <c r="E269" s="44" t="n"/>
      <c r="F269" s="44" t="n"/>
      <c r="G269" s="44" t="n"/>
      <c r="H269" s="44" t="n"/>
      <c r="I269" s="44" t="n"/>
      <c r="J269" s="44" t="n"/>
      <c r="K269" s="44" t="n"/>
      <c r="L269" s="44" t="n"/>
      <c r="M269" s="44" t="n"/>
      <c r="N269" s="44" t="n"/>
      <c r="O269" s="44" t="n"/>
    </row>
    <row r="270" ht="54" customHeight="1">
      <c r="A270" s="44" t="n"/>
      <c r="B270" s="44" t="n"/>
      <c r="C270" s="44" t="n"/>
      <c r="D270" s="44" t="n"/>
      <c r="E270" s="44" t="n"/>
      <c r="F270" s="44" t="n"/>
      <c r="G270" s="44" t="n"/>
      <c r="H270" s="44" t="n"/>
      <c r="I270" s="44" t="n"/>
      <c r="J270" s="44" t="n"/>
      <c r="K270" s="44" t="n"/>
      <c r="L270" s="44" t="n"/>
      <c r="M270" s="44" t="n"/>
      <c r="N270" s="44" t="n"/>
      <c r="O270" s="44" t="n"/>
    </row>
    <row r="271" ht="54" customHeight="1">
      <c r="A271" s="44" t="n"/>
      <c r="B271" s="44" t="n"/>
      <c r="C271" s="44" t="n"/>
      <c r="D271" s="44" t="n"/>
      <c r="E271" s="44" t="n"/>
      <c r="F271" s="44" t="n"/>
      <c r="G271" s="44" t="n"/>
      <c r="H271" s="44" t="n"/>
      <c r="I271" s="44" t="n"/>
      <c r="J271" s="44" t="n"/>
      <c r="K271" s="44" t="n"/>
      <c r="L271" s="44" t="n"/>
      <c r="M271" s="44" t="n"/>
      <c r="N271" s="44" t="n"/>
      <c r="O271" s="44" t="n"/>
    </row>
    <row r="272" ht="54" customHeight="1">
      <c r="A272" s="44" t="n"/>
      <c r="B272" s="44" t="n"/>
      <c r="C272" s="44" t="n"/>
      <c r="D272" s="44" t="n"/>
      <c r="E272" s="44" t="n"/>
      <c r="F272" s="44" t="n"/>
      <c r="G272" s="44" t="n"/>
      <c r="H272" s="44" t="n"/>
      <c r="I272" s="44" t="n"/>
      <c r="J272" s="44" t="n"/>
      <c r="K272" s="44" t="n"/>
      <c r="L272" s="44" t="n"/>
      <c r="M272" s="44" t="n"/>
      <c r="N272" s="44" t="n"/>
      <c r="O272" s="44" t="n"/>
    </row>
    <row r="273" ht="54" customHeight="1">
      <c r="A273" s="44" t="n"/>
      <c r="B273" s="44" t="n"/>
      <c r="C273" s="44" t="n"/>
      <c r="D273" s="44" t="n"/>
      <c r="E273" s="44" t="n"/>
      <c r="F273" s="44" t="n"/>
      <c r="G273" s="44" t="n"/>
      <c r="H273" s="44" t="n"/>
      <c r="I273" s="44" t="n"/>
      <c r="J273" s="44" t="n"/>
      <c r="K273" s="44" t="n"/>
      <c r="L273" s="44" t="n"/>
      <c r="M273" s="44" t="n"/>
      <c r="N273" s="44" t="n"/>
      <c r="O273" s="44" t="n"/>
    </row>
    <row r="274" ht="54" customHeight="1">
      <c r="A274" s="44" t="n"/>
      <c r="B274" s="44" t="n"/>
      <c r="C274" s="44" t="n"/>
      <c r="D274" s="44" t="n"/>
      <c r="E274" s="44" t="n"/>
      <c r="F274" s="44" t="n"/>
      <c r="G274" s="44" t="n"/>
      <c r="H274" s="44" t="n"/>
      <c r="I274" s="44" t="n"/>
      <c r="J274" s="44" t="n"/>
      <c r="K274" s="44" t="n"/>
      <c r="L274" s="44" t="n"/>
      <c r="M274" s="44" t="n"/>
      <c r="N274" s="44" t="n"/>
      <c r="O274" s="44" t="n"/>
    </row>
    <row r="275" ht="54" customHeight="1">
      <c r="A275" s="44" t="n"/>
      <c r="B275" s="44" t="n"/>
      <c r="C275" s="44" t="n"/>
      <c r="D275" s="44" t="n"/>
      <c r="E275" s="44" t="n"/>
      <c r="F275" s="44" t="n"/>
      <c r="G275" s="44" t="n"/>
      <c r="H275" s="44" t="n"/>
      <c r="I275" s="44" t="n"/>
      <c r="J275" s="44" t="n"/>
      <c r="K275" s="44" t="n"/>
      <c r="L275" s="44" t="n"/>
      <c r="M275" s="44" t="n"/>
      <c r="N275" s="44" t="n"/>
      <c r="O275" s="44" t="n"/>
    </row>
    <row r="276" ht="54" customHeight="1">
      <c r="A276" s="44" t="n"/>
      <c r="B276" s="44" t="n"/>
      <c r="C276" s="44" t="n"/>
      <c r="D276" s="44" t="n"/>
      <c r="E276" s="44" t="n"/>
      <c r="F276" s="44" t="n"/>
      <c r="G276" s="44" t="n"/>
      <c r="H276" s="44" t="n"/>
      <c r="I276" s="44" t="n"/>
      <c r="J276" s="44" t="n"/>
      <c r="K276" s="44" t="n"/>
      <c r="L276" s="44" t="n"/>
      <c r="M276" s="44" t="n"/>
      <c r="N276" s="44" t="n"/>
      <c r="O276" s="44" t="n"/>
    </row>
    <row r="277" ht="54" customHeight="1">
      <c r="A277" s="44" t="n"/>
      <c r="B277" s="44" t="n"/>
      <c r="C277" s="44" t="n"/>
      <c r="D277" s="44" t="n"/>
      <c r="E277" s="44" t="n"/>
      <c r="F277" s="44" t="n"/>
      <c r="G277" s="44" t="n"/>
      <c r="H277" s="44" t="n"/>
      <c r="I277" s="44" t="n"/>
      <c r="J277" s="44" t="n"/>
      <c r="K277" s="44" t="n"/>
      <c r="L277" s="44" t="n"/>
      <c r="M277" s="44" t="n"/>
      <c r="N277" s="44" t="n"/>
      <c r="O277" s="44" t="n"/>
    </row>
    <row r="278" ht="54" customHeight="1">
      <c r="A278" s="44" t="n"/>
      <c r="B278" s="44" t="n"/>
      <c r="C278" s="44" t="n"/>
      <c r="D278" s="44" t="n"/>
      <c r="E278" s="44" t="n"/>
      <c r="F278" s="44" t="n"/>
      <c r="G278" s="44" t="n"/>
      <c r="H278" s="44" t="n"/>
      <c r="I278" s="44" t="n"/>
      <c r="J278" s="44" t="n"/>
      <c r="K278" s="44" t="n"/>
      <c r="L278" s="44" t="n"/>
      <c r="M278" s="44" t="n"/>
      <c r="N278" s="44" t="n"/>
      <c r="O278" s="44" t="n"/>
    </row>
    <row r="279" ht="54" customHeight="1">
      <c r="A279" s="44" t="n"/>
      <c r="B279" s="44" t="n"/>
      <c r="C279" s="44" t="n"/>
      <c r="D279" s="44" t="n"/>
      <c r="E279" s="44" t="n"/>
      <c r="F279" s="44" t="n"/>
      <c r="G279" s="44" t="n"/>
      <c r="H279" s="44" t="n"/>
      <c r="I279" s="44" t="n"/>
      <c r="J279" s="44" t="n"/>
      <c r="K279" s="44" t="n"/>
      <c r="L279" s="44" t="n"/>
      <c r="M279" s="44" t="n"/>
      <c r="N279" s="44" t="n"/>
      <c r="O279" s="44" t="n"/>
    </row>
    <row r="280" ht="54" customHeight="1">
      <c r="A280" s="44" t="n"/>
      <c r="B280" s="44" t="n"/>
      <c r="C280" s="44" t="n"/>
      <c r="D280" s="44" t="n"/>
      <c r="E280" s="44" t="n"/>
      <c r="F280" s="44" t="n"/>
      <c r="G280" s="44" t="n"/>
      <c r="H280" s="44" t="n"/>
      <c r="I280" s="44" t="n"/>
      <c r="J280" s="44" t="n"/>
      <c r="K280" s="44" t="n"/>
      <c r="L280" s="44" t="n"/>
      <c r="M280" s="44" t="n"/>
      <c r="N280" s="44" t="n"/>
      <c r="O280" s="44" t="n"/>
    </row>
    <row r="281" ht="54" customHeight="1">
      <c r="A281" s="44" t="n"/>
      <c r="B281" s="44" t="n"/>
      <c r="C281" s="44" t="n"/>
      <c r="D281" s="44" t="n"/>
      <c r="E281" s="44" t="n"/>
      <c r="F281" s="44" t="n"/>
      <c r="G281" s="44" t="n"/>
      <c r="H281" s="44" t="n"/>
      <c r="I281" s="44" t="n"/>
      <c r="J281" s="44" t="n"/>
      <c r="K281" s="44" t="n"/>
      <c r="L281" s="44" t="n"/>
      <c r="M281" s="44" t="n"/>
      <c r="N281" s="44" t="n"/>
      <c r="O281" s="44" t="n"/>
    </row>
    <row r="282" ht="54" customHeight="1">
      <c r="A282" s="44" t="n"/>
      <c r="B282" s="44" t="n"/>
      <c r="C282" s="44" t="n"/>
      <c r="D282" s="44" t="n"/>
      <c r="E282" s="44" t="n"/>
      <c r="F282" s="44" t="n"/>
      <c r="G282" s="44" t="n"/>
      <c r="H282" s="44" t="n"/>
      <c r="I282" s="44" t="n"/>
      <c r="J282" s="44" t="n"/>
      <c r="K282" s="44" t="n"/>
      <c r="L282" s="44" t="n"/>
      <c r="M282" s="44" t="n"/>
      <c r="N282" s="44" t="n"/>
      <c r="O282" s="44" t="n"/>
    </row>
    <row r="283" ht="54" customHeight="1">
      <c r="A283" s="44" t="n"/>
      <c r="B283" s="44" t="n"/>
      <c r="C283" s="44" t="n"/>
      <c r="D283" s="44" t="n"/>
      <c r="E283" s="44" t="n"/>
      <c r="F283" s="44" t="n"/>
      <c r="G283" s="44" t="n"/>
      <c r="H283" s="44" t="n"/>
      <c r="I283" s="44" t="n"/>
      <c r="J283" s="44" t="n"/>
      <c r="K283" s="44" t="n"/>
      <c r="L283" s="44" t="n"/>
      <c r="M283" s="44" t="n"/>
      <c r="N283" s="44" t="n"/>
      <c r="O283" s="44" t="n"/>
    </row>
    <row r="284" ht="54" customHeight="1">
      <c r="A284" s="44" t="n"/>
      <c r="B284" s="44" t="n"/>
      <c r="C284" s="44" t="n"/>
      <c r="D284" s="44" t="n"/>
      <c r="E284" s="44" t="n"/>
      <c r="F284" s="44" t="n"/>
      <c r="G284" s="44" t="n"/>
      <c r="H284" s="44" t="n"/>
      <c r="I284" s="44" t="n"/>
      <c r="J284" s="44" t="n"/>
      <c r="K284" s="44" t="n"/>
      <c r="L284" s="44" t="n"/>
      <c r="M284" s="44" t="n"/>
      <c r="N284" s="44" t="n"/>
      <c r="O284" s="44" t="n"/>
    </row>
    <row r="285" ht="54" customHeight="1">
      <c r="A285" s="44" t="n"/>
      <c r="B285" s="44" t="n"/>
      <c r="C285" s="44" t="n"/>
      <c r="D285" s="44" t="n"/>
      <c r="E285" s="44" t="n"/>
      <c r="F285" s="44" t="n"/>
      <c r="G285" s="44" t="n"/>
      <c r="H285" s="44" t="n"/>
      <c r="I285" s="44" t="n"/>
      <c r="J285" s="44" t="n"/>
      <c r="K285" s="44" t="n"/>
      <c r="L285" s="44" t="n"/>
      <c r="M285" s="44" t="n"/>
      <c r="N285" s="44" t="n"/>
      <c r="O285" s="44" t="n"/>
    </row>
    <row r="286" ht="54" customHeight="1">
      <c r="A286" s="44" t="n"/>
      <c r="B286" s="44" t="n"/>
      <c r="C286" s="44" t="n"/>
      <c r="D286" s="44" t="n"/>
      <c r="E286" s="44" t="n"/>
      <c r="F286" s="44" t="n"/>
      <c r="G286" s="44" t="n"/>
      <c r="H286" s="44" t="n"/>
      <c r="I286" s="44" t="n"/>
      <c r="J286" s="44" t="n"/>
      <c r="K286" s="44" t="n"/>
      <c r="L286" s="44" t="n"/>
      <c r="M286" s="44" t="n"/>
      <c r="N286" s="44" t="n"/>
      <c r="O286" s="44" t="n"/>
    </row>
    <row r="287" ht="54" customHeight="1">
      <c r="A287" s="44" t="n"/>
      <c r="B287" s="44" t="n"/>
      <c r="C287" s="44" t="n"/>
      <c r="D287" s="44" t="n"/>
      <c r="E287" s="44" t="n"/>
      <c r="F287" s="44" t="n"/>
      <c r="G287" s="44" t="n"/>
      <c r="H287" s="44" t="n"/>
      <c r="I287" s="44" t="n"/>
      <c r="J287" s="44" t="n"/>
      <c r="K287" s="44" t="n"/>
      <c r="L287" s="44" t="n"/>
      <c r="M287" s="44" t="n"/>
      <c r="N287" s="44" t="n"/>
      <c r="O287" s="44" t="n"/>
    </row>
    <row r="288" ht="54" customHeight="1">
      <c r="A288" s="44" t="n"/>
      <c r="B288" s="44" t="n"/>
      <c r="C288" s="44" t="n"/>
      <c r="D288" s="44" t="n"/>
      <c r="E288" s="44" t="n"/>
      <c r="F288" s="44" t="n"/>
      <c r="G288" s="44" t="n"/>
      <c r="H288" s="44" t="n"/>
      <c r="I288" s="44" t="n"/>
      <c r="J288" s="44" t="n"/>
      <c r="K288" s="44" t="n"/>
      <c r="L288" s="44" t="n"/>
      <c r="M288" s="44" t="n"/>
      <c r="N288" s="44" t="n"/>
      <c r="O288" s="44" t="n"/>
    </row>
    <row r="289" ht="54" customHeight="1">
      <c r="A289" s="44" t="n"/>
      <c r="B289" s="44" t="n"/>
      <c r="C289" s="44" t="n"/>
      <c r="D289" s="44" t="n"/>
      <c r="E289" s="44" t="n"/>
      <c r="F289" s="44" t="n"/>
      <c r="G289" s="44" t="n"/>
      <c r="H289" s="44" t="n"/>
      <c r="I289" s="44" t="n"/>
      <c r="J289" s="44" t="n"/>
      <c r="K289" s="44" t="n"/>
      <c r="L289" s="44" t="n"/>
      <c r="M289" s="44" t="n"/>
      <c r="N289" s="44" t="n"/>
      <c r="O289" s="44" t="n"/>
    </row>
    <row r="290" ht="54" customHeight="1">
      <c r="A290" s="44" t="n"/>
      <c r="B290" s="44" t="n"/>
      <c r="C290" s="44" t="n"/>
      <c r="D290" s="44" t="n"/>
      <c r="E290" s="44" t="n"/>
      <c r="F290" s="44" t="n"/>
      <c r="G290" s="44" t="n"/>
      <c r="H290" s="44" t="n"/>
      <c r="I290" s="44" t="n"/>
      <c r="J290" s="44" t="n"/>
      <c r="K290" s="44" t="n"/>
      <c r="L290" s="44" t="n"/>
      <c r="M290" s="44" t="n"/>
      <c r="N290" s="44" t="n"/>
      <c r="O290" s="44" t="n"/>
    </row>
    <row r="291" ht="54" customHeight="1">
      <c r="A291" s="44" t="n"/>
      <c r="B291" s="44" t="n"/>
      <c r="C291" s="44" t="n"/>
      <c r="D291" s="44" t="n"/>
      <c r="E291" s="44" t="n"/>
      <c r="F291" s="44" t="n"/>
      <c r="G291" s="44" t="n"/>
      <c r="H291" s="44" t="n"/>
      <c r="I291" s="44" t="n"/>
      <c r="J291" s="44" t="n"/>
      <c r="K291" s="44" t="n"/>
      <c r="L291" s="44" t="n"/>
      <c r="M291" s="44" t="n"/>
      <c r="N291" s="44" t="n"/>
      <c r="O291" s="44" t="n"/>
    </row>
    <row r="292" ht="54" customHeight="1">
      <c r="A292" s="44" t="n"/>
      <c r="B292" s="44" t="n"/>
      <c r="C292" s="44" t="n"/>
      <c r="D292" s="44" t="n"/>
      <c r="E292" s="44" t="n"/>
      <c r="F292" s="44" t="n"/>
      <c r="G292" s="44" t="n"/>
      <c r="H292" s="44" t="n"/>
      <c r="I292" s="44" t="n"/>
      <c r="J292" s="44" t="n"/>
      <c r="K292" s="44" t="n"/>
      <c r="L292" s="44" t="n"/>
      <c r="M292" s="44" t="n"/>
      <c r="N292" s="44" t="n"/>
      <c r="O292" s="44" t="n"/>
    </row>
    <row r="293" ht="54" customHeight="1">
      <c r="A293" s="44" t="n"/>
      <c r="B293" s="44" t="n"/>
      <c r="C293" s="44" t="n"/>
      <c r="D293" s="44" t="n"/>
      <c r="E293" s="44" t="n"/>
      <c r="F293" s="44" t="n"/>
      <c r="G293" s="44" t="n"/>
      <c r="H293" s="44" t="n"/>
      <c r="I293" s="44" t="n"/>
      <c r="J293" s="44" t="n"/>
      <c r="K293" s="44" t="n"/>
      <c r="L293" s="44" t="n"/>
      <c r="M293" s="44" t="n"/>
      <c r="N293" s="44" t="n"/>
      <c r="O293" s="44" t="n"/>
    </row>
    <row r="294" ht="54" customHeight="1">
      <c r="A294" s="44" t="n"/>
      <c r="B294" s="44" t="n"/>
      <c r="C294" s="44" t="n"/>
      <c r="D294" s="44" t="n"/>
      <c r="E294" s="44" t="n"/>
      <c r="F294" s="44" t="n"/>
      <c r="G294" s="44" t="n"/>
      <c r="H294" s="44" t="n"/>
      <c r="I294" s="44" t="n"/>
      <c r="J294" s="44" t="n"/>
      <c r="K294" s="44" t="n"/>
      <c r="L294" s="44" t="n"/>
      <c r="M294" s="44" t="n"/>
      <c r="N294" s="44" t="n"/>
      <c r="O294" s="44" t="n"/>
    </row>
    <row r="295" ht="54" customHeight="1">
      <c r="A295" s="44" t="n"/>
      <c r="B295" s="44" t="n"/>
      <c r="C295" s="44" t="n"/>
      <c r="D295" s="44" t="n"/>
      <c r="E295" s="44" t="n"/>
      <c r="F295" s="44" t="n"/>
      <c r="G295" s="44" t="n"/>
      <c r="H295" s="44" t="n"/>
      <c r="I295" s="44" t="n"/>
      <c r="J295" s="44" t="n"/>
      <c r="K295" s="44" t="n"/>
      <c r="L295" s="44" t="n"/>
      <c r="M295" s="44" t="n"/>
      <c r="N295" s="44" t="n"/>
      <c r="O295" s="44" t="n"/>
    </row>
    <row r="296" ht="54" customHeight="1">
      <c r="A296" s="44" t="n"/>
      <c r="B296" s="44" t="n"/>
      <c r="C296" s="44" t="n"/>
      <c r="D296" s="44" t="n"/>
      <c r="E296" s="44" t="n"/>
      <c r="F296" s="44" t="n"/>
      <c r="G296" s="44" t="n"/>
      <c r="H296" s="44" t="n"/>
      <c r="I296" s="44" t="n"/>
      <c r="J296" s="44" t="n"/>
      <c r="K296" s="44" t="n"/>
      <c r="L296" s="44" t="n"/>
      <c r="M296" s="44" t="n"/>
      <c r="N296" s="44" t="n"/>
      <c r="O296" s="44" t="n"/>
    </row>
    <row r="297" ht="54" customHeight="1">
      <c r="A297" s="44" t="n"/>
      <c r="B297" s="44" t="n"/>
      <c r="C297" s="44" t="n"/>
      <c r="D297" s="44" t="n"/>
      <c r="E297" s="44" t="n"/>
      <c r="F297" s="44" t="n"/>
      <c r="G297" s="44" t="n"/>
      <c r="H297" s="44" t="n"/>
      <c r="I297" s="44" t="n"/>
      <c r="J297" s="44" t="n"/>
      <c r="K297" s="44" t="n"/>
      <c r="L297" s="44" t="n"/>
      <c r="M297" s="44" t="n"/>
      <c r="N297" s="44" t="n"/>
      <c r="O297" s="44" t="n"/>
    </row>
    <row r="298" ht="54" customHeight="1">
      <c r="A298" s="44" t="n"/>
      <c r="B298" s="44" t="n"/>
      <c r="C298" s="44" t="n"/>
      <c r="D298" s="44" t="n"/>
      <c r="E298" s="44" t="n"/>
      <c r="F298" s="44" t="n"/>
      <c r="G298" s="44" t="n"/>
      <c r="H298" s="44" t="n"/>
      <c r="I298" s="44" t="n"/>
      <c r="J298" s="44" t="n"/>
      <c r="K298" s="44" t="n"/>
      <c r="L298" s="44" t="n"/>
      <c r="M298" s="44" t="n"/>
      <c r="N298" s="44" t="n"/>
      <c r="O298" s="44" t="n"/>
    </row>
    <row r="299" ht="54" customHeight="1">
      <c r="A299" s="44" t="n"/>
      <c r="B299" s="44" t="n"/>
      <c r="C299" s="44" t="n"/>
      <c r="D299" s="44" t="n"/>
      <c r="E299" s="44" t="n"/>
      <c r="F299" s="44" t="n"/>
      <c r="G299" s="44" t="n"/>
      <c r="H299" s="44" t="n"/>
      <c r="I299" s="44" t="n"/>
      <c r="J299" s="44" t="n"/>
      <c r="K299" s="44" t="n"/>
      <c r="L299" s="44" t="n"/>
      <c r="M299" s="44" t="n"/>
      <c r="N299" s="44" t="n"/>
      <c r="O299" s="44" t="n"/>
    </row>
    <row r="300" ht="54" customHeight="1">
      <c r="A300" s="44" t="n"/>
      <c r="B300" s="44" t="n"/>
      <c r="C300" s="44" t="n"/>
      <c r="D300" s="44" t="n"/>
      <c r="E300" s="44" t="n"/>
      <c r="F300" s="44" t="n"/>
      <c r="G300" s="44" t="n"/>
      <c r="H300" s="44" t="n"/>
      <c r="I300" s="44" t="n"/>
      <c r="J300" s="44" t="n"/>
      <c r="K300" s="44" t="n"/>
      <c r="L300" s="44" t="n"/>
      <c r="M300" s="44" t="n"/>
      <c r="N300" s="44" t="n"/>
      <c r="O300" s="44" t="n"/>
    </row>
    <row r="301" ht="54" customHeight="1">
      <c r="A301" s="44" t="n"/>
      <c r="B301" s="44" t="n"/>
      <c r="C301" s="44" t="n"/>
      <c r="D301" s="44" t="n"/>
      <c r="E301" s="44" t="n"/>
      <c r="F301" s="44" t="n"/>
      <c r="G301" s="44" t="n"/>
      <c r="H301" s="44" t="n"/>
      <c r="I301" s="44" t="n"/>
      <c r="J301" s="44" t="n"/>
      <c r="K301" s="44" t="n"/>
      <c r="L301" s="44" t="n"/>
      <c r="M301" s="44" t="n"/>
      <c r="N301" s="44" t="n"/>
      <c r="O301" s="44" t="n"/>
    </row>
    <row r="302" ht="54" customHeight="1">
      <c r="A302" s="44" t="n"/>
      <c r="B302" s="44" t="n"/>
      <c r="C302" s="44" t="n"/>
      <c r="D302" s="44" t="n"/>
      <c r="E302" s="44" t="n"/>
      <c r="F302" s="44" t="n"/>
      <c r="G302" s="44" t="n"/>
      <c r="H302" s="44" t="n"/>
      <c r="I302" s="44" t="n"/>
      <c r="J302" s="44" t="n"/>
      <c r="K302" s="44" t="n"/>
      <c r="L302" s="44" t="n"/>
      <c r="M302" s="44" t="n"/>
      <c r="N302" s="44" t="n"/>
      <c r="O302" s="44" t="n"/>
    </row>
    <row r="303" ht="54" customHeight="1">
      <c r="A303" s="44" t="n"/>
      <c r="B303" s="44" t="n"/>
      <c r="C303" s="44" t="n"/>
      <c r="D303" s="44" t="n"/>
      <c r="E303" s="44" t="n"/>
      <c r="F303" s="44" t="n"/>
      <c r="G303" s="44" t="n"/>
      <c r="H303" s="44" t="n"/>
      <c r="I303" s="44" t="n"/>
      <c r="J303" s="44" t="n"/>
      <c r="K303" s="44" t="n"/>
      <c r="L303" s="44" t="n"/>
      <c r="M303" s="44" t="n"/>
      <c r="N303" s="44" t="n"/>
      <c r="O303" s="44" t="n"/>
    </row>
    <row r="304" ht="54" customHeight="1">
      <c r="A304" s="44" t="n"/>
      <c r="B304" s="44" t="n"/>
      <c r="C304" s="44" t="n"/>
      <c r="D304" s="44" t="n"/>
      <c r="E304" s="44" t="n"/>
      <c r="F304" s="44" t="n"/>
      <c r="G304" s="44" t="n"/>
      <c r="H304" s="44" t="n"/>
      <c r="I304" s="44" t="n"/>
      <c r="J304" s="44" t="n"/>
      <c r="K304" s="44" t="n"/>
      <c r="L304" s="44" t="n"/>
      <c r="M304" s="44" t="n"/>
      <c r="N304" s="44" t="n"/>
      <c r="O304" s="44" t="n"/>
    </row>
    <row r="305" ht="54" customHeight="1">
      <c r="A305" s="44" t="n"/>
      <c r="B305" s="44" t="n"/>
      <c r="C305" s="44" t="n"/>
      <c r="D305" s="44" t="n"/>
      <c r="E305" s="44" t="n"/>
      <c r="F305" s="44" t="n"/>
      <c r="G305" s="44" t="n"/>
      <c r="H305" s="44" t="n"/>
      <c r="I305" s="44" t="n"/>
      <c r="J305" s="44" t="n"/>
      <c r="K305" s="44" t="n"/>
      <c r="L305" s="44" t="n"/>
      <c r="M305" s="44" t="n"/>
      <c r="N305" s="44" t="n"/>
      <c r="O305" s="44" t="n"/>
    </row>
    <row r="306" ht="54" customHeight="1">
      <c r="A306" s="44" t="n"/>
      <c r="B306" s="44" t="n"/>
      <c r="C306" s="44" t="n"/>
      <c r="D306" s="44" t="n"/>
      <c r="E306" s="44" t="n"/>
      <c r="F306" s="44" t="n"/>
      <c r="G306" s="44" t="n"/>
      <c r="H306" s="44" t="n"/>
      <c r="I306" s="44" t="n"/>
      <c r="J306" s="44" t="n"/>
      <c r="K306" s="44" t="n"/>
      <c r="L306" s="44" t="n"/>
      <c r="M306" s="44" t="n"/>
      <c r="N306" s="44" t="n"/>
      <c r="O306" s="44" t="n"/>
    </row>
    <row r="307" ht="54" customHeight="1">
      <c r="A307" s="44" t="n"/>
      <c r="B307" s="44" t="n"/>
      <c r="C307" s="44" t="n"/>
      <c r="D307" s="44" t="n"/>
      <c r="E307" s="44" t="n"/>
      <c r="F307" s="44" t="n"/>
      <c r="G307" s="44" t="n"/>
      <c r="H307" s="44" t="n"/>
      <c r="I307" s="44" t="n"/>
      <c r="J307" s="44" t="n"/>
      <c r="K307" s="44" t="n"/>
      <c r="L307" s="44" t="n"/>
      <c r="M307" s="44" t="n"/>
      <c r="N307" s="44" t="n"/>
      <c r="O307" s="44" t="n"/>
    </row>
    <row r="308" ht="54" customHeight="1">
      <c r="A308" s="44" t="n"/>
      <c r="B308" s="44" t="n"/>
      <c r="C308" s="44" t="n"/>
      <c r="D308" s="44" t="n"/>
      <c r="E308" s="44" t="n"/>
      <c r="F308" s="44" t="n"/>
      <c r="G308" s="44" t="n"/>
      <c r="H308" s="44" t="n"/>
      <c r="I308" s="44" t="n"/>
      <c r="J308" s="44" t="n"/>
      <c r="K308" s="44" t="n"/>
      <c r="L308" s="44" t="n"/>
      <c r="M308" s="44" t="n"/>
      <c r="N308" s="44" t="n"/>
      <c r="O308" s="44" t="n"/>
    </row>
    <row r="309" ht="54" customHeight="1">
      <c r="A309" s="44" t="n"/>
      <c r="B309" s="44" t="n"/>
      <c r="C309" s="44" t="n"/>
      <c r="D309" s="44" t="n"/>
      <c r="E309" s="44" t="n"/>
      <c r="F309" s="44" t="n"/>
      <c r="G309" s="44" t="n"/>
      <c r="H309" s="44" t="n"/>
      <c r="I309" s="44" t="n"/>
      <c r="J309" s="44" t="n"/>
      <c r="K309" s="44" t="n"/>
      <c r="L309" s="44" t="n"/>
      <c r="M309" s="44" t="n"/>
      <c r="N309" s="44" t="n"/>
      <c r="O309" s="44" t="n"/>
    </row>
    <row r="310" ht="54" customHeight="1">
      <c r="A310" s="44" t="n"/>
      <c r="B310" s="44" t="n"/>
      <c r="C310" s="44" t="n"/>
      <c r="D310" s="44" t="n"/>
      <c r="E310" s="44" t="n"/>
      <c r="F310" s="44" t="n"/>
      <c r="G310" s="44" t="n"/>
      <c r="H310" s="44" t="n"/>
      <c r="I310" s="44" t="n"/>
      <c r="J310" s="44" t="n"/>
      <c r="K310" s="44" t="n"/>
      <c r="L310" s="44" t="n"/>
      <c r="M310" s="44" t="n"/>
      <c r="N310" s="44" t="n"/>
      <c r="O310" s="44" t="n"/>
    </row>
    <row r="311" ht="54" customHeight="1">
      <c r="A311" s="44" t="n"/>
      <c r="B311" s="44" t="n"/>
      <c r="C311" s="44" t="n"/>
      <c r="D311" s="44" t="n"/>
      <c r="E311" s="44" t="n"/>
      <c r="F311" s="44" t="n"/>
      <c r="G311" s="44" t="n"/>
      <c r="H311" s="44" t="n"/>
      <c r="I311" s="44" t="n"/>
      <c r="J311" s="44" t="n"/>
      <c r="K311" s="44" t="n"/>
      <c r="L311" s="44" t="n"/>
      <c r="M311" s="44" t="n"/>
      <c r="N311" s="44" t="n"/>
      <c r="O311" s="44" t="n"/>
    </row>
    <row r="312" ht="54" customHeight="1">
      <c r="A312" s="44" t="n"/>
      <c r="B312" s="44" t="n"/>
      <c r="C312" s="44" t="n"/>
      <c r="D312" s="44" t="n"/>
      <c r="E312" s="44" t="n"/>
      <c r="F312" s="44" t="n"/>
      <c r="G312" s="44" t="n"/>
      <c r="H312" s="44" t="n"/>
      <c r="I312" s="44" t="n"/>
      <c r="J312" s="44" t="n"/>
      <c r="K312" s="44" t="n"/>
      <c r="L312" s="44" t="n"/>
      <c r="M312" s="44" t="n"/>
      <c r="N312" s="44" t="n"/>
      <c r="O312" s="44" t="n"/>
    </row>
    <row r="313" ht="54" customHeight="1">
      <c r="A313" s="44" t="n"/>
      <c r="B313" s="44" t="n"/>
      <c r="C313" s="44" t="n"/>
      <c r="D313" s="44" t="n"/>
      <c r="E313" s="44" t="n"/>
      <c r="F313" s="44" t="n"/>
      <c r="G313" s="44" t="n"/>
      <c r="H313" s="44" t="n"/>
      <c r="I313" s="44" t="n"/>
      <c r="J313" s="44" t="n"/>
      <c r="K313" s="44" t="n"/>
      <c r="L313" s="44" t="n"/>
      <c r="M313" s="44" t="n"/>
      <c r="N313" s="44" t="n"/>
      <c r="O313" s="44" t="n"/>
    </row>
    <row r="314" ht="54" customHeight="1">
      <c r="A314" s="44" t="n"/>
      <c r="B314" s="44" t="n"/>
      <c r="C314" s="44" t="n"/>
      <c r="D314" s="44" t="n"/>
      <c r="E314" s="44" t="n"/>
      <c r="F314" s="44" t="n"/>
      <c r="G314" s="44" t="n"/>
      <c r="H314" s="44" t="n"/>
      <c r="I314" s="44" t="n"/>
      <c r="J314" s="44" t="n"/>
      <c r="K314" s="44" t="n"/>
      <c r="L314" s="44" t="n"/>
      <c r="M314" s="44" t="n"/>
      <c r="N314" s="44" t="n"/>
      <c r="O314" s="44" t="n"/>
    </row>
    <row r="315" ht="54" customHeight="1">
      <c r="A315" s="44" t="n"/>
      <c r="B315" s="44" t="n"/>
      <c r="C315" s="44" t="n"/>
      <c r="D315" s="44" t="n"/>
      <c r="E315" s="44" t="n"/>
      <c r="F315" s="44" t="n"/>
      <c r="G315" s="44" t="n"/>
      <c r="H315" s="44" t="n"/>
      <c r="I315" s="44" t="n"/>
      <c r="J315" s="44" t="n"/>
      <c r="K315" s="44" t="n"/>
      <c r="L315" s="44" t="n"/>
      <c r="M315" s="44" t="n"/>
      <c r="N315" s="44" t="n"/>
      <c r="O315" s="44" t="n"/>
    </row>
    <row r="316" ht="54" customHeight="1">
      <c r="A316" s="44" t="n"/>
      <c r="B316" s="44" t="n"/>
      <c r="C316" s="44" t="n"/>
      <c r="D316" s="44" t="n"/>
      <c r="E316" s="44" t="n"/>
      <c r="F316" s="44" t="n"/>
      <c r="G316" s="44" t="n"/>
      <c r="H316" s="44" t="n"/>
      <c r="I316" s="44" t="n"/>
      <c r="J316" s="44" t="n"/>
      <c r="K316" s="44" t="n"/>
      <c r="L316" s="44" t="n"/>
      <c r="M316" s="44" t="n"/>
      <c r="N316" s="44" t="n"/>
      <c r="O316" s="44" t="n"/>
    </row>
    <row r="317" ht="54" customHeight="1">
      <c r="A317" s="44" t="n"/>
      <c r="B317" s="44" t="n"/>
      <c r="C317" s="44" t="n"/>
      <c r="D317" s="44" t="n"/>
      <c r="E317" s="44" t="n"/>
      <c r="F317" s="44" t="n"/>
      <c r="G317" s="44" t="n"/>
      <c r="H317" s="44" t="n"/>
      <c r="I317" s="44" t="n"/>
      <c r="J317" s="44" t="n"/>
      <c r="K317" s="44" t="n"/>
      <c r="L317" s="44" t="n"/>
      <c r="M317" s="44" t="n"/>
      <c r="N317" s="44" t="n"/>
      <c r="O317" s="44" t="n"/>
    </row>
    <row r="318" ht="54" customHeight="1">
      <c r="A318" s="44" t="n"/>
      <c r="B318" s="44" t="n"/>
      <c r="C318" s="44" t="n"/>
      <c r="D318" s="44" t="n"/>
      <c r="E318" s="44" t="n"/>
      <c r="F318" s="44" t="n"/>
      <c r="G318" s="44" t="n"/>
      <c r="H318" s="44" t="n"/>
      <c r="I318" s="44" t="n"/>
      <c r="J318" s="44" t="n"/>
      <c r="K318" s="44" t="n"/>
      <c r="L318" s="44" t="n"/>
      <c r="M318" s="44" t="n"/>
      <c r="N318" s="44" t="n"/>
      <c r="O318" s="44" t="n"/>
    </row>
    <row r="319" ht="54" customHeight="1">
      <c r="A319" s="44" t="n"/>
      <c r="B319" s="44" t="n"/>
      <c r="C319" s="44" t="n"/>
      <c r="D319" s="44" t="n"/>
      <c r="E319" s="44" t="n"/>
      <c r="F319" s="44" t="n"/>
      <c r="G319" s="44" t="n"/>
      <c r="H319" s="44" t="n"/>
      <c r="I319" s="44" t="n"/>
      <c r="J319" s="44" t="n"/>
      <c r="K319" s="44" t="n"/>
      <c r="L319" s="44" t="n"/>
      <c r="M319" s="44" t="n"/>
      <c r="N319" s="44" t="n"/>
      <c r="O319" s="44" t="n"/>
    </row>
    <row r="320" ht="54" customHeight="1">
      <c r="A320" s="44" t="n"/>
      <c r="B320" s="44" t="n"/>
      <c r="C320" s="44" t="n"/>
      <c r="D320" s="44" t="n"/>
      <c r="E320" s="44" t="n"/>
      <c r="F320" s="44" t="n"/>
      <c r="G320" s="44" t="n"/>
      <c r="H320" s="44" t="n"/>
      <c r="I320" s="44" t="n"/>
      <c r="J320" s="44" t="n"/>
      <c r="K320" s="44" t="n"/>
      <c r="L320" s="44" t="n"/>
      <c r="M320" s="44" t="n"/>
      <c r="N320" s="44" t="n"/>
      <c r="O320" s="44" t="n"/>
    </row>
    <row r="321" ht="54" customHeight="1">
      <c r="A321" s="44" t="n"/>
      <c r="B321" s="44" t="n"/>
      <c r="C321" s="44" t="n"/>
      <c r="D321" s="44" t="n"/>
      <c r="E321" s="44" t="n"/>
      <c r="F321" s="44" t="n"/>
      <c r="G321" s="44" t="n"/>
      <c r="H321" s="44" t="n"/>
      <c r="I321" s="44" t="n"/>
      <c r="J321" s="44" t="n"/>
      <c r="K321" s="44" t="n"/>
      <c r="L321" s="44" t="n"/>
      <c r="M321" s="44" t="n"/>
      <c r="N321" s="44" t="n"/>
      <c r="O321" s="44" t="n"/>
    </row>
    <row r="322" ht="54" customHeight="1">
      <c r="A322" s="44" t="n"/>
      <c r="B322" s="44" t="n"/>
      <c r="C322" s="44" t="n"/>
      <c r="D322" s="44" t="n"/>
      <c r="E322" s="44" t="n"/>
      <c r="F322" s="44" t="n"/>
      <c r="G322" s="44" t="n"/>
      <c r="H322" s="44" t="n"/>
      <c r="I322" s="44" t="n"/>
      <c r="J322" s="44" t="n"/>
      <c r="K322" s="44" t="n"/>
      <c r="L322" s="44" t="n"/>
      <c r="M322" s="44" t="n"/>
      <c r="N322" s="44" t="n"/>
      <c r="O322" s="44" t="n"/>
    </row>
    <row r="323" ht="54" customHeight="1">
      <c r="A323" s="44" t="n"/>
      <c r="B323" s="44" t="n"/>
      <c r="C323" s="44" t="n"/>
      <c r="D323" s="44" t="n"/>
      <c r="E323" s="44" t="n"/>
      <c r="F323" s="44" t="n"/>
      <c r="G323" s="44" t="n"/>
      <c r="H323" s="44" t="n"/>
      <c r="I323" s="44" t="n"/>
      <c r="J323" s="44" t="n"/>
      <c r="K323" s="44" t="n"/>
      <c r="L323" s="44" t="n"/>
      <c r="M323" s="44" t="n"/>
      <c r="N323" s="44" t="n"/>
      <c r="O323" s="44" t="n"/>
    </row>
    <row r="324" ht="54" customHeight="1">
      <c r="A324" s="44" t="n"/>
      <c r="B324" s="44" t="n"/>
      <c r="C324" s="44" t="n"/>
      <c r="D324" s="44" t="n"/>
      <c r="E324" s="44" t="n"/>
      <c r="F324" s="44" t="n"/>
      <c r="G324" s="44" t="n"/>
      <c r="H324" s="44" t="n"/>
      <c r="I324" s="44" t="n"/>
      <c r="J324" s="44" t="n"/>
      <c r="K324" s="44" t="n"/>
      <c r="L324" s="44" t="n"/>
      <c r="M324" s="44" t="n"/>
      <c r="N324" s="44" t="n"/>
      <c r="O324" s="44" t="n"/>
    </row>
    <row r="325" ht="54" customHeight="1">
      <c r="A325" s="44" t="n"/>
      <c r="B325" s="44" t="n"/>
      <c r="C325" s="44" t="n"/>
      <c r="D325" s="44" t="n"/>
      <c r="E325" s="44" t="n"/>
      <c r="F325" s="44" t="n"/>
      <c r="G325" s="44" t="n"/>
      <c r="H325" s="44" t="n"/>
      <c r="I325" s="44" t="n"/>
      <c r="J325" s="44" t="n"/>
      <c r="K325" s="44" t="n"/>
      <c r="L325" s="44" t="n"/>
      <c r="M325" s="44" t="n"/>
      <c r="N325" s="44" t="n"/>
      <c r="O325" s="44" t="n"/>
    </row>
    <row r="326" ht="54" customHeight="1">
      <c r="A326" s="44" t="n"/>
      <c r="B326" s="44" t="n"/>
      <c r="C326" s="44" t="n"/>
      <c r="D326" s="44" t="n"/>
      <c r="E326" s="44" t="n"/>
      <c r="F326" s="44" t="n"/>
      <c r="G326" s="44" t="n"/>
      <c r="H326" s="44" t="n"/>
      <c r="I326" s="44" t="n"/>
      <c r="J326" s="44" t="n"/>
      <c r="K326" s="44" t="n"/>
      <c r="L326" s="44" t="n"/>
      <c r="M326" s="44" t="n"/>
      <c r="N326" s="44" t="n"/>
      <c r="O326" s="44" t="n"/>
    </row>
    <row r="327" ht="54" customHeight="1">
      <c r="A327" s="44" t="n"/>
      <c r="B327" s="44" t="n"/>
      <c r="C327" s="44" t="n"/>
      <c r="D327" s="44" t="n"/>
      <c r="E327" s="44" t="n"/>
      <c r="F327" s="44" t="n"/>
      <c r="G327" s="44" t="n"/>
      <c r="H327" s="44" t="n"/>
      <c r="I327" s="44" t="n"/>
      <c r="J327" s="44" t="n"/>
      <c r="K327" s="44" t="n"/>
      <c r="L327" s="44" t="n"/>
      <c r="M327" s="44" t="n"/>
      <c r="N327" s="44" t="n"/>
      <c r="O327" s="44" t="n"/>
    </row>
    <row r="328" ht="54" customHeight="1">
      <c r="A328" s="44" t="n"/>
      <c r="B328" s="44" t="n"/>
      <c r="C328" s="44" t="n"/>
      <c r="D328" s="44" t="n"/>
      <c r="E328" s="44" t="n"/>
      <c r="F328" s="44" t="n"/>
      <c r="G328" s="44" t="n"/>
      <c r="H328" s="44" t="n"/>
      <c r="I328" s="44" t="n"/>
      <c r="J328" s="44" t="n"/>
      <c r="K328" s="44" t="n"/>
      <c r="L328" s="44" t="n"/>
      <c r="M328" s="44" t="n"/>
      <c r="N328" s="44" t="n"/>
      <c r="O328" s="44" t="n"/>
    </row>
    <row r="329" ht="54" customHeight="1">
      <c r="A329" s="44" t="n"/>
      <c r="B329" s="44" t="n"/>
      <c r="C329" s="44" t="n"/>
      <c r="D329" s="44" t="n"/>
      <c r="E329" s="44" t="n"/>
      <c r="F329" s="44" t="n"/>
      <c r="G329" s="44" t="n"/>
      <c r="H329" s="44" t="n"/>
      <c r="I329" s="44" t="n"/>
      <c r="J329" s="44" t="n"/>
      <c r="K329" s="44" t="n"/>
      <c r="L329" s="44" t="n"/>
      <c r="M329" s="44" t="n"/>
      <c r="N329" s="44" t="n"/>
      <c r="O329" s="44" t="n"/>
    </row>
    <row r="330" ht="54" customHeight="1">
      <c r="A330" s="44" t="n"/>
      <c r="B330" s="44" t="n"/>
      <c r="C330" s="44" t="n"/>
      <c r="D330" s="44" t="n"/>
      <c r="E330" s="44" t="n"/>
      <c r="F330" s="44" t="n"/>
      <c r="G330" s="44" t="n"/>
      <c r="H330" s="44" t="n"/>
      <c r="I330" s="44" t="n"/>
      <c r="J330" s="44" t="n"/>
      <c r="K330" s="44" t="n"/>
      <c r="L330" s="44" t="n"/>
      <c r="M330" s="44" t="n"/>
      <c r="N330" s="44" t="n"/>
      <c r="O330" s="44" t="n"/>
    </row>
    <row r="331" ht="54" customHeight="1">
      <c r="A331" s="44" t="n"/>
      <c r="B331" s="44" t="n"/>
      <c r="C331" s="44" t="n"/>
      <c r="D331" s="44" t="n"/>
      <c r="E331" s="44" t="n"/>
      <c r="F331" s="44" t="n"/>
      <c r="G331" s="44" t="n"/>
      <c r="H331" s="44" t="n"/>
      <c r="I331" s="44" t="n"/>
      <c r="J331" s="44" t="n"/>
      <c r="K331" s="44" t="n"/>
      <c r="L331" s="44" t="n"/>
      <c r="M331" s="44" t="n"/>
      <c r="N331" s="44" t="n"/>
      <c r="O331" s="44" t="n"/>
    </row>
    <row r="332" ht="54" customHeight="1">
      <c r="A332" s="44" t="n"/>
      <c r="B332" s="44" t="n"/>
      <c r="C332" s="44" t="n"/>
      <c r="D332" s="44" t="n"/>
      <c r="E332" s="44" t="n"/>
      <c r="F332" s="44" t="n"/>
      <c r="G332" s="44" t="n"/>
      <c r="H332" s="44" t="n"/>
      <c r="I332" s="44" t="n"/>
      <c r="J332" s="44" t="n"/>
      <c r="K332" s="44" t="n"/>
      <c r="L332" s="44" t="n"/>
      <c r="M332" s="44" t="n"/>
      <c r="N332" s="44" t="n"/>
      <c r="O332" s="44" t="n"/>
    </row>
    <row r="333" ht="54" customHeight="1">
      <c r="A333" s="44" t="n"/>
      <c r="B333" s="44" t="n"/>
      <c r="C333" s="44" t="n"/>
      <c r="D333" s="44" t="n"/>
      <c r="E333" s="44" t="n"/>
      <c r="F333" s="44" t="n"/>
      <c r="G333" s="44" t="n"/>
      <c r="H333" s="44" t="n"/>
      <c r="I333" s="44" t="n"/>
      <c r="J333" s="44" t="n"/>
      <c r="K333" s="44" t="n"/>
      <c r="L333" s="44" t="n"/>
      <c r="M333" s="44" t="n"/>
      <c r="N333" s="44" t="n"/>
      <c r="O333" s="44" t="n"/>
    </row>
    <row r="334" ht="54" customHeight="1">
      <c r="A334" s="44" t="n"/>
      <c r="B334" s="44" t="n"/>
      <c r="C334" s="44" t="n"/>
      <c r="D334" s="44" t="n"/>
      <c r="E334" s="44" t="n"/>
      <c r="F334" s="44" t="n"/>
      <c r="G334" s="44" t="n"/>
      <c r="H334" s="44" t="n"/>
      <c r="I334" s="44" t="n"/>
      <c r="J334" s="44" t="n"/>
      <c r="K334" s="44" t="n"/>
      <c r="L334" s="44" t="n"/>
      <c r="M334" s="44" t="n"/>
      <c r="N334" s="44" t="n"/>
      <c r="O334" s="44" t="n"/>
    </row>
    <row r="335" ht="54" customHeight="1">
      <c r="A335" s="44" t="n"/>
      <c r="B335" s="44" t="n"/>
      <c r="C335" s="44" t="n"/>
      <c r="D335" s="44" t="n"/>
      <c r="E335" s="44" t="n"/>
      <c r="F335" s="44" t="n"/>
      <c r="G335" s="44" t="n"/>
      <c r="H335" s="44" t="n"/>
      <c r="I335" s="44" t="n"/>
      <c r="J335" s="44" t="n"/>
      <c r="K335" s="44" t="n"/>
      <c r="L335" s="44" t="n"/>
      <c r="M335" s="44" t="n"/>
      <c r="N335" s="44" t="n"/>
      <c r="O335" s="44" t="n"/>
    </row>
    <row r="336" ht="54" customHeight="1">
      <c r="A336" s="44" t="n"/>
      <c r="B336" s="44" t="n"/>
      <c r="C336" s="44" t="n"/>
      <c r="D336" s="44" t="n"/>
      <c r="E336" s="44" t="n"/>
      <c r="F336" s="44" t="n"/>
      <c r="G336" s="44" t="n"/>
      <c r="H336" s="44" t="n"/>
      <c r="I336" s="44" t="n"/>
      <c r="J336" s="44" t="n"/>
      <c r="K336" s="44" t="n"/>
      <c r="L336" s="44" t="n"/>
      <c r="M336" s="44" t="n"/>
      <c r="N336" s="44" t="n"/>
      <c r="O336" s="44" t="n"/>
    </row>
    <row r="337" ht="54" customHeight="1">
      <c r="A337" s="44" t="n"/>
      <c r="B337" s="44" t="n"/>
      <c r="C337" s="44" t="n"/>
      <c r="D337" s="44" t="n"/>
      <c r="E337" s="44" t="n"/>
      <c r="F337" s="44" t="n"/>
      <c r="G337" s="44" t="n"/>
      <c r="H337" s="44" t="n"/>
      <c r="I337" s="44" t="n"/>
      <c r="J337" s="44" t="n"/>
      <c r="K337" s="44" t="n"/>
      <c r="L337" s="44" t="n"/>
      <c r="M337" s="44" t="n"/>
      <c r="N337" s="44" t="n"/>
      <c r="O337" s="44" t="n"/>
    </row>
    <row r="338" ht="54" customHeight="1">
      <c r="A338" s="44" t="n"/>
      <c r="B338" s="44" t="n"/>
      <c r="C338" s="44" t="n"/>
      <c r="D338" s="44" t="n"/>
      <c r="E338" s="44" t="n"/>
      <c r="F338" s="44" t="n"/>
      <c r="G338" s="44" t="n"/>
      <c r="H338" s="44" t="n"/>
      <c r="I338" s="44" t="n"/>
      <c r="J338" s="44" t="n"/>
      <c r="K338" s="44" t="n"/>
      <c r="L338" s="44" t="n"/>
      <c r="M338" s="44" t="n"/>
      <c r="N338" s="44" t="n"/>
      <c r="O338" s="44" t="n"/>
    </row>
    <row r="339" ht="54" customHeight="1">
      <c r="A339" s="44" t="n"/>
      <c r="B339" s="44" t="n"/>
      <c r="C339" s="44" t="n"/>
      <c r="D339" s="44" t="n"/>
      <c r="E339" s="44" t="n"/>
      <c r="F339" s="44" t="n"/>
      <c r="G339" s="44" t="n"/>
      <c r="H339" s="44" t="n"/>
      <c r="I339" s="44" t="n"/>
      <c r="J339" s="44" t="n"/>
      <c r="K339" s="44" t="n"/>
      <c r="L339" s="44" t="n"/>
      <c r="M339" s="44" t="n"/>
      <c r="N339" s="44" t="n"/>
      <c r="O339" s="44" t="n"/>
    </row>
    <row r="340" ht="54" customHeight="1">
      <c r="A340" s="44" t="n"/>
      <c r="B340" s="44" t="n"/>
      <c r="C340" s="44" t="n"/>
      <c r="D340" s="44" t="n"/>
      <c r="E340" s="44" t="n"/>
      <c r="F340" s="44" t="n"/>
      <c r="G340" s="44" t="n"/>
      <c r="H340" s="44" t="n"/>
      <c r="I340" s="44" t="n"/>
      <c r="J340" s="44" t="n"/>
      <c r="K340" s="44" t="n"/>
      <c r="L340" s="44" t="n"/>
      <c r="M340" s="44" t="n"/>
      <c r="N340" s="44" t="n"/>
      <c r="O340" s="44" t="n"/>
    </row>
    <row r="341" ht="54" customHeight="1">
      <c r="A341" s="44" t="n"/>
      <c r="B341" s="44" t="n"/>
      <c r="C341" s="44" t="n"/>
      <c r="D341" s="44" t="n"/>
      <c r="E341" s="44" t="n"/>
      <c r="F341" s="44" t="n"/>
      <c r="G341" s="44" t="n"/>
      <c r="H341" s="44" t="n"/>
      <c r="I341" s="44" t="n"/>
      <c r="J341" s="44" t="n"/>
      <c r="K341" s="44" t="n"/>
      <c r="L341" s="44" t="n"/>
      <c r="M341" s="44" t="n"/>
      <c r="N341" s="44" t="n"/>
      <c r="O341" s="44" t="n"/>
    </row>
    <row r="342" ht="54" customHeight="1">
      <c r="A342" s="44" t="n"/>
      <c r="B342" s="44" t="n"/>
      <c r="C342" s="44" t="n"/>
      <c r="D342" s="44" t="n"/>
      <c r="E342" s="44" t="n"/>
      <c r="F342" s="44" t="n"/>
      <c r="G342" s="44" t="n"/>
      <c r="H342" s="44" t="n"/>
      <c r="I342" s="44" t="n"/>
      <c r="J342" s="44" t="n"/>
      <c r="K342" s="44" t="n"/>
      <c r="L342" s="44" t="n"/>
      <c r="M342" s="44" t="n"/>
      <c r="N342" s="44" t="n"/>
      <c r="O342" s="44" t="n"/>
    </row>
    <row r="343" ht="54" customHeight="1">
      <c r="A343" s="44" t="n"/>
      <c r="B343" s="44" t="n"/>
      <c r="C343" s="44" t="n"/>
      <c r="D343" s="44" t="n"/>
      <c r="E343" s="44" t="n"/>
      <c r="F343" s="44" t="n"/>
      <c r="G343" s="44" t="n"/>
      <c r="H343" s="44" t="n"/>
      <c r="I343" s="44" t="n"/>
      <c r="J343" s="44" t="n"/>
      <c r="K343" s="44" t="n"/>
      <c r="L343" s="44" t="n"/>
      <c r="M343" s="44" t="n"/>
      <c r="N343" s="44" t="n"/>
      <c r="O343" s="44" t="n"/>
    </row>
    <row r="344" ht="54" customHeight="1">
      <c r="A344" s="44" t="n"/>
      <c r="B344" s="44" t="n"/>
      <c r="C344" s="44" t="n"/>
      <c r="D344" s="44" t="n"/>
      <c r="E344" s="44" t="n"/>
      <c r="F344" s="44" t="n"/>
      <c r="G344" s="44" t="n"/>
      <c r="H344" s="44" t="n"/>
      <c r="I344" s="44" t="n"/>
      <c r="J344" s="44" t="n"/>
      <c r="K344" s="44" t="n"/>
      <c r="L344" s="44" t="n"/>
      <c r="M344" s="44" t="n"/>
      <c r="N344" s="44" t="n"/>
      <c r="O344" s="44" t="n"/>
    </row>
    <row r="345" ht="54" customHeight="1">
      <c r="A345" s="44" t="n"/>
      <c r="B345" s="44" t="n"/>
      <c r="C345" s="44" t="n"/>
      <c r="D345" s="44" t="n"/>
      <c r="E345" s="44" t="n"/>
      <c r="F345" s="44" t="n"/>
      <c r="G345" s="44" t="n"/>
      <c r="H345" s="44" t="n"/>
      <c r="I345" s="44" t="n"/>
      <c r="J345" s="44" t="n"/>
      <c r="K345" s="44" t="n"/>
      <c r="L345" s="44" t="n"/>
      <c r="M345" s="44" t="n"/>
      <c r="N345" s="44" t="n"/>
      <c r="O345" s="44" t="n"/>
    </row>
    <row r="346" ht="54" customHeight="1">
      <c r="A346" s="44" t="n"/>
      <c r="B346" s="44" t="n"/>
      <c r="C346" s="44" t="n"/>
      <c r="D346" s="44" t="n"/>
      <c r="E346" s="44" t="n"/>
      <c r="F346" s="44" t="n"/>
      <c r="G346" s="44" t="n"/>
      <c r="H346" s="44" t="n"/>
      <c r="I346" s="44" t="n"/>
      <c r="J346" s="44" t="n"/>
      <c r="K346" s="44" t="n"/>
      <c r="L346" s="44" t="n"/>
      <c r="M346" s="44" t="n"/>
      <c r="N346" s="44" t="n"/>
      <c r="O346" s="44" t="n"/>
    </row>
    <row r="347" ht="54" customHeight="1">
      <c r="A347" s="44" t="n"/>
      <c r="B347" s="44" t="n"/>
      <c r="C347" s="44" t="n"/>
      <c r="D347" s="44" t="n"/>
      <c r="E347" s="44" t="n"/>
      <c r="F347" s="44" t="n"/>
      <c r="G347" s="44" t="n"/>
      <c r="H347" s="44" t="n"/>
      <c r="I347" s="44" t="n"/>
      <c r="J347" s="44" t="n"/>
      <c r="K347" s="44" t="n"/>
      <c r="L347" s="44" t="n"/>
      <c r="M347" s="44" t="n"/>
      <c r="N347" s="44" t="n"/>
      <c r="O347" s="44" t="n"/>
    </row>
    <row r="348" ht="54" customHeight="1">
      <c r="A348" s="44" t="n"/>
      <c r="B348" s="44" t="n"/>
      <c r="C348" s="44" t="n"/>
      <c r="D348" s="44" t="n"/>
      <c r="E348" s="44" t="n"/>
      <c r="F348" s="44" t="n"/>
      <c r="G348" s="44" t="n"/>
      <c r="H348" s="44" t="n"/>
      <c r="I348" s="44" t="n"/>
      <c r="J348" s="44" t="n"/>
      <c r="K348" s="44" t="n"/>
      <c r="L348" s="44" t="n"/>
      <c r="M348" s="44" t="n"/>
      <c r="N348" s="44" t="n"/>
      <c r="O348" s="44" t="n"/>
    </row>
    <row r="349" ht="54" customHeight="1">
      <c r="A349" s="44" t="n"/>
      <c r="B349" s="44" t="n"/>
      <c r="C349" s="44" t="n"/>
      <c r="D349" s="44" t="n"/>
      <c r="E349" s="44" t="n"/>
      <c r="F349" s="44" t="n"/>
      <c r="G349" s="44" t="n"/>
      <c r="H349" s="44" t="n"/>
      <c r="I349" s="44" t="n"/>
      <c r="J349" s="44" t="n"/>
      <c r="K349" s="44" t="n"/>
      <c r="L349" s="44" t="n"/>
      <c r="M349" s="44" t="n"/>
      <c r="N349" s="44" t="n"/>
      <c r="O349" s="44" t="n"/>
    </row>
    <row r="350" ht="54" customHeight="1">
      <c r="A350" s="44" t="n"/>
      <c r="B350" s="44" t="n"/>
      <c r="C350" s="44" t="n"/>
      <c r="D350" s="44" t="n"/>
      <c r="E350" s="44" t="n"/>
      <c r="F350" s="44" t="n"/>
      <c r="G350" s="44" t="n"/>
      <c r="H350" s="44" t="n"/>
      <c r="I350" s="44" t="n"/>
      <c r="J350" s="44" t="n"/>
      <c r="K350" s="44" t="n"/>
      <c r="L350" s="44" t="n"/>
      <c r="M350" s="44" t="n"/>
      <c r="N350" s="44" t="n"/>
      <c r="O350" s="44" t="n"/>
    </row>
    <row r="351" ht="54" customHeight="1">
      <c r="A351" s="44" t="n"/>
      <c r="B351" s="44" t="n"/>
      <c r="C351" s="44" t="n"/>
      <c r="D351" s="44" t="n"/>
      <c r="E351" s="44" t="n"/>
      <c r="F351" s="44" t="n"/>
      <c r="G351" s="44" t="n"/>
      <c r="H351" s="44" t="n"/>
      <c r="I351" s="44" t="n"/>
      <c r="J351" s="44" t="n"/>
      <c r="K351" s="44" t="n"/>
      <c r="L351" s="44" t="n"/>
      <c r="M351" s="44" t="n"/>
      <c r="N351" s="44" t="n"/>
      <c r="O351" s="44" t="n"/>
    </row>
    <row r="352" ht="54" customHeight="1">
      <c r="A352" s="44" t="n"/>
      <c r="B352" s="44" t="n"/>
      <c r="C352" s="44" t="n"/>
      <c r="D352" s="44" t="n"/>
      <c r="E352" s="44" t="n"/>
      <c r="F352" s="44" t="n"/>
      <c r="G352" s="44" t="n"/>
      <c r="H352" s="44" t="n"/>
      <c r="I352" s="44" t="n"/>
      <c r="J352" s="44" t="n"/>
      <c r="K352" s="44" t="n"/>
      <c r="L352" s="44" t="n"/>
      <c r="M352" s="44" t="n"/>
      <c r="N352" s="44" t="n"/>
      <c r="O352" s="44" t="n"/>
    </row>
    <row r="353" ht="54" customHeight="1">
      <c r="A353" s="44" t="n"/>
      <c r="B353" s="44" t="n"/>
      <c r="C353" s="44" t="n"/>
      <c r="D353" s="44" t="n"/>
      <c r="E353" s="44" t="n"/>
      <c r="F353" s="44" t="n"/>
      <c r="G353" s="44" t="n"/>
      <c r="H353" s="44" t="n"/>
      <c r="I353" s="44" t="n"/>
      <c r="J353" s="44" t="n"/>
      <c r="K353" s="44" t="n"/>
      <c r="L353" s="44" t="n"/>
      <c r="M353" s="44" t="n"/>
      <c r="N353" s="44" t="n"/>
      <c r="O353" s="44" t="n"/>
    </row>
    <row r="354" ht="54" customHeight="1">
      <c r="A354" s="44" t="n"/>
      <c r="B354" s="44" t="n"/>
      <c r="C354" s="44" t="n"/>
      <c r="D354" s="44" t="n"/>
      <c r="E354" s="44" t="n"/>
      <c r="F354" s="44" t="n"/>
      <c r="G354" s="44" t="n"/>
      <c r="H354" s="44" t="n"/>
      <c r="I354" s="44" t="n"/>
      <c r="J354" s="44" t="n"/>
      <c r="K354" s="44" t="n"/>
      <c r="L354" s="44" t="n"/>
      <c r="M354" s="44" t="n"/>
      <c r="N354" s="44" t="n"/>
      <c r="O354" s="44" t="n"/>
    </row>
    <row r="355" ht="54" customHeight="1">
      <c r="A355" s="44" t="n"/>
      <c r="B355" s="44" t="n"/>
      <c r="C355" s="44" t="n"/>
      <c r="D355" s="44" t="n"/>
      <c r="E355" s="44" t="n"/>
      <c r="F355" s="44" t="n"/>
      <c r="G355" s="44" t="n"/>
      <c r="H355" s="44" t="n"/>
      <c r="I355" s="44" t="n"/>
      <c r="J355" s="44" t="n"/>
      <c r="K355" s="44" t="n"/>
      <c r="L355" s="44" t="n"/>
      <c r="M355" s="44" t="n"/>
      <c r="N355" s="44" t="n"/>
      <c r="O355" s="44" t="n"/>
    </row>
    <row r="356" ht="54" customHeight="1">
      <c r="A356" s="44" t="n"/>
      <c r="B356" s="44" t="n"/>
      <c r="C356" s="44" t="n"/>
      <c r="D356" s="44" t="n"/>
      <c r="E356" s="44" t="n"/>
      <c r="F356" s="44" t="n"/>
      <c r="G356" s="44" t="n"/>
      <c r="H356" s="44" t="n"/>
      <c r="I356" s="44" t="n"/>
      <c r="J356" s="44" t="n"/>
      <c r="K356" s="44" t="n"/>
      <c r="L356" s="44" t="n"/>
      <c r="M356" s="44" t="n"/>
      <c r="N356" s="44" t="n"/>
      <c r="O356" s="44" t="n"/>
    </row>
    <row r="357" ht="54" customHeight="1">
      <c r="A357" s="44" t="n"/>
      <c r="B357" s="44" t="n"/>
      <c r="C357" s="44" t="n"/>
      <c r="D357" s="44" t="n"/>
      <c r="E357" s="44" t="n"/>
      <c r="F357" s="44" t="n"/>
      <c r="G357" s="44" t="n"/>
      <c r="H357" s="44" t="n"/>
      <c r="I357" s="44" t="n"/>
      <c r="J357" s="44" t="n"/>
      <c r="K357" s="44" t="n"/>
      <c r="L357" s="44" t="n"/>
      <c r="M357" s="44" t="n"/>
      <c r="N357" s="44" t="n"/>
      <c r="O357" s="44" t="n"/>
    </row>
    <row r="358" ht="54" customHeight="1">
      <c r="A358" s="44" t="n"/>
      <c r="B358" s="44" t="n"/>
      <c r="C358" s="44" t="n"/>
      <c r="D358" s="44" t="n"/>
      <c r="E358" s="44" t="n"/>
      <c r="F358" s="44" t="n"/>
      <c r="G358" s="44" t="n"/>
      <c r="H358" s="44" t="n"/>
      <c r="I358" s="44" t="n"/>
      <c r="J358" s="44" t="n"/>
      <c r="K358" s="44" t="n"/>
      <c r="L358" s="44" t="n"/>
      <c r="M358" s="44" t="n"/>
      <c r="N358" s="44" t="n"/>
      <c r="O358" s="44" t="n"/>
    </row>
    <row r="359" ht="54" customHeight="1">
      <c r="A359" s="44" t="n"/>
      <c r="B359" s="44" t="n"/>
      <c r="C359" s="44" t="n"/>
      <c r="D359" s="44" t="n"/>
      <c r="E359" s="44" t="n"/>
      <c r="F359" s="44" t="n"/>
      <c r="G359" s="44" t="n"/>
      <c r="H359" s="44" t="n"/>
      <c r="I359" s="44" t="n"/>
      <c r="J359" s="44" t="n"/>
      <c r="K359" s="44" t="n"/>
      <c r="L359" s="44" t="n"/>
      <c r="M359" s="44" t="n"/>
      <c r="N359" s="44" t="n"/>
      <c r="O359" s="44" t="n"/>
    </row>
    <row r="360" ht="54" customHeight="1">
      <c r="A360" s="44" t="n"/>
      <c r="B360" s="44" t="n"/>
      <c r="C360" s="44" t="n"/>
      <c r="D360" s="44" t="n"/>
      <c r="E360" s="44" t="n"/>
      <c r="F360" s="44" t="n"/>
      <c r="G360" s="44" t="n"/>
      <c r="H360" s="44" t="n"/>
      <c r="I360" s="44" t="n"/>
      <c r="J360" s="44" t="n"/>
      <c r="K360" s="44" t="n"/>
      <c r="L360" s="44" t="n"/>
      <c r="M360" s="44" t="n"/>
      <c r="N360" s="44" t="n"/>
      <c r="O360" s="44" t="n"/>
    </row>
    <row r="361" ht="54" customHeight="1">
      <c r="A361" s="44" t="n"/>
      <c r="B361" s="44" t="n"/>
      <c r="C361" s="44" t="n"/>
      <c r="D361" s="44" t="n"/>
      <c r="E361" s="44" t="n"/>
      <c r="F361" s="44" t="n"/>
      <c r="G361" s="44" t="n"/>
      <c r="H361" s="44" t="n"/>
      <c r="I361" s="44" t="n"/>
      <c r="J361" s="44" t="n"/>
      <c r="K361" s="44" t="n"/>
      <c r="L361" s="44" t="n"/>
      <c r="M361" s="44" t="n"/>
      <c r="N361" s="44" t="n"/>
      <c r="O361" s="44" t="n"/>
    </row>
    <row r="362" ht="54" customHeight="1">
      <c r="A362" s="44" t="n"/>
      <c r="B362" s="44" t="n"/>
      <c r="C362" s="44" t="n"/>
      <c r="D362" s="44" t="n"/>
      <c r="E362" s="44" t="n"/>
      <c r="F362" s="44" t="n"/>
      <c r="G362" s="44" t="n"/>
      <c r="H362" s="44" t="n"/>
      <c r="I362" s="44" t="n"/>
      <c r="J362" s="44" t="n"/>
      <c r="K362" s="44" t="n"/>
      <c r="L362" s="44" t="n"/>
      <c r="M362" s="44" t="n"/>
      <c r="N362" s="44" t="n"/>
      <c r="O362" s="44" t="n"/>
    </row>
    <row r="363" ht="54" customHeight="1">
      <c r="A363" s="44" t="n"/>
      <c r="B363" s="44" t="n"/>
      <c r="C363" s="44" t="n"/>
      <c r="D363" s="44" t="n"/>
      <c r="E363" s="44" t="n"/>
      <c r="F363" s="44" t="n"/>
      <c r="G363" s="44" t="n"/>
      <c r="H363" s="44" t="n"/>
      <c r="I363" s="44" t="n"/>
      <c r="J363" s="44" t="n"/>
      <c r="K363" s="44" t="n"/>
      <c r="L363" s="44" t="n"/>
      <c r="M363" s="44" t="n"/>
      <c r="N363" s="44" t="n"/>
      <c r="O363" s="44" t="n"/>
    </row>
    <row r="364" ht="54" customHeight="1">
      <c r="A364" s="44" t="n"/>
      <c r="B364" s="44" t="n"/>
      <c r="C364" s="44" t="n"/>
      <c r="D364" s="44" t="n"/>
      <c r="E364" s="44" t="n"/>
      <c r="F364" s="44" t="n"/>
      <c r="G364" s="44" t="n"/>
      <c r="H364" s="44" t="n"/>
      <c r="I364" s="44" t="n"/>
      <c r="J364" s="44" t="n"/>
      <c r="K364" s="44" t="n"/>
      <c r="L364" s="44" t="n"/>
      <c r="M364" s="44" t="n"/>
      <c r="N364" s="44" t="n"/>
      <c r="O364" s="44" t="n"/>
    </row>
    <row r="365" ht="54" customHeight="1">
      <c r="A365" s="44" t="n"/>
      <c r="B365" s="44" t="n"/>
      <c r="C365" s="44" t="n"/>
      <c r="D365" s="44" t="n"/>
      <c r="E365" s="44" t="n"/>
      <c r="F365" s="44" t="n"/>
      <c r="G365" s="44" t="n"/>
      <c r="H365" s="44" t="n"/>
      <c r="I365" s="44" t="n"/>
      <c r="J365" s="44" t="n"/>
      <c r="K365" s="44" t="n"/>
      <c r="L365" s="44" t="n"/>
      <c r="M365" s="44" t="n"/>
      <c r="N365" s="44" t="n"/>
      <c r="O365" s="44" t="n"/>
    </row>
    <row r="366" ht="54" customHeight="1">
      <c r="A366" s="44" t="n"/>
      <c r="B366" s="44" t="n"/>
      <c r="C366" s="44" t="n"/>
      <c r="D366" s="44" t="n"/>
      <c r="E366" s="44" t="n"/>
      <c r="F366" s="44" t="n"/>
      <c r="G366" s="44" t="n"/>
      <c r="H366" s="44" t="n"/>
      <c r="I366" s="44" t="n"/>
      <c r="J366" s="44" t="n"/>
      <c r="K366" s="44" t="n"/>
      <c r="L366" s="44" t="n"/>
      <c r="M366" s="44" t="n"/>
      <c r="N366" s="44" t="n"/>
      <c r="O366" s="44" t="n"/>
    </row>
    <row r="367" ht="54" customHeight="1">
      <c r="A367" s="44" t="n"/>
      <c r="B367" s="44" t="n"/>
      <c r="C367" s="44" t="n"/>
      <c r="D367" s="44" t="n"/>
      <c r="E367" s="44" t="n"/>
      <c r="F367" s="44" t="n"/>
      <c r="G367" s="44" t="n"/>
      <c r="H367" s="44" t="n"/>
      <c r="I367" s="44" t="n"/>
      <c r="J367" s="44" t="n"/>
      <c r="K367" s="44" t="n"/>
      <c r="L367" s="44" t="n"/>
      <c r="M367" s="44" t="n"/>
      <c r="N367" s="44" t="n"/>
      <c r="O367" s="44" t="n"/>
    </row>
    <row r="368" ht="54" customHeight="1">
      <c r="A368" s="44" t="n"/>
      <c r="B368" s="44" t="n"/>
      <c r="C368" s="44" t="n"/>
      <c r="D368" s="44" t="n"/>
      <c r="E368" s="44" t="n"/>
      <c r="F368" s="44" t="n"/>
      <c r="G368" s="44" t="n"/>
      <c r="H368" s="44" t="n"/>
      <c r="I368" s="44" t="n"/>
      <c r="J368" s="44" t="n"/>
      <c r="K368" s="44" t="n"/>
      <c r="L368" s="44" t="n"/>
      <c r="M368" s="44" t="n"/>
      <c r="N368" s="44" t="n"/>
      <c r="O368" s="44" t="n"/>
    </row>
    <row r="369" ht="54" customHeight="1">
      <c r="A369" s="44" t="n"/>
      <c r="B369" s="44" t="n"/>
      <c r="C369" s="44" t="n"/>
      <c r="D369" s="44" t="n"/>
      <c r="E369" s="44" t="n"/>
      <c r="F369" s="44" t="n"/>
      <c r="G369" s="44" t="n"/>
      <c r="H369" s="44" t="n"/>
      <c r="I369" s="44" t="n"/>
      <c r="J369" s="44" t="n"/>
      <c r="K369" s="44" t="n"/>
      <c r="L369" s="44" t="n"/>
      <c r="M369" s="44" t="n"/>
      <c r="N369" s="44" t="n"/>
      <c r="O369" s="44" t="n"/>
    </row>
    <row r="370" ht="54" customHeight="1">
      <c r="A370" s="44" t="n"/>
      <c r="B370" s="44" t="n"/>
      <c r="C370" s="44" t="n"/>
      <c r="D370" s="44" t="n"/>
      <c r="E370" s="44" t="n"/>
      <c r="F370" s="44" t="n"/>
      <c r="G370" s="44" t="n"/>
      <c r="H370" s="44" t="n"/>
      <c r="I370" s="44" t="n"/>
      <c r="J370" s="44" t="n"/>
      <c r="K370" s="44" t="n"/>
      <c r="L370" s="44" t="n"/>
      <c r="M370" s="44" t="n"/>
      <c r="N370" s="44" t="n"/>
      <c r="O370" s="44" t="n"/>
    </row>
    <row r="371" ht="54" customHeight="1">
      <c r="A371" s="44" t="n"/>
      <c r="B371" s="44" t="n"/>
      <c r="C371" s="44" t="n"/>
      <c r="D371" s="44" t="n"/>
      <c r="E371" s="44" t="n"/>
      <c r="F371" s="44" t="n"/>
      <c r="G371" s="44" t="n"/>
      <c r="H371" s="44" t="n"/>
      <c r="I371" s="44" t="n"/>
      <c r="J371" s="44" t="n"/>
      <c r="K371" s="44" t="n"/>
      <c r="L371" s="44" t="n"/>
      <c r="M371" s="44" t="n"/>
      <c r="N371" s="44" t="n"/>
      <c r="O371" s="44" t="n"/>
    </row>
    <row r="372" ht="54" customHeight="1">
      <c r="A372" s="44" t="n"/>
      <c r="B372" s="44" t="n"/>
      <c r="C372" s="44" t="n"/>
      <c r="D372" s="44" t="n"/>
      <c r="E372" s="44" t="n"/>
      <c r="F372" s="44" t="n"/>
      <c r="G372" s="44" t="n"/>
      <c r="H372" s="44" t="n"/>
      <c r="I372" s="44" t="n"/>
      <c r="J372" s="44" t="n"/>
      <c r="K372" s="44" t="n"/>
      <c r="L372" s="44" t="n"/>
      <c r="M372" s="44" t="n"/>
      <c r="N372" s="44" t="n"/>
      <c r="O372" s="44" t="n"/>
    </row>
    <row r="373" ht="54" customHeight="1">
      <c r="A373" s="44" t="n"/>
      <c r="B373" s="44" t="n"/>
      <c r="C373" s="44" t="n"/>
      <c r="D373" s="44" t="n"/>
      <c r="E373" s="44" t="n"/>
      <c r="F373" s="44" t="n"/>
      <c r="G373" s="44" t="n"/>
      <c r="H373" s="44" t="n"/>
      <c r="I373" s="44" t="n"/>
      <c r="J373" s="44" t="n"/>
      <c r="K373" s="44" t="n"/>
      <c r="L373" s="44" t="n"/>
      <c r="M373" s="44" t="n"/>
      <c r="N373" s="44" t="n"/>
      <c r="O373" s="44" t="n"/>
    </row>
    <row r="374" ht="54" customHeight="1">
      <c r="A374" s="44" t="n"/>
      <c r="B374" s="44" t="n"/>
      <c r="C374" s="44" t="n"/>
      <c r="D374" s="44" t="n"/>
      <c r="E374" s="44" t="n"/>
      <c r="F374" s="44" t="n"/>
      <c r="G374" s="44" t="n"/>
      <c r="H374" s="44" t="n"/>
      <c r="I374" s="44" t="n"/>
      <c r="J374" s="44" t="n"/>
      <c r="K374" s="44" t="n"/>
      <c r="L374" s="44" t="n"/>
      <c r="M374" s="44" t="n"/>
      <c r="N374" s="44" t="n"/>
      <c r="O374" s="44" t="n"/>
    </row>
    <row r="375" ht="54" customHeight="1">
      <c r="A375" s="44" t="n"/>
      <c r="B375" s="44" t="n"/>
      <c r="C375" s="44" t="n"/>
      <c r="D375" s="44" t="n"/>
      <c r="E375" s="44" t="n"/>
      <c r="F375" s="44" t="n"/>
      <c r="G375" s="44" t="n"/>
      <c r="H375" s="44" t="n"/>
      <c r="I375" s="44" t="n"/>
      <c r="J375" s="44" t="n"/>
      <c r="K375" s="44" t="n"/>
      <c r="L375" s="44" t="n"/>
      <c r="M375" s="44" t="n"/>
      <c r="N375" s="44" t="n"/>
      <c r="O375" s="44" t="n"/>
    </row>
    <row r="376" ht="54" customHeight="1">
      <c r="A376" s="44" t="n"/>
      <c r="B376" s="44" t="n"/>
      <c r="C376" s="44" t="n"/>
      <c r="D376" s="44" t="n"/>
      <c r="E376" s="44" t="n"/>
      <c r="F376" s="44" t="n"/>
      <c r="G376" s="44" t="n"/>
      <c r="H376" s="44" t="n"/>
      <c r="I376" s="44" t="n"/>
      <c r="J376" s="44" t="n"/>
      <c r="K376" s="44" t="n"/>
      <c r="L376" s="44" t="n"/>
      <c r="M376" s="44" t="n"/>
      <c r="N376" s="44" t="n"/>
      <c r="O376" s="44" t="n"/>
    </row>
    <row r="377" ht="54" customHeight="1">
      <c r="A377" s="44" t="n"/>
      <c r="B377" s="44" t="n"/>
      <c r="C377" s="44" t="n"/>
      <c r="D377" s="44" t="n"/>
      <c r="E377" s="44" t="n"/>
      <c r="F377" s="44" t="n"/>
      <c r="G377" s="44" t="n"/>
      <c r="H377" s="44" t="n"/>
      <c r="I377" s="44" t="n"/>
      <c r="J377" s="44" t="n"/>
      <c r="K377" s="44" t="n"/>
      <c r="L377" s="44" t="n"/>
      <c r="M377" s="44" t="n"/>
      <c r="N377" s="44" t="n"/>
      <c r="O377" s="44" t="n"/>
    </row>
    <row r="378" ht="54" customHeight="1">
      <c r="A378" s="44" t="n"/>
      <c r="B378" s="44" t="n"/>
      <c r="C378" s="44" t="n"/>
      <c r="D378" s="44" t="n"/>
      <c r="E378" s="44" t="n"/>
      <c r="F378" s="44" t="n"/>
      <c r="G378" s="44" t="n"/>
      <c r="H378" s="44" t="n"/>
      <c r="I378" s="44" t="n"/>
      <c r="J378" s="44" t="n"/>
      <c r="K378" s="44" t="n"/>
      <c r="L378" s="44" t="n"/>
      <c r="M378" s="44" t="n"/>
      <c r="N378" s="44" t="n"/>
      <c r="O378" s="44" t="n"/>
    </row>
    <row r="379" ht="54" customHeight="1">
      <c r="A379" s="44" t="n"/>
      <c r="B379" s="44" t="n"/>
      <c r="C379" s="44" t="n"/>
      <c r="D379" s="44" t="n"/>
      <c r="E379" s="44" t="n"/>
      <c r="F379" s="44" t="n"/>
      <c r="G379" s="44" t="n"/>
      <c r="H379" s="44" t="n"/>
      <c r="I379" s="44" t="n"/>
      <c r="J379" s="44" t="n"/>
      <c r="K379" s="44" t="n"/>
      <c r="L379" s="44" t="n"/>
      <c r="M379" s="44" t="n"/>
      <c r="N379" s="44" t="n"/>
      <c r="O379" s="44" t="n"/>
    </row>
    <row r="380" ht="54" customHeight="1">
      <c r="A380" s="44" t="n"/>
      <c r="B380" s="44" t="n"/>
      <c r="C380" s="44" t="n"/>
      <c r="D380" s="44" t="n"/>
      <c r="E380" s="44" t="n"/>
      <c r="F380" s="44" t="n"/>
      <c r="G380" s="44" t="n"/>
      <c r="H380" s="44" t="n"/>
      <c r="I380" s="44" t="n"/>
      <c r="J380" s="44" t="n"/>
      <c r="K380" s="44" t="n"/>
      <c r="L380" s="44" t="n"/>
      <c r="M380" s="44" t="n"/>
      <c r="N380" s="44" t="n"/>
      <c r="O380" s="44" t="n"/>
    </row>
    <row r="381" ht="54" customHeight="1">
      <c r="A381" s="44" t="n"/>
      <c r="B381" s="44" t="n"/>
      <c r="C381" s="44" t="n"/>
      <c r="D381" s="44" t="n"/>
      <c r="E381" s="44" t="n"/>
      <c r="F381" s="44" t="n"/>
      <c r="G381" s="44" t="n"/>
      <c r="H381" s="44" t="n"/>
      <c r="I381" s="44" t="n"/>
      <c r="J381" s="44" t="n"/>
      <c r="K381" s="44" t="n"/>
      <c r="L381" s="44" t="n"/>
      <c r="M381" s="44" t="n"/>
      <c r="N381" s="44" t="n"/>
      <c r="O381" s="44" t="n"/>
    </row>
    <row r="382" ht="54" customHeight="1">
      <c r="A382" s="44" t="n"/>
      <c r="B382" s="44" t="n"/>
      <c r="C382" s="44" t="n"/>
      <c r="D382" s="44" t="n"/>
      <c r="E382" s="44" t="n"/>
      <c r="F382" s="44" t="n"/>
      <c r="G382" s="44" t="n"/>
      <c r="H382" s="44" t="n"/>
      <c r="I382" s="44" t="n"/>
      <c r="J382" s="44" t="n"/>
      <c r="K382" s="44" t="n"/>
      <c r="L382" s="44" t="n"/>
      <c r="M382" s="44" t="n"/>
      <c r="N382" s="44" t="n"/>
      <c r="O382" s="44" t="n"/>
    </row>
    <row r="383" ht="54" customHeight="1">
      <c r="A383" s="44" t="n"/>
      <c r="B383" s="44" t="n"/>
      <c r="C383" s="44" t="n"/>
      <c r="D383" s="44" t="n"/>
      <c r="E383" s="44" t="n"/>
      <c r="F383" s="44" t="n"/>
      <c r="G383" s="44" t="n"/>
      <c r="H383" s="44" t="n"/>
      <c r="I383" s="44" t="n"/>
      <c r="J383" s="44" t="n"/>
      <c r="K383" s="44" t="n"/>
      <c r="L383" s="44" t="n"/>
      <c r="M383" s="44" t="n"/>
      <c r="N383" s="44" t="n"/>
      <c r="O383" s="44" t="n"/>
    </row>
    <row r="384" ht="54" customHeight="1">
      <c r="A384" s="44" t="n"/>
      <c r="B384" s="44" t="n"/>
      <c r="C384" s="44" t="n"/>
      <c r="D384" s="44" t="n"/>
      <c r="E384" s="44" t="n"/>
      <c r="F384" s="44" t="n"/>
      <c r="G384" s="44" t="n"/>
      <c r="H384" s="44" t="n"/>
      <c r="I384" s="44" t="n"/>
      <c r="J384" s="44" t="n"/>
      <c r="K384" s="44" t="n"/>
      <c r="L384" s="44" t="n"/>
      <c r="M384" s="44" t="n"/>
      <c r="N384" s="44" t="n"/>
      <c r="O384" s="44" t="n"/>
    </row>
    <row r="385" ht="54" customHeight="1">
      <c r="A385" s="44" t="n"/>
      <c r="B385" s="44" t="n"/>
      <c r="C385" s="44" t="n"/>
      <c r="D385" s="44" t="n"/>
      <c r="E385" s="44" t="n"/>
      <c r="F385" s="44" t="n"/>
      <c r="G385" s="44" t="n"/>
      <c r="H385" s="44" t="n"/>
      <c r="I385" s="44" t="n"/>
      <c r="J385" s="44" t="n"/>
      <c r="K385" s="44" t="n"/>
      <c r="L385" s="44" t="n"/>
      <c r="M385" s="44" t="n"/>
      <c r="N385" s="44" t="n"/>
      <c r="O385" s="44" t="n"/>
    </row>
    <row r="386" ht="54" customHeight="1">
      <c r="A386" s="44" t="n"/>
      <c r="B386" s="44" t="n"/>
      <c r="C386" s="44" t="n"/>
      <c r="D386" s="44" t="n"/>
      <c r="E386" s="44" t="n"/>
      <c r="F386" s="44" t="n"/>
      <c r="G386" s="44" t="n"/>
      <c r="H386" s="44" t="n"/>
      <c r="I386" s="44" t="n"/>
      <c r="J386" s="44" t="n"/>
      <c r="K386" s="44" t="n"/>
      <c r="L386" s="44" t="n"/>
      <c r="M386" s="44" t="n"/>
      <c r="N386" s="44" t="n"/>
      <c r="O386" s="44" t="n"/>
    </row>
    <row r="387" ht="54" customHeight="1">
      <c r="A387" s="44" t="n"/>
      <c r="B387" s="44" t="n"/>
      <c r="C387" s="44" t="n"/>
      <c r="D387" s="44" t="n"/>
      <c r="E387" s="44" t="n"/>
      <c r="F387" s="44" t="n"/>
      <c r="G387" s="44" t="n"/>
      <c r="H387" s="44" t="n"/>
      <c r="I387" s="44" t="n"/>
      <c r="J387" s="44" t="n"/>
      <c r="K387" s="44" t="n"/>
      <c r="L387" s="44" t="n"/>
      <c r="M387" s="44" t="n"/>
      <c r="N387" s="44" t="n"/>
      <c r="O387" s="44" t="n"/>
    </row>
    <row r="388" ht="54" customHeight="1">
      <c r="A388" s="44" t="n"/>
      <c r="B388" s="44" t="n"/>
      <c r="C388" s="44" t="n"/>
      <c r="D388" s="44" t="n"/>
      <c r="E388" s="44" t="n"/>
      <c r="F388" s="44" t="n"/>
      <c r="G388" s="44" t="n"/>
      <c r="H388" s="44" t="n"/>
      <c r="I388" s="44" t="n"/>
      <c r="J388" s="44" t="n"/>
      <c r="K388" s="44" t="n"/>
      <c r="L388" s="44" t="n"/>
      <c r="M388" s="44" t="n"/>
      <c r="N388" s="44" t="n"/>
      <c r="O388" s="44" t="n"/>
    </row>
    <row r="389" ht="54" customHeight="1">
      <c r="A389" s="44" t="n"/>
      <c r="B389" s="44" t="n"/>
      <c r="C389" s="44" t="n"/>
      <c r="D389" s="44" t="n"/>
      <c r="E389" s="44" t="n"/>
      <c r="F389" s="44" t="n"/>
      <c r="G389" s="44" t="n"/>
      <c r="H389" s="44" t="n"/>
      <c r="I389" s="44" t="n"/>
      <c r="J389" s="44" t="n"/>
      <c r="K389" s="44" t="n"/>
      <c r="L389" s="44" t="n"/>
      <c r="M389" s="44" t="n"/>
      <c r="N389" s="44" t="n"/>
      <c r="O389" s="44" t="n"/>
    </row>
    <row r="390" ht="54" customHeight="1">
      <c r="A390" s="44" t="n"/>
      <c r="B390" s="44" t="n"/>
      <c r="C390" s="44" t="n"/>
      <c r="D390" s="44" t="n"/>
      <c r="E390" s="44" t="n"/>
      <c r="F390" s="44" t="n"/>
      <c r="G390" s="44" t="n"/>
      <c r="H390" s="44" t="n"/>
      <c r="I390" s="44" t="n"/>
      <c r="J390" s="44" t="n"/>
      <c r="K390" s="44" t="n"/>
      <c r="L390" s="44" t="n"/>
      <c r="M390" s="44" t="n"/>
      <c r="N390" s="44" t="n"/>
      <c r="O390" s="44" t="n"/>
    </row>
    <row r="391" ht="54" customHeight="1">
      <c r="A391" s="44" t="n"/>
      <c r="B391" s="44" t="n"/>
      <c r="C391" s="44" t="n"/>
      <c r="D391" s="44" t="n"/>
      <c r="E391" s="44" t="n"/>
      <c r="F391" s="44" t="n"/>
      <c r="G391" s="44" t="n"/>
      <c r="H391" s="44" t="n"/>
      <c r="I391" s="44" t="n"/>
      <c r="J391" s="44" t="n"/>
      <c r="K391" s="44" t="n"/>
      <c r="L391" s="44" t="n"/>
      <c r="M391" s="44" t="n"/>
      <c r="N391" s="44" t="n"/>
      <c r="O391" s="44" t="n"/>
    </row>
    <row r="392" ht="54" customHeight="1">
      <c r="A392" s="44" t="n"/>
      <c r="B392" s="44" t="n"/>
      <c r="C392" s="44" t="n"/>
      <c r="D392" s="44" t="n"/>
      <c r="E392" s="44" t="n"/>
      <c r="F392" s="44" t="n"/>
      <c r="G392" s="44" t="n"/>
      <c r="H392" s="44" t="n"/>
      <c r="I392" s="44" t="n"/>
      <c r="J392" s="44" t="n"/>
      <c r="K392" s="44" t="n"/>
      <c r="L392" s="44" t="n"/>
      <c r="M392" s="44" t="n"/>
      <c r="N392" s="44" t="n"/>
      <c r="O392" s="44" t="n"/>
    </row>
    <row r="393" ht="54" customHeight="1">
      <c r="A393" s="44" t="n"/>
      <c r="B393" s="44" t="n"/>
      <c r="C393" s="44" t="n"/>
      <c r="D393" s="44" t="n"/>
      <c r="E393" s="44" t="n"/>
      <c r="F393" s="44" t="n"/>
      <c r="G393" s="44" t="n"/>
      <c r="H393" s="44" t="n"/>
      <c r="I393" s="44" t="n"/>
      <c r="J393" s="44" t="n"/>
      <c r="K393" s="44" t="n"/>
      <c r="L393" s="44" t="n"/>
      <c r="M393" s="44" t="n"/>
      <c r="N393" s="44" t="n"/>
      <c r="O393" s="44" t="n"/>
    </row>
    <row r="394" ht="54" customHeight="1">
      <c r="A394" s="44" t="n"/>
      <c r="B394" s="44" t="n"/>
      <c r="C394" s="44" t="n"/>
      <c r="D394" s="44" t="n"/>
      <c r="E394" s="44" t="n"/>
      <c r="F394" s="44" t="n"/>
      <c r="G394" s="44" t="n"/>
      <c r="H394" s="44" t="n"/>
      <c r="I394" s="44" t="n"/>
      <c r="J394" s="44" t="n"/>
      <c r="K394" s="44" t="n"/>
      <c r="L394" s="44" t="n"/>
      <c r="M394" s="44" t="n"/>
      <c r="N394" s="44" t="n"/>
      <c r="O394" s="44" t="n"/>
    </row>
    <row r="395" ht="54" customHeight="1">
      <c r="A395" s="44" t="n"/>
      <c r="B395" s="44" t="n"/>
      <c r="C395" s="44" t="n"/>
      <c r="D395" s="44" t="n"/>
      <c r="E395" s="44" t="n"/>
      <c r="F395" s="44" t="n"/>
      <c r="G395" s="44" t="n"/>
      <c r="H395" s="44" t="n"/>
      <c r="I395" s="44" t="n"/>
      <c r="J395" s="44" t="n"/>
      <c r="K395" s="44" t="n"/>
      <c r="L395" s="44" t="n"/>
      <c r="M395" s="44" t="n"/>
      <c r="N395" s="44" t="n"/>
      <c r="O395" s="44" t="n"/>
    </row>
    <row r="396" ht="54" customHeight="1">
      <c r="A396" s="44" t="n"/>
      <c r="B396" s="44" t="n"/>
      <c r="C396" s="44" t="n"/>
      <c r="D396" s="44" t="n"/>
      <c r="E396" s="44" t="n"/>
      <c r="F396" s="44" t="n"/>
      <c r="G396" s="44" t="n"/>
      <c r="H396" s="44" t="n"/>
      <c r="I396" s="44" t="n"/>
      <c r="J396" s="44" t="n"/>
      <c r="K396" s="44" t="n"/>
      <c r="L396" s="44" t="n"/>
      <c r="M396" s="44" t="n"/>
      <c r="N396" s="44" t="n"/>
      <c r="O396" s="44" t="n"/>
    </row>
    <row r="397" ht="54" customHeight="1">
      <c r="A397" s="44" t="n"/>
      <c r="B397" s="44" t="n"/>
      <c r="C397" s="44" t="n"/>
      <c r="D397" s="44" t="n"/>
      <c r="E397" s="44" t="n"/>
      <c r="F397" s="44" t="n"/>
      <c r="G397" s="44" t="n"/>
      <c r="H397" s="44" t="n"/>
      <c r="I397" s="44" t="n"/>
      <c r="J397" s="44" t="n"/>
      <c r="K397" s="44" t="n"/>
      <c r="L397" s="44" t="n"/>
      <c r="M397" s="44" t="n"/>
      <c r="N397" s="44" t="n"/>
      <c r="O397" s="44" t="n"/>
    </row>
    <row r="398" ht="54" customHeight="1">
      <c r="A398" s="44" t="n"/>
      <c r="B398" s="44" t="n"/>
      <c r="C398" s="44" t="n"/>
      <c r="D398" s="44" t="n"/>
      <c r="E398" s="44" t="n"/>
      <c r="F398" s="44" t="n"/>
      <c r="G398" s="44" t="n"/>
      <c r="H398" s="44" t="n"/>
      <c r="I398" s="44" t="n"/>
      <c r="J398" s="44" t="n"/>
      <c r="K398" s="44" t="n"/>
      <c r="L398" s="44" t="n"/>
      <c r="M398" s="44" t="n"/>
      <c r="N398" s="44" t="n"/>
      <c r="O398" s="44" t="n"/>
    </row>
    <row r="399" ht="54" customHeight="1">
      <c r="A399" s="44" t="n"/>
      <c r="B399" s="44" t="n"/>
      <c r="C399" s="44" t="n"/>
      <c r="D399" s="44" t="n"/>
      <c r="E399" s="44" t="n"/>
      <c r="F399" s="44" t="n"/>
      <c r="G399" s="44" t="n"/>
      <c r="H399" s="44" t="n"/>
      <c r="I399" s="44" t="n"/>
      <c r="J399" s="44" t="n"/>
      <c r="K399" s="44" t="n"/>
      <c r="L399" s="44" t="n"/>
      <c r="M399" s="44" t="n"/>
      <c r="N399" s="44" t="n"/>
      <c r="O399" s="44" t="n"/>
    </row>
    <row r="400" ht="54" customHeight="1">
      <c r="A400" s="44" t="n"/>
      <c r="B400" s="44" t="n"/>
      <c r="C400" s="44" t="n"/>
      <c r="D400" s="44" t="n"/>
      <c r="E400" s="44" t="n"/>
      <c r="F400" s="44" t="n"/>
      <c r="G400" s="44" t="n"/>
      <c r="H400" s="44" t="n"/>
      <c r="I400" s="44" t="n"/>
      <c r="J400" s="44" t="n"/>
      <c r="K400" s="44" t="n"/>
      <c r="L400" s="44" t="n"/>
      <c r="M400" s="44" t="n"/>
      <c r="N400" s="44" t="n"/>
      <c r="O400" s="44" t="n"/>
    </row>
    <row r="401" ht="54" customHeight="1">
      <c r="A401" s="44" t="n"/>
      <c r="B401" s="44" t="n"/>
      <c r="C401" s="44" t="n"/>
      <c r="D401" s="44" t="n"/>
      <c r="E401" s="44" t="n"/>
      <c r="F401" s="44" t="n"/>
      <c r="G401" s="44" t="n"/>
      <c r="H401" s="44" t="n"/>
      <c r="I401" s="44" t="n"/>
      <c r="J401" s="44" t="n"/>
      <c r="K401" s="44" t="n"/>
      <c r="L401" s="44" t="n"/>
      <c r="M401" s="44" t="n"/>
      <c r="N401" s="44" t="n"/>
      <c r="O401" s="44" t="n"/>
    </row>
    <row r="402" ht="54" customHeight="1">
      <c r="A402" s="44" t="n"/>
      <c r="B402" s="44" t="n"/>
      <c r="C402" s="44" t="n"/>
      <c r="D402" s="44" t="n"/>
      <c r="E402" s="44" t="n"/>
      <c r="F402" s="44" t="n"/>
      <c r="G402" s="44" t="n"/>
      <c r="H402" s="44" t="n"/>
      <c r="I402" s="44" t="n"/>
      <c r="J402" s="44" t="n"/>
      <c r="K402" s="44" t="n"/>
      <c r="L402" s="44" t="n"/>
      <c r="M402" s="44" t="n"/>
      <c r="N402" s="44" t="n"/>
      <c r="O402" s="44" t="n"/>
    </row>
    <row r="403" ht="54" customHeight="1">
      <c r="A403" s="44" t="n"/>
      <c r="B403" s="44" t="n"/>
      <c r="C403" s="44" t="n"/>
      <c r="D403" s="44" t="n"/>
      <c r="E403" s="44" t="n"/>
      <c r="F403" s="44" t="n"/>
      <c r="G403" s="44" t="n"/>
      <c r="H403" s="44" t="n"/>
      <c r="I403" s="44" t="n"/>
      <c r="J403" s="44" t="n"/>
      <c r="K403" s="44" t="n"/>
      <c r="L403" s="44" t="n"/>
      <c r="M403" s="44" t="n"/>
      <c r="N403" s="44" t="n"/>
      <c r="O403" s="44" t="n"/>
    </row>
    <row r="404" ht="54" customHeight="1">
      <c r="A404" s="44" t="n"/>
      <c r="B404" s="44" t="n"/>
      <c r="C404" s="44" t="n"/>
      <c r="D404" s="44" t="n"/>
      <c r="E404" s="44" t="n"/>
      <c r="F404" s="44" t="n"/>
      <c r="G404" s="44" t="n"/>
      <c r="H404" s="44" t="n"/>
      <c r="I404" s="44" t="n"/>
      <c r="J404" s="44" t="n"/>
      <c r="K404" s="44" t="n"/>
      <c r="L404" s="44" t="n"/>
      <c r="M404" s="44" t="n"/>
      <c r="N404" s="44" t="n"/>
      <c r="O404" s="44" t="n"/>
    </row>
    <row r="405" ht="54" customHeight="1">
      <c r="A405" s="44" t="n"/>
      <c r="B405" s="44" t="n"/>
      <c r="C405" s="44" t="n"/>
      <c r="D405" s="44" t="n"/>
      <c r="E405" s="44" t="n"/>
      <c r="F405" s="44" t="n"/>
      <c r="G405" s="44" t="n"/>
      <c r="H405" s="44" t="n"/>
      <c r="I405" s="44" t="n"/>
      <c r="J405" s="44" t="n"/>
      <c r="K405" s="44" t="n"/>
      <c r="L405" s="44" t="n"/>
      <c r="M405" s="44" t="n"/>
      <c r="N405" s="44" t="n"/>
      <c r="O405" s="44" t="n"/>
    </row>
    <row r="406" ht="54" customHeight="1">
      <c r="A406" s="44" t="n"/>
      <c r="B406" s="44" t="n"/>
      <c r="C406" s="44" t="n"/>
      <c r="D406" s="44" t="n"/>
      <c r="E406" s="44" t="n"/>
      <c r="F406" s="44" t="n"/>
      <c r="G406" s="44" t="n"/>
      <c r="H406" s="44" t="n"/>
      <c r="I406" s="44" t="n"/>
      <c r="J406" s="44" t="n"/>
      <c r="K406" s="44" t="n"/>
      <c r="L406" s="44" t="n"/>
      <c r="M406" s="44" t="n"/>
      <c r="N406" s="44" t="n"/>
      <c r="O406" s="44" t="n"/>
    </row>
    <row r="407" ht="54" customHeight="1">
      <c r="A407" s="44" t="n"/>
      <c r="B407" s="44" t="n"/>
      <c r="C407" s="44" t="n"/>
      <c r="D407" s="44" t="n"/>
      <c r="E407" s="44" t="n"/>
      <c r="F407" s="44" t="n"/>
      <c r="G407" s="44" t="n"/>
      <c r="H407" s="44" t="n"/>
      <c r="I407" s="44" t="n"/>
      <c r="J407" s="44" t="n"/>
      <c r="K407" s="44" t="n"/>
      <c r="L407" s="44" t="n"/>
      <c r="M407" s="44" t="n"/>
      <c r="N407" s="44" t="n"/>
      <c r="O407" s="44" t="n"/>
    </row>
    <row r="408" ht="54" customHeight="1">
      <c r="A408" s="44" t="n"/>
      <c r="B408" s="44" t="n"/>
      <c r="C408" s="44" t="n"/>
      <c r="D408" s="44" t="n"/>
      <c r="E408" s="44" t="n"/>
      <c r="F408" s="44" t="n"/>
      <c r="G408" s="44" t="n"/>
      <c r="H408" s="44" t="n"/>
      <c r="I408" s="44" t="n"/>
      <c r="J408" s="44" t="n"/>
      <c r="K408" s="44" t="n"/>
      <c r="L408" s="44" t="n"/>
      <c r="M408" s="44" t="n"/>
      <c r="N408" s="44" t="n"/>
      <c r="O408" s="44" t="n"/>
    </row>
    <row r="409" ht="54" customHeight="1">
      <c r="A409" s="44" t="n"/>
      <c r="B409" s="44" t="n"/>
      <c r="C409" s="44" t="n"/>
      <c r="D409" s="44" t="n"/>
      <c r="E409" s="44" t="n"/>
      <c r="F409" s="44" t="n"/>
      <c r="G409" s="44" t="n"/>
      <c r="H409" s="44" t="n"/>
      <c r="I409" s="44" t="n"/>
      <c r="J409" s="44" t="n"/>
      <c r="K409" s="44" t="n"/>
      <c r="L409" s="44" t="n"/>
      <c r="M409" s="44" t="n"/>
      <c r="N409" s="44" t="n"/>
      <c r="O409" s="44" t="n"/>
    </row>
    <row r="410" ht="54" customHeight="1">
      <c r="A410" s="44" t="n"/>
      <c r="B410" s="44" t="n"/>
      <c r="C410" s="44" t="n"/>
      <c r="D410" s="44" t="n"/>
      <c r="E410" s="44" t="n"/>
      <c r="F410" s="44" t="n"/>
      <c r="G410" s="44" t="n"/>
      <c r="H410" s="44" t="n"/>
      <c r="I410" s="44" t="n"/>
      <c r="J410" s="44" t="n"/>
      <c r="K410" s="44" t="n"/>
      <c r="L410" s="44" t="n"/>
      <c r="M410" s="44" t="n"/>
      <c r="N410" s="44" t="n"/>
      <c r="O410" s="44" t="n"/>
    </row>
    <row r="411" ht="54" customHeight="1">
      <c r="A411" s="44" t="n"/>
      <c r="B411" s="44" t="n"/>
      <c r="C411" s="44" t="n"/>
      <c r="D411" s="44" t="n"/>
      <c r="E411" s="44" t="n"/>
      <c r="F411" s="44" t="n"/>
      <c r="G411" s="44" t="n"/>
      <c r="H411" s="44" t="n"/>
      <c r="I411" s="44" t="n"/>
      <c r="J411" s="44" t="n"/>
      <c r="K411" s="44" t="n"/>
      <c r="L411" s="44" t="n"/>
      <c r="M411" s="44" t="n"/>
      <c r="N411" s="44" t="n"/>
      <c r="O411" s="44" t="n"/>
    </row>
    <row r="412" ht="54" customHeight="1">
      <c r="A412" s="44" t="n"/>
      <c r="B412" s="44" t="n"/>
      <c r="C412" s="44" t="n"/>
      <c r="D412" s="44" t="n"/>
      <c r="E412" s="44" t="n"/>
      <c r="F412" s="44" t="n"/>
      <c r="G412" s="44" t="n"/>
      <c r="H412" s="44" t="n"/>
      <c r="I412" s="44" t="n"/>
      <c r="J412" s="44" t="n"/>
      <c r="K412" s="44" t="n"/>
      <c r="L412" s="44" t="n"/>
      <c r="M412" s="44" t="n"/>
      <c r="N412" s="44" t="n"/>
      <c r="O412" s="44" t="n"/>
    </row>
    <row r="413" ht="54" customHeight="1">
      <c r="A413" s="44" t="n"/>
      <c r="B413" s="44" t="n"/>
      <c r="C413" s="44" t="n"/>
      <c r="D413" s="44" t="n"/>
      <c r="E413" s="44" t="n"/>
      <c r="F413" s="44" t="n"/>
      <c r="G413" s="44" t="n"/>
      <c r="H413" s="44" t="n"/>
      <c r="I413" s="44" t="n"/>
      <c r="J413" s="44" t="n"/>
      <c r="K413" s="44" t="n"/>
      <c r="L413" s="44" t="n"/>
      <c r="M413" s="44" t="n"/>
      <c r="N413" s="44" t="n"/>
      <c r="O413" s="44" t="n"/>
    </row>
    <row r="414" ht="54" customHeight="1">
      <c r="A414" s="44" t="n"/>
      <c r="B414" s="44" t="n"/>
      <c r="C414" s="44" t="n"/>
      <c r="D414" s="44" t="n"/>
      <c r="E414" s="44" t="n"/>
      <c r="F414" s="44" t="n"/>
      <c r="G414" s="44" t="n"/>
      <c r="H414" s="44" t="n"/>
      <c r="I414" s="44" t="n"/>
      <c r="J414" s="44" t="n"/>
      <c r="K414" s="44" t="n"/>
      <c r="L414" s="44" t="n"/>
      <c r="M414" s="44" t="n"/>
      <c r="N414" s="44" t="n"/>
      <c r="O414" s="44" t="n"/>
    </row>
    <row r="415" ht="54" customHeight="1">
      <c r="A415" s="44" t="n"/>
      <c r="B415" s="44" t="n"/>
      <c r="C415" s="44" t="n"/>
      <c r="D415" s="44" t="n"/>
      <c r="E415" s="44" t="n"/>
      <c r="F415" s="44" t="n"/>
      <c r="G415" s="44" t="n"/>
      <c r="H415" s="44" t="n"/>
      <c r="I415" s="44" t="n"/>
      <c r="J415" s="44" t="n"/>
      <c r="K415" s="44" t="n"/>
      <c r="L415" s="44" t="n"/>
      <c r="M415" s="44" t="n"/>
      <c r="N415" s="44" t="n"/>
      <c r="O415" s="44" t="n"/>
    </row>
    <row r="416" ht="54" customHeight="1">
      <c r="A416" s="44" t="n"/>
      <c r="B416" s="44" t="n"/>
      <c r="C416" s="44" t="n"/>
      <c r="D416" s="44" t="n"/>
      <c r="E416" s="44" t="n"/>
      <c r="F416" s="44" t="n"/>
      <c r="G416" s="44" t="n"/>
      <c r="H416" s="44" t="n"/>
      <c r="I416" s="44" t="n"/>
      <c r="J416" s="44" t="n"/>
      <c r="K416" s="44" t="n"/>
      <c r="L416" s="44" t="n"/>
      <c r="M416" s="44" t="n"/>
      <c r="N416" s="44" t="n"/>
      <c r="O416" s="44" t="n"/>
    </row>
    <row r="417" ht="54" customHeight="1">
      <c r="A417" s="44" t="n"/>
      <c r="B417" s="44" t="n"/>
      <c r="C417" s="44" t="n"/>
      <c r="D417" s="44" t="n"/>
      <c r="E417" s="44" t="n"/>
      <c r="F417" s="44" t="n"/>
      <c r="G417" s="44" t="n"/>
      <c r="H417" s="44" t="n"/>
      <c r="I417" s="44" t="n"/>
      <c r="J417" s="44" t="n"/>
      <c r="K417" s="44" t="n"/>
      <c r="L417" s="44" t="n"/>
      <c r="M417" s="44" t="n"/>
      <c r="N417" s="44" t="n"/>
      <c r="O417" s="44" t="n"/>
    </row>
    <row r="418" ht="54" customHeight="1">
      <c r="A418" s="44" t="n"/>
      <c r="B418" s="44" t="n"/>
      <c r="C418" s="44" t="n"/>
      <c r="D418" s="44" t="n"/>
      <c r="E418" s="44" t="n"/>
      <c r="F418" s="44" t="n"/>
      <c r="G418" s="44" t="n"/>
      <c r="H418" s="44" t="n"/>
      <c r="I418" s="44" t="n"/>
      <c r="J418" s="44" t="n"/>
      <c r="K418" s="44" t="n"/>
      <c r="L418" s="44" t="n"/>
      <c r="M418" s="44" t="n"/>
      <c r="N418" s="44" t="n"/>
      <c r="O418" s="44" t="n"/>
    </row>
    <row r="419" ht="54" customHeight="1">
      <c r="A419" s="44" t="n"/>
      <c r="B419" s="44" t="n"/>
      <c r="C419" s="44" t="n"/>
      <c r="D419" s="44" t="n"/>
      <c r="E419" s="44" t="n"/>
      <c r="F419" s="44" t="n"/>
      <c r="G419" s="44" t="n"/>
      <c r="H419" s="44" t="n"/>
      <c r="I419" s="44" t="n"/>
      <c r="J419" s="44" t="n"/>
      <c r="K419" s="44" t="n"/>
      <c r="L419" s="44" t="n"/>
      <c r="M419" s="44" t="n"/>
      <c r="N419" s="44" t="n"/>
      <c r="O419" s="44" t="n"/>
    </row>
    <row r="420" ht="54" customHeight="1">
      <c r="A420" s="44" t="n"/>
      <c r="B420" s="44" t="n"/>
      <c r="C420" s="44" t="n"/>
      <c r="D420" s="44" t="n"/>
      <c r="E420" s="44" t="n"/>
      <c r="F420" s="44" t="n"/>
      <c r="G420" s="44" t="n"/>
      <c r="H420" s="44" t="n"/>
      <c r="I420" s="44" t="n"/>
      <c r="J420" s="44" t="n"/>
      <c r="K420" s="44" t="n"/>
      <c r="L420" s="44" t="n"/>
      <c r="M420" s="44" t="n"/>
      <c r="N420" s="44" t="n"/>
      <c r="O420" s="44" t="n"/>
    </row>
    <row r="421" ht="54" customHeight="1">
      <c r="A421" s="44" t="n"/>
      <c r="B421" s="44" t="n"/>
      <c r="C421" s="44" t="n"/>
      <c r="D421" s="44" t="n"/>
      <c r="E421" s="44" t="n"/>
      <c r="F421" s="44" t="n"/>
      <c r="G421" s="44" t="n"/>
      <c r="H421" s="44" t="n"/>
      <c r="I421" s="44" t="n"/>
      <c r="J421" s="44" t="n"/>
      <c r="K421" s="44" t="n"/>
      <c r="L421" s="44" t="n"/>
      <c r="M421" s="44" t="n"/>
      <c r="N421" s="44" t="n"/>
      <c r="O421" s="44" t="n"/>
    </row>
    <row r="422" ht="54" customHeight="1">
      <c r="A422" s="44" t="n"/>
      <c r="B422" s="44" t="n"/>
      <c r="C422" s="44" t="n"/>
      <c r="D422" s="44" t="n"/>
      <c r="E422" s="44" t="n"/>
      <c r="F422" s="44" t="n"/>
      <c r="G422" s="44" t="n"/>
      <c r="H422" s="44" t="n"/>
      <c r="I422" s="44" t="n"/>
      <c r="J422" s="44" t="n"/>
      <c r="K422" s="44" t="n"/>
      <c r="L422" s="44" t="n"/>
      <c r="M422" s="44" t="n"/>
      <c r="N422" s="44" t="n"/>
      <c r="O422" s="44" t="n"/>
    </row>
    <row r="423" ht="54" customHeight="1">
      <c r="A423" s="44" t="n"/>
      <c r="B423" s="44" t="n"/>
      <c r="C423" s="44" t="n"/>
      <c r="D423" s="44" t="n"/>
      <c r="E423" s="44" t="n"/>
      <c r="F423" s="44" t="n"/>
      <c r="G423" s="44" t="n"/>
      <c r="H423" s="44" t="n"/>
      <c r="I423" s="44" t="n"/>
      <c r="J423" s="44" t="n"/>
      <c r="K423" s="44" t="n"/>
      <c r="L423" s="44" t="n"/>
      <c r="M423" s="44" t="n"/>
      <c r="N423" s="44" t="n"/>
      <c r="O423" s="44" t="n"/>
    </row>
    <row r="424" ht="54" customHeight="1">
      <c r="A424" s="44" t="n"/>
      <c r="B424" s="44" t="n"/>
      <c r="C424" s="44" t="n"/>
      <c r="D424" s="44" t="n"/>
      <c r="E424" s="44" t="n"/>
      <c r="F424" s="44" t="n"/>
      <c r="G424" s="44" t="n"/>
      <c r="H424" s="44" t="n"/>
      <c r="I424" s="44" t="n"/>
      <c r="J424" s="44" t="n"/>
      <c r="K424" s="44" t="n"/>
      <c r="L424" s="44" t="n"/>
      <c r="M424" s="44" t="n"/>
      <c r="N424" s="44" t="n"/>
      <c r="O424" s="44" t="n"/>
    </row>
    <row r="425" ht="54" customHeight="1">
      <c r="A425" s="44" t="n"/>
      <c r="B425" s="44" t="n"/>
      <c r="C425" s="44" t="n"/>
      <c r="D425" s="44" t="n"/>
      <c r="E425" s="44" t="n"/>
      <c r="F425" s="44" t="n"/>
      <c r="G425" s="44" t="n"/>
      <c r="H425" s="44" t="n"/>
      <c r="I425" s="44" t="n"/>
      <c r="J425" s="44" t="n"/>
      <c r="K425" s="44" t="n"/>
      <c r="L425" s="44" t="n"/>
      <c r="M425" s="44" t="n"/>
      <c r="N425" s="44" t="n"/>
      <c r="O425" s="44" t="n"/>
    </row>
    <row r="426" ht="54" customHeight="1">
      <c r="A426" s="44" t="n"/>
      <c r="B426" s="44" t="n"/>
      <c r="C426" s="44" t="n"/>
      <c r="D426" s="44" t="n"/>
      <c r="E426" s="44" t="n"/>
      <c r="F426" s="44" t="n"/>
      <c r="G426" s="44" t="n"/>
      <c r="H426" s="44" t="n"/>
      <c r="I426" s="44" t="n"/>
      <c r="J426" s="44" t="n"/>
      <c r="K426" s="44" t="n"/>
      <c r="L426" s="44" t="n"/>
      <c r="M426" s="44" t="n"/>
      <c r="N426" s="44" t="n"/>
      <c r="O426" s="44" t="n"/>
    </row>
    <row r="427" ht="54" customHeight="1">
      <c r="A427" s="44" t="n"/>
      <c r="B427" s="44" t="n"/>
      <c r="C427" s="44" t="n"/>
      <c r="D427" s="44" t="n"/>
      <c r="E427" s="44" t="n"/>
      <c r="F427" s="44" t="n"/>
      <c r="G427" s="44" t="n"/>
      <c r="H427" s="44" t="n"/>
      <c r="I427" s="44" t="n"/>
      <c r="J427" s="44" t="n"/>
      <c r="K427" s="44" t="n"/>
      <c r="L427" s="44" t="n"/>
      <c r="M427" s="44" t="n"/>
      <c r="N427" s="44" t="n"/>
      <c r="O427" s="44" t="n"/>
    </row>
    <row r="428" ht="54" customHeight="1">
      <c r="A428" s="44" t="n"/>
      <c r="B428" s="44" t="n"/>
      <c r="C428" s="44" t="n"/>
      <c r="D428" s="44" t="n"/>
      <c r="E428" s="44" t="n"/>
      <c r="F428" s="44" t="n"/>
      <c r="G428" s="44" t="n"/>
      <c r="H428" s="44" t="n"/>
      <c r="I428" s="44" t="n"/>
      <c r="J428" s="44" t="n"/>
      <c r="K428" s="44" t="n"/>
      <c r="L428" s="44" t="n"/>
      <c r="M428" s="44" t="n"/>
      <c r="N428" s="44" t="n"/>
      <c r="O428" s="44" t="n"/>
    </row>
    <row r="429" ht="54" customHeight="1">
      <c r="A429" s="44" t="n"/>
      <c r="B429" s="44" t="n"/>
      <c r="C429" s="44" t="n"/>
      <c r="D429" s="44" t="n"/>
      <c r="E429" s="44" t="n"/>
      <c r="F429" s="44" t="n"/>
      <c r="G429" s="44" t="n"/>
      <c r="H429" s="44" t="n"/>
      <c r="I429" s="44" t="n"/>
      <c r="J429" s="44" t="n"/>
      <c r="K429" s="44" t="n"/>
      <c r="L429" s="44" t="n"/>
      <c r="M429" s="44" t="n"/>
      <c r="N429" s="44" t="n"/>
      <c r="O429" s="44" t="n"/>
    </row>
    <row r="430" ht="54" customHeight="1">
      <c r="A430" s="44" t="n"/>
      <c r="B430" s="44" t="n"/>
      <c r="C430" s="44" t="n"/>
      <c r="D430" s="44" t="n"/>
      <c r="E430" s="44" t="n"/>
      <c r="F430" s="44" t="n"/>
      <c r="G430" s="44" t="n"/>
      <c r="H430" s="44" t="n"/>
      <c r="I430" s="44" t="n"/>
      <c r="J430" s="44" t="n"/>
      <c r="K430" s="44" t="n"/>
      <c r="L430" s="44" t="n"/>
      <c r="M430" s="44" t="n"/>
      <c r="N430" s="44" t="n"/>
      <c r="O430" s="44" t="n"/>
    </row>
    <row r="431" ht="54" customHeight="1">
      <c r="A431" s="44" t="n"/>
      <c r="B431" s="44" t="n"/>
      <c r="C431" s="44" t="n"/>
      <c r="D431" s="44" t="n"/>
      <c r="E431" s="44" t="n"/>
      <c r="F431" s="44" t="n"/>
      <c r="G431" s="44" t="n"/>
      <c r="H431" s="44" t="n"/>
      <c r="I431" s="44" t="n"/>
      <c r="J431" s="44" t="n"/>
      <c r="K431" s="44" t="n"/>
      <c r="L431" s="44" t="n"/>
      <c r="M431" s="44" t="n"/>
      <c r="N431" s="44" t="n"/>
      <c r="O431" s="44" t="n"/>
    </row>
    <row r="432" ht="54" customHeight="1">
      <c r="A432" s="44" t="n"/>
      <c r="B432" s="44" t="n"/>
      <c r="C432" s="44" t="n"/>
      <c r="D432" s="44" t="n"/>
      <c r="E432" s="44" t="n"/>
      <c r="F432" s="44" t="n"/>
      <c r="G432" s="44" t="n"/>
      <c r="H432" s="44" t="n"/>
      <c r="I432" s="44" t="n"/>
      <c r="J432" s="44" t="n"/>
      <c r="K432" s="44" t="n"/>
      <c r="L432" s="44" t="n"/>
      <c r="M432" s="44" t="n"/>
      <c r="N432" s="44" t="n"/>
      <c r="O432" s="44" t="n"/>
    </row>
    <row r="433" ht="54" customHeight="1">
      <c r="A433" s="44" t="n"/>
      <c r="B433" s="44" t="n"/>
      <c r="C433" s="44" t="n"/>
      <c r="D433" s="44" t="n"/>
      <c r="E433" s="44" t="n"/>
      <c r="F433" s="44" t="n"/>
      <c r="G433" s="44" t="n"/>
      <c r="H433" s="44" t="n"/>
      <c r="I433" s="44" t="n"/>
      <c r="J433" s="44" t="n"/>
      <c r="K433" s="44" t="n"/>
      <c r="L433" s="44" t="n"/>
      <c r="M433" s="44" t="n"/>
      <c r="N433" s="44" t="n"/>
      <c r="O433" s="44" t="n"/>
    </row>
    <row r="434" ht="54" customHeight="1">
      <c r="A434" s="44" t="n"/>
      <c r="B434" s="44" t="n"/>
      <c r="C434" s="44" t="n"/>
      <c r="D434" s="44" t="n"/>
      <c r="E434" s="44" t="n"/>
      <c r="F434" s="44" t="n"/>
      <c r="G434" s="44" t="n"/>
      <c r="H434" s="44" t="n"/>
      <c r="I434" s="44" t="n"/>
      <c r="J434" s="44" t="n"/>
      <c r="K434" s="44" t="n"/>
      <c r="L434" s="44" t="n"/>
      <c r="M434" s="44" t="n"/>
      <c r="N434" s="44" t="n"/>
      <c r="O434" s="44" t="n"/>
    </row>
    <row r="435" ht="54" customHeight="1">
      <c r="A435" s="44" t="n"/>
      <c r="B435" s="44" t="n"/>
      <c r="C435" s="44" t="n"/>
      <c r="D435" s="44" t="n"/>
      <c r="E435" s="44" t="n"/>
      <c r="F435" s="44" t="n"/>
      <c r="G435" s="44" t="n"/>
      <c r="H435" s="44" t="n"/>
      <c r="I435" s="44" t="n"/>
      <c r="J435" s="44" t="n"/>
      <c r="K435" s="44" t="n"/>
      <c r="L435" s="44" t="n"/>
      <c r="M435" s="44" t="n"/>
      <c r="N435" s="44" t="n"/>
      <c r="O435" s="44" t="n"/>
    </row>
    <row r="436" ht="54" customHeight="1">
      <c r="A436" s="44" t="n"/>
      <c r="B436" s="44" t="n"/>
      <c r="C436" s="44" t="n"/>
      <c r="D436" s="44" t="n"/>
      <c r="E436" s="44" t="n"/>
      <c r="F436" s="44" t="n"/>
      <c r="G436" s="44" t="n"/>
      <c r="H436" s="44" t="n"/>
      <c r="I436" s="44" t="n"/>
      <c r="J436" s="44" t="n"/>
      <c r="K436" s="44" t="n"/>
      <c r="L436" s="44" t="n"/>
      <c r="M436" s="44" t="n"/>
      <c r="N436" s="44" t="n"/>
      <c r="O436" s="44" t="n"/>
    </row>
    <row r="437" ht="54" customHeight="1">
      <c r="A437" s="44" t="n"/>
      <c r="B437" s="44" t="n"/>
      <c r="C437" s="44" t="n"/>
      <c r="D437" s="44" t="n"/>
      <c r="E437" s="44" t="n"/>
      <c r="F437" s="44" t="n"/>
      <c r="G437" s="44" t="n"/>
      <c r="H437" s="44" t="n"/>
      <c r="I437" s="44" t="n"/>
      <c r="J437" s="44" t="n"/>
      <c r="K437" s="44" t="n"/>
      <c r="L437" s="44" t="n"/>
      <c r="M437" s="44" t="n"/>
      <c r="N437" s="44" t="n"/>
      <c r="O437" s="44" t="n"/>
    </row>
    <row r="438" ht="54" customHeight="1">
      <c r="A438" s="44" t="n"/>
      <c r="B438" s="44" t="n"/>
      <c r="C438" s="44" t="n"/>
      <c r="D438" s="44" t="n"/>
      <c r="E438" s="44" t="n"/>
      <c r="F438" s="44" t="n"/>
      <c r="G438" s="44" t="n"/>
      <c r="H438" s="44" t="n"/>
      <c r="I438" s="44" t="n"/>
      <c r="J438" s="44" t="n"/>
      <c r="K438" s="44" t="n"/>
      <c r="L438" s="44" t="n"/>
      <c r="M438" s="44" t="n"/>
      <c r="N438" s="44" t="n"/>
      <c r="O438" s="44" t="n"/>
    </row>
    <row r="439" ht="54" customHeight="1">
      <c r="A439" s="44" t="n"/>
      <c r="B439" s="44" t="n"/>
      <c r="C439" s="44" t="n"/>
      <c r="D439" s="44" t="n"/>
      <c r="E439" s="44" t="n"/>
      <c r="F439" s="44" t="n"/>
      <c r="G439" s="44" t="n"/>
      <c r="H439" s="44" t="n"/>
      <c r="I439" s="44" t="n"/>
      <c r="J439" s="44" t="n"/>
      <c r="K439" s="44" t="n"/>
      <c r="L439" s="44" t="n"/>
      <c r="M439" s="44" t="n"/>
      <c r="N439" s="44" t="n"/>
      <c r="O439" s="44" t="n"/>
    </row>
    <row r="440" ht="54" customHeight="1">
      <c r="A440" s="44" t="n"/>
      <c r="B440" s="44" t="n"/>
      <c r="C440" s="44" t="n"/>
      <c r="D440" s="44" t="n"/>
      <c r="E440" s="44" t="n"/>
      <c r="F440" s="44" t="n"/>
      <c r="G440" s="44" t="n"/>
      <c r="H440" s="44" t="n"/>
      <c r="I440" s="44" t="n"/>
      <c r="J440" s="44" t="n"/>
      <c r="K440" s="44" t="n"/>
      <c r="L440" s="44" t="n"/>
      <c r="M440" s="44" t="n"/>
      <c r="N440" s="44" t="n"/>
      <c r="O440" s="44" t="n"/>
    </row>
    <row r="441" ht="54" customHeight="1">
      <c r="A441" s="44" t="n"/>
      <c r="B441" s="44" t="n"/>
      <c r="C441" s="44" t="n"/>
      <c r="D441" s="44" t="n"/>
      <c r="E441" s="44" t="n"/>
      <c r="F441" s="44" t="n"/>
      <c r="G441" s="44" t="n"/>
      <c r="H441" s="44" t="n"/>
      <c r="I441" s="44" t="n"/>
      <c r="J441" s="44" t="n"/>
      <c r="K441" s="44" t="n"/>
      <c r="L441" s="44" t="n"/>
      <c r="M441" s="44" t="n"/>
      <c r="N441" s="44" t="n"/>
      <c r="O441" s="44" t="n"/>
    </row>
    <row r="442" ht="54" customHeight="1">
      <c r="A442" s="44" t="n"/>
      <c r="B442" s="44" t="n"/>
      <c r="C442" s="44" t="n"/>
      <c r="D442" s="44" t="n"/>
      <c r="E442" s="44" t="n"/>
      <c r="F442" s="44" t="n"/>
      <c r="G442" s="44" t="n"/>
      <c r="H442" s="44" t="n"/>
      <c r="I442" s="44" t="n"/>
      <c r="J442" s="44" t="n"/>
      <c r="K442" s="44" t="n"/>
      <c r="L442" s="44" t="n"/>
      <c r="M442" s="44" t="n"/>
      <c r="N442" s="44" t="n"/>
      <c r="O442" s="44" t="n"/>
    </row>
    <row r="443" ht="54" customHeight="1">
      <c r="A443" s="44" t="n"/>
      <c r="B443" s="44" t="n"/>
      <c r="C443" s="44" t="n"/>
      <c r="D443" s="44" t="n"/>
      <c r="E443" s="44" t="n"/>
      <c r="F443" s="44" t="n"/>
      <c r="G443" s="44" t="n"/>
      <c r="H443" s="44" t="n"/>
      <c r="I443" s="44" t="n"/>
      <c r="J443" s="44" t="n"/>
      <c r="K443" s="44" t="n"/>
      <c r="L443" s="44" t="n"/>
      <c r="M443" s="44" t="n"/>
      <c r="N443" s="44" t="n"/>
      <c r="O443" s="44" t="n"/>
    </row>
    <row r="444" ht="54" customHeight="1">
      <c r="A444" s="44" t="n"/>
      <c r="B444" s="44" t="n"/>
      <c r="C444" s="44" t="n"/>
      <c r="D444" s="44" t="n"/>
      <c r="E444" s="44" t="n"/>
      <c r="F444" s="44" t="n"/>
      <c r="G444" s="44" t="n"/>
      <c r="H444" s="44" t="n"/>
      <c r="I444" s="44" t="n"/>
      <c r="J444" s="44" t="n"/>
      <c r="K444" s="44" t="n"/>
      <c r="L444" s="44" t="n"/>
      <c r="M444" s="44" t="n"/>
      <c r="N444" s="44" t="n"/>
      <c r="O444" s="44" t="n"/>
    </row>
    <row r="445" ht="54" customHeight="1">
      <c r="A445" s="44" t="n"/>
      <c r="B445" s="44" t="n"/>
      <c r="C445" s="44" t="n"/>
      <c r="D445" s="44" t="n"/>
      <c r="E445" s="44" t="n"/>
      <c r="F445" s="44" t="n"/>
      <c r="G445" s="44" t="n"/>
      <c r="H445" s="44" t="n"/>
      <c r="I445" s="44" t="n"/>
      <c r="J445" s="44" t="n"/>
      <c r="K445" s="44" t="n"/>
      <c r="L445" s="44" t="n"/>
      <c r="M445" s="44" t="n"/>
      <c r="N445" s="44" t="n"/>
      <c r="O445" s="44" t="n"/>
    </row>
    <row r="446" ht="54" customHeight="1">
      <c r="A446" s="44" t="n"/>
      <c r="B446" s="44" t="n"/>
      <c r="C446" s="44" t="n"/>
      <c r="D446" s="44" t="n"/>
      <c r="E446" s="44" t="n"/>
      <c r="F446" s="44" t="n"/>
      <c r="G446" s="44" t="n"/>
      <c r="H446" s="44" t="n"/>
      <c r="I446" s="44" t="n"/>
      <c r="J446" s="44" t="n"/>
      <c r="K446" s="44" t="n"/>
      <c r="L446" s="44" t="n"/>
      <c r="M446" s="44" t="n"/>
      <c r="N446" s="44" t="n"/>
      <c r="O446" s="44" t="n"/>
    </row>
    <row r="447" ht="54" customHeight="1">
      <c r="A447" s="44" t="n"/>
      <c r="B447" s="44" t="n"/>
      <c r="C447" s="44" t="n"/>
      <c r="D447" s="44" t="n"/>
      <c r="E447" s="44" t="n"/>
      <c r="F447" s="44" t="n"/>
      <c r="G447" s="44" t="n"/>
      <c r="H447" s="44" t="n"/>
      <c r="I447" s="44" t="n"/>
      <c r="J447" s="44" t="n"/>
      <c r="K447" s="44" t="n"/>
      <c r="L447" s="44" t="n"/>
      <c r="M447" s="44" t="n"/>
      <c r="N447" s="44" t="n"/>
      <c r="O447" s="44" t="n"/>
    </row>
    <row r="448" ht="54" customHeight="1">
      <c r="A448" s="44" t="n"/>
      <c r="B448" s="44" t="n"/>
      <c r="C448" s="44" t="n"/>
      <c r="D448" s="44" t="n"/>
      <c r="E448" s="44" t="n"/>
      <c r="F448" s="44" t="n"/>
      <c r="G448" s="44" t="n"/>
      <c r="H448" s="44" t="n"/>
      <c r="I448" s="44" t="n"/>
      <c r="J448" s="44" t="n"/>
      <c r="K448" s="44" t="n"/>
      <c r="L448" s="44" t="n"/>
      <c r="M448" s="44" t="n"/>
      <c r="N448" s="44" t="n"/>
      <c r="O448" s="44" t="n"/>
    </row>
    <row r="449" ht="54" customHeight="1">
      <c r="A449" s="44" t="n"/>
      <c r="B449" s="44" t="n"/>
      <c r="C449" s="44" t="n"/>
      <c r="D449" s="44" t="n"/>
      <c r="E449" s="44" t="n"/>
      <c r="F449" s="44" t="n"/>
      <c r="G449" s="44" t="n"/>
      <c r="H449" s="44" t="n"/>
      <c r="I449" s="44" t="n"/>
      <c r="J449" s="44" t="n"/>
      <c r="K449" s="44" t="n"/>
      <c r="L449" s="44" t="n"/>
      <c r="M449" s="44" t="n"/>
      <c r="N449" s="44" t="n"/>
      <c r="O449" s="44" t="n"/>
    </row>
    <row r="450" ht="54" customHeight="1">
      <c r="A450" s="44" t="n"/>
      <c r="B450" s="44" t="n"/>
      <c r="C450" s="44" t="n"/>
      <c r="D450" s="44" t="n"/>
      <c r="E450" s="44" t="n"/>
      <c r="F450" s="44" t="n"/>
      <c r="G450" s="44" t="n"/>
      <c r="H450" s="44" t="n"/>
      <c r="I450" s="44" t="n"/>
      <c r="J450" s="44" t="n"/>
      <c r="K450" s="44" t="n"/>
      <c r="L450" s="44" t="n"/>
      <c r="M450" s="44" t="n"/>
      <c r="N450" s="44" t="n"/>
      <c r="O450" s="44" t="n"/>
    </row>
    <row r="451" ht="54" customHeight="1">
      <c r="A451" s="44" t="n"/>
      <c r="B451" s="44" t="n"/>
      <c r="C451" s="44" t="n"/>
      <c r="D451" s="44" t="n"/>
      <c r="E451" s="44" t="n"/>
      <c r="F451" s="44" t="n"/>
      <c r="G451" s="44" t="n"/>
      <c r="H451" s="44" t="n"/>
      <c r="I451" s="44" t="n"/>
      <c r="J451" s="44" t="n"/>
      <c r="K451" s="44" t="n"/>
      <c r="L451" s="44" t="n"/>
      <c r="M451" s="44" t="n"/>
      <c r="N451" s="44" t="n"/>
      <c r="O451" s="44" t="n"/>
    </row>
    <row r="452" ht="54" customHeight="1">
      <c r="A452" s="44" t="n"/>
      <c r="B452" s="44" t="n"/>
      <c r="C452" s="44" t="n"/>
      <c r="D452" s="44" t="n"/>
      <c r="E452" s="44" t="n"/>
      <c r="F452" s="44" t="n"/>
      <c r="G452" s="44" t="n"/>
      <c r="H452" s="44" t="n"/>
      <c r="I452" s="44" t="n"/>
      <c r="J452" s="44" t="n"/>
      <c r="K452" s="44" t="n"/>
      <c r="L452" s="44" t="n"/>
      <c r="M452" s="44" t="n"/>
      <c r="N452" s="44" t="n"/>
      <c r="O452" s="44" t="n"/>
    </row>
    <row r="453" ht="54" customHeight="1">
      <c r="A453" s="44" t="n"/>
      <c r="B453" s="44" t="n"/>
      <c r="C453" s="44" t="n"/>
      <c r="D453" s="44" t="n"/>
      <c r="E453" s="44" t="n"/>
      <c r="F453" s="44" t="n"/>
      <c r="G453" s="44" t="n"/>
      <c r="H453" s="44" t="n"/>
      <c r="I453" s="44" t="n"/>
      <c r="J453" s="44" t="n"/>
      <c r="K453" s="44" t="n"/>
      <c r="L453" s="44" t="n"/>
      <c r="M453" s="44" t="n"/>
      <c r="N453" s="44" t="n"/>
      <c r="O453" s="44" t="n"/>
    </row>
    <row r="454" ht="54" customHeight="1">
      <c r="A454" s="44" t="n"/>
      <c r="B454" s="44" t="n"/>
      <c r="C454" s="44" t="n"/>
      <c r="D454" s="44" t="n"/>
      <c r="E454" s="44" t="n"/>
      <c r="F454" s="44" t="n"/>
      <c r="G454" s="44" t="n"/>
      <c r="H454" s="44" t="n"/>
      <c r="I454" s="44" t="n"/>
      <c r="J454" s="44" t="n"/>
      <c r="K454" s="44" t="n"/>
      <c r="L454" s="44" t="n"/>
      <c r="M454" s="44" t="n"/>
      <c r="N454" s="44" t="n"/>
      <c r="O454" s="44" t="n"/>
    </row>
    <row r="455" ht="54" customHeight="1">
      <c r="A455" s="44" t="n"/>
      <c r="B455" s="44" t="n"/>
      <c r="C455" s="44" t="n"/>
      <c r="D455" s="44" t="n"/>
      <c r="E455" s="44" t="n"/>
      <c r="F455" s="44" t="n"/>
      <c r="G455" s="44" t="n"/>
      <c r="H455" s="44" t="n"/>
      <c r="I455" s="44" t="n"/>
      <c r="J455" s="44" t="n"/>
      <c r="K455" s="44" t="n"/>
      <c r="L455" s="44" t="n"/>
      <c r="M455" s="44" t="n"/>
      <c r="N455" s="44" t="n"/>
      <c r="O455" s="44" t="n"/>
    </row>
    <row r="456" ht="54" customHeight="1">
      <c r="A456" s="44" t="n"/>
      <c r="B456" s="44" t="n"/>
      <c r="C456" s="44" t="n"/>
      <c r="D456" s="44" t="n"/>
      <c r="E456" s="44" t="n"/>
      <c r="F456" s="44" t="n"/>
      <c r="G456" s="44" t="n"/>
      <c r="H456" s="44" t="n"/>
      <c r="I456" s="44" t="n"/>
      <c r="J456" s="44" t="n"/>
      <c r="K456" s="44" t="n"/>
      <c r="L456" s="44" t="n"/>
      <c r="M456" s="44" t="n"/>
      <c r="N456" s="44" t="n"/>
      <c r="O456" s="44" t="n"/>
    </row>
    <row r="457" ht="54" customHeight="1">
      <c r="A457" s="44" t="n"/>
      <c r="B457" s="44" t="n"/>
      <c r="C457" s="44" t="n"/>
      <c r="D457" s="44" t="n"/>
      <c r="E457" s="44" t="n"/>
      <c r="F457" s="44" t="n"/>
      <c r="G457" s="44" t="n"/>
      <c r="H457" s="44" t="n"/>
      <c r="I457" s="44" t="n"/>
      <c r="J457" s="44" t="n"/>
      <c r="K457" s="44" t="n"/>
      <c r="L457" s="44" t="n"/>
      <c r="M457" s="44" t="n"/>
      <c r="N457" s="44" t="n"/>
      <c r="O457" s="44" t="n"/>
    </row>
    <row r="458" ht="54" customHeight="1">
      <c r="A458" s="44" t="n"/>
      <c r="B458" s="44" t="n"/>
      <c r="C458" s="44" t="n"/>
      <c r="D458" s="44" t="n"/>
      <c r="E458" s="44" t="n"/>
      <c r="F458" s="44" t="n"/>
      <c r="G458" s="44" t="n"/>
      <c r="H458" s="44" t="n"/>
      <c r="I458" s="44" t="n"/>
      <c r="J458" s="44" t="n"/>
      <c r="K458" s="44" t="n"/>
      <c r="L458" s="44" t="n"/>
      <c r="M458" s="44" t="n"/>
      <c r="N458" s="44" t="n"/>
      <c r="O458" s="44" t="n"/>
    </row>
    <row r="459" ht="54" customHeight="1">
      <c r="A459" s="44" t="n"/>
      <c r="B459" s="44" t="n"/>
      <c r="C459" s="44" t="n"/>
      <c r="D459" s="44" t="n"/>
      <c r="E459" s="44" t="n"/>
      <c r="F459" s="44" t="n"/>
      <c r="G459" s="44" t="n"/>
      <c r="H459" s="44" t="n"/>
      <c r="I459" s="44" t="n"/>
      <c r="J459" s="44" t="n"/>
      <c r="K459" s="44" t="n"/>
      <c r="L459" s="44" t="n"/>
      <c r="M459" s="44" t="n"/>
      <c r="N459" s="44" t="n"/>
      <c r="O459" s="44" t="n"/>
    </row>
    <row r="460" ht="54" customHeight="1">
      <c r="A460" s="44" t="n"/>
      <c r="B460" s="44" t="n"/>
      <c r="C460" s="44" t="n"/>
      <c r="D460" s="44" t="n"/>
      <c r="E460" s="44" t="n"/>
      <c r="F460" s="44" t="n"/>
      <c r="G460" s="44" t="n"/>
      <c r="H460" s="44" t="n"/>
      <c r="I460" s="44" t="n"/>
      <c r="J460" s="44" t="n"/>
      <c r="K460" s="44" t="n"/>
      <c r="L460" s="44" t="n"/>
      <c r="M460" s="44" t="n"/>
      <c r="N460" s="44" t="n"/>
      <c r="O460" s="44" t="n"/>
    </row>
    <row r="461" ht="54" customHeight="1">
      <c r="A461" s="44" t="n"/>
      <c r="B461" s="44" t="n"/>
      <c r="C461" s="44" t="n"/>
      <c r="D461" s="44" t="n"/>
      <c r="E461" s="44" t="n"/>
      <c r="F461" s="44" t="n"/>
      <c r="G461" s="44" t="n"/>
      <c r="H461" s="44" t="n"/>
      <c r="I461" s="44" t="n"/>
      <c r="J461" s="44" t="n"/>
      <c r="K461" s="44" t="n"/>
      <c r="L461" s="44" t="n"/>
      <c r="M461" s="44" t="n"/>
      <c r="N461" s="44" t="n"/>
      <c r="O461" s="44" t="n"/>
    </row>
    <row r="462" ht="54" customHeight="1">
      <c r="A462" s="44" t="n"/>
      <c r="B462" s="44" t="n"/>
      <c r="C462" s="44" t="n"/>
      <c r="D462" s="44" t="n"/>
      <c r="E462" s="44" t="n"/>
      <c r="F462" s="44" t="n"/>
      <c r="G462" s="44" t="n"/>
      <c r="H462" s="44" t="n"/>
      <c r="I462" s="44" t="n"/>
      <c r="J462" s="44" t="n"/>
      <c r="K462" s="44" t="n"/>
      <c r="L462" s="44" t="n"/>
      <c r="M462" s="44" t="n"/>
      <c r="N462" s="44" t="n"/>
      <c r="O462" s="44" t="n"/>
    </row>
    <row r="463" ht="54" customHeight="1">
      <c r="A463" s="44" t="n"/>
      <c r="B463" s="44" t="n"/>
      <c r="C463" s="44" t="n"/>
      <c r="D463" s="44" t="n"/>
      <c r="E463" s="44" t="n"/>
      <c r="F463" s="44" t="n"/>
      <c r="G463" s="44" t="n"/>
      <c r="H463" s="44" t="n"/>
      <c r="I463" s="44" t="n"/>
      <c r="J463" s="44" t="n"/>
      <c r="K463" s="44" t="n"/>
      <c r="L463" s="44" t="n"/>
      <c r="M463" s="44" t="n"/>
      <c r="N463" s="44" t="n"/>
      <c r="O463" s="44" t="n"/>
    </row>
    <row r="464" ht="54" customHeight="1">
      <c r="A464" s="44" t="n"/>
      <c r="B464" s="44" t="n"/>
      <c r="C464" s="44" t="n"/>
      <c r="D464" s="44" t="n"/>
      <c r="E464" s="44" t="n"/>
      <c r="F464" s="44" t="n"/>
      <c r="G464" s="44" t="n"/>
      <c r="H464" s="44" t="n"/>
      <c r="I464" s="44" t="n"/>
      <c r="J464" s="44" t="n"/>
      <c r="K464" s="44" t="n"/>
      <c r="L464" s="44" t="n"/>
      <c r="M464" s="44" t="n"/>
      <c r="N464" s="44" t="n"/>
      <c r="O464" s="44" t="n"/>
    </row>
    <row r="465" ht="54" customHeight="1">
      <c r="A465" s="44" t="n"/>
      <c r="B465" s="44" t="n"/>
      <c r="C465" s="44" t="n"/>
      <c r="D465" s="44" t="n"/>
      <c r="E465" s="44" t="n"/>
      <c r="F465" s="44" t="n"/>
      <c r="G465" s="44" t="n"/>
      <c r="H465" s="44" t="n"/>
      <c r="I465" s="44" t="n"/>
      <c r="J465" s="44" t="n"/>
      <c r="K465" s="44" t="n"/>
      <c r="L465" s="44" t="n"/>
      <c r="M465" s="44" t="n"/>
      <c r="N465" s="44" t="n"/>
      <c r="O465" s="44" t="n"/>
    </row>
    <row r="466" ht="54" customHeight="1">
      <c r="A466" s="44" t="n"/>
      <c r="B466" s="44" t="n"/>
      <c r="C466" s="44" t="n"/>
      <c r="D466" s="44" t="n"/>
      <c r="E466" s="44" t="n"/>
      <c r="F466" s="44" t="n"/>
      <c r="G466" s="44" t="n"/>
      <c r="H466" s="44" t="n"/>
      <c r="I466" s="44" t="n"/>
      <c r="J466" s="44" t="n"/>
      <c r="K466" s="44" t="n"/>
      <c r="L466" s="44" t="n"/>
      <c r="M466" s="44" t="n"/>
      <c r="N466" s="44" t="n"/>
      <c r="O466" s="44" t="n"/>
    </row>
    <row r="467" ht="54" customHeight="1">
      <c r="A467" s="44" t="n"/>
      <c r="B467" s="44" t="n"/>
      <c r="C467" s="44" t="n"/>
      <c r="D467" s="44" t="n"/>
      <c r="E467" s="44" t="n"/>
      <c r="F467" s="44" t="n"/>
      <c r="G467" s="44" t="n"/>
      <c r="H467" s="44" t="n"/>
      <c r="I467" s="44" t="n"/>
      <c r="J467" s="44" t="n"/>
      <c r="K467" s="44" t="n"/>
      <c r="L467" s="44" t="n"/>
      <c r="M467" s="44" t="n"/>
      <c r="N467" s="44" t="n"/>
      <c r="O467" s="44" t="n"/>
    </row>
    <row r="468" ht="54" customHeight="1">
      <c r="A468" s="44" t="n"/>
      <c r="B468" s="44" t="n"/>
      <c r="C468" s="44" t="n"/>
      <c r="D468" s="44" t="n"/>
      <c r="E468" s="44" t="n"/>
      <c r="F468" s="44" t="n"/>
      <c r="G468" s="44" t="n"/>
      <c r="H468" s="44" t="n"/>
      <c r="I468" s="44" t="n"/>
      <c r="J468" s="44" t="n"/>
      <c r="K468" s="44" t="n"/>
      <c r="L468" s="44" t="n"/>
      <c r="M468" s="44" t="n"/>
      <c r="N468" s="44" t="n"/>
      <c r="O468" s="44" t="n"/>
    </row>
    <row r="469" ht="54" customHeight="1">
      <c r="A469" s="44" t="n"/>
      <c r="B469" s="44" t="n"/>
      <c r="C469" s="44" t="n"/>
      <c r="D469" s="44" t="n"/>
      <c r="E469" s="44" t="n"/>
      <c r="F469" s="44" t="n"/>
      <c r="G469" s="44" t="n"/>
      <c r="H469" s="44" t="n"/>
      <c r="I469" s="44" t="n"/>
      <c r="J469" s="44" t="n"/>
      <c r="K469" s="44" t="n"/>
      <c r="L469" s="44" t="n"/>
      <c r="M469" s="44" t="n"/>
      <c r="N469" s="44" t="n"/>
      <c r="O469" s="44" t="n"/>
    </row>
    <row r="470" ht="54" customHeight="1">
      <c r="A470" s="44" t="n"/>
      <c r="B470" s="44" t="n"/>
      <c r="C470" s="44" t="n"/>
      <c r="D470" s="44" t="n"/>
      <c r="E470" s="44" t="n"/>
      <c r="F470" s="44" t="n"/>
      <c r="G470" s="44" t="n"/>
      <c r="H470" s="44" t="n"/>
      <c r="I470" s="44" t="n"/>
      <c r="J470" s="44" t="n"/>
      <c r="K470" s="44" t="n"/>
      <c r="L470" s="44" t="n"/>
      <c r="M470" s="44" t="n"/>
      <c r="N470" s="44" t="n"/>
      <c r="O470" s="44" t="n"/>
    </row>
    <row r="471" ht="54" customHeight="1">
      <c r="A471" s="44" t="n"/>
      <c r="B471" s="44" t="n"/>
      <c r="C471" s="44" t="n"/>
      <c r="D471" s="44" t="n"/>
      <c r="E471" s="44" t="n"/>
      <c r="F471" s="44" t="n"/>
      <c r="G471" s="44" t="n"/>
      <c r="H471" s="44" t="n"/>
      <c r="I471" s="44" t="n"/>
      <c r="J471" s="44" t="n"/>
      <c r="K471" s="44" t="n"/>
      <c r="L471" s="44" t="n"/>
      <c r="M471" s="44" t="n"/>
      <c r="N471" s="44" t="n"/>
      <c r="O471" s="44" t="n"/>
    </row>
    <row r="472" ht="54" customHeight="1">
      <c r="A472" s="44" t="n"/>
      <c r="B472" s="44" t="n"/>
      <c r="C472" s="44" t="n"/>
      <c r="D472" s="44" t="n"/>
      <c r="E472" s="44" t="n"/>
      <c r="F472" s="44" t="n"/>
      <c r="G472" s="44" t="n"/>
      <c r="H472" s="44" t="n"/>
      <c r="I472" s="44" t="n"/>
      <c r="J472" s="44" t="n"/>
      <c r="K472" s="44" t="n"/>
      <c r="L472" s="44" t="n"/>
      <c r="M472" s="44" t="n"/>
      <c r="N472" s="44" t="n"/>
      <c r="O472" s="44" t="n"/>
    </row>
    <row r="473" ht="54" customHeight="1">
      <c r="A473" s="44" t="n"/>
      <c r="B473" s="44" t="n"/>
      <c r="C473" s="44" t="n"/>
      <c r="D473" s="44" t="n"/>
      <c r="E473" s="44" t="n"/>
      <c r="F473" s="44" t="n"/>
      <c r="G473" s="44" t="n"/>
      <c r="H473" s="44" t="n"/>
      <c r="I473" s="44" t="n"/>
      <c r="J473" s="44" t="n"/>
      <c r="K473" s="44" t="n"/>
      <c r="L473" s="44" t="n"/>
      <c r="M473" s="44" t="n"/>
      <c r="N473" s="44" t="n"/>
      <c r="O473" s="44" t="n"/>
    </row>
    <row r="474" ht="54" customHeight="1">
      <c r="A474" s="44" t="n"/>
      <c r="B474" s="44" t="n"/>
      <c r="C474" s="44" t="n"/>
      <c r="D474" s="44" t="n"/>
      <c r="E474" s="44" t="n"/>
      <c r="F474" s="44" t="n"/>
      <c r="G474" s="44" t="n"/>
      <c r="H474" s="44" t="n"/>
      <c r="I474" s="44" t="n"/>
      <c r="J474" s="44" t="n"/>
      <c r="K474" s="44" t="n"/>
      <c r="L474" s="44" t="n"/>
      <c r="M474" s="44" t="n"/>
      <c r="N474" s="44" t="n"/>
      <c r="O474" s="44" t="n"/>
    </row>
    <row r="475" ht="54" customHeight="1">
      <c r="A475" s="44" t="n"/>
      <c r="B475" s="44" t="n"/>
      <c r="C475" s="44" t="n"/>
      <c r="D475" s="44" t="n"/>
      <c r="E475" s="44" t="n"/>
      <c r="F475" s="44" t="n"/>
      <c r="G475" s="44" t="n"/>
      <c r="H475" s="44" t="n"/>
      <c r="I475" s="44" t="n"/>
      <c r="J475" s="44" t="n"/>
      <c r="K475" s="44" t="n"/>
      <c r="L475" s="44" t="n"/>
      <c r="M475" s="44" t="n"/>
      <c r="N475" s="44" t="n"/>
      <c r="O475" s="44" t="n"/>
    </row>
    <row r="476" ht="54" customHeight="1">
      <c r="A476" s="44" t="n"/>
      <c r="B476" s="44" t="n"/>
      <c r="C476" s="44" t="n"/>
      <c r="D476" s="44" t="n"/>
      <c r="E476" s="44" t="n"/>
      <c r="F476" s="44" t="n"/>
      <c r="G476" s="44" t="n"/>
      <c r="H476" s="44" t="n"/>
      <c r="I476" s="44" t="n"/>
      <c r="J476" s="44" t="n"/>
      <c r="K476" s="44" t="n"/>
      <c r="L476" s="44" t="n"/>
      <c r="M476" s="44" t="n"/>
      <c r="N476" s="44" t="n"/>
      <c r="O476" s="44" t="n"/>
    </row>
    <row r="477" ht="54" customHeight="1">
      <c r="A477" s="44" t="n"/>
      <c r="B477" s="44" t="n"/>
      <c r="C477" s="44" t="n"/>
      <c r="D477" s="44" t="n"/>
      <c r="E477" s="44" t="n"/>
      <c r="F477" s="44" t="n"/>
      <c r="G477" s="44" t="n"/>
      <c r="H477" s="44" t="n"/>
      <c r="I477" s="44" t="n"/>
      <c r="J477" s="44" t="n"/>
      <c r="K477" s="44" t="n"/>
      <c r="L477" s="44" t="n"/>
      <c r="M477" s="44" t="n"/>
      <c r="N477" s="44" t="n"/>
      <c r="O477" s="44" t="n"/>
    </row>
    <row r="478" ht="54" customHeight="1">
      <c r="A478" s="44" t="n"/>
      <c r="B478" s="44" t="n"/>
      <c r="C478" s="44" t="n"/>
      <c r="D478" s="44" t="n"/>
      <c r="E478" s="44" t="n"/>
      <c r="F478" s="44" t="n"/>
      <c r="G478" s="44" t="n"/>
      <c r="H478" s="44" t="n"/>
      <c r="I478" s="44" t="n"/>
      <c r="J478" s="44" t="n"/>
      <c r="K478" s="44" t="n"/>
      <c r="L478" s="44" t="n"/>
      <c r="M478" s="44" t="n"/>
      <c r="N478" s="44" t="n"/>
      <c r="O478" s="44" t="n"/>
    </row>
    <row r="479" ht="54" customHeight="1">
      <c r="A479" s="44" t="n"/>
      <c r="B479" s="44" t="n"/>
      <c r="C479" s="44" t="n"/>
      <c r="D479" s="44" t="n"/>
      <c r="E479" s="44" t="n"/>
      <c r="F479" s="44" t="n"/>
      <c r="G479" s="44" t="n"/>
      <c r="H479" s="44" t="n"/>
      <c r="I479" s="44" t="n"/>
      <c r="J479" s="44" t="n"/>
      <c r="K479" s="44" t="n"/>
      <c r="L479" s="44" t="n"/>
      <c r="M479" s="44" t="n"/>
      <c r="N479" s="44" t="n"/>
      <c r="O479" s="44" t="n"/>
    </row>
    <row r="480" ht="54" customHeight="1">
      <c r="A480" s="44" t="n"/>
      <c r="B480" s="44" t="n"/>
      <c r="C480" s="44" t="n"/>
      <c r="D480" s="44" t="n"/>
      <c r="E480" s="44" t="n"/>
      <c r="F480" s="44" t="n"/>
      <c r="G480" s="44" t="n"/>
      <c r="H480" s="44" t="n"/>
      <c r="I480" s="44" t="n"/>
      <c r="J480" s="44" t="n"/>
      <c r="K480" s="44" t="n"/>
      <c r="L480" s="44" t="n"/>
      <c r="M480" s="44" t="n"/>
      <c r="N480" s="44" t="n"/>
      <c r="O480" s="44" t="n"/>
    </row>
    <row r="481" ht="54" customHeight="1">
      <c r="A481" s="44" t="n"/>
      <c r="B481" s="44" t="n"/>
      <c r="C481" s="44" t="n"/>
      <c r="D481" s="44" t="n"/>
      <c r="E481" s="44" t="n"/>
      <c r="F481" s="44" t="n"/>
      <c r="G481" s="44" t="n"/>
      <c r="H481" s="44" t="n"/>
      <c r="I481" s="44" t="n"/>
      <c r="J481" s="44" t="n"/>
      <c r="K481" s="44" t="n"/>
      <c r="L481" s="44" t="n"/>
      <c r="M481" s="44" t="n"/>
      <c r="N481" s="44" t="n"/>
      <c r="O481" s="44" t="n"/>
    </row>
    <row r="482" ht="54" customHeight="1">
      <c r="A482" s="44" t="n"/>
      <c r="B482" s="44" t="n"/>
      <c r="C482" s="44" t="n"/>
      <c r="D482" s="44" t="n"/>
      <c r="E482" s="44" t="n"/>
      <c r="F482" s="44" t="n"/>
      <c r="G482" s="44" t="n"/>
      <c r="H482" s="44" t="n"/>
      <c r="I482" s="44" t="n"/>
      <c r="J482" s="44" t="n"/>
      <c r="K482" s="44" t="n"/>
      <c r="L482" s="44" t="n"/>
      <c r="M482" s="44" t="n"/>
      <c r="N482" s="44" t="n"/>
      <c r="O482" s="44" t="n"/>
    </row>
    <row r="483" ht="54" customHeight="1">
      <c r="A483" s="44" t="n"/>
      <c r="B483" s="44" t="n"/>
      <c r="C483" s="44" t="n"/>
      <c r="D483" s="44" t="n"/>
      <c r="E483" s="44" t="n"/>
      <c r="F483" s="44" t="n"/>
      <c r="G483" s="44" t="n"/>
      <c r="H483" s="44" t="n"/>
      <c r="I483" s="44" t="n"/>
      <c r="J483" s="44" t="n"/>
      <c r="K483" s="44" t="n"/>
      <c r="L483" s="44" t="n"/>
      <c r="M483" s="44" t="n"/>
      <c r="N483" s="44" t="n"/>
      <c r="O483" s="44" t="n"/>
    </row>
    <row r="484" ht="54" customHeight="1">
      <c r="A484" s="44" t="n"/>
      <c r="B484" s="44" t="n"/>
      <c r="C484" s="44" t="n"/>
      <c r="D484" s="44" t="n"/>
      <c r="E484" s="44" t="n"/>
      <c r="F484" s="44" t="n"/>
      <c r="G484" s="44" t="n"/>
      <c r="H484" s="44" t="n"/>
      <c r="I484" s="44" t="n"/>
      <c r="J484" s="44" t="n"/>
      <c r="K484" s="44" t="n"/>
      <c r="L484" s="44" t="n"/>
      <c r="M484" s="44" t="n"/>
      <c r="N484" s="44" t="n"/>
      <c r="O484" s="44" t="n"/>
    </row>
    <row r="485" ht="54" customHeight="1">
      <c r="A485" s="44" t="n"/>
      <c r="B485" s="44" t="n"/>
      <c r="C485" s="44" t="n"/>
      <c r="D485" s="44" t="n"/>
      <c r="E485" s="44" t="n"/>
      <c r="F485" s="44" t="n"/>
      <c r="G485" s="44" t="n"/>
      <c r="H485" s="44" t="n"/>
      <c r="I485" s="44" t="n"/>
      <c r="J485" s="44" t="n"/>
      <c r="K485" s="44" t="n"/>
      <c r="L485" s="44" t="n"/>
      <c r="M485" s="44" t="n"/>
      <c r="N485" s="44" t="n"/>
      <c r="O485" s="44" t="n"/>
    </row>
    <row r="486" ht="54" customHeight="1">
      <c r="A486" s="44" t="n"/>
      <c r="B486" s="44" t="n"/>
      <c r="C486" s="44" t="n"/>
      <c r="D486" s="44" t="n"/>
      <c r="E486" s="44" t="n"/>
      <c r="F486" s="44" t="n"/>
      <c r="G486" s="44" t="n"/>
      <c r="H486" s="44" t="n"/>
      <c r="I486" s="44" t="n"/>
      <c r="J486" s="44" t="n"/>
      <c r="K486" s="44" t="n"/>
      <c r="L486" s="44" t="n"/>
      <c r="M486" s="44" t="n"/>
      <c r="N486" s="44" t="n"/>
      <c r="O486" s="44" t="n"/>
    </row>
    <row r="487" ht="54" customHeight="1">
      <c r="A487" s="44" t="n"/>
      <c r="B487" s="44" t="n"/>
      <c r="C487" s="44" t="n"/>
      <c r="D487" s="44" t="n"/>
      <c r="E487" s="44" t="n"/>
      <c r="F487" s="44" t="n"/>
      <c r="G487" s="44" t="n"/>
      <c r="H487" s="44" t="n"/>
      <c r="I487" s="44" t="n"/>
      <c r="J487" s="44" t="n"/>
      <c r="K487" s="44" t="n"/>
      <c r="L487" s="44" t="n"/>
      <c r="M487" s="44" t="n"/>
      <c r="N487" s="44" t="n"/>
      <c r="O487" s="44" t="n"/>
    </row>
    <row r="488" ht="54" customHeight="1">
      <c r="A488" s="44" t="n"/>
      <c r="B488" s="44" t="n"/>
      <c r="C488" s="44" t="n"/>
      <c r="D488" s="44" t="n"/>
      <c r="E488" s="44" t="n"/>
      <c r="F488" s="44" t="n"/>
      <c r="G488" s="44" t="n"/>
      <c r="H488" s="44" t="n"/>
      <c r="I488" s="44" t="n"/>
      <c r="J488" s="44" t="n"/>
      <c r="K488" s="44" t="n"/>
      <c r="L488" s="44" t="n"/>
      <c r="M488" s="44" t="n"/>
      <c r="N488" s="44" t="n"/>
      <c r="O488" s="44" t="n"/>
    </row>
    <row r="489" ht="54" customHeight="1">
      <c r="A489" s="44" t="n"/>
      <c r="B489" s="44" t="n"/>
      <c r="C489" s="44" t="n"/>
      <c r="D489" s="44" t="n"/>
      <c r="E489" s="44" t="n"/>
      <c r="F489" s="44" t="n"/>
      <c r="G489" s="44" t="n"/>
      <c r="H489" s="44" t="n"/>
      <c r="I489" s="44" t="n"/>
      <c r="J489" s="44" t="n"/>
      <c r="K489" s="44" t="n"/>
      <c r="L489" s="44" t="n"/>
      <c r="M489" s="44" t="n"/>
      <c r="N489" s="44" t="n"/>
      <c r="O489" s="44" t="n"/>
    </row>
    <row r="490" ht="54" customHeight="1">
      <c r="A490" s="44" t="n"/>
      <c r="B490" s="44" t="n"/>
      <c r="C490" s="44" t="n"/>
      <c r="D490" s="44" t="n"/>
      <c r="E490" s="44" t="n"/>
      <c r="F490" s="44" t="n"/>
      <c r="G490" s="44" t="n"/>
      <c r="H490" s="44" t="n"/>
      <c r="I490" s="44" t="n"/>
      <c r="J490" s="44" t="n"/>
      <c r="K490" s="44" t="n"/>
      <c r="L490" s="44" t="n"/>
      <c r="M490" s="44" t="n"/>
      <c r="N490" s="44" t="n"/>
      <c r="O490" s="44" t="n"/>
    </row>
    <row r="491" ht="54" customHeight="1">
      <c r="A491" s="44" t="n"/>
      <c r="B491" s="44" t="n"/>
      <c r="C491" s="44" t="n"/>
      <c r="D491" s="44" t="n"/>
      <c r="E491" s="44" t="n"/>
      <c r="F491" s="44" t="n"/>
      <c r="G491" s="44" t="n"/>
      <c r="H491" s="44" t="n"/>
      <c r="I491" s="44" t="n"/>
      <c r="J491" s="44" t="n"/>
      <c r="K491" s="44" t="n"/>
      <c r="L491" s="44" t="n"/>
      <c r="M491" s="44" t="n"/>
      <c r="N491" s="44" t="n"/>
      <c r="O491" s="44" t="n"/>
    </row>
    <row r="492" ht="54" customHeight="1">
      <c r="A492" s="44" t="n"/>
      <c r="B492" s="44" t="n"/>
      <c r="C492" s="44" t="n"/>
      <c r="D492" s="44" t="n"/>
      <c r="E492" s="44" t="n"/>
      <c r="F492" s="44" t="n"/>
      <c r="G492" s="44" t="n"/>
      <c r="H492" s="44" t="n"/>
      <c r="I492" s="44" t="n"/>
      <c r="J492" s="44" t="n"/>
      <c r="K492" s="44" t="n"/>
      <c r="L492" s="44" t="n"/>
      <c r="M492" s="44" t="n"/>
      <c r="N492" s="44" t="n"/>
      <c r="O492" s="44" t="n"/>
    </row>
    <row r="493" ht="54" customHeight="1">
      <c r="A493" s="44" t="n"/>
      <c r="B493" s="44" t="n"/>
      <c r="C493" s="44" t="n"/>
      <c r="D493" s="44" t="n"/>
      <c r="E493" s="44" t="n"/>
      <c r="F493" s="44" t="n"/>
      <c r="G493" s="44" t="n"/>
      <c r="H493" s="44" t="n"/>
      <c r="I493" s="44" t="n"/>
      <c r="J493" s="44" t="n"/>
      <c r="K493" s="44" t="n"/>
      <c r="L493" s="44" t="n"/>
      <c r="M493" s="44" t="n"/>
      <c r="N493" s="44" t="n"/>
      <c r="O493" s="44" t="n"/>
    </row>
    <row r="494" ht="54" customHeight="1">
      <c r="A494" s="44" t="n"/>
      <c r="B494" s="44" t="n"/>
      <c r="C494" s="44" t="n"/>
      <c r="D494" s="44" t="n"/>
      <c r="E494" s="44" t="n"/>
      <c r="F494" s="44" t="n"/>
      <c r="G494" s="44" t="n"/>
      <c r="H494" s="44" t="n"/>
      <c r="I494" s="44" t="n"/>
      <c r="J494" s="44" t="n"/>
      <c r="K494" s="44" t="n"/>
      <c r="L494" s="44" t="n"/>
      <c r="M494" s="44" t="n"/>
      <c r="N494" s="44" t="n"/>
      <c r="O494" s="44" t="n"/>
    </row>
    <row r="495" ht="54" customHeight="1">
      <c r="A495" s="44" t="n"/>
      <c r="B495" s="44" t="n"/>
      <c r="C495" s="44" t="n"/>
      <c r="D495" s="44" t="n"/>
      <c r="E495" s="44" t="n"/>
      <c r="F495" s="44" t="n"/>
      <c r="G495" s="44" t="n"/>
      <c r="H495" s="44" t="n"/>
      <c r="I495" s="44" t="n"/>
      <c r="J495" s="44" t="n"/>
      <c r="K495" s="44" t="n"/>
      <c r="L495" s="44" t="n"/>
      <c r="M495" s="44" t="n"/>
      <c r="N495" s="44" t="n"/>
      <c r="O495" s="44" t="n"/>
    </row>
    <row r="496" ht="54" customHeight="1">
      <c r="A496" s="44" t="n"/>
      <c r="B496" s="44" t="n"/>
      <c r="C496" s="44" t="n"/>
      <c r="D496" s="44" t="n"/>
      <c r="E496" s="44" t="n"/>
      <c r="F496" s="44" t="n"/>
      <c r="G496" s="44" t="n"/>
      <c r="H496" s="44" t="n"/>
      <c r="I496" s="44" t="n"/>
      <c r="J496" s="44" t="n"/>
      <c r="K496" s="44" t="n"/>
      <c r="L496" s="44" t="n"/>
      <c r="M496" s="44" t="n"/>
      <c r="N496" s="44" t="n"/>
      <c r="O496" s="44" t="n"/>
    </row>
    <row r="497" ht="54" customHeight="1">
      <c r="A497" s="44" t="n"/>
      <c r="B497" s="44" t="n"/>
      <c r="C497" s="44" t="n"/>
      <c r="D497" s="44" t="n"/>
      <c r="E497" s="44" t="n"/>
      <c r="F497" s="44" t="n"/>
      <c r="G497" s="44" t="n"/>
      <c r="H497" s="44" t="n"/>
      <c r="I497" s="44" t="n"/>
      <c r="J497" s="44" t="n"/>
      <c r="K497" s="44" t="n"/>
      <c r="L497" s="44" t="n"/>
      <c r="M497" s="44" t="n"/>
      <c r="N497" s="44" t="n"/>
      <c r="O497" s="44" t="n"/>
    </row>
    <row r="498" ht="54" customHeight="1">
      <c r="A498" s="44" t="n"/>
      <c r="B498" s="44" t="n"/>
      <c r="C498" s="44" t="n"/>
      <c r="D498" s="44" t="n"/>
      <c r="E498" s="44" t="n"/>
      <c r="F498" s="44" t="n"/>
      <c r="G498" s="44" t="n"/>
      <c r="H498" s="44" t="n"/>
      <c r="I498" s="44" t="n"/>
      <c r="J498" s="44" t="n"/>
      <c r="K498" s="44" t="n"/>
      <c r="L498" s="44" t="n"/>
      <c r="M498" s="44" t="n"/>
      <c r="N498" s="44" t="n"/>
      <c r="O498" s="44" t="n"/>
    </row>
    <row r="499" ht="54" customHeight="1">
      <c r="A499" s="44" t="n"/>
      <c r="B499" s="44" t="n"/>
      <c r="C499" s="44" t="n"/>
      <c r="D499" s="44" t="n"/>
      <c r="E499" s="44" t="n"/>
      <c r="F499" s="44" t="n"/>
      <c r="G499" s="44" t="n"/>
      <c r="H499" s="44" t="n"/>
      <c r="I499" s="44" t="n"/>
      <c r="J499" s="44" t="n"/>
      <c r="K499" s="44" t="n"/>
      <c r="L499" s="44" t="n"/>
      <c r="M499" s="44" t="n"/>
      <c r="N499" s="44" t="n"/>
      <c r="O499" s="44" t="n"/>
    </row>
    <row r="500" ht="54" customHeight="1">
      <c r="A500" s="44" t="n"/>
      <c r="B500" s="44" t="n"/>
      <c r="C500" s="44" t="n"/>
      <c r="D500" s="44" t="n"/>
      <c r="E500" s="44" t="n"/>
      <c r="F500" s="44" t="n"/>
      <c r="G500" s="44" t="n"/>
      <c r="H500" s="44" t="n"/>
      <c r="I500" s="44" t="n"/>
      <c r="J500" s="44" t="n"/>
      <c r="K500" s="44" t="n"/>
      <c r="L500" s="44" t="n"/>
      <c r="M500" s="44" t="n"/>
      <c r="N500" s="44" t="n"/>
      <c r="O500" s="44" t="n"/>
    </row>
    <row r="501" ht="54" customHeight="1">
      <c r="A501" s="44" t="n"/>
      <c r="B501" s="44" t="n"/>
      <c r="C501" s="44" t="n"/>
      <c r="D501" s="44" t="n"/>
      <c r="E501" s="44" t="n"/>
      <c r="F501" s="44" t="n"/>
      <c r="G501" s="44" t="n"/>
      <c r="H501" s="44" t="n"/>
      <c r="I501" s="44" t="n"/>
      <c r="J501" s="44" t="n"/>
      <c r="K501" s="44" t="n"/>
      <c r="L501" s="44" t="n"/>
      <c r="M501" s="44" t="n"/>
      <c r="N501" s="44" t="n"/>
      <c r="O501" s="44" t="n"/>
    </row>
    <row r="502" ht="54" customHeight="1">
      <c r="A502" s="44" t="n"/>
      <c r="B502" s="44" t="n"/>
      <c r="C502" s="44" t="n"/>
      <c r="D502" s="44" t="n"/>
      <c r="E502" s="44" t="n"/>
      <c r="F502" s="44" t="n"/>
      <c r="G502" s="44" t="n"/>
      <c r="H502" s="44" t="n"/>
      <c r="I502" s="44" t="n"/>
      <c r="J502" s="44" t="n"/>
      <c r="K502" s="44" t="n"/>
      <c r="L502" s="44" t="n"/>
      <c r="M502" s="44" t="n"/>
      <c r="N502" s="44" t="n"/>
      <c r="O502" s="44" t="n"/>
    </row>
    <row r="503" ht="54" customHeight="1">
      <c r="A503" s="44" t="n"/>
      <c r="B503" s="44" t="n"/>
      <c r="C503" s="44" t="n"/>
      <c r="D503" s="44" t="n"/>
      <c r="E503" s="44" t="n"/>
      <c r="F503" s="44" t="n"/>
      <c r="G503" s="44" t="n"/>
      <c r="H503" s="44" t="n"/>
      <c r="I503" s="44" t="n"/>
      <c r="J503" s="44" t="n"/>
      <c r="K503" s="44" t="n"/>
      <c r="L503" s="44" t="n"/>
      <c r="M503" s="44" t="n"/>
      <c r="N503" s="44" t="n"/>
      <c r="O503" s="44" t="n"/>
    </row>
    <row r="504" ht="54" customHeight="1">
      <c r="A504" s="44" t="n"/>
      <c r="B504" s="44" t="n"/>
      <c r="C504" s="44" t="n"/>
      <c r="D504" s="44" t="n"/>
      <c r="E504" s="44" t="n"/>
      <c r="F504" s="44" t="n"/>
      <c r="G504" s="44" t="n"/>
      <c r="H504" s="44" t="n"/>
      <c r="I504" s="44" t="n"/>
      <c r="J504" s="44" t="n"/>
      <c r="K504" s="44" t="n"/>
      <c r="L504" s="44" t="n"/>
      <c r="M504" s="44" t="n"/>
      <c r="N504" s="44" t="n"/>
      <c r="O504" s="44" t="n"/>
    </row>
    <row r="505" ht="54" customHeight="1">
      <c r="A505" s="44" t="n"/>
      <c r="B505" s="44" t="n"/>
      <c r="C505" s="44" t="n"/>
      <c r="D505" s="44" t="n"/>
      <c r="E505" s="44" t="n"/>
      <c r="F505" s="44" t="n"/>
      <c r="G505" s="44" t="n"/>
      <c r="H505" s="44" t="n"/>
      <c r="I505" s="44" t="n"/>
      <c r="J505" s="44" t="n"/>
      <c r="K505" s="44" t="n"/>
      <c r="L505" s="44" t="n"/>
      <c r="M505" s="44" t="n"/>
      <c r="N505" s="44" t="n"/>
      <c r="O505" s="44" t="n"/>
    </row>
    <row r="506" ht="54" customHeight="1">
      <c r="A506" s="44" t="n"/>
      <c r="B506" s="44" t="n"/>
      <c r="C506" s="44" t="n"/>
      <c r="D506" s="44" t="n"/>
      <c r="E506" s="44" t="n"/>
      <c r="F506" s="44" t="n"/>
      <c r="G506" s="44" t="n"/>
      <c r="H506" s="44" t="n"/>
      <c r="I506" s="44" t="n"/>
      <c r="J506" s="44" t="n"/>
      <c r="K506" s="44" t="n"/>
      <c r="L506" s="44" t="n"/>
      <c r="M506" s="44" t="n"/>
      <c r="N506" s="44" t="n"/>
      <c r="O506" s="44" t="n"/>
    </row>
    <row r="507" ht="54" customHeight="1">
      <c r="A507" s="44" t="n"/>
      <c r="B507" s="44" t="n"/>
      <c r="C507" s="44" t="n"/>
      <c r="D507" s="44" t="n"/>
      <c r="E507" s="44" t="n"/>
      <c r="F507" s="44" t="n"/>
      <c r="G507" s="44" t="n"/>
      <c r="H507" s="44" t="n"/>
      <c r="I507" s="44" t="n"/>
      <c r="J507" s="44" t="n"/>
      <c r="K507" s="44" t="n"/>
      <c r="L507" s="44" t="n"/>
      <c r="M507" s="44" t="n"/>
      <c r="N507" s="44" t="n"/>
      <c r="O507" s="44" t="n"/>
    </row>
    <row r="508" ht="54" customHeight="1">
      <c r="A508" s="44" t="n"/>
      <c r="B508" s="44" t="n"/>
      <c r="C508" s="44" t="n"/>
      <c r="D508" s="44" t="n"/>
      <c r="E508" s="44" t="n"/>
      <c r="F508" s="44" t="n"/>
      <c r="G508" s="44" t="n"/>
      <c r="H508" s="44" t="n"/>
      <c r="I508" s="44" t="n"/>
      <c r="J508" s="44" t="n"/>
      <c r="K508" s="44" t="n"/>
      <c r="L508" s="44" t="n"/>
      <c r="M508" s="44" t="n"/>
      <c r="N508" s="44" t="n"/>
      <c r="O508" s="44" t="n"/>
    </row>
    <row r="509" ht="54" customHeight="1">
      <c r="A509" s="44" t="n"/>
      <c r="B509" s="44" t="n"/>
      <c r="C509" s="44" t="n"/>
      <c r="D509" s="44" t="n"/>
      <c r="E509" s="44" t="n"/>
      <c r="F509" s="44" t="n"/>
      <c r="G509" s="44" t="n"/>
      <c r="H509" s="44" t="n"/>
      <c r="I509" s="44" t="n"/>
      <c r="J509" s="44" t="n"/>
      <c r="K509" s="44" t="n"/>
      <c r="L509" s="44" t="n"/>
      <c r="M509" s="44" t="n"/>
      <c r="N509" s="44" t="n"/>
      <c r="O509" s="44" t="n"/>
    </row>
    <row r="510" ht="54" customHeight="1">
      <c r="A510" s="44" t="n"/>
      <c r="B510" s="44" t="n"/>
      <c r="C510" s="44" t="n"/>
      <c r="D510" s="44" t="n"/>
      <c r="E510" s="44" t="n"/>
      <c r="F510" s="44" t="n"/>
      <c r="G510" s="44" t="n"/>
      <c r="H510" s="44" t="n"/>
      <c r="I510" s="44" t="n"/>
      <c r="J510" s="44" t="n"/>
      <c r="K510" s="44" t="n"/>
      <c r="L510" s="44" t="n"/>
      <c r="M510" s="44" t="n"/>
      <c r="N510" s="44" t="n"/>
      <c r="O510" s="44" t="n"/>
    </row>
    <row r="511" ht="54" customHeight="1">
      <c r="A511" s="44" t="n"/>
      <c r="B511" s="44" t="n"/>
      <c r="C511" s="44" t="n"/>
      <c r="D511" s="44" t="n"/>
      <c r="E511" s="44" t="n"/>
      <c r="F511" s="44" t="n"/>
      <c r="G511" s="44" t="n"/>
      <c r="H511" s="44" t="n"/>
      <c r="I511" s="44" t="n"/>
      <c r="J511" s="44" t="n"/>
      <c r="K511" s="44" t="n"/>
      <c r="L511" s="44" t="n"/>
      <c r="M511" s="44" t="n"/>
      <c r="N511" s="44" t="n"/>
      <c r="O511" s="44" t="n"/>
    </row>
    <row r="512" ht="54" customHeight="1">
      <c r="A512" s="44" t="n"/>
      <c r="B512" s="44" t="n"/>
      <c r="C512" s="44" t="n"/>
      <c r="D512" s="44" t="n"/>
      <c r="E512" s="44" t="n"/>
      <c r="F512" s="44" t="n"/>
      <c r="G512" s="44" t="n"/>
      <c r="H512" s="44" t="n"/>
      <c r="I512" s="44" t="n"/>
      <c r="J512" s="44" t="n"/>
      <c r="K512" s="44" t="n"/>
      <c r="L512" s="44" t="n"/>
      <c r="M512" s="44" t="n"/>
      <c r="N512" s="44" t="n"/>
      <c r="O512" s="44" t="n"/>
    </row>
    <row r="513" ht="54" customHeight="1">
      <c r="A513" s="44" t="n"/>
      <c r="B513" s="44" t="n"/>
      <c r="C513" s="44" t="n"/>
      <c r="D513" s="44" t="n"/>
      <c r="E513" s="44" t="n"/>
      <c r="F513" s="44" t="n"/>
      <c r="G513" s="44" t="n"/>
      <c r="H513" s="44" t="n"/>
      <c r="I513" s="44" t="n"/>
      <c r="J513" s="44" t="n"/>
      <c r="K513" s="44" t="n"/>
      <c r="L513" s="44" t="n"/>
      <c r="M513" s="44" t="n"/>
      <c r="N513" s="44" t="n"/>
      <c r="O513" s="44" t="n"/>
    </row>
    <row r="514" ht="54" customHeight="1">
      <c r="A514" s="44" t="n"/>
      <c r="B514" s="44" t="n"/>
      <c r="C514" s="44" t="n"/>
      <c r="D514" s="44" t="n"/>
      <c r="E514" s="44" t="n"/>
      <c r="F514" s="44" t="n"/>
      <c r="G514" s="44" t="n"/>
      <c r="H514" s="44" t="n"/>
      <c r="I514" s="44" t="n"/>
      <c r="J514" s="44" t="n"/>
      <c r="K514" s="44" t="n"/>
      <c r="L514" s="44" t="n"/>
      <c r="M514" s="44" t="n"/>
      <c r="N514" s="44" t="n"/>
      <c r="O514" s="44" t="n"/>
    </row>
    <row r="515" ht="54" customHeight="1">
      <c r="A515" s="44" t="n"/>
      <c r="B515" s="44" t="n"/>
      <c r="C515" s="44" t="n"/>
      <c r="D515" s="44" t="n"/>
      <c r="E515" s="44" t="n"/>
      <c r="F515" s="44" t="n"/>
      <c r="G515" s="44" t="n"/>
      <c r="H515" s="44" t="n"/>
      <c r="I515" s="44" t="n"/>
      <c r="J515" s="44" t="n"/>
      <c r="K515" s="44" t="n"/>
      <c r="L515" s="44" t="n"/>
      <c r="M515" s="44" t="n"/>
      <c r="N515" s="44" t="n"/>
      <c r="O515" s="44" t="n"/>
    </row>
    <row r="516" ht="54" customHeight="1">
      <c r="A516" s="44" t="n"/>
      <c r="B516" s="44" t="n"/>
      <c r="C516" s="44" t="n"/>
      <c r="D516" s="44" t="n"/>
      <c r="E516" s="44" t="n"/>
      <c r="F516" s="44" t="n"/>
      <c r="G516" s="44" t="n"/>
      <c r="H516" s="44" t="n"/>
      <c r="I516" s="44" t="n"/>
      <c r="J516" s="44" t="n"/>
      <c r="K516" s="44" t="n"/>
      <c r="L516" s="44" t="n"/>
      <c r="M516" s="44" t="n"/>
      <c r="N516" s="44" t="n"/>
      <c r="O516" s="44" t="n"/>
    </row>
    <row r="517" ht="54" customHeight="1">
      <c r="A517" s="44" t="n"/>
      <c r="B517" s="44" t="n"/>
      <c r="C517" s="44" t="n"/>
      <c r="D517" s="44" t="n"/>
      <c r="E517" s="44" t="n"/>
      <c r="F517" s="44" t="n"/>
      <c r="G517" s="44" t="n"/>
      <c r="H517" s="44" t="n"/>
      <c r="I517" s="44" t="n"/>
      <c r="J517" s="44" t="n"/>
      <c r="K517" s="44" t="n"/>
      <c r="L517" s="44" t="n"/>
      <c r="M517" s="44" t="n"/>
      <c r="N517" s="44" t="n"/>
      <c r="O517" s="44" t="n"/>
    </row>
    <row r="518" ht="54" customHeight="1">
      <c r="A518" s="44" t="n"/>
      <c r="B518" s="44" t="n"/>
      <c r="C518" s="44" t="n"/>
      <c r="D518" s="44" t="n"/>
      <c r="E518" s="44" t="n"/>
      <c r="F518" s="44" t="n"/>
      <c r="G518" s="44" t="n"/>
      <c r="H518" s="44" t="n"/>
      <c r="I518" s="44" t="n"/>
      <c r="J518" s="44" t="n"/>
      <c r="K518" s="44" t="n"/>
      <c r="L518" s="44" t="n"/>
      <c r="M518" s="44" t="n"/>
      <c r="N518" s="44" t="n"/>
      <c r="O518" s="44" t="n"/>
    </row>
    <row r="519" ht="54" customHeight="1">
      <c r="A519" s="44" t="n"/>
      <c r="B519" s="44" t="n"/>
      <c r="C519" s="44" t="n"/>
      <c r="D519" s="44" t="n"/>
      <c r="E519" s="44" t="n"/>
      <c r="F519" s="44" t="n"/>
      <c r="G519" s="44" t="n"/>
      <c r="H519" s="44" t="n"/>
      <c r="I519" s="44" t="n"/>
      <c r="J519" s="44" t="n"/>
      <c r="K519" s="44" t="n"/>
      <c r="L519" s="44" t="n"/>
      <c r="M519" s="44" t="n"/>
      <c r="N519" s="44" t="n"/>
      <c r="O519" s="44" t="n"/>
    </row>
    <row r="520" ht="54" customHeight="1">
      <c r="A520" s="44" t="n"/>
      <c r="B520" s="44" t="n"/>
      <c r="C520" s="44" t="n"/>
      <c r="D520" s="44" t="n"/>
      <c r="E520" s="44" t="n"/>
      <c r="F520" s="44" t="n"/>
      <c r="G520" s="44" t="n"/>
      <c r="H520" s="44" t="n"/>
      <c r="I520" s="44" t="n"/>
      <c r="J520" s="44" t="n"/>
      <c r="K520" s="44" t="n"/>
      <c r="L520" s="44" t="n"/>
      <c r="M520" s="44" t="n"/>
      <c r="N520" s="44" t="n"/>
      <c r="O520" s="44" t="n"/>
    </row>
    <row r="521" ht="54" customHeight="1">
      <c r="A521" s="44" t="n"/>
      <c r="B521" s="44" t="n"/>
      <c r="C521" s="44" t="n"/>
      <c r="D521" s="44" t="n"/>
      <c r="E521" s="44" t="n"/>
      <c r="F521" s="44" t="n"/>
      <c r="G521" s="44" t="n"/>
      <c r="H521" s="44" t="n"/>
      <c r="I521" s="44" t="n"/>
      <c r="J521" s="44" t="n"/>
      <c r="K521" s="44" t="n"/>
      <c r="L521" s="44" t="n"/>
      <c r="M521" s="44" t="n"/>
      <c r="N521" s="44" t="n"/>
      <c r="O521" s="44" t="n"/>
    </row>
    <row r="522" ht="54" customHeight="1">
      <c r="A522" s="44" t="n"/>
      <c r="B522" s="44" t="n"/>
      <c r="C522" s="44" t="n"/>
      <c r="D522" s="44" t="n"/>
      <c r="E522" s="44" t="n"/>
      <c r="F522" s="44" t="n"/>
      <c r="G522" s="44" t="n"/>
      <c r="H522" s="44" t="n"/>
      <c r="I522" s="44" t="n"/>
      <c r="J522" s="44" t="n"/>
      <c r="K522" s="44" t="n"/>
      <c r="L522" s="44" t="n"/>
      <c r="M522" s="44" t="n"/>
      <c r="N522" s="44" t="n"/>
      <c r="O522" s="44" t="n"/>
    </row>
    <row r="523" ht="54" customHeight="1">
      <c r="A523" s="44" t="n"/>
      <c r="B523" s="44" t="n"/>
      <c r="C523" s="44" t="n"/>
      <c r="D523" s="44" t="n"/>
      <c r="E523" s="44" t="n"/>
      <c r="F523" s="44" t="n"/>
      <c r="G523" s="44" t="n"/>
      <c r="H523" s="44" t="n"/>
      <c r="I523" s="44" t="n"/>
      <c r="J523" s="44" t="n"/>
      <c r="K523" s="44" t="n"/>
      <c r="L523" s="44" t="n"/>
      <c r="M523" s="44" t="n"/>
      <c r="N523" s="44" t="n"/>
      <c r="O523" s="44" t="n"/>
    </row>
    <row r="524" ht="54" customHeight="1">
      <c r="A524" s="44" t="n"/>
      <c r="B524" s="44" t="n"/>
      <c r="C524" s="44" t="n"/>
      <c r="D524" s="44" t="n"/>
      <c r="E524" s="44" t="n"/>
      <c r="F524" s="44" t="n"/>
      <c r="G524" s="44" t="n"/>
      <c r="H524" s="44" t="n"/>
      <c r="I524" s="44" t="n"/>
      <c r="J524" s="44" t="n"/>
      <c r="K524" s="44" t="n"/>
      <c r="L524" s="44" t="n"/>
      <c r="M524" s="44" t="n"/>
      <c r="N524" s="44" t="n"/>
      <c r="O524" s="44" t="n"/>
    </row>
    <row r="525" ht="54" customHeight="1">
      <c r="A525" s="44" t="n"/>
      <c r="B525" s="44" t="n"/>
      <c r="C525" s="44" t="n"/>
      <c r="D525" s="44" t="n"/>
      <c r="E525" s="44" t="n"/>
      <c r="F525" s="44" t="n"/>
      <c r="G525" s="44" t="n"/>
      <c r="H525" s="44" t="n"/>
      <c r="I525" s="44" t="n"/>
      <c r="J525" s="44" t="n"/>
      <c r="K525" s="44" t="n"/>
      <c r="L525" s="44" t="n"/>
      <c r="M525" s="44" t="n"/>
      <c r="N525" s="44" t="n"/>
      <c r="O525" s="44" t="n"/>
    </row>
    <row r="526" ht="54" customHeight="1">
      <c r="A526" s="44" t="n"/>
      <c r="B526" s="44" t="n"/>
      <c r="C526" s="44" t="n"/>
      <c r="D526" s="44" t="n"/>
      <c r="E526" s="44" t="n"/>
      <c r="F526" s="44" t="n"/>
      <c r="G526" s="44" t="n"/>
      <c r="H526" s="44" t="n"/>
      <c r="I526" s="44" t="n"/>
      <c r="J526" s="44" t="n"/>
      <c r="K526" s="44" t="n"/>
      <c r="L526" s="44" t="n"/>
      <c r="M526" s="44" t="n"/>
      <c r="N526" s="44" t="n"/>
      <c r="O526" s="44" t="n"/>
    </row>
    <row r="527" ht="54" customHeight="1">
      <c r="A527" s="44" t="n"/>
      <c r="B527" s="44" t="n"/>
      <c r="C527" s="44" t="n"/>
      <c r="D527" s="44" t="n"/>
      <c r="E527" s="44" t="n"/>
      <c r="F527" s="44" t="n"/>
      <c r="G527" s="44" t="n"/>
      <c r="H527" s="44" t="n"/>
      <c r="I527" s="44" t="n"/>
      <c r="J527" s="44" t="n"/>
      <c r="K527" s="44" t="n"/>
      <c r="L527" s="44" t="n"/>
      <c r="M527" s="44" t="n"/>
      <c r="N527" s="44" t="n"/>
      <c r="O527" s="44" t="n"/>
    </row>
    <row r="528" ht="54" customHeight="1">
      <c r="A528" s="44" t="n"/>
      <c r="B528" s="44" t="n"/>
      <c r="C528" s="44" t="n"/>
      <c r="D528" s="44" t="n"/>
      <c r="E528" s="44" t="n"/>
      <c r="F528" s="44" t="n"/>
      <c r="G528" s="44" t="n"/>
      <c r="H528" s="44" t="n"/>
      <c r="I528" s="44" t="n"/>
      <c r="J528" s="44" t="n"/>
      <c r="K528" s="44" t="n"/>
      <c r="L528" s="44" t="n"/>
      <c r="M528" s="44" t="n"/>
      <c r="N528" s="44" t="n"/>
      <c r="O528" s="44" t="n"/>
    </row>
    <row r="529" ht="54" customHeight="1">
      <c r="A529" s="44" t="n"/>
      <c r="B529" s="44" t="n"/>
      <c r="C529" s="44" t="n"/>
      <c r="D529" s="44" t="n"/>
      <c r="E529" s="44" t="n"/>
      <c r="F529" s="44" t="n"/>
      <c r="G529" s="44" t="n"/>
      <c r="H529" s="44" t="n"/>
      <c r="I529" s="44" t="n"/>
      <c r="J529" s="44" t="n"/>
      <c r="K529" s="44" t="n"/>
      <c r="L529" s="44" t="n"/>
      <c r="M529" s="44" t="n"/>
      <c r="N529" s="44" t="n"/>
      <c r="O529" s="44" t="n"/>
    </row>
    <row r="530" ht="54" customHeight="1">
      <c r="A530" s="44" t="n"/>
      <c r="B530" s="44" t="n"/>
      <c r="C530" s="44" t="n"/>
      <c r="D530" s="44" t="n"/>
      <c r="E530" s="44" t="n"/>
      <c r="F530" s="44" t="n"/>
      <c r="G530" s="44" t="n"/>
      <c r="H530" s="44" t="n"/>
      <c r="I530" s="44" t="n"/>
      <c r="J530" s="44" t="n"/>
      <c r="K530" s="44" t="n"/>
      <c r="L530" s="44" t="n"/>
      <c r="M530" s="44" t="n"/>
      <c r="N530" s="44" t="n"/>
      <c r="O530" s="44" t="n"/>
    </row>
    <row r="531" ht="54" customHeight="1">
      <c r="A531" s="44" t="n"/>
      <c r="B531" s="44" t="n"/>
      <c r="C531" s="44" t="n"/>
      <c r="D531" s="44" t="n"/>
      <c r="E531" s="44" t="n"/>
      <c r="F531" s="44" t="n"/>
      <c r="G531" s="44" t="n"/>
      <c r="H531" s="44" t="n"/>
      <c r="I531" s="44" t="n"/>
      <c r="J531" s="44" t="n"/>
      <c r="K531" s="44" t="n"/>
      <c r="L531" s="44" t="n"/>
      <c r="M531" s="44" t="n"/>
      <c r="N531" s="44" t="n"/>
      <c r="O531" s="44" t="n"/>
    </row>
    <row r="532" ht="54" customHeight="1">
      <c r="A532" s="44" t="n"/>
      <c r="B532" s="44" t="n"/>
      <c r="C532" s="44" t="n"/>
      <c r="D532" s="44" t="n"/>
      <c r="E532" s="44" t="n"/>
      <c r="F532" s="44" t="n"/>
      <c r="G532" s="44" t="n"/>
      <c r="H532" s="44" t="n"/>
      <c r="I532" s="44" t="n"/>
      <c r="J532" s="44" t="n"/>
      <c r="K532" s="44" t="n"/>
      <c r="L532" s="44" t="n"/>
      <c r="M532" s="44" t="n"/>
      <c r="N532" s="44" t="n"/>
      <c r="O532" s="44" t="n"/>
    </row>
    <row r="533" ht="54" customHeight="1">
      <c r="A533" s="44" t="n"/>
      <c r="B533" s="44" t="n"/>
      <c r="C533" s="44" t="n"/>
      <c r="D533" s="44" t="n"/>
      <c r="E533" s="44" t="n"/>
      <c r="F533" s="44" t="n"/>
      <c r="G533" s="44" t="n"/>
      <c r="H533" s="44" t="n"/>
      <c r="I533" s="44" t="n"/>
      <c r="J533" s="44" t="n"/>
      <c r="K533" s="44" t="n"/>
      <c r="L533" s="44" t="n"/>
      <c r="M533" s="44" t="n"/>
      <c r="N533" s="44" t="n"/>
      <c r="O533" s="44" t="n"/>
    </row>
    <row r="534" ht="54" customHeight="1">
      <c r="A534" s="44" t="n"/>
      <c r="B534" s="44" t="n"/>
      <c r="C534" s="44" t="n"/>
      <c r="D534" s="44" t="n"/>
      <c r="E534" s="44" t="n"/>
      <c r="F534" s="44" t="n"/>
      <c r="G534" s="44" t="n"/>
      <c r="H534" s="44" t="n"/>
      <c r="I534" s="44" t="n"/>
      <c r="J534" s="44" t="n"/>
      <c r="K534" s="44" t="n"/>
      <c r="L534" s="44" t="n"/>
      <c r="M534" s="44" t="n"/>
      <c r="N534" s="44" t="n"/>
      <c r="O534" s="44" t="n"/>
    </row>
    <row r="535" ht="54" customHeight="1">
      <c r="A535" s="44" t="n"/>
      <c r="B535" s="44" t="n"/>
      <c r="C535" s="44" t="n"/>
      <c r="D535" s="44" t="n"/>
      <c r="E535" s="44" t="n"/>
      <c r="F535" s="44" t="n"/>
      <c r="G535" s="44" t="n"/>
      <c r="H535" s="44" t="n"/>
      <c r="I535" s="44" t="n"/>
      <c r="J535" s="44" t="n"/>
      <c r="K535" s="44" t="n"/>
      <c r="L535" s="44" t="n"/>
      <c r="M535" s="44" t="n"/>
      <c r="N535" s="44" t="n"/>
      <c r="O535" s="44" t="n"/>
    </row>
    <row r="536" ht="54" customHeight="1">
      <c r="A536" s="44" t="n"/>
      <c r="B536" s="44" t="n"/>
      <c r="C536" s="44" t="n"/>
      <c r="D536" s="44" t="n"/>
      <c r="E536" s="44" t="n"/>
      <c r="F536" s="44" t="n"/>
      <c r="G536" s="44" t="n"/>
      <c r="H536" s="44" t="n"/>
      <c r="I536" s="44" t="n"/>
      <c r="J536" s="44" t="n"/>
      <c r="K536" s="44" t="n"/>
      <c r="L536" s="44" t="n"/>
      <c r="M536" s="44" t="n"/>
      <c r="N536" s="44" t="n"/>
      <c r="O536" s="44" t="n"/>
    </row>
    <row r="537" ht="54" customHeight="1">
      <c r="A537" s="44" t="n"/>
      <c r="B537" s="44" t="n"/>
      <c r="C537" s="44" t="n"/>
      <c r="D537" s="44" t="n"/>
      <c r="E537" s="44" t="n"/>
      <c r="F537" s="44" t="n"/>
      <c r="G537" s="44" t="n"/>
      <c r="H537" s="44" t="n"/>
      <c r="I537" s="44" t="n"/>
      <c r="J537" s="44" t="n"/>
      <c r="K537" s="44" t="n"/>
      <c r="L537" s="44" t="n"/>
      <c r="M537" s="44" t="n"/>
      <c r="N537" s="44" t="n"/>
      <c r="O537" s="44" t="n"/>
    </row>
    <row r="538" ht="54" customHeight="1">
      <c r="A538" s="44" t="n"/>
      <c r="B538" s="44" t="n"/>
      <c r="C538" s="44" t="n"/>
      <c r="D538" s="44" t="n"/>
      <c r="E538" s="44" t="n"/>
      <c r="F538" s="44" t="n"/>
      <c r="G538" s="44" t="n"/>
      <c r="H538" s="44" t="n"/>
      <c r="I538" s="44" t="n"/>
      <c r="J538" s="44" t="n"/>
      <c r="K538" s="44" t="n"/>
      <c r="L538" s="44" t="n"/>
      <c r="M538" s="44" t="n"/>
      <c r="N538" s="44" t="n"/>
      <c r="O538" s="44" t="n"/>
    </row>
    <row r="539" ht="54" customHeight="1">
      <c r="A539" s="44" t="n"/>
      <c r="B539" s="44" t="n"/>
      <c r="C539" s="44" t="n"/>
      <c r="D539" s="44" t="n"/>
      <c r="E539" s="44" t="n"/>
      <c r="F539" s="44" t="n"/>
      <c r="G539" s="44" t="n"/>
      <c r="H539" s="44" t="n"/>
      <c r="I539" s="44" t="n"/>
      <c r="J539" s="44" t="n"/>
      <c r="K539" s="44" t="n"/>
      <c r="L539" s="44" t="n"/>
      <c r="M539" s="44" t="n"/>
      <c r="N539" s="44" t="n"/>
      <c r="O539" s="44" t="n"/>
    </row>
    <row r="540" ht="54" customHeight="1">
      <c r="A540" s="44" t="n"/>
      <c r="B540" s="44" t="n"/>
      <c r="C540" s="44" t="n"/>
      <c r="D540" s="44" t="n"/>
      <c r="E540" s="44" t="n"/>
      <c r="F540" s="44" t="n"/>
      <c r="G540" s="44" t="n"/>
      <c r="H540" s="44" t="n"/>
      <c r="I540" s="44" t="n"/>
      <c r="J540" s="44" t="n"/>
      <c r="K540" s="44" t="n"/>
      <c r="L540" s="44" t="n"/>
      <c r="M540" s="44" t="n"/>
      <c r="N540" s="44" t="n"/>
      <c r="O540" s="44" t="n"/>
    </row>
    <row r="541" ht="54" customHeight="1">
      <c r="A541" s="44" t="n"/>
      <c r="B541" s="44" t="n"/>
      <c r="C541" s="44" t="n"/>
      <c r="D541" s="44" t="n"/>
      <c r="E541" s="44" t="n"/>
      <c r="F541" s="44" t="n"/>
      <c r="G541" s="44" t="n"/>
      <c r="H541" s="44" t="n"/>
      <c r="I541" s="44" t="n"/>
      <c r="J541" s="44" t="n"/>
      <c r="K541" s="44" t="n"/>
      <c r="L541" s="44" t="n"/>
      <c r="M541" s="44" t="n"/>
      <c r="N541" s="44" t="n"/>
      <c r="O541" s="44" t="n"/>
    </row>
    <row r="542" ht="54" customHeight="1">
      <c r="A542" s="44" t="n"/>
      <c r="B542" s="44" t="n"/>
      <c r="C542" s="44" t="n"/>
      <c r="D542" s="44" t="n"/>
      <c r="E542" s="44" t="n"/>
      <c r="F542" s="44" t="n"/>
      <c r="G542" s="44" t="n"/>
      <c r="H542" s="44" t="n"/>
      <c r="I542" s="44" t="n"/>
      <c r="J542" s="44" t="n"/>
      <c r="K542" s="44" t="n"/>
      <c r="L542" s="44" t="n"/>
      <c r="M542" s="44" t="n"/>
      <c r="N542" s="44" t="n"/>
      <c r="O542" s="44" t="n"/>
    </row>
    <row r="543" ht="54" customHeight="1">
      <c r="A543" s="44" t="n"/>
      <c r="B543" s="44" t="n"/>
      <c r="C543" s="44" t="n"/>
      <c r="D543" s="44" t="n"/>
      <c r="E543" s="44" t="n"/>
      <c r="F543" s="44" t="n"/>
      <c r="G543" s="44" t="n"/>
      <c r="H543" s="44" t="n"/>
      <c r="I543" s="44" t="n"/>
      <c r="J543" s="44" t="n"/>
      <c r="K543" s="44" t="n"/>
      <c r="L543" s="44" t="n"/>
      <c r="M543" s="44" t="n"/>
      <c r="N543" s="44" t="n"/>
      <c r="O543" s="44" t="n"/>
    </row>
    <row r="544" ht="54" customHeight="1">
      <c r="A544" s="44" t="n"/>
      <c r="B544" s="44" t="n"/>
      <c r="C544" s="44" t="n"/>
      <c r="D544" s="44" t="n"/>
      <c r="E544" s="44" t="n"/>
      <c r="F544" s="44" t="n"/>
      <c r="G544" s="44" t="n"/>
      <c r="H544" s="44" t="n"/>
      <c r="I544" s="44" t="n"/>
      <c r="J544" s="44" t="n"/>
      <c r="K544" s="44" t="n"/>
      <c r="L544" s="44" t="n"/>
      <c r="M544" s="44" t="n"/>
      <c r="N544" s="44" t="n"/>
      <c r="O544" s="44" t="n"/>
    </row>
    <row r="545" ht="54" customHeight="1">
      <c r="A545" s="44" t="n"/>
      <c r="B545" s="44" t="n"/>
      <c r="C545" s="44" t="n"/>
      <c r="D545" s="44" t="n"/>
      <c r="E545" s="44" t="n"/>
      <c r="F545" s="44" t="n"/>
      <c r="G545" s="44" t="n"/>
      <c r="H545" s="44" t="n"/>
      <c r="I545" s="44" t="n"/>
      <c r="J545" s="44" t="n"/>
      <c r="K545" s="44" t="n"/>
      <c r="L545" s="44" t="n"/>
      <c r="M545" s="44" t="n"/>
      <c r="N545" s="44" t="n"/>
      <c r="O545" s="44" t="n"/>
    </row>
    <row r="546" ht="54" customHeight="1">
      <c r="A546" s="44" t="n"/>
      <c r="B546" s="44" t="n"/>
      <c r="C546" s="44" t="n"/>
      <c r="D546" s="44" t="n"/>
      <c r="E546" s="44" t="n"/>
      <c r="F546" s="44" t="n"/>
      <c r="G546" s="44" t="n"/>
      <c r="H546" s="44" t="n"/>
      <c r="I546" s="44" t="n"/>
      <c r="J546" s="44" t="n"/>
      <c r="K546" s="44" t="n"/>
      <c r="L546" s="44" t="n"/>
      <c r="M546" s="44" t="n"/>
      <c r="N546" s="44" t="n"/>
      <c r="O546" s="44" t="n"/>
    </row>
    <row r="547" ht="54" customHeight="1">
      <c r="A547" s="44" t="n"/>
      <c r="B547" s="44" t="n"/>
      <c r="C547" s="44" t="n"/>
      <c r="D547" s="44" t="n"/>
      <c r="E547" s="44" t="n"/>
      <c r="F547" s="44" t="n"/>
      <c r="G547" s="44" t="n"/>
      <c r="H547" s="44" t="n"/>
      <c r="I547" s="44" t="n"/>
      <c r="J547" s="44" t="n"/>
      <c r="K547" s="44" t="n"/>
      <c r="L547" s="44" t="n"/>
      <c r="M547" s="44" t="n"/>
      <c r="N547" s="44" t="n"/>
      <c r="O547" s="44" t="n"/>
    </row>
    <row r="548" ht="54" customHeight="1">
      <c r="A548" s="44" t="n"/>
      <c r="B548" s="44" t="n"/>
      <c r="C548" s="44" t="n"/>
      <c r="D548" s="44" t="n"/>
      <c r="E548" s="44" t="n"/>
      <c r="F548" s="44" t="n"/>
      <c r="G548" s="44" t="n"/>
      <c r="H548" s="44" t="n"/>
      <c r="I548" s="44" t="n"/>
      <c r="J548" s="44" t="n"/>
      <c r="K548" s="44" t="n"/>
      <c r="L548" s="44" t="n"/>
      <c r="M548" s="44" t="n"/>
      <c r="N548" s="44" t="n"/>
      <c r="O548" s="44" t="n"/>
    </row>
    <row r="549" ht="54" customHeight="1">
      <c r="A549" s="44" t="n"/>
      <c r="B549" s="44" t="n"/>
      <c r="C549" s="44" t="n"/>
      <c r="D549" s="44" t="n"/>
      <c r="E549" s="44" t="n"/>
      <c r="F549" s="44" t="n"/>
      <c r="G549" s="44" t="n"/>
      <c r="H549" s="44" t="n"/>
      <c r="I549" s="44" t="n"/>
      <c r="J549" s="44" t="n"/>
      <c r="K549" s="44" t="n"/>
      <c r="L549" s="44" t="n"/>
      <c r="M549" s="44" t="n"/>
      <c r="N549" s="44" t="n"/>
      <c r="O549" s="44" t="n"/>
    </row>
    <row r="550" ht="54" customHeight="1">
      <c r="A550" s="44" t="n"/>
      <c r="B550" s="44" t="n"/>
      <c r="C550" s="44" t="n"/>
      <c r="D550" s="44" t="n"/>
      <c r="E550" s="44" t="n"/>
      <c r="F550" s="44" t="n"/>
      <c r="G550" s="44" t="n"/>
      <c r="H550" s="44" t="n"/>
      <c r="I550" s="44" t="n"/>
      <c r="J550" s="44" t="n"/>
      <c r="K550" s="44" t="n"/>
      <c r="L550" s="44" t="n"/>
      <c r="M550" s="44" t="n"/>
      <c r="N550" s="44" t="n"/>
      <c r="O550" s="44" t="n"/>
    </row>
    <row r="551" ht="54" customHeight="1">
      <c r="A551" s="44" t="n"/>
      <c r="B551" s="44" t="n"/>
      <c r="C551" s="44" t="n"/>
      <c r="D551" s="44" t="n"/>
      <c r="E551" s="44" t="n"/>
      <c r="F551" s="44" t="n"/>
      <c r="G551" s="44" t="n"/>
      <c r="H551" s="44" t="n"/>
      <c r="I551" s="44" t="n"/>
      <c r="J551" s="44" t="n"/>
      <c r="K551" s="44" t="n"/>
      <c r="L551" s="44" t="n"/>
      <c r="M551" s="44" t="n"/>
      <c r="N551" s="44" t="n"/>
      <c r="O551" s="44" t="n"/>
    </row>
    <row r="552" ht="54" customHeight="1">
      <c r="A552" s="44" t="n"/>
      <c r="B552" s="44" t="n"/>
      <c r="C552" s="44" t="n"/>
      <c r="D552" s="44" t="n"/>
      <c r="E552" s="44" t="n"/>
      <c r="F552" s="44" t="n"/>
      <c r="G552" s="44" t="n"/>
      <c r="H552" s="44" t="n"/>
      <c r="I552" s="44" t="n"/>
      <c r="J552" s="44" t="n"/>
      <c r="K552" s="44" t="n"/>
      <c r="L552" s="44" t="n"/>
      <c r="M552" s="44" t="n"/>
      <c r="N552" s="44" t="n"/>
      <c r="O552" s="44" t="n"/>
    </row>
    <row r="553" ht="54" customHeight="1">
      <c r="A553" s="44" t="n"/>
      <c r="B553" s="44" t="n"/>
      <c r="C553" s="44" t="n"/>
      <c r="D553" s="44" t="n"/>
      <c r="E553" s="44" t="n"/>
      <c r="F553" s="44" t="n"/>
      <c r="G553" s="44" t="n"/>
      <c r="H553" s="44" t="n"/>
      <c r="I553" s="44" t="n"/>
      <c r="J553" s="44" t="n"/>
      <c r="K553" s="44" t="n"/>
      <c r="L553" s="44" t="n"/>
      <c r="M553" s="44" t="n"/>
      <c r="N553" s="44" t="n"/>
      <c r="O553" s="44" t="n"/>
    </row>
    <row r="554" ht="54" customHeight="1">
      <c r="A554" s="44" t="n"/>
      <c r="B554" s="44" t="n"/>
      <c r="C554" s="44" t="n"/>
      <c r="D554" s="44" t="n"/>
      <c r="E554" s="44" t="n"/>
      <c r="F554" s="44" t="n"/>
      <c r="G554" s="44" t="n"/>
      <c r="H554" s="44" t="n"/>
      <c r="I554" s="44" t="n"/>
      <c r="J554" s="44" t="n"/>
      <c r="K554" s="44" t="n"/>
      <c r="L554" s="44" t="n"/>
      <c r="M554" s="44" t="n"/>
      <c r="N554" s="44" t="n"/>
      <c r="O554" s="44" t="n"/>
    </row>
    <row r="555" ht="54" customHeight="1">
      <c r="A555" s="44" t="n"/>
      <c r="B555" s="44" t="n"/>
      <c r="C555" s="44" t="n"/>
      <c r="D555" s="44" t="n"/>
      <c r="E555" s="44" t="n"/>
      <c r="F555" s="44" t="n"/>
      <c r="G555" s="44" t="n"/>
      <c r="H555" s="44" t="n"/>
      <c r="I555" s="44" t="n"/>
      <c r="J555" s="44" t="n"/>
      <c r="K555" s="44" t="n"/>
      <c r="L555" s="44" t="n"/>
      <c r="M555" s="44" t="n"/>
      <c r="N555" s="44" t="n"/>
      <c r="O555" s="44" t="n"/>
    </row>
    <row r="556" ht="54" customHeight="1">
      <c r="A556" s="44" t="n"/>
      <c r="B556" s="44" t="n"/>
      <c r="C556" s="44" t="n"/>
      <c r="D556" s="44" t="n"/>
      <c r="E556" s="44" t="n"/>
      <c r="F556" s="44" t="n"/>
      <c r="G556" s="44" t="n"/>
      <c r="H556" s="44" t="n"/>
      <c r="I556" s="44" t="n"/>
      <c r="J556" s="44" t="n"/>
      <c r="K556" s="44" t="n"/>
      <c r="L556" s="44" t="n"/>
      <c r="M556" s="44" t="n"/>
      <c r="N556" s="44" t="n"/>
      <c r="O556" s="44" t="n"/>
    </row>
    <row r="557" ht="54" customHeight="1">
      <c r="A557" s="44" t="n"/>
      <c r="B557" s="44" t="n"/>
      <c r="C557" s="44" t="n"/>
      <c r="D557" s="44" t="n"/>
      <c r="E557" s="44" t="n"/>
      <c r="F557" s="44" t="n"/>
      <c r="G557" s="44" t="n"/>
      <c r="H557" s="44" t="n"/>
      <c r="I557" s="44" t="n"/>
      <c r="J557" s="44" t="n"/>
      <c r="K557" s="44" t="n"/>
      <c r="L557" s="44" t="n"/>
      <c r="M557" s="44" t="n"/>
      <c r="N557" s="44" t="n"/>
      <c r="O557" s="44" t="n"/>
    </row>
    <row r="558" ht="54" customHeight="1">
      <c r="A558" s="44" t="n"/>
      <c r="B558" s="44" t="n"/>
      <c r="C558" s="44" t="n"/>
      <c r="D558" s="44" t="n"/>
      <c r="E558" s="44" t="n"/>
      <c r="F558" s="44" t="n"/>
      <c r="G558" s="44" t="n"/>
      <c r="H558" s="44" t="n"/>
      <c r="I558" s="44" t="n"/>
      <c r="J558" s="44" t="n"/>
      <c r="K558" s="44" t="n"/>
      <c r="L558" s="44" t="n"/>
      <c r="M558" s="44" t="n"/>
      <c r="N558" s="44" t="n"/>
      <c r="O558" s="44" t="n"/>
    </row>
    <row r="559" ht="54" customHeight="1">
      <c r="A559" s="44" t="n"/>
      <c r="B559" s="44" t="n"/>
      <c r="C559" s="44" t="n"/>
      <c r="D559" s="44" t="n"/>
      <c r="E559" s="44" t="n"/>
      <c r="F559" s="44" t="n"/>
      <c r="G559" s="44" t="n"/>
      <c r="H559" s="44" t="n"/>
      <c r="I559" s="44" t="n"/>
      <c r="J559" s="44" t="n"/>
      <c r="K559" s="44" t="n"/>
      <c r="L559" s="44" t="n"/>
      <c r="M559" s="44" t="n"/>
      <c r="N559" s="44" t="n"/>
      <c r="O559" s="44" t="n"/>
    </row>
    <row r="560" ht="54" customHeight="1">
      <c r="A560" s="44" t="n"/>
      <c r="B560" s="44" t="n"/>
      <c r="C560" s="44" t="n"/>
      <c r="D560" s="44" t="n"/>
      <c r="E560" s="44" t="n"/>
      <c r="F560" s="44" t="n"/>
      <c r="G560" s="44" t="n"/>
      <c r="H560" s="44" t="n"/>
      <c r="I560" s="44" t="n"/>
      <c r="J560" s="44" t="n"/>
      <c r="K560" s="44" t="n"/>
      <c r="L560" s="44" t="n"/>
      <c r="M560" s="44" t="n"/>
      <c r="N560" s="44" t="n"/>
      <c r="O560" s="44" t="n"/>
    </row>
    <row r="561" ht="54" customHeight="1">
      <c r="A561" s="44" t="n"/>
      <c r="B561" s="44" t="n"/>
      <c r="C561" s="44" t="n"/>
      <c r="D561" s="44" t="n"/>
      <c r="E561" s="44" t="n"/>
      <c r="F561" s="44" t="n"/>
      <c r="G561" s="44" t="n"/>
      <c r="H561" s="44" t="n"/>
      <c r="I561" s="44" t="n"/>
      <c r="J561" s="44" t="n"/>
      <c r="K561" s="44" t="n"/>
      <c r="L561" s="44" t="n"/>
      <c r="M561" s="44" t="n"/>
      <c r="N561" s="44" t="n"/>
      <c r="O561" s="44" t="n"/>
    </row>
    <row r="562" ht="54" customHeight="1">
      <c r="A562" s="44" t="n"/>
      <c r="B562" s="44" t="n"/>
      <c r="C562" s="44" t="n"/>
      <c r="D562" s="44" t="n"/>
      <c r="E562" s="44" t="n"/>
      <c r="F562" s="44" t="n"/>
      <c r="G562" s="44" t="n"/>
      <c r="H562" s="44" t="n"/>
      <c r="I562" s="44" t="n"/>
      <c r="J562" s="44" t="n"/>
      <c r="K562" s="44" t="n"/>
      <c r="L562" s="44" t="n"/>
      <c r="M562" s="44" t="n"/>
      <c r="N562" s="44" t="n"/>
      <c r="O562" s="44" t="n"/>
    </row>
    <row r="563" ht="54" customHeight="1">
      <c r="A563" s="44" t="n"/>
      <c r="B563" s="44" t="n"/>
      <c r="C563" s="44" t="n"/>
      <c r="D563" s="44" t="n"/>
      <c r="E563" s="44" t="n"/>
      <c r="F563" s="44" t="n"/>
      <c r="G563" s="44" t="n"/>
      <c r="H563" s="44" t="n"/>
      <c r="I563" s="44" t="n"/>
      <c r="J563" s="44" t="n"/>
      <c r="K563" s="44" t="n"/>
      <c r="L563" s="44" t="n"/>
      <c r="M563" s="44" t="n"/>
      <c r="N563" s="44" t="n"/>
      <c r="O563" s="44" t="n"/>
    </row>
    <row r="564" ht="54" customHeight="1">
      <c r="A564" s="44" t="n"/>
      <c r="B564" s="44" t="n"/>
      <c r="C564" s="44" t="n"/>
      <c r="D564" s="44" t="n"/>
      <c r="E564" s="44" t="n"/>
      <c r="F564" s="44" t="n"/>
      <c r="G564" s="44" t="n"/>
      <c r="H564" s="44" t="n"/>
      <c r="I564" s="44" t="n"/>
      <c r="J564" s="44" t="n"/>
      <c r="K564" s="44" t="n"/>
      <c r="L564" s="44" t="n"/>
      <c r="M564" s="44" t="n"/>
      <c r="N564" s="44" t="n"/>
      <c r="O564" s="44" t="n"/>
    </row>
    <row r="565" ht="54" customHeight="1">
      <c r="A565" s="44" t="n"/>
      <c r="B565" s="44" t="n"/>
      <c r="C565" s="44" t="n"/>
      <c r="D565" s="44" t="n"/>
      <c r="E565" s="44" t="n"/>
      <c r="F565" s="44" t="n"/>
      <c r="G565" s="44" t="n"/>
      <c r="H565" s="44" t="n"/>
      <c r="I565" s="44" t="n"/>
      <c r="J565" s="44" t="n"/>
      <c r="K565" s="44" t="n"/>
      <c r="L565" s="44" t="n"/>
      <c r="M565" s="44" t="n"/>
      <c r="N565" s="44" t="n"/>
      <c r="O565" s="44" t="n"/>
    </row>
    <row r="566" ht="54" customHeight="1">
      <c r="A566" s="44" t="n"/>
      <c r="B566" s="44" t="n"/>
      <c r="C566" s="44" t="n"/>
      <c r="D566" s="44" t="n"/>
      <c r="E566" s="44" t="n"/>
      <c r="F566" s="44" t="n"/>
      <c r="G566" s="44" t="n"/>
      <c r="H566" s="44" t="n"/>
      <c r="I566" s="44" t="n"/>
      <c r="J566" s="44" t="n"/>
      <c r="K566" s="44" t="n"/>
      <c r="L566" s="44" t="n"/>
      <c r="M566" s="44" t="n"/>
      <c r="N566" s="44" t="n"/>
      <c r="O566" s="44" t="n"/>
    </row>
    <row r="567" ht="54" customHeight="1">
      <c r="A567" s="44" t="n"/>
      <c r="B567" s="44" t="n"/>
      <c r="C567" s="44" t="n"/>
      <c r="D567" s="44" t="n"/>
      <c r="E567" s="44" t="n"/>
      <c r="F567" s="44" t="n"/>
      <c r="G567" s="44" t="n"/>
      <c r="H567" s="44" t="n"/>
      <c r="I567" s="44" t="n"/>
      <c r="J567" s="44" t="n"/>
      <c r="K567" s="44" t="n"/>
      <c r="L567" s="44" t="n"/>
      <c r="M567" s="44" t="n"/>
      <c r="N567" s="44" t="n"/>
      <c r="O567" s="44" t="n"/>
    </row>
    <row r="568" ht="54" customHeight="1">
      <c r="A568" s="44" t="n"/>
      <c r="B568" s="44" t="n"/>
      <c r="C568" s="44" t="n"/>
      <c r="D568" s="44" t="n"/>
      <c r="E568" s="44" t="n"/>
      <c r="F568" s="44" t="n"/>
      <c r="G568" s="44" t="n"/>
      <c r="H568" s="44" t="n"/>
      <c r="I568" s="44" t="n"/>
      <c r="J568" s="44" t="n"/>
      <c r="K568" s="44" t="n"/>
      <c r="L568" s="44" t="n"/>
      <c r="M568" s="44" t="n"/>
      <c r="N568" s="44" t="n"/>
      <c r="O568" s="44" t="n"/>
    </row>
    <row r="569" ht="54" customHeight="1">
      <c r="A569" s="44" t="n"/>
      <c r="B569" s="44" t="n"/>
      <c r="C569" s="44" t="n"/>
      <c r="D569" s="44" t="n"/>
      <c r="E569" s="44" t="n"/>
      <c r="F569" s="44" t="n"/>
      <c r="G569" s="44" t="n"/>
      <c r="H569" s="44" t="n"/>
      <c r="I569" s="44" t="n"/>
      <c r="J569" s="44" t="n"/>
      <c r="K569" s="44" t="n"/>
      <c r="L569" s="44" t="n"/>
      <c r="M569" s="44" t="n"/>
      <c r="N569" s="44" t="n"/>
      <c r="O569" s="44" t="n"/>
    </row>
    <row r="570" ht="54" customHeight="1">
      <c r="A570" s="44" t="n"/>
      <c r="B570" s="44" t="n"/>
      <c r="C570" s="44" t="n"/>
      <c r="D570" s="44" t="n"/>
      <c r="E570" s="44" t="n"/>
      <c r="F570" s="44" t="n"/>
      <c r="G570" s="44" t="n"/>
      <c r="H570" s="44" t="n"/>
      <c r="I570" s="44" t="n"/>
      <c r="J570" s="44" t="n"/>
      <c r="K570" s="44" t="n"/>
      <c r="L570" s="44" t="n"/>
      <c r="M570" s="44" t="n"/>
      <c r="N570" s="44" t="n"/>
      <c r="O570" s="44" t="n"/>
    </row>
    <row r="571" ht="54" customHeight="1">
      <c r="A571" s="44" t="n"/>
      <c r="B571" s="44" t="n"/>
      <c r="C571" s="44" t="n"/>
      <c r="D571" s="44" t="n"/>
      <c r="E571" s="44" t="n"/>
      <c r="F571" s="44" t="n"/>
      <c r="G571" s="44" t="n"/>
      <c r="H571" s="44" t="n"/>
      <c r="I571" s="44" t="n"/>
      <c r="J571" s="44" t="n"/>
      <c r="K571" s="44" t="n"/>
      <c r="L571" s="44" t="n"/>
      <c r="M571" s="44" t="n"/>
      <c r="N571" s="44" t="n"/>
      <c r="O571" s="44" t="n"/>
    </row>
    <row r="572" ht="54" customHeight="1">
      <c r="A572" s="44" t="n"/>
      <c r="B572" s="44" t="n"/>
      <c r="C572" s="44" t="n"/>
      <c r="D572" s="44" t="n"/>
      <c r="E572" s="44" t="n"/>
      <c r="F572" s="44" t="n"/>
      <c r="G572" s="44" t="n"/>
      <c r="H572" s="44" t="n"/>
      <c r="I572" s="44" t="n"/>
      <c r="J572" s="44" t="n"/>
      <c r="K572" s="44" t="n"/>
      <c r="L572" s="44" t="n"/>
      <c r="M572" s="44" t="n"/>
      <c r="N572" s="44" t="n"/>
      <c r="O572" s="44" t="n"/>
    </row>
    <row r="573" ht="54" customHeight="1">
      <c r="A573" s="44" t="n"/>
      <c r="B573" s="44" t="n"/>
      <c r="C573" s="44" t="n"/>
      <c r="D573" s="44" t="n"/>
      <c r="E573" s="44" t="n"/>
      <c r="F573" s="44" t="n"/>
      <c r="G573" s="44" t="n"/>
      <c r="H573" s="44" t="n"/>
      <c r="I573" s="44" t="n"/>
      <c r="J573" s="44" t="n"/>
      <c r="K573" s="44" t="n"/>
      <c r="L573" s="44" t="n"/>
      <c r="M573" s="44" t="n"/>
      <c r="N573" s="44" t="n"/>
      <c r="O573" s="44" t="n"/>
    </row>
    <row r="574" ht="54" customHeight="1">
      <c r="A574" s="44" t="n"/>
      <c r="B574" s="44" t="n"/>
      <c r="C574" s="44" t="n"/>
      <c r="D574" s="44" t="n"/>
      <c r="E574" s="44" t="n"/>
      <c r="F574" s="44" t="n"/>
      <c r="G574" s="44" t="n"/>
      <c r="H574" s="44" t="n"/>
      <c r="I574" s="44" t="n"/>
      <c r="J574" s="44" t="n"/>
      <c r="K574" s="44" t="n"/>
      <c r="L574" s="44" t="n"/>
      <c r="M574" s="44" t="n"/>
      <c r="N574" s="44" t="n"/>
      <c r="O574" s="44" t="n"/>
    </row>
    <row r="575" ht="54" customHeight="1">
      <c r="A575" s="44" t="n"/>
      <c r="B575" s="44" t="n"/>
      <c r="C575" s="44" t="n"/>
      <c r="D575" s="44" t="n"/>
      <c r="E575" s="44" t="n"/>
      <c r="F575" s="44" t="n"/>
      <c r="G575" s="44" t="n"/>
      <c r="H575" s="44" t="n"/>
      <c r="I575" s="44" t="n"/>
      <c r="J575" s="44" t="n"/>
      <c r="K575" s="44" t="n"/>
      <c r="L575" s="44" t="n"/>
      <c r="M575" s="44" t="n"/>
      <c r="N575" s="44" t="n"/>
      <c r="O575" s="44" t="n"/>
    </row>
    <row r="576" ht="54" customHeight="1">
      <c r="A576" s="44" t="n"/>
      <c r="B576" s="44" t="n"/>
      <c r="C576" s="44" t="n"/>
      <c r="D576" s="44" t="n"/>
      <c r="E576" s="44" t="n"/>
      <c r="F576" s="44" t="n"/>
      <c r="G576" s="44" t="n"/>
      <c r="H576" s="44" t="n"/>
      <c r="I576" s="44" t="n"/>
      <c r="J576" s="44" t="n"/>
      <c r="K576" s="44" t="n"/>
      <c r="L576" s="44" t="n"/>
      <c r="M576" s="44" t="n"/>
      <c r="N576" s="44" t="n"/>
      <c r="O576" s="44" t="n"/>
    </row>
    <row r="577" ht="54" customHeight="1">
      <c r="A577" s="44" t="n"/>
      <c r="B577" s="44" t="n"/>
      <c r="C577" s="44" t="n"/>
      <c r="D577" s="44" t="n"/>
      <c r="E577" s="44" t="n"/>
      <c r="F577" s="44" t="n"/>
      <c r="G577" s="44" t="n"/>
      <c r="H577" s="44" t="n"/>
      <c r="I577" s="44" t="n"/>
      <c r="J577" s="44" t="n"/>
      <c r="K577" s="44" t="n"/>
      <c r="L577" s="44" t="n"/>
      <c r="M577" s="44" t="n"/>
      <c r="N577" s="44" t="n"/>
      <c r="O577" s="44" t="n"/>
    </row>
    <row r="578" ht="54" customHeight="1">
      <c r="A578" s="44" t="n"/>
      <c r="B578" s="44" t="n"/>
      <c r="C578" s="44" t="n"/>
      <c r="D578" s="44" t="n"/>
      <c r="E578" s="44" t="n"/>
      <c r="F578" s="44" t="n"/>
      <c r="G578" s="44" t="n"/>
      <c r="H578" s="44" t="n"/>
      <c r="I578" s="44" t="n"/>
      <c r="J578" s="44" t="n"/>
      <c r="K578" s="44" t="n"/>
      <c r="L578" s="44" t="n"/>
      <c r="M578" s="44" t="n"/>
      <c r="N578" s="44" t="n"/>
      <c r="O578" s="44" t="n"/>
    </row>
    <row r="579" ht="54" customHeight="1">
      <c r="A579" s="44" t="n"/>
      <c r="B579" s="44" t="n"/>
      <c r="C579" s="44" t="n"/>
      <c r="D579" s="44" t="n"/>
      <c r="E579" s="44" t="n"/>
      <c r="F579" s="44" t="n"/>
      <c r="G579" s="44" t="n"/>
      <c r="H579" s="44" t="n"/>
      <c r="I579" s="44" t="n"/>
      <c r="J579" s="44" t="n"/>
      <c r="K579" s="44" t="n"/>
      <c r="L579" s="44" t="n"/>
      <c r="M579" s="44" t="n"/>
      <c r="N579" s="44" t="n"/>
      <c r="O579" s="44" t="n"/>
    </row>
    <row r="580" ht="54" customHeight="1">
      <c r="A580" s="44" t="n"/>
      <c r="B580" s="44" t="n"/>
      <c r="C580" s="44" t="n"/>
      <c r="D580" s="44" t="n"/>
      <c r="E580" s="44" t="n"/>
      <c r="F580" s="44" t="n"/>
      <c r="G580" s="44" t="n"/>
      <c r="H580" s="44" t="n"/>
      <c r="I580" s="44" t="n"/>
      <c r="J580" s="44" t="n"/>
      <c r="K580" s="44" t="n"/>
      <c r="L580" s="44" t="n"/>
      <c r="M580" s="44" t="n"/>
      <c r="N580" s="44" t="n"/>
      <c r="O580" s="44" t="n"/>
    </row>
    <row r="581" ht="54" customHeight="1">
      <c r="A581" s="44" t="n"/>
      <c r="B581" s="44" t="n"/>
      <c r="C581" s="44" t="n"/>
      <c r="D581" s="44" t="n"/>
      <c r="E581" s="44" t="n"/>
      <c r="F581" s="44" t="n"/>
      <c r="G581" s="44" t="n"/>
      <c r="H581" s="44" t="n"/>
      <c r="I581" s="44" t="n"/>
      <c r="J581" s="44" t="n"/>
      <c r="K581" s="44" t="n"/>
      <c r="L581" s="44" t="n"/>
      <c r="M581" s="44" t="n"/>
      <c r="N581" s="44" t="n"/>
      <c r="O581" s="44" t="n"/>
    </row>
    <row r="582" ht="54" customHeight="1">
      <c r="A582" s="44" t="n"/>
      <c r="B582" s="44" t="n"/>
      <c r="C582" s="44" t="n"/>
      <c r="D582" s="44" t="n"/>
      <c r="E582" s="44" t="n"/>
      <c r="F582" s="44" t="n"/>
      <c r="G582" s="44" t="n"/>
      <c r="H582" s="44" t="n"/>
      <c r="I582" s="44" t="n"/>
      <c r="J582" s="44" t="n"/>
      <c r="K582" s="44" t="n"/>
      <c r="L582" s="44" t="n"/>
      <c r="M582" s="44" t="n"/>
      <c r="N582" s="44" t="n"/>
      <c r="O582" s="44" t="n"/>
    </row>
    <row r="583" ht="54" customHeight="1">
      <c r="A583" s="44" t="n"/>
      <c r="B583" s="44" t="n"/>
      <c r="C583" s="44" t="n"/>
      <c r="D583" s="44" t="n"/>
      <c r="E583" s="44" t="n"/>
      <c r="F583" s="44" t="n"/>
      <c r="G583" s="44" t="n"/>
      <c r="H583" s="44" t="n"/>
      <c r="I583" s="44" t="n"/>
      <c r="J583" s="44" t="n"/>
      <c r="K583" s="44" t="n"/>
      <c r="L583" s="44" t="n"/>
      <c r="M583" s="44" t="n"/>
      <c r="N583" s="44" t="n"/>
      <c r="O583" s="44" t="n"/>
    </row>
    <row r="584" ht="54" customHeight="1">
      <c r="A584" s="44" t="n"/>
      <c r="B584" s="44" t="n"/>
      <c r="C584" s="44" t="n"/>
      <c r="D584" s="44" t="n"/>
      <c r="E584" s="44" t="n"/>
      <c r="F584" s="44" t="n"/>
      <c r="G584" s="44" t="n"/>
      <c r="H584" s="44" t="n"/>
      <c r="I584" s="44" t="n"/>
      <c r="J584" s="44" t="n"/>
      <c r="K584" s="44" t="n"/>
      <c r="L584" s="44" t="n"/>
      <c r="M584" s="44" t="n"/>
      <c r="N584" s="44" t="n"/>
      <c r="O584" s="44" t="n"/>
    </row>
    <row r="585" ht="54" customHeight="1">
      <c r="A585" s="44" t="n"/>
      <c r="B585" s="44" t="n"/>
      <c r="C585" s="44" t="n"/>
      <c r="D585" s="44" t="n"/>
      <c r="E585" s="44" t="n"/>
      <c r="F585" s="44" t="n"/>
      <c r="G585" s="44" t="n"/>
      <c r="H585" s="44" t="n"/>
      <c r="I585" s="44" t="n"/>
      <c r="J585" s="44" t="n"/>
      <c r="K585" s="44" t="n"/>
      <c r="L585" s="44" t="n"/>
      <c r="M585" s="44" t="n"/>
      <c r="N585" s="44" t="n"/>
      <c r="O585" s="44" t="n"/>
    </row>
    <row r="586" ht="54" customHeight="1">
      <c r="A586" s="44" t="n"/>
      <c r="B586" s="44" t="n"/>
      <c r="C586" s="44" t="n"/>
      <c r="D586" s="44" t="n"/>
      <c r="E586" s="44" t="n"/>
      <c r="F586" s="44" t="n"/>
      <c r="G586" s="44" t="n"/>
      <c r="H586" s="44" t="n"/>
      <c r="I586" s="44" t="n"/>
      <c r="J586" s="44" t="n"/>
      <c r="K586" s="44" t="n"/>
      <c r="L586" s="44" t="n"/>
      <c r="M586" s="44" t="n"/>
      <c r="N586" s="44" t="n"/>
      <c r="O586" s="44" t="n"/>
    </row>
    <row r="587" ht="54" customHeight="1">
      <c r="A587" s="44" t="n"/>
      <c r="B587" s="44" t="n"/>
      <c r="C587" s="44" t="n"/>
      <c r="D587" s="44" t="n"/>
      <c r="E587" s="44" t="n"/>
      <c r="F587" s="44" t="n"/>
      <c r="G587" s="44" t="n"/>
      <c r="H587" s="44" t="n"/>
      <c r="I587" s="44" t="n"/>
      <c r="J587" s="44" t="n"/>
      <c r="K587" s="44" t="n"/>
      <c r="L587" s="44" t="n"/>
      <c r="M587" s="44" t="n"/>
      <c r="N587" s="44" t="n"/>
      <c r="O587" s="44" t="n"/>
    </row>
    <row r="588" ht="54" customHeight="1">
      <c r="A588" s="44" t="n"/>
      <c r="B588" s="44" t="n"/>
      <c r="C588" s="44" t="n"/>
      <c r="D588" s="44" t="n"/>
      <c r="E588" s="44" t="n"/>
      <c r="F588" s="44" t="n"/>
      <c r="G588" s="44" t="n"/>
      <c r="H588" s="44" t="n"/>
      <c r="I588" s="44" t="n"/>
      <c r="J588" s="44" t="n"/>
      <c r="K588" s="44" t="n"/>
      <c r="L588" s="44" t="n"/>
      <c r="M588" s="44" t="n"/>
      <c r="N588" s="44" t="n"/>
      <c r="O588" s="44" t="n"/>
    </row>
    <row r="589" ht="54" customHeight="1">
      <c r="A589" s="44" t="n"/>
      <c r="B589" s="44" t="n"/>
      <c r="C589" s="44" t="n"/>
      <c r="D589" s="44" t="n"/>
      <c r="E589" s="44" t="n"/>
      <c r="F589" s="44" t="n"/>
      <c r="G589" s="44" t="n"/>
      <c r="H589" s="44" t="n"/>
      <c r="I589" s="44" t="n"/>
      <c r="J589" s="44" t="n"/>
      <c r="K589" s="44" t="n"/>
      <c r="L589" s="44" t="n"/>
      <c r="M589" s="44" t="n"/>
      <c r="N589" s="44" t="n"/>
      <c r="O589" s="44" t="n"/>
    </row>
    <row r="590" ht="54" customHeight="1">
      <c r="A590" s="44" t="n"/>
      <c r="B590" s="44" t="n"/>
      <c r="C590" s="44" t="n"/>
      <c r="D590" s="44" t="n"/>
      <c r="E590" s="44" t="n"/>
      <c r="F590" s="44" t="n"/>
      <c r="G590" s="44" t="n"/>
      <c r="H590" s="44" t="n"/>
      <c r="I590" s="44" t="n"/>
      <c r="J590" s="44" t="n"/>
      <c r="K590" s="44" t="n"/>
      <c r="L590" s="44" t="n"/>
      <c r="M590" s="44" t="n"/>
      <c r="N590" s="44" t="n"/>
      <c r="O590" s="44" t="n"/>
    </row>
    <row r="591" ht="54" customHeight="1">
      <c r="A591" s="44" t="n"/>
      <c r="B591" s="44" t="n"/>
      <c r="C591" s="44" t="n"/>
      <c r="D591" s="44" t="n"/>
      <c r="E591" s="44" t="n"/>
      <c r="F591" s="44" t="n"/>
      <c r="G591" s="44" t="n"/>
      <c r="H591" s="44" t="n"/>
      <c r="I591" s="44" t="n"/>
      <c r="J591" s="44" t="n"/>
      <c r="K591" s="44" t="n"/>
      <c r="L591" s="44" t="n"/>
      <c r="M591" s="44" t="n"/>
      <c r="N591" s="44" t="n"/>
      <c r="O591" s="44" t="n"/>
    </row>
    <row r="592" ht="54" customHeight="1">
      <c r="A592" s="44" t="n"/>
      <c r="B592" s="44" t="n"/>
      <c r="C592" s="44" t="n"/>
      <c r="D592" s="44" t="n"/>
      <c r="E592" s="44" t="n"/>
      <c r="F592" s="44" t="n"/>
      <c r="G592" s="44" t="n"/>
      <c r="H592" s="44" t="n"/>
      <c r="I592" s="44" t="n"/>
      <c r="J592" s="44" t="n"/>
      <c r="K592" s="44" t="n"/>
      <c r="L592" s="44" t="n"/>
      <c r="M592" s="44" t="n"/>
      <c r="N592" s="44" t="n"/>
      <c r="O592" s="44" t="n"/>
    </row>
    <row r="593" ht="54" customHeight="1">
      <c r="A593" s="44" t="n"/>
      <c r="B593" s="44" t="n"/>
      <c r="C593" s="44" t="n"/>
      <c r="D593" s="44" t="n"/>
      <c r="E593" s="44" t="n"/>
      <c r="F593" s="44" t="n"/>
      <c r="G593" s="44" t="n"/>
      <c r="H593" s="44" t="n"/>
      <c r="I593" s="44" t="n"/>
      <c r="J593" s="44" t="n"/>
      <c r="K593" s="44" t="n"/>
      <c r="L593" s="44" t="n"/>
      <c r="M593" s="44" t="n"/>
      <c r="N593" s="44" t="n"/>
      <c r="O593" s="44" t="n"/>
    </row>
    <row r="594" ht="54" customHeight="1">
      <c r="A594" s="44" t="n"/>
      <c r="B594" s="44" t="n"/>
      <c r="C594" s="44" t="n"/>
      <c r="D594" s="44" t="n"/>
      <c r="E594" s="44" t="n"/>
      <c r="F594" s="44" t="n"/>
      <c r="G594" s="44" t="n"/>
      <c r="H594" s="44" t="n"/>
      <c r="I594" s="44" t="n"/>
      <c r="J594" s="44" t="n"/>
      <c r="K594" s="44" t="n"/>
      <c r="L594" s="44" t="n"/>
      <c r="M594" s="44" t="n"/>
      <c r="N594" s="44" t="n"/>
      <c r="O594" s="44" t="n"/>
    </row>
    <row r="595" ht="54" customHeight="1">
      <c r="A595" s="44" t="n"/>
      <c r="B595" s="44" t="n"/>
      <c r="C595" s="44" t="n"/>
      <c r="D595" s="44" t="n"/>
      <c r="E595" s="44" t="n"/>
      <c r="F595" s="44" t="n"/>
      <c r="G595" s="44" t="n"/>
      <c r="H595" s="44" t="n"/>
      <c r="I595" s="44" t="n"/>
      <c r="J595" s="44" t="n"/>
      <c r="K595" s="44" t="n"/>
      <c r="L595" s="44" t="n"/>
      <c r="M595" s="44" t="n"/>
      <c r="N595" s="44" t="n"/>
      <c r="O595" s="44" t="n"/>
    </row>
    <row r="596" ht="54" customHeight="1">
      <c r="A596" s="44" t="n"/>
      <c r="B596" s="44" t="n"/>
      <c r="C596" s="44" t="n"/>
      <c r="D596" s="44" t="n"/>
      <c r="E596" s="44" t="n"/>
      <c r="F596" s="44" t="n"/>
      <c r="G596" s="44" t="n"/>
      <c r="H596" s="44" t="n"/>
      <c r="I596" s="44" t="n"/>
      <c r="J596" s="44" t="n"/>
      <c r="K596" s="44" t="n"/>
      <c r="L596" s="44" t="n"/>
      <c r="M596" s="44" t="n"/>
      <c r="N596" s="44" t="n"/>
      <c r="O596" s="44" t="n"/>
    </row>
    <row r="597" ht="54" customHeight="1">
      <c r="A597" s="44" t="n"/>
      <c r="B597" s="44" t="n"/>
      <c r="C597" s="44" t="n"/>
      <c r="D597" s="44" t="n"/>
      <c r="E597" s="44" t="n"/>
      <c r="F597" s="44" t="n"/>
      <c r="G597" s="44" t="n"/>
      <c r="H597" s="44" t="n"/>
      <c r="I597" s="44" t="n"/>
      <c r="J597" s="44" t="n"/>
      <c r="K597" s="44" t="n"/>
      <c r="L597" s="44" t="n"/>
      <c r="M597" s="44" t="n"/>
      <c r="N597" s="44" t="n"/>
      <c r="O597" s="44" t="n"/>
    </row>
    <row r="598" ht="54" customHeight="1">
      <c r="A598" s="44" t="n"/>
      <c r="B598" s="44" t="n"/>
      <c r="C598" s="44" t="n"/>
      <c r="D598" s="44" t="n"/>
      <c r="E598" s="44" t="n"/>
      <c r="F598" s="44" t="n"/>
      <c r="G598" s="44" t="n"/>
      <c r="H598" s="44" t="n"/>
      <c r="I598" s="44" t="n"/>
      <c r="J598" s="44" t="n"/>
      <c r="K598" s="44" t="n"/>
      <c r="L598" s="44" t="n"/>
      <c r="M598" s="44" t="n"/>
      <c r="N598" s="44" t="n"/>
      <c r="O598" s="44" t="n"/>
    </row>
    <row r="599" ht="54" customHeight="1">
      <c r="A599" s="44" t="n"/>
      <c r="B599" s="44" t="n"/>
      <c r="C599" s="44" t="n"/>
      <c r="D599" s="44" t="n"/>
      <c r="E599" s="44" t="n"/>
      <c r="F599" s="44" t="n"/>
      <c r="G599" s="44" t="n"/>
      <c r="H599" s="44" t="n"/>
      <c r="I599" s="44" t="n"/>
      <c r="J599" s="44" t="n"/>
      <c r="K599" s="44" t="n"/>
      <c r="L599" s="44" t="n"/>
      <c r="M599" s="44" t="n"/>
      <c r="N599" s="44" t="n"/>
      <c r="O599" s="44" t="n"/>
    </row>
    <row r="600" ht="54" customHeight="1">
      <c r="A600" s="44" t="n"/>
      <c r="B600" s="44" t="n"/>
      <c r="C600" s="44" t="n"/>
      <c r="D600" s="44" t="n"/>
      <c r="E600" s="44" t="n"/>
      <c r="F600" s="44" t="n"/>
      <c r="G600" s="44" t="n"/>
      <c r="H600" s="44" t="n"/>
      <c r="I600" s="44" t="n"/>
      <c r="J600" s="44" t="n"/>
      <c r="K600" s="44" t="n"/>
      <c r="L600" s="44" t="n"/>
      <c r="M600" s="44" t="n"/>
      <c r="N600" s="44" t="n"/>
      <c r="O600" s="44" t="n"/>
    </row>
    <row r="601" ht="54" customHeight="1">
      <c r="A601" s="44" t="n"/>
      <c r="B601" s="44" t="n"/>
      <c r="C601" s="44" t="n"/>
      <c r="D601" s="44" t="n"/>
      <c r="E601" s="44" t="n"/>
      <c r="F601" s="44" t="n"/>
      <c r="G601" s="44" t="n"/>
      <c r="H601" s="44" t="n"/>
      <c r="I601" s="44" t="n"/>
      <c r="J601" s="44" t="n"/>
      <c r="K601" s="44" t="n"/>
      <c r="L601" s="44" t="n"/>
      <c r="M601" s="44" t="n"/>
      <c r="N601" s="44" t="n"/>
      <c r="O601" s="44" t="n"/>
    </row>
    <row r="602" ht="54" customHeight="1">
      <c r="A602" s="44" t="n"/>
      <c r="B602" s="44" t="n"/>
      <c r="C602" s="44" t="n"/>
      <c r="D602" s="44" t="n"/>
      <c r="E602" s="44" t="n"/>
      <c r="F602" s="44" t="n"/>
      <c r="G602" s="44" t="n"/>
      <c r="H602" s="44" t="n"/>
      <c r="I602" s="44" t="n"/>
      <c r="J602" s="44" t="n"/>
      <c r="K602" s="44" t="n"/>
      <c r="L602" s="44" t="n"/>
      <c r="M602" s="44" t="n"/>
      <c r="N602" s="44" t="n"/>
      <c r="O602" s="44" t="n"/>
    </row>
    <row r="603" ht="54" customHeight="1">
      <c r="A603" s="44" t="n"/>
      <c r="B603" s="44" t="n"/>
      <c r="C603" s="44" t="n"/>
      <c r="D603" s="44" t="n"/>
      <c r="E603" s="44" t="n"/>
      <c r="F603" s="44" t="n"/>
      <c r="G603" s="44" t="n"/>
      <c r="H603" s="44" t="n"/>
      <c r="I603" s="44" t="n"/>
      <c r="J603" s="44" t="n"/>
      <c r="K603" s="44" t="n"/>
      <c r="L603" s="44" t="n"/>
      <c r="M603" s="44" t="n"/>
      <c r="N603" s="44" t="n"/>
      <c r="O603" s="44" t="n"/>
    </row>
    <row r="604" ht="54" customHeight="1">
      <c r="A604" s="44" t="n"/>
      <c r="B604" s="44" t="n"/>
      <c r="C604" s="44" t="n"/>
      <c r="D604" s="44" t="n"/>
      <c r="E604" s="44" t="n"/>
      <c r="F604" s="44" t="n"/>
      <c r="G604" s="44" t="n"/>
      <c r="H604" s="44" t="n"/>
      <c r="I604" s="44" t="n"/>
      <c r="J604" s="44" t="n"/>
      <c r="K604" s="44" t="n"/>
      <c r="L604" s="44" t="n"/>
      <c r="M604" s="44" t="n"/>
      <c r="N604" s="44" t="n"/>
      <c r="O604" s="44" t="n"/>
    </row>
    <row r="605" ht="54" customHeight="1">
      <c r="A605" s="44" t="n"/>
      <c r="B605" s="44" t="n"/>
      <c r="C605" s="44" t="n"/>
      <c r="D605" s="44" t="n"/>
      <c r="E605" s="44" t="n"/>
      <c r="F605" s="44" t="n"/>
      <c r="G605" s="44" t="n"/>
      <c r="H605" s="44" t="n"/>
      <c r="I605" s="44" t="n"/>
      <c r="J605" s="44" t="n"/>
      <c r="K605" s="44" t="n"/>
      <c r="L605" s="44" t="n"/>
      <c r="M605" s="44" t="n"/>
      <c r="N605" s="44" t="n"/>
      <c r="O605" s="44" t="n"/>
    </row>
    <row r="606" ht="54" customHeight="1">
      <c r="A606" s="44" t="n"/>
      <c r="B606" s="44" t="n"/>
      <c r="C606" s="44" t="n"/>
      <c r="D606" s="44" t="n"/>
      <c r="E606" s="44" t="n"/>
      <c r="F606" s="44" t="n"/>
      <c r="G606" s="44" t="n"/>
      <c r="H606" s="44" t="n"/>
      <c r="I606" s="44" t="n"/>
      <c r="J606" s="44" t="n"/>
      <c r="K606" s="44" t="n"/>
      <c r="L606" s="44" t="n"/>
      <c r="M606" s="44" t="n"/>
      <c r="N606" s="44" t="n"/>
      <c r="O606" s="44" t="n"/>
    </row>
    <row r="607" ht="54" customHeight="1">
      <c r="A607" s="44" t="n"/>
      <c r="B607" s="44" t="n"/>
      <c r="C607" s="44" t="n"/>
      <c r="D607" s="44" t="n"/>
      <c r="E607" s="44" t="n"/>
      <c r="F607" s="44" t="n"/>
      <c r="G607" s="44" t="n"/>
      <c r="H607" s="44" t="n"/>
      <c r="I607" s="44" t="n"/>
      <c r="J607" s="44" t="n"/>
      <c r="K607" s="44" t="n"/>
      <c r="L607" s="44" t="n"/>
      <c r="M607" s="44" t="n"/>
      <c r="N607" s="44" t="n"/>
      <c r="O607" s="44" t="n"/>
    </row>
  </sheetData>
  <mergeCells count="1">
    <mergeCell ref="A3:F3"/>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2026-10-25T06:01:27Z</dcterms:created>
  <dcterms:modified xsi:type="dcterms:W3CDTF">2026-10-25T06:01:28Z</dcterms:modified>
</cp:coreProperties>
</file>